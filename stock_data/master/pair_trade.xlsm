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4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個別計算" sheetId="6" r:id="rId9"/>
    <sheet name="日経サヤ計算" sheetId="11" r:id="rId10"/>
    <sheet name="グラフ" sheetId="7" r:id="rId11"/>
    <sheet name="code" sheetId="8" r:id="rId12"/>
    <sheet name="元データ" sheetId="9" r:id="rId13"/>
    <sheet name="改訂欄" sheetId="10" r:id="rId14"/>
    <sheet name="Fee_Refer" sheetId="17" r:id="rId15"/>
    <sheet name="Faiue" sheetId="18" r:id="rId16"/>
    <sheet name="Fiscal_date" sheetId="19" r:id="rId17"/>
  </sheets>
  <functionGroups/>
  <definedNames>
    <definedName name="_xlnm._FilterDatabase" localSheetId="2" hidden="1">取引履歴!$B$3:$AC$23</definedName>
    <definedName name="_xlnm._FilterDatabase" localSheetId="12" hidden="1">元データ!$A$1:$AH$1</definedName>
  </definedNames>
  <calcPr calcId="125725"/>
</workbook>
</file>

<file path=xl/calcChain.xml><?xml version="1.0" encoding="utf-8"?>
<calcChain xmlns="http://schemas.openxmlformats.org/spreadsheetml/2006/main">
  <c r="AC28" i="13"/>
  <c r="AB28"/>
  <c r="AA28"/>
  <c r="C19" i="4"/>
  <c r="C18"/>
  <c r="C4" i="17"/>
  <c r="C5"/>
  <c r="C6"/>
  <c r="C3"/>
  <c r="J9" i="2"/>
  <c r="J8"/>
  <c r="C8"/>
  <c r="C26" i="13"/>
  <c r="J26"/>
  <c r="M26"/>
  <c r="P26" s="1"/>
  <c r="J27"/>
  <c r="M27"/>
  <c r="P27" s="1"/>
  <c r="C24"/>
  <c r="J24"/>
  <c r="M24"/>
  <c r="P24" s="1"/>
  <c r="J25"/>
  <c r="M25"/>
  <c r="P25" s="1"/>
  <c r="J6" i="2"/>
  <c r="J7"/>
  <c r="N7" s="1"/>
  <c r="P7" s="1"/>
  <c r="C6"/>
  <c r="AB22" i="13"/>
  <c r="AA22"/>
  <c r="J5" i="2"/>
  <c r="N5" s="1"/>
  <c r="J4"/>
  <c r="C4"/>
  <c r="C22" i="13"/>
  <c r="J22"/>
  <c r="M22"/>
  <c r="P22" s="1"/>
  <c r="J23"/>
  <c r="M23"/>
  <c r="P23" s="1"/>
  <c r="C20"/>
  <c r="J20"/>
  <c r="M20"/>
  <c r="P20" s="1"/>
  <c r="J21"/>
  <c r="M21"/>
  <c r="P21" s="1"/>
  <c r="AB18"/>
  <c r="AA18"/>
  <c r="M19"/>
  <c r="P19" s="1"/>
  <c r="J19"/>
  <c r="V18"/>
  <c r="M18"/>
  <c r="P18" s="1"/>
  <c r="J18"/>
  <c r="C18"/>
  <c r="AA14"/>
  <c r="AB14"/>
  <c r="AA16"/>
  <c r="AB16"/>
  <c r="M17"/>
  <c r="P17" s="1"/>
  <c r="Q17" s="1"/>
  <c r="J17"/>
  <c r="V16"/>
  <c r="M16"/>
  <c r="P16" s="1"/>
  <c r="J16"/>
  <c r="C16"/>
  <c r="M15"/>
  <c r="P15" s="1"/>
  <c r="J15"/>
  <c r="V14"/>
  <c r="M14"/>
  <c r="P14" s="1"/>
  <c r="J14"/>
  <c r="C14"/>
  <c r="C12"/>
  <c r="J12"/>
  <c r="M12"/>
  <c r="P12" s="1"/>
  <c r="J13"/>
  <c r="M13"/>
  <c r="P13" s="1"/>
  <c r="AA10"/>
  <c r="AB10"/>
  <c r="V10"/>
  <c r="M11"/>
  <c r="P11" s="1"/>
  <c r="J11"/>
  <c r="M10"/>
  <c r="P10" s="1"/>
  <c r="J10"/>
  <c r="C10"/>
  <c r="AB6"/>
  <c r="AB8"/>
  <c r="AB4"/>
  <c r="AA6"/>
  <c r="AA8"/>
  <c r="AA4"/>
  <c r="M9"/>
  <c r="P9" s="1"/>
  <c r="J9"/>
  <c r="V8"/>
  <c r="M8"/>
  <c r="P8" s="1"/>
  <c r="Q8" s="1"/>
  <c r="J8"/>
  <c r="C8"/>
  <c r="V6"/>
  <c r="V4"/>
  <c r="P1" i="2"/>
  <c r="V24" i="13" s="1"/>
  <c r="Q27" l="1"/>
  <c r="Q24"/>
  <c r="Q25"/>
  <c r="P5" i="2"/>
  <c r="Q5" s="1"/>
  <c r="R26" i="13"/>
  <c r="U8" i="2"/>
  <c r="V8" s="1"/>
  <c r="Q26" i="13"/>
  <c r="AB24"/>
  <c r="AA24"/>
  <c r="R24"/>
  <c r="Q7" i="2"/>
  <c r="U6"/>
  <c r="V6" s="1"/>
  <c r="N6" s="1"/>
  <c r="P6" s="1"/>
  <c r="Q19" i="13"/>
  <c r="Q23"/>
  <c r="Q15"/>
  <c r="Q20"/>
  <c r="Q21"/>
  <c r="U4" i="2"/>
  <c r="V4" s="1"/>
  <c r="N4" s="1"/>
  <c r="P4" s="1"/>
  <c r="R22" i="13"/>
  <c r="Q22"/>
  <c r="Q18"/>
  <c r="V22"/>
  <c r="R16"/>
  <c r="Q16"/>
  <c r="Q11"/>
  <c r="Q13"/>
  <c r="R20"/>
  <c r="Q9"/>
  <c r="R18"/>
  <c r="Q14"/>
  <c r="R14"/>
  <c r="R12"/>
  <c r="Q12"/>
  <c r="Q10"/>
  <c r="R8"/>
  <c r="S8" s="1"/>
  <c r="R10"/>
  <c r="J2" i="2"/>
  <c r="R6" i="13"/>
  <c r="R4"/>
  <c r="S26" l="1"/>
  <c r="AC26"/>
  <c r="N8" i="2"/>
  <c r="P8" s="1"/>
  <c r="Q8" s="1"/>
  <c r="N9"/>
  <c r="P9" s="1"/>
  <c r="Q9" s="1"/>
  <c r="Q4"/>
  <c r="R4"/>
  <c r="S4" s="1"/>
  <c r="Q6"/>
  <c r="R6"/>
  <c r="S6" s="1"/>
  <c r="V26" i="13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R2"/>
  <c r="S4"/>
  <c r="AC4"/>
  <c r="S6"/>
  <c r="AC6"/>
  <c r="AC8"/>
  <c r="S10"/>
  <c r="AC10"/>
  <c r="R3" i="20"/>
  <c r="O3"/>
  <c r="Q3"/>
  <c r="U3" l="1"/>
  <c r="T3"/>
  <c r="S3"/>
  <c r="P3"/>
  <c r="J3"/>
  <c r="M3" s="1"/>
  <c r="L6"/>
  <c r="I3"/>
  <c r="L3" s="1"/>
  <c r="H3"/>
  <c r="V3" s="1"/>
  <c r="G3"/>
  <c r="F3"/>
  <c r="D3"/>
  <c r="E3" s="1"/>
  <c r="R8" i="2"/>
  <c r="S8" s="1"/>
  <c r="M5" i="20" l="1"/>
  <c r="V5"/>
  <c r="V4"/>
  <c r="V6"/>
  <c r="N3"/>
  <c r="K5"/>
  <c r="K6"/>
  <c r="K4"/>
  <c r="K3"/>
  <c r="M4"/>
  <c r="M6"/>
  <c r="L5"/>
  <c r="L4"/>
  <c r="C4"/>
  <c r="S2" i="2"/>
  <c r="R2"/>
  <c r="P4" i="20" l="1"/>
  <c r="C5"/>
  <c r="E4"/>
  <c r="P5" l="1"/>
  <c r="E5"/>
  <c r="C6"/>
  <c r="P6" l="1"/>
  <c r="E6"/>
</calcChain>
</file>

<file path=xl/sharedStrings.xml><?xml version="1.0" encoding="utf-8"?>
<sst xmlns="http://schemas.openxmlformats.org/spreadsheetml/2006/main" count="5955" uniqueCount="1349">
  <si>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</si>
  <si>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</si>
  <si>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</si>
  <si>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</si>
  <si>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</si>
  <si>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</si>
  <si>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</si>
  <si>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</si>
  <si>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</si>
  <si>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</si>
  <si>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</si>
  <si>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</si>
  <si>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</si>
  <si>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</si>
  <si>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</si>
  <si>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</si>
  <si>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</si>
  <si>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</si>
  <si>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</si>
  <si>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</si>
  <si>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</si>
  <si>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</si>
  <si>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</si>
  <si>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</si>
  <si>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</si>
  <si>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</si>
  <si>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</si>
  <si>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</si>
  <si>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</si>
  <si>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</si>
  <si>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</si>
  <si>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</si>
  <si>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</si>
  <si>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</si>
  <si>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</si>
  <si>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</si>
  <si>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</si>
  <si>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</si>
  <si>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</si>
  <si>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</si>
  <si>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</si>
  <si>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</si>
  <si>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</si>
  <si>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</si>
  <si>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</si>
  <si>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</si>
  <si>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</si>
  <si>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</si>
  <si>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</si>
  <si>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</si>
  <si>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</si>
  <si>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</si>
  <si>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</si>
  <si>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</si>
  <si>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</si>
  <si>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</si>
  <si>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</si>
  <si>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</si>
  <si>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</si>
  <si>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</si>
  <si>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</si>
  <si>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</si>
  <si>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</si>
  <si>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</si>
  <si>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</si>
  <si>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</si>
  <si>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</si>
  <si>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</si>
  <si>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</si>
  <si>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</si>
  <si>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</si>
  <si>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</si>
  <si>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</si>
  <si>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</si>
  <si>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</si>
  <si>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</si>
  <si>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</si>
  <si>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</si>
  <si>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</si>
  <si>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</si>
  <si>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</si>
  <si>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</si>
  <si>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</si>
  <si>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</si>
  <si>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</si>
  <si>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</si>
  <si>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</si>
  <si>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</si>
  <si>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</si>
  <si>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</si>
  <si>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</si>
  <si>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</si>
  <si>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</si>
  <si>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</si>
  <si>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</si>
  <si>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</si>
  <si>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</si>
  <si>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</si>
  <si>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</si>
  <si>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</si>
  <si>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</si>
  <si>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</si>
  <si>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</si>
  <si>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</si>
  <si>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スカパーＪＳＡＴホールディングス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</si>
  <si>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</si>
  <si>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</si>
  <si>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</si>
  <si>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</si>
  <si>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</si>
  <si>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</si>
  <si>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</si>
  <si>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</si>
  <si>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</si>
  <si>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</si>
  <si>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</si>
  <si>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</si>
  <si>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</si>
  <si>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</si>
  <si>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</si>
  <si>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</si>
  <si>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</si>
  <si>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</si>
  <si>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</si>
  <si>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</si>
  <si>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</si>
  <si>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</si>
  <si>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</si>
  <si>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</si>
  <si>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</si>
  <si>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</si>
  <si>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</si>
  <si>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</si>
  <si>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</si>
  <si>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</si>
  <si>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</si>
  <si>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</si>
  <si>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</si>
  <si>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</si>
  <si>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</si>
  <si>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</si>
  <si>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</si>
  <si>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</si>
  <si>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</si>
  <si>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</si>
  <si>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</si>
  <si>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</si>
  <si>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</si>
  <si>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</si>
  <si>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</si>
  <si>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</si>
  <si>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パイロットコーポレーション</t>
  </si>
  <si>
    <t>北陸電力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</si>
  <si>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</si>
  <si>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</si>
  <si>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</si>
  <si>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</si>
  <si>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</si>
  <si>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</si>
  <si>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</si>
  <si>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</si>
  <si>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</si>
  <si>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</si>
  <si>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</si>
  <si>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</si>
  <si>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</si>
  <si>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</si>
  <si>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</si>
  <si>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</si>
  <si>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</si>
  <si>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</si>
  <si>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</si>
  <si>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</si>
  <si>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</si>
  <si>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</si>
  <si>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</si>
  <si>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</si>
  <si>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</si>
  <si>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</si>
  <si>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</si>
  <si>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</si>
  <si>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</si>
  <si>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</si>
  <si>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</si>
  <si>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</si>
  <si>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</si>
  <si>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</si>
  <si>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</si>
  <si>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</si>
  <si>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</si>
  <si>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</si>
  <si>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</si>
  <si>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</si>
  <si>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</si>
  <si>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</si>
  <si>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</si>
  <si>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</si>
  <si>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</si>
  <si>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</si>
  <si>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</si>
  <si>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</si>
  <si>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</si>
  <si>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</si>
  <si>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</si>
  <si>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</si>
  <si>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</si>
  <si>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</si>
  <si>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</si>
  <si>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</si>
  <si>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</si>
  <si>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</si>
  <si>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</si>
  <si>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</si>
  <si>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</si>
  <si>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</si>
  <si>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</si>
  <si>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</si>
  <si>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</si>
  <si>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</si>
  <si>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</si>
  <si>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</si>
  <si>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</si>
  <si>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</si>
  <si>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</si>
  <si>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</si>
  <si>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</si>
  <si>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</si>
  <si>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</si>
  <si>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</si>
  <si>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</si>
  <si>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</si>
  <si>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</si>
  <si>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</si>
  <si>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</si>
  <si>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</si>
  <si>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</si>
  <si>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</si>
  <si>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</si>
  <si>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</si>
  <si>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</si>
  <si>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</si>
  <si>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</si>
  <si>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</si>
  <si>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</si>
  <si>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</si>
  <si>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</si>
  <si>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</si>
  <si>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</si>
  <si>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</si>
  <si>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</si>
  <si>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</si>
  <si>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</si>
  <si>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</si>
  <si>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</si>
  <si>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</si>
  <si>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</si>
  <si>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</si>
  <si>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</si>
  <si>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</si>
  <si>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</si>
  <si>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</si>
  <si>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</si>
  <si>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</si>
  <si>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</si>
  <si>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</si>
  <si>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</si>
  <si>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</si>
  <si>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</si>
  <si>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</si>
  <si>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</si>
  <si>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</si>
  <si>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</si>
  <si>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</si>
  <si>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</si>
  <si>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</si>
  <si>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</si>
  <si>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</si>
  <si>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</si>
  <si>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</si>
  <si>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</si>
  <si>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</si>
  <si>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</si>
  <si>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</si>
  <si>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</si>
  <si>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</si>
  <si>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</si>
  <si>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</si>
  <si>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</si>
  <si>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</si>
  <si>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</si>
  <si>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</si>
  <si>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</si>
  <si>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</si>
  <si>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</si>
  <si>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</si>
  <si>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</si>
  <si>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</si>
  <si>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</si>
  <si>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</si>
  <si>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</si>
  <si>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</si>
  <si>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</si>
  <si>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</si>
  <si>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</si>
  <si>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</si>
  <si>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</si>
  <si>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</si>
  <si>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</si>
  <si>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</si>
  <si>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</si>
  <si>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</si>
  <si>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</si>
  <si>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</si>
  <si>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シグマ</t>
  </si>
  <si>
    <t>バックテスト</t>
  </si>
  <si>
    <t>相関</t>
  </si>
  <si>
    <t>Code</t>
  </si>
  <si>
    <t>Name</t>
  </si>
  <si>
    <t>業種</t>
  </si>
  <si>
    <t>Price</t>
  </si>
  <si>
    <t>Lot</t>
  </si>
  <si>
    <t>σ</t>
  </si>
  <si>
    <t>離率</t>
  </si>
  <si>
    <t>Mount1</t>
  </si>
  <si>
    <t>Mount2</t>
  </si>
  <si>
    <t>差分</t>
  </si>
  <si>
    <t>Total Profit</t>
  </si>
  <si>
    <t>Ave Profit</t>
  </si>
  <si>
    <t>Total 
Times</t>
  </si>
  <si>
    <t>Profit
Times</t>
  </si>
  <si>
    <t>ST/SP/OM</t>
  </si>
  <si>
    <t>PL</t>
  </si>
  <si>
    <t>Open
Days</t>
  </si>
  <si>
    <t>CORR
3M</t>
  </si>
  <si>
    <t>CORR
1Y</t>
  </si>
  <si>
    <t>Coint 
3M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</si>
  <si>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</si>
  <si>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</si>
  <si>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</si>
  <si>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</si>
  <si>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</si>
  <si>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</si>
  <si>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ニプロ</t>
  </si>
  <si>
    <t>セブン銀行</t>
  </si>
  <si>
    <t>三井化学</t>
  </si>
  <si>
    <t>日本特殊陶業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</si>
  <si>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</si>
  <si>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</si>
  <si>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</si>
  <si>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</si>
  <si>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</si>
  <si>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</si>
  <si>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</si>
  <si>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</si>
  <si>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</si>
  <si>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</si>
  <si>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</si>
  <si>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</si>
  <si>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</si>
  <si>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</si>
  <si>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</si>
  <si>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</si>
  <si>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ヤオコー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</si>
  <si>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</si>
  <si>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</si>
  <si>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</si>
  <si>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</si>
  <si>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</si>
  <si>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寿スピリッツ</t>
  </si>
  <si>
    <t>日本新薬</t>
  </si>
  <si>
    <t>日本電子</t>
  </si>
  <si>
    <t>相鉄ホールディングス</t>
  </si>
  <si>
    <t>積水化学工業</t>
  </si>
  <si>
    <t>リンナイ</t>
  </si>
  <si>
    <t>イビデン</t>
  </si>
  <si>
    <t>現物</t>
    <phoneticPr fontId="1" type="noConversion"/>
  </si>
  <si>
    <t>現物</t>
    <phoneticPr fontId="1" type="noConversion"/>
  </si>
  <si>
    <t>エス・エム・エス</t>
  </si>
  <si>
    <t>クミアイ化学工業</t>
  </si>
  <si>
    <t>マルハニチロ</t>
  </si>
  <si>
    <t>水産・農林業</t>
  </si>
  <si>
    <t>トヨタ自動車</t>
  </si>
  <si>
    <t>ジーエス・ユアサ　コーポレーション</t>
  </si>
  <si>
    <t>堀場製作所</t>
  </si>
  <si>
    <t>富士通</t>
  </si>
  <si>
    <t>ニチアス</t>
  </si>
  <si>
    <t>スギホールディングス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</si>
  <si>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</si>
  <si>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</si>
  <si>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</si>
  <si>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</si>
  <si>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</si>
  <si>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</si>
  <si>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Max</t>
    <phoneticPr fontId="1" type="noConversion"/>
  </si>
  <si>
    <t>Min</t>
    <phoneticPr fontId="1" type="noConversion"/>
  </si>
  <si>
    <t>決算日</t>
    <phoneticPr fontId="1" type="noConversion"/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</si>
  <si>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</si>
  <si>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</si>
  <si>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</si>
  <si>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</si>
  <si>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</si>
  <si>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</si>
  <si>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</si>
  <si>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</si>
  <si>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</si>
  <si>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</si>
  <si>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</si>
  <si>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</si>
  <si>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</si>
  <si>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</si>
  <si>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</si>
  <si>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</si>
  <si>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</si>
  <si>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</si>
  <si>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</si>
  <si>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</si>
  <si>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</si>
  <si>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</si>
  <si>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</si>
  <si>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</si>
  <si>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</si>
  <si>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</si>
  <si>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</si>
  <si>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</si>
  <si>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</si>
  <si>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</si>
  <si>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</si>
  <si>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</si>
  <si>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</si>
  <si>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</si>
  <si>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</si>
  <si>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</si>
  <si>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</si>
  <si>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</si>
  <si>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</si>
  <si>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</si>
  <si>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</si>
  <si>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</si>
  <si>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</si>
  <si>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</si>
  <si>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</si>
  <si>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</si>
  <si>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</si>
  <si>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</si>
  <si>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</si>
  <si>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</si>
  <si>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</si>
  <si>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</si>
  <si>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</si>
  <si>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</si>
  <si>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</si>
  <si>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</si>
  <si>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</si>
  <si>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</si>
  <si>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</si>
  <si>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</si>
  <si>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</si>
  <si>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</si>
  <si>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</si>
  <si>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</si>
  <si>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</si>
  <si>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</si>
  <si>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</si>
  <si>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</si>
  <si>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</si>
  <si>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</si>
  <si>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</si>
  <si>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</si>
  <si>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</si>
  <si>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</si>
  <si>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</si>
  <si>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</si>
  <si>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</si>
  <si>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</si>
  <si>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</si>
  <si>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</si>
  <si>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</si>
  <si>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</si>
  <si>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</si>
  <si>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</si>
  <si>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</si>
  <si>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</si>
  <si>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</si>
  <si>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</si>
  <si>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</si>
  <si>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</si>
  <si>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</si>
  <si>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</si>
  <si>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</si>
  <si>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</si>
  <si>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</si>
  <si>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</si>
  <si>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</si>
  <si>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</si>
  <si>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</si>
  <si>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</si>
  <si>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</si>
  <si>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</si>
  <si>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</si>
  <si>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</si>
  <si>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</si>
  <si>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</si>
  <si>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</si>
  <si>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</si>
  <si>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</si>
  <si>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</si>
  <si>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</si>
  <si>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</si>
  <si>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</si>
  <si>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</si>
  <si>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</si>
  <si>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</si>
  <si>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</si>
  <si>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</si>
  <si>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</si>
  <si>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</si>
  <si>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</si>
  <si>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</si>
  <si>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</si>
  <si>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</si>
  <si>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</si>
  <si>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</si>
  <si>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</si>
  <si>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</si>
  <si>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</si>
  <si>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</si>
  <si>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</si>
  <si>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</si>
  <si>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</si>
  <si>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</si>
  <si>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</si>
  <si>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</si>
  <si>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</si>
  <si>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</si>
  <si>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</si>
  <si>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</si>
  <si>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</si>
  <si>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</si>
  <si>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</si>
  <si>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</si>
  <si>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</si>
  <si>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</si>
  <si>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</si>
  <si>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</si>
  <si>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</si>
  <si>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</si>
  <si>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</si>
  <si>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</si>
  <si>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</si>
  <si>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</si>
  <si>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</si>
  <si>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</si>
  <si>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</si>
  <si>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</si>
  <si>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</si>
  <si>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</si>
  <si>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</si>
  <si>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</si>
  <si>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</si>
  <si>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</si>
  <si>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</si>
  <si>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</si>
  <si>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</si>
  <si>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</si>
  <si>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</si>
  <si>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</si>
  <si>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</si>
  <si>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</si>
  <si>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</si>
  <si>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</si>
  <si>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</si>
  <si>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</si>
  <si>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</si>
  <si>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</si>
  <si>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</si>
  <si>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</si>
  <si>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</si>
  <si>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</si>
  <si>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</si>
  <si>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</si>
  <si>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</si>
  <si>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</si>
  <si>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</si>
  <si>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</si>
  <si>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</si>
  <si>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</si>
  <si>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</si>
  <si>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</si>
  <si>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</si>
  <si>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</si>
  <si>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</si>
  <si>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</si>
  <si>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</si>
  <si>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</si>
  <si>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</si>
  <si>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</si>
  <si>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</si>
  <si>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</si>
  <si>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</si>
  <si>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</si>
  <si>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</si>
  <si>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</si>
  <si>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</si>
  <si>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</si>
  <si>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</si>
  <si>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</si>
  <si>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</si>
  <si>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</si>
  <si>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</si>
  <si>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</si>
  <si>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</si>
  <si>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</si>
  <si>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</si>
  <si>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</si>
  <si>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</si>
  <si>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</si>
  <si>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</si>
  <si>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</si>
  <si>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</si>
  <si>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</si>
  <si>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</si>
  <si>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</si>
  <si>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</si>
  <si>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</si>
  <si>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</si>
  <si>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</si>
  <si>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</si>
  <si>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</si>
  <si>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</si>
  <si>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</si>
  <si>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</si>
  <si>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</si>
  <si>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</si>
  <si>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</si>
  <si>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</si>
  <si>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</si>
  <si>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</si>
  <si>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</si>
  <si>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</si>
  <si>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</si>
  <si>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</si>
  <si>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</si>
  <si>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</si>
  <si>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</si>
  <si>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</si>
  <si>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</si>
  <si>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</si>
  <si>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</si>
  <si>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</si>
  <si>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</si>
  <si>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</si>
  <si>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</si>
  <si>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</si>
  <si>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</si>
  <si>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</si>
  <si>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</si>
  <si>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</si>
  <si>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</si>
  <si>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</si>
  <si>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</si>
  <si>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</si>
  <si>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</si>
  <si>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</si>
  <si>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</si>
  <si>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</si>
  <si>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</si>
  <si>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</si>
  <si>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</si>
  <si>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</si>
  <si>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</si>
  <si>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</si>
  <si>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</si>
  <si>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</si>
  <si>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</si>
  <si>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</si>
  <si>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</si>
  <si>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</si>
  <si>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</si>
  <si>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</si>
  <si>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</si>
  <si>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</si>
  <si>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</si>
  <si>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</si>
  <si>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</si>
  <si>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</si>
  <si>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</si>
  <si>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</si>
  <si>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</si>
  <si>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</si>
  <si>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</si>
  <si>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</si>
  <si>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</si>
  <si>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</si>
  <si>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</si>
  <si>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</si>
  <si>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</si>
  <si>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</si>
  <si>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</si>
  <si>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</si>
  <si>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</si>
  <si>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</si>
  <si>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</si>
  <si>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</si>
  <si>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</si>
  <si>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</si>
  <si>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</si>
  <si>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</si>
  <si>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</si>
  <si>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</si>
  <si>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</si>
  <si>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</si>
  <si>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</si>
  <si>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</si>
  <si>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</si>
  <si>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</si>
  <si>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</si>
  <si>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</si>
  <si>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</si>
  <si>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</si>
  <si>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</si>
  <si>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</si>
  <si>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</si>
  <si>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</si>
  <si>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</si>
  <si>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</si>
  <si>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</si>
  <si>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</si>
  <si>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</si>
  <si>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</si>
  <si>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</si>
  <si>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</si>
  <si>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</si>
  <si>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</si>
  <si>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</si>
  <si>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</si>
  <si>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</si>
  <si>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</si>
  <si>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</si>
  <si>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</si>
  <si>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</si>
  <si>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</si>
  <si>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</si>
  <si>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</si>
  <si>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</si>
  <si>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</si>
  <si>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</si>
  <si>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</si>
  <si>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</si>
  <si>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</si>
  <si>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</si>
  <si>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</si>
  <si>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</si>
  <si>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</si>
  <si>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</si>
  <si>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</si>
  <si>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</si>
  <si>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</si>
  <si>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</si>
  <si>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</si>
  <si>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</si>
  <si>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</si>
  <si>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</si>
  <si>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</si>
  <si>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</si>
  <si>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</si>
  <si>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</si>
  <si>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</si>
  <si>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</si>
  <si>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</si>
  <si>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</si>
  <si>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</si>
  <si>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</si>
  <si>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</si>
  <si>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</si>
  <si>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</si>
  <si>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</si>
  <si>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</si>
  <si>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</si>
  <si>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</si>
  <si>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</si>
  <si>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</si>
  <si>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</si>
  <si>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</si>
  <si>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</si>
  <si>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</si>
  <si>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</si>
  <si>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</si>
  <si>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</si>
  <si>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</si>
  <si>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</si>
  <si>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</si>
  <si>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</si>
  <si>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</si>
  <si>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</si>
  <si>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</si>
  <si>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</si>
  <si>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</si>
  <si>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</si>
  <si>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</si>
  <si>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</si>
  <si>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</si>
  <si>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</si>
  <si>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</si>
  <si>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</si>
  <si>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</si>
  <si>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</si>
  <si>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</si>
  <si>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</si>
  <si>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</si>
  <si>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</si>
  <si>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</si>
  <si>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</si>
  <si>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</si>
  <si>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</si>
  <si>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</si>
  <si>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</si>
  <si>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</si>
  <si>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</si>
  <si>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</si>
  <si>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</si>
  <si>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</si>
  <si>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</si>
  <si>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</si>
  <si>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</si>
  <si>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</si>
  <si>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</si>
  <si>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</si>
  <si>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</si>
  <si>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</si>
  <si>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</si>
  <si>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</si>
  <si>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</si>
  <si>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</si>
  <si>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</si>
  <si>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</si>
  <si>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</si>
  <si>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</si>
  <si>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</si>
  <si>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</si>
  <si>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</si>
  <si>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</si>
  <si>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</si>
  <si>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</si>
  <si>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</si>
  <si>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</si>
  <si>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</si>
  <si>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</si>
  <si>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</si>
  <si>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</si>
  <si>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</si>
  <si>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</si>
  <si>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</si>
  <si>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</si>
  <si>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</si>
  <si>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</si>
  <si>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</si>
  <si>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</si>
  <si>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</si>
  <si>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</si>
  <si>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</si>
  <si>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</si>
  <si>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</si>
  <si>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</si>
  <si>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</si>
  <si>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</si>
  <si>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</si>
  <si>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</si>
  <si>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</si>
  <si>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</si>
  <si>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</si>
  <si>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</si>
  <si>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</si>
  <si>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</si>
  <si>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</si>
  <si>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</si>
  <si>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</si>
  <si>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</si>
  <si>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</si>
  <si>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</si>
  <si>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</si>
  <si>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</si>
  <si>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</si>
  <si>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</si>
  <si>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</si>
  <si>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</si>
  <si>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</si>
  <si>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</si>
  <si>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</si>
  <si>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</si>
  <si>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</si>
  <si>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</si>
  <si>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</si>
  <si>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</si>
  <si>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</si>
  <si>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</si>
  <si>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</si>
  <si>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</si>
  <si>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</si>
  <si>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</si>
  <si>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</si>
  <si>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</si>
  <si>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</si>
  <si>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</si>
  <si>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</si>
  <si>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</si>
  <si>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</si>
  <si>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</si>
  <si>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</si>
  <si>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</si>
  <si>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</si>
  <si>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</si>
  <si>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</si>
  <si>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</si>
  <si>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</si>
  <si>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</si>
  <si>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</si>
  <si>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</si>
  <si>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</si>
  <si>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</si>
  <si>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</si>
  <si>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</si>
  <si>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</si>
  <si>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</si>
  <si>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</si>
  <si>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</si>
  <si>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</si>
  <si>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</si>
  <si>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</si>
  <si>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</si>
  <si>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</si>
  <si>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</si>
  <si>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</si>
  <si>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</si>
  <si>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</si>
  <si>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</si>
  <si>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</si>
  <si>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</si>
  <si>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</si>
  <si>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</si>
  <si>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</si>
  <si>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</si>
  <si>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</si>
  <si>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</si>
  <si>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</si>
  <si>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</si>
  <si>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</si>
  <si>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</si>
  <si>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</si>
  <si>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</si>
  <si>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</si>
  <si>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</si>
  <si>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</si>
  <si>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</si>
  <si>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</si>
  <si>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</si>
  <si>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</si>
  <si>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</si>
  <si>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</si>
  <si>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</si>
  <si>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</si>
  <si>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</si>
  <si>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</si>
  <si>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</si>
  <si>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</si>
  <si>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</si>
  <si>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</si>
  <si>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</si>
  <si>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</si>
  <si>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</si>
  <si>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</si>
  <si>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</si>
  <si>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</si>
  <si>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</si>
  <si>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</si>
  <si>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</si>
  <si>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</si>
  <si>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</si>
  <si>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</si>
  <si>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</si>
  <si>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</si>
  <si>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</si>
  <si>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</si>
  <si>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</si>
  <si>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</si>
  <si>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</si>
  <si>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</si>
  <si>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</si>
  <si>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</si>
  <si>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</si>
  <si>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</si>
  <si>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</si>
  <si>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</si>
  <si>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</si>
  <si>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</si>
  <si>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</si>
  <si>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</si>
  <si>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</si>
  <si>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</si>
  <si>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</si>
  <si>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</si>
  <si>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</si>
  <si>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</si>
  <si>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</si>
  <si>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</si>
  <si>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</si>
  <si>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</si>
  <si>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</si>
  <si>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</si>
  <si>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</si>
  <si>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</si>
  <si>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</si>
  <si>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</si>
  <si>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</si>
  <si>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</si>
  <si>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</si>
  <si>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</si>
  <si>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</si>
  <si>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小糸製作所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</si>
  <si>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</si>
  <si>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</si>
  <si>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</si>
  <si>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</si>
  <si>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</si>
  <si>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</si>
  <si>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</si>
  <si>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</si>
  <si>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</si>
  <si>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</si>
  <si>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</si>
  <si>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</si>
  <si>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</si>
  <si>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</si>
  <si>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</si>
  <si>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</si>
  <si>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</si>
  <si>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</si>
  <si>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</si>
  <si>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</si>
  <si>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</si>
  <si>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</si>
  <si>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</si>
  <si>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</si>
  <si>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</si>
  <si>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</si>
  <si>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</si>
  <si>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</si>
  <si>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</si>
  <si>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</si>
  <si>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</si>
  <si>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</si>
  <si>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</si>
  <si>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</si>
  <si>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</si>
  <si>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</si>
  <si>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</si>
  <si>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</si>
  <si>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</si>
  <si>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</si>
  <si>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</si>
  <si>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</si>
  <si>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</si>
  <si>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</si>
  <si>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</si>
  <si>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</si>
  <si>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</si>
  <si>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</si>
  <si>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</si>
  <si>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</si>
  <si>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</si>
  <si>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3/5/11</t>
  </si>
  <si>
    <t>`</t>
    <phoneticPr fontId="1" type="noConversion"/>
  </si>
  <si>
    <t>単に運がよかった</t>
    <phoneticPr fontId="1" type="noConversion"/>
  </si>
  <si>
    <t>売</t>
    <phoneticPr fontId="1" type="noConversion"/>
  </si>
  <si>
    <t>Total</t>
    <phoneticPr fontId="1" type="noConversion"/>
  </si>
  <si>
    <t>Current</t>
    <phoneticPr fontId="1" type="noConversion"/>
  </si>
  <si>
    <t>SPAN</t>
    <phoneticPr fontId="1" type="noConversion"/>
  </si>
  <si>
    <t>買</t>
    <phoneticPr fontId="1" type="noConversion"/>
  </si>
  <si>
    <t>1/1/12</t>
  </si>
  <si>
    <t>Setup</t>
  </si>
  <si>
    <t>1/6/8</t>
  </si>
  <si>
    <t>5/6/7</t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</si>
  <si>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</si>
  <si>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</si>
  <si>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</si>
  <si>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</si>
  <si>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</si>
  <si>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</si>
  <si>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</si>
  <si>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</si>
  <si>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</si>
  <si>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</si>
  <si>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</si>
  <si>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</si>
  <si>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</si>
  <si>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</si>
  <si>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</si>
  <si>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</si>
  <si>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4/6/6</t>
  </si>
  <si>
    <t>3/5/6</t>
  </si>
  <si>
    <t>7/8/3</t>
  </si>
  <si>
    <t>4/1/10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</si>
  <si>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</si>
  <si>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</si>
  <si>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</si>
  <si>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</si>
  <si>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</si>
  <si>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</si>
  <si>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</si>
  <si>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</si>
  <si>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</si>
  <si>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</si>
  <si>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</si>
  <si>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</si>
  <si>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</si>
  <si>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</si>
  <si>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</si>
  <si>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</si>
  <si>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</si>
  <si>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</si>
  <si>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</si>
  <si>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</si>
  <si>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</si>
  <si>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</si>
  <si>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</si>
  <si>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</si>
  <si>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</si>
  <si>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</si>
  <si>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</si>
  <si>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</si>
  <si>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</si>
  <si>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</si>
  <si>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</si>
  <si>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</si>
  <si>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</si>
  <si>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</si>
  <si>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</si>
  <si>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</si>
  <si>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</si>
  <si>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</si>
  <si>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</si>
  <si>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</si>
  <si>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</si>
  <si>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</si>
  <si>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</si>
  <si>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</si>
  <si>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</si>
  <si>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</si>
  <si>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</si>
  <si>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</si>
  <si>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</si>
  <si>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</si>
  <si>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</si>
  <si>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</si>
  <si>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</si>
  <si>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</si>
  <si>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</si>
  <si>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</si>
  <si>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</si>
  <si>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</si>
  <si>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</si>
  <si>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</si>
  <si>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</si>
  <si>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</si>
  <si>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</si>
  <si>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</si>
  <si>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</si>
  <si>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</si>
  <si>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</si>
  <si>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</si>
  <si>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</si>
  <si>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</si>
  <si>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</si>
  <si>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</si>
  <si>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</si>
  <si>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</si>
  <si>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</si>
  <si>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</si>
  <si>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</si>
  <si>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</si>
  <si>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</si>
  <si>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</si>
  <si>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</si>
  <si>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</si>
  <si>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</si>
  <si>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</si>
  <si>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</si>
  <si>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</si>
  <si>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</si>
  <si>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</si>
  <si>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</si>
  <si>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</si>
  <si>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</si>
  <si>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</si>
  <si>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</si>
  <si>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</si>
  <si>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</si>
  <si>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</si>
  <si>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</si>
  <si>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</si>
  <si>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</si>
  <si>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</si>
  <si>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</si>
  <si>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</si>
  <si>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</si>
  <si>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</si>
  <si>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</si>
  <si>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</si>
  <si>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</si>
  <si>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</si>
  <si>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</si>
  <si>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</si>
  <si>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</si>
  <si>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</si>
  <si>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</si>
  <si>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</si>
  <si>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</si>
  <si>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</si>
  <si>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</si>
  <si>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</si>
  <si>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</si>
  <si>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</si>
  <si>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</si>
  <si>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</si>
  <si>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</si>
  <si>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</si>
  <si>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</si>
  <si>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</si>
  <si>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</si>
  <si>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</si>
  <si>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</si>
  <si>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</si>
  <si>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</si>
  <si>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</si>
  <si>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</si>
  <si>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</si>
  <si>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</si>
  <si>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</si>
  <si>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</si>
  <si>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</si>
  <si>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</si>
  <si>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</si>
  <si>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</si>
  <si>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</si>
  <si>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</si>
  <si>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</si>
  <si>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</si>
  <si>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</si>
  <si>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</si>
  <si>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</si>
  <si>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</si>
  <si>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</si>
  <si>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</si>
  <si>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</si>
  <si>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</si>
  <si>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</si>
  <si>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</si>
  <si>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</si>
  <si>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</si>
  <si>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</si>
  <si>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</si>
  <si>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</si>
  <si>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</si>
  <si>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</si>
  <si>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</si>
  <si>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</si>
  <si>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</si>
  <si>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</si>
  <si>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</si>
  <si>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</si>
  <si>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</si>
  <si>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</si>
  <si>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</si>
  <si>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</si>
  <si>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</si>
  <si>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</si>
  <si>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</si>
  <si>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</si>
  <si>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</si>
  <si>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</si>
  <si>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</si>
  <si>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</si>
  <si>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</si>
  <si>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</si>
  <si>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</si>
  <si>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</si>
  <si>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</si>
  <si>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</si>
  <si>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</si>
  <si>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</si>
  <si>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</si>
  <si>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</si>
  <si>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</si>
  <si>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</si>
  <si>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</si>
  <si>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</si>
  <si>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</si>
  <si>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</si>
  <si>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</si>
  <si>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</si>
  <si>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</si>
  <si>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</si>
  <si>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</si>
  <si>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</si>
  <si>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</si>
  <si>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</si>
  <si>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</si>
  <si>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</si>
  <si>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</si>
  <si>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</si>
  <si>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</si>
  <si>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</si>
  <si>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</si>
  <si>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</si>
  <si>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</si>
  <si>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</si>
  <si>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</si>
  <si>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</si>
  <si>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</si>
  <si>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</si>
  <si>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</si>
  <si>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</si>
  <si>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</si>
  <si>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</si>
  <si>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</si>
  <si>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</si>
  <si>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</si>
  <si>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</si>
  <si>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</si>
  <si>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</si>
  <si>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</si>
  <si>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</si>
  <si>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</si>
  <si>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</si>
  <si>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</si>
  <si>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</si>
  <si>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</si>
  <si>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</si>
  <si>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</si>
  <si>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</si>
  <si>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t>1/3/9</t>
  </si>
  <si>
    <t>OPEN_3105</t>
  </si>
  <si>
    <t>CLOSE_3105</t>
  </si>
  <si>
    <t>2Y</t>
    <phoneticPr fontId="1" type="noConversion"/>
  </si>
  <si>
    <t>OPEN_6988</t>
  </si>
  <si>
    <t>CLOSE_6988</t>
  </si>
  <si>
    <t>日清紡ホールディングス</t>
    <phoneticPr fontId="1" type="noConversion"/>
  </si>
  <si>
    <t>日東電工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</si>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</sst>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2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3" tint="0.39997558519241921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</fonts>
  <fills count="2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282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/>
    </xf>
    <xf numFmtId="6" fontId="30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31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4" borderId="0" xfId="0" applyFill="1"/>
    <xf numFmtId="0" fontId="16" fillId="10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16" fillId="10" borderId="1" xfId="0" applyFont="1" applyFill="1" applyBorder="1" applyAlignment="1">
      <alignment horizontal="center" vertical="center"/>
    </xf>
    <xf numFmtId="9" fontId="0" fillId="15" borderId="0" xfId="0" applyNumberFormat="1" applyFill="1"/>
    <xf numFmtId="0" fontId="0" fillId="0" borderId="0" xfId="0" applyAlignment="1">
      <alignment horizontal="right"/>
    </xf>
    <xf numFmtId="0" fontId="38" fillId="23" borderId="26" xfId="0" applyFont="1" applyFill="1" applyBorder="1" applyAlignment="1">
      <alignment horizontal="left" vertical="center" wrapText="1"/>
    </xf>
    <xf numFmtId="0" fontId="0" fillId="15" borderId="0" xfId="0" applyFill="1"/>
    <xf numFmtId="10" fontId="0" fillId="15" borderId="0" xfId="0" applyNumberFormat="1" applyFill="1"/>
    <xf numFmtId="181" fontId="16" fillId="4" borderId="1" xfId="0" applyNumberFormat="1" applyFont="1" applyFill="1" applyBorder="1" applyAlignment="1">
      <alignment horizontal="center"/>
    </xf>
    <xf numFmtId="0" fontId="17" fillId="10" borderId="6" xfId="0" applyFont="1" applyFill="1" applyBorder="1" applyAlignment="1">
      <alignment horizontal="center" shrinkToFit="1"/>
    </xf>
    <xf numFmtId="181" fontId="10" fillId="10" borderId="1" xfId="0" applyNumberFormat="1" applyFont="1" applyFill="1" applyBorder="1" applyAlignment="1">
      <alignment horizontal="center" vertical="center"/>
    </xf>
    <xf numFmtId="183" fontId="16" fillId="4" borderId="1" xfId="0" applyNumberFormat="1" applyFont="1" applyFill="1" applyBorder="1" applyAlignment="1">
      <alignment horizontal="center"/>
    </xf>
    <xf numFmtId="183" fontId="16" fillId="10" borderId="1" xfId="0" applyNumberFormat="1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 vertical="center" wrapText="1"/>
    </xf>
    <xf numFmtId="179" fontId="40" fillId="15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/>
    </xf>
    <xf numFmtId="0" fontId="15" fillId="9" borderId="46" xfId="0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 vertical="center" wrapText="1"/>
    </xf>
    <xf numFmtId="0" fontId="15" fillId="9" borderId="47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41" fillId="0" borderId="0" xfId="0" applyFont="1"/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27" fillId="10" borderId="1" xfId="0" applyFont="1" applyFill="1" applyBorder="1" applyAlignment="1">
      <alignment horizontal="center" vertical="center"/>
    </xf>
    <xf numFmtId="0" fontId="16" fillId="10" borderId="6" xfId="0" applyFont="1" applyFill="1" applyBorder="1" applyAlignment="1">
      <alignment horizontal="center" vertical="center"/>
    </xf>
    <xf numFmtId="0" fontId="33" fillId="10" borderId="6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82" fontId="35" fillId="10" borderId="5" xfId="0" applyNumberFormat="1" applyFont="1" applyFill="1" applyBorder="1" applyAlignment="1">
      <alignment horizontal="center" vertical="center"/>
    </xf>
    <xf numFmtId="182" fontId="35" fillId="10" borderId="6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4" fontId="11" fillId="10" borderId="5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82" fontId="34" fillId="10" borderId="5" xfId="0" applyNumberFormat="1" applyFont="1" applyFill="1" applyBorder="1" applyAlignment="1">
      <alignment horizontal="center" vertical="center"/>
    </xf>
    <xf numFmtId="182" fontId="34" fillId="10" borderId="6" xfId="0" applyNumberFormat="1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0" fontId="39" fillId="10" borderId="1" xfId="0" applyFont="1" applyFill="1" applyBorder="1" applyAlignment="1">
      <alignment horizontal="center" vertical="center"/>
    </xf>
    <xf numFmtId="14" fontId="2" fillId="14" borderId="40" xfId="0" applyNumberFormat="1" applyFont="1" applyFill="1" applyBorder="1" applyAlignment="1"/>
    <xf numFmtId="0" fontId="0" fillId="14" borderId="41" xfId="0" applyFill="1" applyBorder="1" applyAlignment="1"/>
    <xf numFmtId="0" fontId="0" fillId="14" borderId="39" xfId="0" applyFill="1" applyBorder="1" applyAlignment="1"/>
    <xf numFmtId="14" fontId="2" fillId="14" borderId="44" xfId="0" applyNumberFormat="1" applyFont="1" applyFill="1" applyBorder="1" applyAlignment="1"/>
    <xf numFmtId="0" fontId="0" fillId="14" borderId="38" xfId="0" applyFill="1" applyBorder="1" applyAlignment="1"/>
    <xf numFmtId="14" fontId="2" fillId="15" borderId="42" xfId="0" applyNumberFormat="1" applyFont="1" applyFill="1" applyBorder="1" applyAlignment="1"/>
    <xf numFmtId="0" fontId="0" fillId="15" borderId="2" xfId="0" applyFill="1" applyBorder="1" applyAlignment="1"/>
    <xf numFmtId="0" fontId="0" fillId="0" borderId="43" xfId="0" applyBorder="1" applyAlignment="1"/>
    <xf numFmtId="0" fontId="0" fillId="15" borderId="38" xfId="0" applyFill="1" applyBorder="1" applyAlignment="1"/>
    <xf numFmtId="0" fontId="0" fillId="0" borderId="3" xfId="0" applyBorder="1" applyAlignment="1"/>
    <xf numFmtId="0" fontId="0" fillId="15" borderId="40" xfId="0" applyFill="1" applyBorder="1" applyAlignment="1"/>
    <xf numFmtId="0" fontId="0" fillId="0" borderId="39" xfId="0" applyBorder="1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0" fillId="0" borderId="0" xfId="0" applyAlignment="1"/>
    <xf numFmtId="0" fontId="24" fillId="23" borderId="27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182" fontId="27" fillId="10" borderId="5" xfId="0" applyNumberFormat="1" applyFont="1" applyFill="1" applyBorder="1" applyAlignment="1">
      <alignment horizontal="center" vertical="center"/>
    </xf>
    <xf numFmtId="182" fontId="27" fillId="10" borderId="6" xfId="0" applyNumberFormat="1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63"/>
          <c:y val="0.32811630502905442"/>
          <c:w val="0.65364151343755617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207178368"/>
        <c:axId val="207192448"/>
      </c:lineChart>
      <c:catAx>
        <c:axId val="207178368"/>
        <c:scaling>
          <c:orientation val="minMax"/>
        </c:scaling>
        <c:axPos val="b"/>
        <c:numFmt formatCode="General" sourceLinked="1"/>
        <c:tickLblPos val="nextTo"/>
        <c:crossAx val="207192448"/>
        <c:crosses val="autoZero"/>
        <c:auto val="1"/>
        <c:lblAlgn val="ctr"/>
        <c:lblOffset val="100"/>
      </c:catAx>
      <c:valAx>
        <c:axId val="207192448"/>
        <c:scaling>
          <c:orientation val="minMax"/>
        </c:scaling>
        <c:axPos val="l"/>
        <c:majorGridlines/>
        <c:numFmt formatCode="General" sourceLinked="1"/>
        <c:tickLblPos val="nextTo"/>
        <c:crossAx val="207178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533E-2"/>
          <c:y val="8.1284574217614369E-2"/>
          <c:w val="0.90558616623760835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</c:numCache>
            </c:numRef>
          </c:val>
        </c:ser>
        <c:marker val="1"/>
        <c:axId val="209591680"/>
        <c:axId val="209601664"/>
      </c:lineChart>
      <c:catAx>
        <c:axId val="209591680"/>
        <c:scaling>
          <c:orientation val="minMax"/>
        </c:scaling>
        <c:axPos val="b"/>
        <c:numFmt formatCode="yyyy/mm/dd" sourceLinked="1"/>
        <c:tickLblPos val="nextTo"/>
        <c:crossAx val="209601664"/>
        <c:crosses val="autoZero"/>
        <c:auto val="1"/>
        <c:lblAlgn val="ctr"/>
        <c:lblOffset val="100"/>
      </c:catAx>
      <c:valAx>
        <c:axId val="209601664"/>
        <c:scaling>
          <c:orientation val="minMax"/>
          <c:max val="0.19801776384370279"/>
          <c:min val="9.0299024991208066E-3"/>
        </c:scaling>
        <c:axPos val="l"/>
        <c:majorGridlines/>
        <c:numFmt formatCode="General" sourceLinked="1"/>
        <c:majorTickMark val="none"/>
        <c:tickLblPos val="nextTo"/>
        <c:crossAx val="209591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66E-2"/>
          <c:w val="0.11146820076747002"/>
          <c:h val="0.1504558576043829"/>
        </c:manualLayout>
      </c:layout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9"/>
  <sheetViews>
    <sheetView showGridLines="0" zoomScale="85" zoomScaleNormal="85" workbookViewId="0">
      <selection activeCell="F14" sqref="F14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2.2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63" t="s">
        <v>195</v>
      </c>
      <c r="D1" s="18"/>
      <c r="H1" s="1"/>
      <c r="I1" s="18" t="s">
        <v>48</v>
      </c>
      <c r="J1" s="62"/>
      <c r="K1" s="193">
        <v>43805</v>
      </c>
      <c r="L1" s="194"/>
      <c r="M1" s="28"/>
      <c r="N1" s="18" t="s">
        <v>297</v>
      </c>
      <c r="P1" s="193">
        <f ca="1">TODAY()</f>
        <v>43805</v>
      </c>
      <c r="Q1" s="195"/>
      <c r="U1" s="63" t="s">
        <v>47</v>
      </c>
      <c r="V1" s="63"/>
    </row>
    <row r="2" spans="2:23" ht="16.5" customHeight="1" thickBot="1">
      <c r="J2" s="100">
        <f>SUM(J4:J74)</f>
        <v>6289310</v>
      </c>
      <c r="R2" s="135">
        <f ca="1">SUM(R4:R74)</f>
        <v>31751.401095890349</v>
      </c>
      <c r="S2" s="97">
        <f ca="1">SUM(S4:S74)</f>
        <v>1.5535520568103185E-2</v>
      </c>
    </row>
    <row r="3" spans="2:23" ht="24.75" thickBot="1">
      <c r="C3" s="64" t="s">
        <v>177</v>
      </c>
      <c r="D3" s="74" t="s">
        <v>202</v>
      </c>
      <c r="E3" s="66"/>
      <c r="F3" s="65" t="s">
        <v>94</v>
      </c>
      <c r="G3" s="67" t="s">
        <v>95</v>
      </c>
      <c r="H3" s="68" t="s">
        <v>178</v>
      </c>
      <c r="I3" s="68" t="s">
        <v>179</v>
      </c>
      <c r="J3" s="66" t="s">
        <v>46</v>
      </c>
      <c r="K3" s="66" t="s">
        <v>180</v>
      </c>
      <c r="L3" s="68" t="s">
        <v>181</v>
      </c>
      <c r="M3" s="69" t="s">
        <v>203</v>
      </c>
      <c r="N3" s="66" t="s">
        <v>182</v>
      </c>
      <c r="O3" s="69" t="s">
        <v>197</v>
      </c>
      <c r="P3" s="66" t="s">
        <v>290</v>
      </c>
      <c r="Q3" s="66" t="s">
        <v>183</v>
      </c>
      <c r="R3" s="69" t="s">
        <v>199</v>
      </c>
      <c r="S3" s="72" t="s">
        <v>200</v>
      </c>
      <c r="T3" s="71"/>
      <c r="U3" s="73" t="s">
        <v>296</v>
      </c>
      <c r="V3" s="73" t="s">
        <v>201</v>
      </c>
      <c r="W3" s="70" t="s">
        <v>198</v>
      </c>
    </row>
    <row r="4" spans="2:23" s="114" customFormat="1">
      <c r="B4" s="132" t="s">
        <v>305</v>
      </c>
      <c r="C4" s="183">
        <f>ROW()/2-1</f>
        <v>1</v>
      </c>
      <c r="D4" s="185">
        <v>43790</v>
      </c>
      <c r="E4" s="39" t="s">
        <v>185</v>
      </c>
      <c r="F4" s="39">
        <v>6995</v>
      </c>
      <c r="G4" s="61" t="s">
        <v>118</v>
      </c>
      <c r="H4" s="55">
        <v>2050</v>
      </c>
      <c r="I4" s="39">
        <v>500</v>
      </c>
      <c r="J4" s="56">
        <f t="shared" ref="J4:J5" si="0">H4*I4</f>
        <v>1025000</v>
      </c>
      <c r="K4" s="58" t="s">
        <v>191</v>
      </c>
      <c r="L4" s="55">
        <v>2150</v>
      </c>
      <c r="M4" s="39">
        <v>770</v>
      </c>
      <c r="N4" s="158">
        <f ca="1">IF(OR(K4="現物",J4=0),0,IF(E4="売",J4*Fee_Refer!$B$12/365*V4, J4*Fee_Refer!$B$11/365*#REF!))</f>
        <v>463.35616438356163</v>
      </c>
      <c r="O4" s="58">
        <v>92</v>
      </c>
      <c r="P4" s="161">
        <f ca="1">(H4-L4)*I4-M4-N4-O4</f>
        <v>-51325.356164383564</v>
      </c>
      <c r="Q4" s="57">
        <f t="shared" ref="Q4:Q5" ca="1" si="1">P4/J4</f>
        <v>-5.0073518209154698E-2</v>
      </c>
      <c r="R4" s="187">
        <f ca="1">P4+P5</f>
        <v>17386.643835616436</v>
      </c>
      <c r="S4" s="188">
        <f t="shared" ref="S4" ca="1" si="2">R4/(J4+J5)</f>
        <v>8.4590074124824537E-3</v>
      </c>
      <c r="U4" s="190">
        <f ca="1">$P$1</f>
        <v>43805</v>
      </c>
      <c r="V4" s="191">
        <f t="shared" ref="V4" ca="1" si="3">IF(U4&gt;D4,DATEDIF(D4,U4,"d"),0)</f>
        <v>15</v>
      </c>
      <c r="W4" s="192" t="s">
        <v>1348</v>
      </c>
    </row>
    <row r="5" spans="2:23" s="114" customFormat="1">
      <c r="B5" s="132" t="s">
        <v>1092</v>
      </c>
      <c r="C5" s="184"/>
      <c r="D5" s="186">
        <v>43748</v>
      </c>
      <c r="E5" s="35" t="s">
        <v>186</v>
      </c>
      <c r="F5" s="35">
        <v>6472</v>
      </c>
      <c r="G5" s="60" t="s">
        <v>163</v>
      </c>
      <c r="H5" s="52">
        <v>322</v>
      </c>
      <c r="I5" s="52">
        <v>3200</v>
      </c>
      <c r="J5" s="53">
        <f t="shared" si="0"/>
        <v>1030400</v>
      </c>
      <c r="K5" s="159" t="s">
        <v>176</v>
      </c>
      <c r="L5" s="47">
        <v>344</v>
      </c>
      <c r="M5" s="37">
        <v>1280</v>
      </c>
      <c r="N5" s="37">
        <f>IF(OR(K5="現物",J5=0),0,IF(E5="売",J5*Fee_Refer!$B$12/365*V5, J5*Fee_Refer!$B$11/365*V4))</f>
        <v>0</v>
      </c>
      <c r="O5" s="142">
        <v>408</v>
      </c>
      <c r="P5" s="162">
        <f>(L5-H5)*I5-M5-N5-O5</f>
        <v>68712</v>
      </c>
      <c r="Q5" s="54">
        <f t="shared" si="1"/>
        <v>6.6684782608695647E-2</v>
      </c>
      <c r="R5" s="187"/>
      <c r="S5" s="189"/>
      <c r="U5" s="191"/>
      <c r="V5" s="191"/>
      <c r="W5" s="191"/>
    </row>
    <row r="6" spans="2:23" s="114" customFormat="1">
      <c r="B6" s="132" t="s">
        <v>305</v>
      </c>
      <c r="C6" s="183">
        <f>ROW()/2-1</f>
        <v>2</v>
      </c>
      <c r="D6" s="185">
        <v>43791</v>
      </c>
      <c r="E6" s="39" t="s">
        <v>185</v>
      </c>
      <c r="F6" s="39">
        <v>8601</v>
      </c>
      <c r="G6" s="61" t="s">
        <v>51</v>
      </c>
      <c r="H6" s="55">
        <v>533.79999999999995</v>
      </c>
      <c r="I6" s="39">
        <v>2000</v>
      </c>
      <c r="J6" s="56">
        <f t="shared" ref="J6:J7" si="4">H6*I6</f>
        <v>1067600</v>
      </c>
      <c r="K6" s="58" t="s">
        <v>191</v>
      </c>
      <c r="L6" s="55">
        <v>550</v>
      </c>
      <c r="M6" s="39">
        <v>770</v>
      </c>
      <c r="N6" s="158">
        <f ca="1">IF(OR(K6="現物",J6=0),0,IF(E6="売",J6*Fee_Refer!$B$12/365*V6, J6*Fee_Refer!$B$11/365*V5))</f>
        <v>450.4394520547944</v>
      </c>
      <c r="O6" s="58">
        <v>92</v>
      </c>
      <c r="P6" s="161">
        <f ca="1">(H6-L6)*I6-M6-N6-O6</f>
        <v>-33712.439452054881</v>
      </c>
      <c r="Q6" s="57">
        <f t="shared" ref="Q6:Q7" ca="1" si="5">P6/J6</f>
        <v>-3.157778142755234E-2</v>
      </c>
      <c r="R6" s="187">
        <f ca="1">P6+P7</f>
        <v>-17460.439452054856</v>
      </c>
      <c r="S6" s="188">
        <f t="shared" ref="S6" ca="1" si="6">R6/(J6+J7)</f>
        <v>-8.1464834541222948E-3</v>
      </c>
      <c r="U6" s="190">
        <f ca="1">$P$1</f>
        <v>43805</v>
      </c>
      <c r="V6" s="191">
        <f t="shared" ref="V6" ca="1" si="7">IF(U6&gt;D6,DATEDIF(D6,U6,"d"),0)</f>
        <v>14</v>
      </c>
      <c r="W6" s="192"/>
    </row>
    <row r="7" spans="2:23" s="114" customFormat="1">
      <c r="B7" s="132" t="s">
        <v>1092</v>
      </c>
      <c r="C7" s="184"/>
      <c r="D7" s="186">
        <v>43748</v>
      </c>
      <c r="E7" s="35" t="s">
        <v>186</v>
      </c>
      <c r="F7" s="35">
        <v>8308</v>
      </c>
      <c r="G7" s="60" t="s">
        <v>129</v>
      </c>
      <c r="H7" s="52">
        <v>467.7</v>
      </c>
      <c r="I7" s="52">
        <v>2300</v>
      </c>
      <c r="J7" s="53">
        <f t="shared" si="4"/>
        <v>1075710</v>
      </c>
      <c r="K7" s="159" t="s">
        <v>176</v>
      </c>
      <c r="L7" s="47">
        <v>475.5</v>
      </c>
      <c r="M7" s="37">
        <v>1280</v>
      </c>
      <c r="N7" s="37">
        <f>IF(OR(K7="現物",J7=0),0,IF(E7="売",J7*Fee_Refer!$B$12/365*V7, J7*Fee_Refer!$B$11/365*V6))</f>
        <v>0</v>
      </c>
      <c r="O7" s="143">
        <v>408</v>
      </c>
      <c r="P7" s="162">
        <f>(L7-H7)*I7-M7-N7-O7</f>
        <v>16252.000000000025</v>
      </c>
      <c r="Q7" s="54">
        <f t="shared" si="5"/>
        <v>1.5108161121491876E-2</v>
      </c>
      <c r="R7" s="187"/>
      <c r="S7" s="189"/>
      <c r="U7" s="191"/>
      <c r="V7" s="191"/>
      <c r="W7" s="191"/>
    </row>
    <row r="8" spans="2:23" s="114" customFormat="1">
      <c r="B8" s="132" t="s">
        <v>305</v>
      </c>
      <c r="C8" s="183">
        <f>ROW()/2-1</f>
        <v>3</v>
      </c>
      <c r="D8" s="185">
        <v>43802</v>
      </c>
      <c r="E8" s="39" t="s">
        <v>185</v>
      </c>
      <c r="F8" s="39">
        <v>3861</v>
      </c>
      <c r="G8" s="61" t="s">
        <v>89</v>
      </c>
      <c r="H8" s="55">
        <v>616</v>
      </c>
      <c r="I8" s="55">
        <v>1700</v>
      </c>
      <c r="J8" s="56">
        <f t="shared" ref="J8:J9" si="8">H8*I8</f>
        <v>1047200</v>
      </c>
      <c r="K8" s="58" t="s">
        <v>191</v>
      </c>
      <c r="L8" s="55">
        <v>618</v>
      </c>
      <c r="M8" s="39">
        <v>770</v>
      </c>
      <c r="N8" s="158">
        <f ca="1">IF(OR(K8="現物",J8=0),0,IF(E8="売",J8*Fee_Refer!$B$12/365*V8, J8*Fee_Refer!$B$11/365*V7))</f>
        <v>94.678356164383544</v>
      </c>
      <c r="O8" s="58">
        <v>92</v>
      </c>
      <c r="P8" s="161">
        <f ca="1">(H8-L8)*I8-M8-N8-O8</f>
        <v>-4356.6783561643833</v>
      </c>
      <c r="Q8" s="57">
        <f t="shared" ref="Q8:Q9" ca="1" si="9">P8/J8</f>
        <v>-4.1603116464518555E-3</v>
      </c>
      <c r="R8" s="187">
        <f ca="1">P8+P9</f>
        <v>31825.196712328769</v>
      </c>
      <c r="S8" s="188">
        <f t="shared" ref="S8" ca="1" si="10">R8/(J8+J9)</f>
        <v>1.5222996609743026E-2</v>
      </c>
      <c r="U8" s="190">
        <f ca="1">$P$1</f>
        <v>43805</v>
      </c>
      <c r="V8" s="191">
        <f t="shared" ref="V8" ca="1" si="11">IF(U8&gt;D8,DATEDIF(D8,U8,"d"),0)</f>
        <v>3</v>
      </c>
      <c r="W8" s="196"/>
    </row>
    <row r="9" spans="2:23" s="114" customFormat="1">
      <c r="B9" s="132" t="s">
        <v>1092</v>
      </c>
      <c r="C9" s="184"/>
      <c r="D9" s="186">
        <v>43748</v>
      </c>
      <c r="E9" s="35" t="s">
        <v>186</v>
      </c>
      <c r="F9" s="35">
        <v>5703</v>
      </c>
      <c r="G9" s="60" t="s">
        <v>349</v>
      </c>
      <c r="H9" s="52">
        <v>222</v>
      </c>
      <c r="I9" s="52">
        <v>4700</v>
      </c>
      <c r="J9" s="53">
        <f t="shared" si="8"/>
        <v>1043400</v>
      </c>
      <c r="K9" s="159" t="s">
        <v>192</v>
      </c>
      <c r="L9" s="47">
        <v>230</v>
      </c>
      <c r="M9" s="37">
        <v>770</v>
      </c>
      <c r="N9" s="160">
        <f ca="1">IF(OR(K9="現物",J9=0),0,IF(E9="売",J9*Fee_Refer!$B$12/365*V9, J9*Fee_Refer!$B$11/365*V8))</f>
        <v>240.12493150684932</v>
      </c>
      <c r="O9" s="146">
        <v>408</v>
      </c>
      <c r="P9" s="162">
        <f ca="1">(L9-H9)*I9-M9-N9-O9</f>
        <v>36181.875068493151</v>
      </c>
      <c r="Q9" s="54">
        <f t="shared" ca="1" si="9"/>
        <v>3.467689770796737E-2</v>
      </c>
      <c r="R9" s="187"/>
      <c r="S9" s="189"/>
      <c r="U9" s="191"/>
      <c r="V9" s="191"/>
      <c r="W9" s="191"/>
    </row>
  </sheetData>
  <mergeCells count="23">
    <mergeCell ref="V8:V9"/>
    <mergeCell ref="W8:W9"/>
    <mergeCell ref="C8:C9"/>
    <mergeCell ref="D8:D9"/>
    <mergeCell ref="R8:R9"/>
    <mergeCell ref="S8:S9"/>
    <mergeCell ref="U8:U9"/>
    <mergeCell ref="V4:V5"/>
    <mergeCell ref="W4:W5"/>
    <mergeCell ref="K1:L1"/>
    <mergeCell ref="P1:Q1"/>
    <mergeCell ref="V6:V7"/>
    <mergeCell ref="W6:W7"/>
    <mergeCell ref="C6:C7"/>
    <mergeCell ref="D6:D7"/>
    <mergeCell ref="R6:R7"/>
    <mergeCell ref="S6:S7"/>
    <mergeCell ref="U6:U7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29"/>
  <sheetViews>
    <sheetView showGridLines="0" topLeftCell="C1" zoomScaleNormal="100" workbookViewId="0">
      <selection activeCell="W28" sqref="W28:W29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3" t="s">
        <v>291</v>
      </c>
      <c r="R2" s="101">
        <f>SUM(R4:R1010)</f>
        <v>496134.99999999988</v>
      </c>
      <c r="U2" s="63" t="s">
        <v>175</v>
      </c>
    </row>
    <row r="3" spans="2:29" ht="30" customHeight="1" thickBot="1">
      <c r="C3" s="64" t="s">
        <v>177</v>
      </c>
      <c r="D3" s="98" t="s">
        <v>202</v>
      </c>
      <c r="E3" s="66"/>
      <c r="F3" s="67" t="s">
        <v>94</v>
      </c>
      <c r="G3" s="67" t="s">
        <v>95</v>
      </c>
      <c r="H3" s="69" t="s">
        <v>304</v>
      </c>
      <c r="I3" s="69" t="s">
        <v>301</v>
      </c>
      <c r="J3" s="66" t="s">
        <v>46</v>
      </c>
      <c r="K3" s="66" t="s">
        <v>180</v>
      </c>
      <c r="L3" s="69" t="s">
        <v>302</v>
      </c>
      <c r="M3" s="69" t="s">
        <v>203</v>
      </c>
      <c r="N3" s="66" t="s">
        <v>182</v>
      </c>
      <c r="O3" s="69" t="s">
        <v>197</v>
      </c>
      <c r="P3" s="68" t="s">
        <v>303</v>
      </c>
      <c r="Q3" s="68" t="s">
        <v>184</v>
      </c>
      <c r="R3" s="69" t="s">
        <v>199</v>
      </c>
      <c r="S3" s="72" t="s">
        <v>200</v>
      </c>
      <c r="T3" s="71"/>
      <c r="U3" s="73" t="s">
        <v>292</v>
      </c>
      <c r="V3" s="73" t="s">
        <v>201</v>
      </c>
      <c r="W3" s="73" t="s">
        <v>198</v>
      </c>
      <c r="AA3" s="73" t="s">
        <v>298</v>
      </c>
      <c r="AB3" s="73" t="s">
        <v>299</v>
      </c>
      <c r="AC3" s="73" t="s">
        <v>300</v>
      </c>
    </row>
    <row r="4" spans="2:29">
      <c r="C4" s="202">
        <v>1</v>
      </c>
      <c r="D4" s="218">
        <v>43726</v>
      </c>
      <c r="E4" s="31" t="s">
        <v>293</v>
      </c>
      <c r="F4" s="31">
        <v>6472</v>
      </c>
      <c r="G4" s="59" t="s">
        <v>294</v>
      </c>
      <c r="H4" s="49">
        <v>320</v>
      </c>
      <c r="I4" s="32">
        <v>1200</v>
      </c>
      <c r="J4" s="50">
        <v>384000</v>
      </c>
      <c r="K4" s="43" t="s">
        <v>192</v>
      </c>
      <c r="L4" s="46">
        <v>313</v>
      </c>
      <c r="M4" s="33">
        <v>360</v>
      </c>
      <c r="N4" s="34">
        <v>162</v>
      </c>
      <c r="O4" s="34">
        <v>92</v>
      </c>
      <c r="P4" s="31">
        <v>7786</v>
      </c>
      <c r="Q4" s="51">
        <v>2.0276041666666668E-2</v>
      </c>
      <c r="R4" s="197">
        <f>P4+P5</f>
        <v>32</v>
      </c>
      <c r="S4" s="204">
        <f t="shared" ref="S4" si="0">R4/(J4+J5)</f>
        <v>4.308255694975497E-5</v>
      </c>
      <c r="U4" s="220">
        <v>43742</v>
      </c>
      <c r="V4" s="214">
        <f>DATEDIF(D4,U4,"d")</f>
        <v>16</v>
      </c>
      <c r="W4" s="212" t="s">
        <v>1347</v>
      </c>
      <c r="AA4" s="197">
        <f>YEAR(U4)</f>
        <v>2019</v>
      </c>
      <c r="AB4" s="197">
        <f>MONTH(U4)</f>
        <v>10</v>
      </c>
      <c r="AC4" s="197" t="str">
        <f>IF(R4&gt;0,"○","☓")</f>
        <v>○</v>
      </c>
    </row>
    <row r="5" spans="2:29" ht="15" thickBot="1">
      <c r="C5" s="184"/>
      <c r="D5" s="205"/>
      <c r="E5" s="35" t="s">
        <v>295</v>
      </c>
      <c r="F5" s="35">
        <v>6752</v>
      </c>
      <c r="G5" s="60" t="s">
        <v>132</v>
      </c>
      <c r="H5" s="52">
        <v>896.9</v>
      </c>
      <c r="I5" s="36">
        <v>400</v>
      </c>
      <c r="J5" s="53">
        <v>358760</v>
      </c>
      <c r="K5" s="44" t="s">
        <v>193</v>
      </c>
      <c r="L5" s="47">
        <v>880.4</v>
      </c>
      <c r="M5" s="37">
        <v>360</v>
      </c>
      <c r="N5" s="38">
        <v>386</v>
      </c>
      <c r="O5" s="38">
        <v>408</v>
      </c>
      <c r="P5" s="35">
        <v>-7754</v>
      </c>
      <c r="Q5" s="54">
        <v>-2.1613334819935333E-2</v>
      </c>
      <c r="R5" s="189"/>
      <c r="S5" s="219"/>
      <c r="U5" s="221"/>
      <c r="V5" s="215"/>
      <c r="W5" s="213"/>
      <c r="AA5" s="189"/>
      <c r="AB5" s="189"/>
      <c r="AC5" s="189"/>
    </row>
    <row r="6" spans="2:29">
      <c r="C6" s="202">
        <v>2</v>
      </c>
      <c r="D6" s="209">
        <v>43732</v>
      </c>
      <c r="E6" s="31" t="s">
        <v>185</v>
      </c>
      <c r="F6" s="31">
        <v>6305</v>
      </c>
      <c r="G6" s="59" t="s">
        <v>57</v>
      </c>
      <c r="H6" s="49">
        <v>2638</v>
      </c>
      <c r="I6" s="32">
        <v>300</v>
      </c>
      <c r="J6" s="50">
        <v>791400</v>
      </c>
      <c r="K6" s="43" t="s">
        <v>192</v>
      </c>
      <c r="L6" s="46">
        <v>2464</v>
      </c>
      <c r="M6" s="33">
        <v>720</v>
      </c>
      <c r="N6" s="34">
        <v>162</v>
      </c>
      <c r="O6" s="34">
        <v>92</v>
      </c>
      <c r="P6" s="31">
        <v>51226</v>
      </c>
      <c r="Q6" s="51">
        <v>6.4728329542582771E-2</v>
      </c>
      <c r="R6" s="197">
        <f>P6+P7</f>
        <v>39212</v>
      </c>
      <c r="S6" s="188">
        <f t="shared" ref="S6" si="1">R6/(J6+J7)</f>
        <v>2.4835011717018178E-2</v>
      </c>
      <c r="T6" s="3"/>
      <c r="U6" s="216">
        <v>43748</v>
      </c>
      <c r="V6" s="217">
        <f>DATEDIF(D6,U6,"d")</f>
        <v>16</v>
      </c>
      <c r="W6" s="212" t="s">
        <v>1347</v>
      </c>
      <c r="AA6" s="197">
        <f t="shared" ref="AA6" si="2">YEAR(U6)</f>
        <v>2019</v>
      </c>
      <c r="AB6" s="197">
        <f t="shared" ref="AB6" si="3">MONTH(U6)</f>
        <v>10</v>
      </c>
      <c r="AC6" s="197" t="str">
        <f>IF(R6&gt;0,"○","☓")</f>
        <v>○</v>
      </c>
    </row>
    <row r="7" spans="2:29">
      <c r="C7" s="184"/>
      <c r="D7" s="206"/>
      <c r="E7" s="35" t="s">
        <v>186</v>
      </c>
      <c r="F7" s="35">
        <v>3861</v>
      </c>
      <c r="G7" s="60" t="s">
        <v>89</v>
      </c>
      <c r="H7" s="52">
        <v>525</v>
      </c>
      <c r="I7" s="36">
        <v>1500</v>
      </c>
      <c r="J7" s="53">
        <v>787500</v>
      </c>
      <c r="K7" s="44" t="s">
        <v>193</v>
      </c>
      <c r="L7" s="47">
        <v>518</v>
      </c>
      <c r="M7" s="37">
        <v>720</v>
      </c>
      <c r="N7" s="38">
        <v>386</v>
      </c>
      <c r="O7" s="38">
        <v>408</v>
      </c>
      <c r="P7" s="35">
        <v>-12014</v>
      </c>
      <c r="Q7" s="54">
        <v>-1.5255873015873016E-2</v>
      </c>
      <c r="R7" s="189"/>
      <c r="S7" s="189"/>
      <c r="T7" s="3"/>
      <c r="U7" s="216"/>
      <c r="V7" s="217"/>
      <c r="W7" s="213"/>
      <c r="AA7" s="189"/>
      <c r="AB7" s="189"/>
      <c r="AC7" s="189"/>
    </row>
    <row r="8" spans="2:29">
      <c r="B8" s="30"/>
      <c r="C8" s="183">
        <f>ROW()/2-1</f>
        <v>3</v>
      </c>
      <c r="D8" s="209">
        <v>43747</v>
      </c>
      <c r="E8" s="39" t="s">
        <v>194</v>
      </c>
      <c r="F8" s="39">
        <v>3099</v>
      </c>
      <c r="G8" s="61" t="s">
        <v>88</v>
      </c>
      <c r="H8" s="55">
        <v>872</v>
      </c>
      <c r="I8" s="39">
        <v>1200</v>
      </c>
      <c r="J8" s="39">
        <f t="shared" ref="J8:J11" si="4">H8*I8</f>
        <v>1046400</v>
      </c>
      <c r="K8" s="58" t="s">
        <v>191</v>
      </c>
      <c r="L8" s="55">
        <v>876</v>
      </c>
      <c r="M8" s="39">
        <f t="shared" ref="M8:M11" si="5">360*2</f>
        <v>720</v>
      </c>
      <c r="N8" s="39">
        <v>162</v>
      </c>
      <c r="O8" s="58">
        <v>92</v>
      </c>
      <c r="P8" s="55">
        <f>(H8-L8)*I8-M8-N8-O8</f>
        <v>-5774</v>
      </c>
      <c r="Q8" s="57">
        <f t="shared" ref="Q8:Q11" si="6">P8/J8</f>
        <v>-5.5179663608562694E-3</v>
      </c>
      <c r="R8" s="187">
        <f>P8+P9</f>
        <v>63112</v>
      </c>
      <c r="S8" s="204">
        <f>R8/(J8+J9)</f>
        <v>3.0858595736358303E-2</v>
      </c>
      <c r="U8" s="208">
        <v>43753</v>
      </c>
      <c r="V8" s="184">
        <f t="shared" ref="V8" si="7">DATEDIF(D8,U8,"d")</f>
        <v>6</v>
      </c>
      <c r="W8" s="200" t="s">
        <v>339</v>
      </c>
      <c r="AA8" s="197">
        <f t="shared" ref="AA8:AA10" si="8">YEAR(U8)</f>
        <v>2019</v>
      </c>
      <c r="AB8" s="197">
        <f t="shared" ref="AB8" si="9">MONTH(U8)</f>
        <v>10</v>
      </c>
      <c r="AC8" s="197" t="str">
        <f t="shared" ref="AC8:AC10" si="10">IF(R8&gt;0,"○","☓")</f>
        <v>○</v>
      </c>
    </row>
    <row r="9" spans="2:29">
      <c r="B9" s="30"/>
      <c r="C9" s="184"/>
      <c r="D9" s="206">
        <v>43747</v>
      </c>
      <c r="E9" s="35" t="s">
        <v>186</v>
      </c>
      <c r="F9" s="35">
        <v>7211</v>
      </c>
      <c r="G9" s="60" t="s">
        <v>54</v>
      </c>
      <c r="H9" s="52">
        <v>454</v>
      </c>
      <c r="I9" s="52">
        <v>2200</v>
      </c>
      <c r="J9" s="53">
        <f t="shared" si="4"/>
        <v>998800</v>
      </c>
      <c r="K9" s="44" t="s">
        <v>191</v>
      </c>
      <c r="L9" s="47">
        <v>486</v>
      </c>
      <c r="M9" s="37">
        <f t="shared" si="5"/>
        <v>720</v>
      </c>
      <c r="N9" s="38">
        <v>386</v>
      </c>
      <c r="O9" s="38">
        <v>408</v>
      </c>
      <c r="P9" s="35">
        <f>(L9-H9)*I9-M9-N9-O9</f>
        <v>68886</v>
      </c>
      <c r="Q9" s="54">
        <f t="shared" si="6"/>
        <v>6.8968762515018017E-2</v>
      </c>
      <c r="R9" s="187"/>
      <c r="S9" s="189"/>
      <c r="U9" s="190"/>
      <c r="V9" s="191"/>
      <c r="W9" s="201"/>
      <c r="AA9" s="189"/>
      <c r="AB9" s="189"/>
      <c r="AC9" s="189"/>
    </row>
    <row r="10" spans="2:29">
      <c r="C10" s="183">
        <f>ROW()/2-1</f>
        <v>4</v>
      </c>
      <c r="D10" s="209">
        <v>43753</v>
      </c>
      <c r="E10" s="136" t="s">
        <v>185</v>
      </c>
      <c r="F10" s="39">
        <v>7453</v>
      </c>
      <c r="G10" s="61" t="s">
        <v>131</v>
      </c>
      <c r="H10" s="55">
        <v>2127</v>
      </c>
      <c r="I10" s="39">
        <v>500</v>
      </c>
      <c r="J10" s="39">
        <f t="shared" si="4"/>
        <v>1063500</v>
      </c>
      <c r="K10" s="58" t="s">
        <v>191</v>
      </c>
      <c r="L10" s="55">
        <v>2298</v>
      </c>
      <c r="M10" s="39">
        <f t="shared" si="5"/>
        <v>720</v>
      </c>
      <c r="N10" s="39">
        <v>162</v>
      </c>
      <c r="O10" s="58">
        <v>92</v>
      </c>
      <c r="P10" s="55">
        <f>(H10-L10)*I10-M10-N10-O10</f>
        <v>-86474</v>
      </c>
      <c r="Q10" s="57">
        <f t="shared" si="6"/>
        <v>-8.1310766337564649E-2</v>
      </c>
      <c r="R10" s="187">
        <f>P10+P11</f>
        <v>-93278.000000000029</v>
      </c>
      <c r="S10" s="188">
        <f t="shared" ref="S10" si="11">R10/(J10+J11)</f>
        <v>-4.3858585003691025E-2</v>
      </c>
      <c r="U10" s="207">
        <v>43759</v>
      </c>
      <c r="V10" s="191">
        <f>DATEDIF(D10,U10,"d")</f>
        <v>6</v>
      </c>
      <c r="W10" s="210" t="s">
        <v>310</v>
      </c>
      <c r="X10" s="1" t="s">
        <v>337</v>
      </c>
      <c r="AA10" s="197">
        <f t="shared" si="8"/>
        <v>2019</v>
      </c>
      <c r="AB10" s="197">
        <f t="shared" ref="AB10" si="12">MONTH(U10)</f>
        <v>10</v>
      </c>
      <c r="AC10" s="198" t="str">
        <f t="shared" si="10"/>
        <v>☓</v>
      </c>
    </row>
    <row r="11" spans="2:29" ht="15" thickBot="1">
      <c r="C11" s="184"/>
      <c r="D11" s="206">
        <v>43748</v>
      </c>
      <c r="E11" s="137" t="s">
        <v>186</v>
      </c>
      <c r="F11" s="35">
        <v>8308</v>
      </c>
      <c r="G11" s="60" t="s">
        <v>129</v>
      </c>
      <c r="H11" s="52">
        <v>462.3</v>
      </c>
      <c r="I11" s="52">
        <v>2300</v>
      </c>
      <c r="J11" s="53">
        <f t="shared" si="4"/>
        <v>1063290</v>
      </c>
      <c r="K11" s="44" t="s">
        <v>191</v>
      </c>
      <c r="L11" s="47">
        <v>460</v>
      </c>
      <c r="M11" s="37">
        <f t="shared" si="5"/>
        <v>720</v>
      </c>
      <c r="N11" s="113">
        <v>386</v>
      </c>
      <c r="O11" s="113">
        <v>408</v>
      </c>
      <c r="P11" s="35">
        <f>(L11-H11)*I11-M11-N11-O11</f>
        <v>-6804.0000000000264</v>
      </c>
      <c r="Q11" s="54">
        <f t="shared" si="6"/>
        <v>-6.3990068560787995E-3</v>
      </c>
      <c r="R11" s="187"/>
      <c r="S11" s="189"/>
      <c r="U11" s="208"/>
      <c r="V11" s="191"/>
      <c r="W11" s="211"/>
      <c r="X11" s="1" t="s">
        <v>338</v>
      </c>
      <c r="AA11" s="189"/>
      <c r="AB11" s="189"/>
      <c r="AC11" s="199"/>
    </row>
    <row r="12" spans="2:29">
      <c r="B12" s="30"/>
      <c r="C12" s="202">
        <f>ROW()/2-1</f>
        <v>5</v>
      </c>
      <c r="D12" s="205">
        <v>43742</v>
      </c>
      <c r="E12" s="31" t="s">
        <v>185</v>
      </c>
      <c r="F12" s="31">
        <v>8750</v>
      </c>
      <c r="G12" s="59" t="s">
        <v>56</v>
      </c>
      <c r="H12" s="49">
        <v>1635</v>
      </c>
      <c r="I12" s="32">
        <v>600</v>
      </c>
      <c r="J12" s="50">
        <f>H12*I12</f>
        <v>981000</v>
      </c>
      <c r="K12" s="43" t="s">
        <v>192</v>
      </c>
      <c r="L12" s="46">
        <v>1741.5</v>
      </c>
      <c r="M12" s="33">
        <f>360*2</f>
        <v>720</v>
      </c>
      <c r="N12" s="34">
        <v>162</v>
      </c>
      <c r="O12" s="34">
        <v>92</v>
      </c>
      <c r="P12" s="31">
        <f>(H12-L12)*I12-M12-N12-O12</f>
        <v>-64874</v>
      </c>
      <c r="Q12" s="51">
        <f>P12/J12</f>
        <v>-6.6130479102956163E-2</v>
      </c>
      <c r="R12" s="203">
        <f>P12+P13</f>
        <v>-11199.999999999898</v>
      </c>
      <c r="S12" s="204">
        <f>R12/(J12+J13)</f>
        <v>-5.7306824833502686E-3</v>
      </c>
      <c r="U12" s="207">
        <v>43759</v>
      </c>
      <c r="V12" s="191">
        <f>DATEDIF(D12,U12,"d")</f>
        <v>17</v>
      </c>
      <c r="W12" s="212" t="s">
        <v>1347</v>
      </c>
      <c r="AA12" s="197">
        <f t="shared" ref="AA12" si="13">YEAR(U12)</f>
        <v>2019</v>
      </c>
      <c r="AB12" s="197">
        <f t="shared" ref="AB12" si="14">MONTH(U12)</f>
        <v>10</v>
      </c>
      <c r="AC12" s="198" t="str">
        <f t="shared" ref="AC12" si="15">IF(R12&gt;0,"○","☓")</f>
        <v>☓</v>
      </c>
    </row>
    <row r="13" spans="2:29" ht="15" thickBot="1">
      <c r="B13" s="30"/>
      <c r="C13" s="184"/>
      <c r="D13" s="206"/>
      <c r="E13" s="35" t="s">
        <v>186</v>
      </c>
      <c r="F13" s="35">
        <v>8002</v>
      </c>
      <c r="G13" s="60" t="s">
        <v>55</v>
      </c>
      <c r="H13" s="52">
        <v>695.28</v>
      </c>
      <c r="I13" s="36">
        <v>1400</v>
      </c>
      <c r="J13" s="53">
        <f>H13*I13</f>
        <v>973392</v>
      </c>
      <c r="K13" s="99" t="s">
        <v>189</v>
      </c>
      <c r="L13" s="47">
        <v>734.7</v>
      </c>
      <c r="M13" s="37">
        <f>360*2</f>
        <v>720</v>
      </c>
      <c r="N13" s="38">
        <v>386</v>
      </c>
      <c r="O13" s="38">
        <v>408</v>
      </c>
      <c r="P13" s="35">
        <f>(L13-H13)*I13-M13-N13-O13</f>
        <v>53674.000000000102</v>
      </c>
      <c r="Q13" s="54">
        <f>P13/J13</f>
        <v>5.5141196968949924E-2</v>
      </c>
      <c r="R13" s="187"/>
      <c r="S13" s="189"/>
      <c r="U13" s="208"/>
      <c r="V13" s="191"/>
      <c r="W13" s="213"/>
      <c r="AA13" s="189"/>
      <c r="AB13" s="189"/>
      <c r="AC13" s="199"/>
    </row>
    <row r="14" spans="2:29" s="114" customFormat="1">
      <c r="B14" s="30"/>
      <c r="C14" s="183">
        <f>ROW()/2-1</f>
        <v>6</v>
      </c>
      <c r="D14" s="185">
        <v>43745</v>
      </c>
      <c r="E14" s="39" t="s">
        <v>185</v>
      </c>
      <c r="F14" s="39">
        <v>6770</v>
      </c>
      <c r="G14" s="61" t="s">
        <v>50</v>
      </c>
      <c r="H14" s="55">
        <v>2105</v>
      </c>
      <c r="I14" s="40">
        <v>400</v>
      </c>
      <c r="J14" s="56">
        <f t="shared" ref="J14:J19" si="16">H14*I14</f>
        <v>842000</v>
      </c>
      <c r="K14" s="45" t="s">
        <v>192</v>
      </c>
      <c r="L14" s="48">
        <v>2145</v>
      </c>
      <c r="M14" s="41">
        <f t="shared" ref="M14:M19" si="17">360*2</f>
        <v>720</v>
      </c>
      <c r="N14" s="42">
        <v>162</v>
      </c>
      <c r="O14" s="42">
        <v>92</v>
      </c>
      <c r="P14" s="39">
        <f>(H14-L14)*I14-M14-N14-O14</f>
        <v>-16974</v>
      </c>
      <c r="Q14" s="57">
        <f t="shared" ref="Q14:Q19" si="18">P14/J14</f>
        <v>-2.0159144893111641E-2</v>
      </c>
      <c r="R14" s="187">
        <f>P14+P15</f>
        <v>-1335.0000000000437</v>
      </c>
      <c r="S14" s="188">
        <f t="shared" ref="S14" si="19">R14/(J14+J15)</f>
        <v>-7.9789761449534544E-4</v>
      </c>
      <c r="U14" s="190">
        <v>43761</v>
      </c>
      <c r="V14" s="191">
        <f t="shared" ref="V14" si="20">DATEDIF(D14,U14,"d")</f>
        <v>16</v>
      </c>
      <c r="W14" s="212" t="s">
        <v>1347</v>
      </c>
      <c r="AA14" s="197">
        <f t="shared" ref="AA14" si="21">YEAR(U14)</f>
        <v>2019</v>
      </c>
      <c r="AB14" s="197">
        <f t="shared" ref="AB14" si="22">MONTH(U14)</f>
        <v>10</v>
      </c>
      <c r="AC14" s="198" t="str">
        <f t="shared" ref="AC14" si="23">IF(R14&gt;0,"○","☓")</f>
        <v>☓</v>
      </c>
    </row>
    <row r="15" spans="2:29" s="114" customFormat="1" ht="15" thickBot="1">
      <c r="B15" s="30"/>
      <c r="C15" s="184"/>
      <c r="D15" s="186">
        <v>43745</v>
      </c>
      <c r="E15" s="35" t="s">
        <v>186</v>
      </c>
      <c r="F15" s="35">
        <v>8601</v>
      </c>
      <c r="G15" s="60" t="s">
        <v>51</v>
      </c>
      <c r="H15" s="52">
        <v>488.91</v>
      </c>
      <c r="I15" s="36">
        <v>1700</v>
      </c>
      <c r="J15" s="53">
        <f t="shared" si="16"/>
        <v>831147</v>
      </c>
      <c r="K15" s="99" t="s">
        <v>375</v>
      </c>
      <c r="L15" s="47">
        <v>499</v>
      </c>
      <c r="M15" s="37">
        <f t="shared" si="17"/>
        <v>720</v>
      </c>
      <c r="N15" s="138">
        <v>386</v>
      </c>
      <c r="O15" s="138">
        <v>408</v>
      </c>
      <c r="P15" s="35">
        <f>(L15-H15)*I15-M15-N15-O15</f>
        <v>15638.999999999956</v>
      </c>
      <c r="Q15" s="54">
        <f t="shared" si="18"/>
        <v>1.8816166093362494E-2</v>
      </c>
      <c r="R15" s="187"/>
      <c r="S15" s="189"/>
      <c r="U15" s="191"/>
      <c r="V15" s="191"/>
      <c r="W15" s="213"/>
      <c r="AA15" s="189"/>
      <c r="AB15" s="189"/>
      <c r="AC15" s="199"/>
    </row>
    <row r="16" spans="2:29" s="114" customFormat="1">
      <c r="B16" s="30"/>
      <c r="C16" s="183">
        <f>ROW()/2-1</f>
        <v>7</v>
      </c>
      <c r="D16" s="185">
        <v>43745</v>
      </c>
      <c r="E16" s="39" t="s">
        <v>185</v>
      </c>
      <c r="F16" s="39">
        <v>5803</v>
      </c>
      <c r="G16" s="61" t="s">
        <v>52</v>
      </c>
      <c r="H16" s="55">
        <v>413</v>
      </c>
      <c r="I16" s="40">
        <v>1700</v>
      </c>
      <c r="J16" s="56">
        <f t="shared" si="16"/>
        <v>702100</v>
      </c>
      <c r="K16" s="45" t="s">
        <v>192</v>
      </c>
      <c r="L16" s="48">
        <v>459</v>
      </c>
      <c r="M16" s="41">
        <f t="shared" si="17"/>
        <v>720</v>
      </c>
      <c r="N16" s="42">
        <v>162</v>
      </c>
      <c r="O16" s="42">
        <v>92</v>
      </c>
      <c r="P16" s="39">
        <f>(H16-L16)*I16-M16-N16-O16</f>
        <v>-79174</v>
      </c>
      <c r="Q16" s="57">
        <f t="shared" si="18"/>
        <v>-0.11276741204956559</v>
      </c>
      <c r="R16" s="187">
        <f>P16+P17</f>
        <v>-16688</v>
      </c>
      <c r="S16" s="188">
        <f>R16/(J16+J17)</f>
        <v>-1.2074379567325086E-2</v>
      </c>
      <c r="U16" s="190">
        <v>43761</v>
      </c>
      <c r="V16" s="191">
        <f t="shared" ref="V16" si="24">DATEDIF(D16,U16,"d")</f>
        <v>16</v>
      </c>
      <c r="W16" s="212" t="s">
        <v>1347</v>
      </c>
      <c r="AA16" s="197">
        <f t="shared" ref="AA16" si="25">YEAR(U16)</f>
        <v>2019</v>
      </c>
      <c r="AB16" s="197">
        <f t="shared" ref="AB16" si="26">MONTH(U16)</f>
        <v>10</v>
      </c>
      <c r="AC16" s="198" t="str">
        <f t="shared" ref="AC16" si="27">IF(R16&gt;0,"○","☓")</f>
        <v>☓</v>
      </c>
    </row>
    <row r="17" spans="2:29" s="114" customFormat="1" ht="15" thickBot="1">
      <c r="B17" s="30"/>
      <c r="C17" s="184"/>
      <c r="D17" s="186">
        <v>43745</v>
      </c>
      <c r="E17" s="35" t="s">
        <v>186</v>
      </c>
      <c r="F17" s="35">
        <v>7259</v>
      </c>
      <c r="G17" s="60" t="s">
        <v>53</v>
      </c>
      <c r="H17" s="52">
        <v>3400</v>
      </c>
      <c r="I17" s="52">
        <v>200</v>
      </c>
      <c r="J17" s="53">
        <f t="shared" si="16"/>
        <v>680000</v>
      </c>
      <c r="K17" s="99" t="s">
        <v>176</v>
      </c>
      <c r="L17" s="47">
        <v>3720</v>
      </c>
      <c r="M17" s="37">
        <f t="shared" si="17"/>
        <v>720</v>
      </c>
      <c r="N17" s="138">
        <v>386</v>
      </c>
      <c r="O17" s="138">
        <v>408</v>
      </c>
      <c r="P17" s="35">
        <f>(L17-H17)*I17-M17-N17-O17</f>
        <v>62486</v>
      </c>
      <c r="Q17" s="54">
        <f t="shared" si="18"/>
        <v>9.189117647058824E-2</v>
      </c>
      <c r="R17" s="187"/>
      <c r="S17" s="189"/>
      <c r="U17" s="191"/>
      <c r="V17" s="191"/>
      <c r="W17" s="213"/>
      <c r="AA17" s="189"/>
      <c r="AB17" s="189"/>
      <c r="AC17" s="199"/>
    </row>
    <row r="18" spans="2:29" s="114" customFormat="1">
      <c r="B18" s="30"/>
      <c r="C18" s="183">
        <f>ROW()/2-1</f>
        <v>8</v>
      </c>
      <c r="D18" s="185">
        <v>43748</v>
      </c>
      <c r="E18" s="39" t="s">
        <v>185</v>
      </c>
      <c r="F18" s="39">
        <v>7186</v>
      </c>
      <c r="G18" s="61" t="s">
        <v>187</v>
      </c>
      <c r="H18" s="55">
        <v>410</v>
      </c>
      <c r="I18" s="39">
        <v>1800</v>
      </c>
      <c r="J18" s="39">
        <f t="shared" si="16"/>
        <v>738000</v>
      </c>
      <c r="K18" s="58" t="s">
        <v>191</v>
      </c>
      <c r="L18" s="55">
        <v>444</v>
      </c>
      <c r="M18" s="39">
        <f t="shared" si="17"/>
        <v>720</v>
      </c>
      <c r="N18" s="39">
        <v>162</v>
      </c>
      <c r="O18" s="58">
        <v>92</v>
      </c>
      <c r="P18" s="55">
        <f>(H18-L18)*I18-M18-N18-O18</f>
        <v>-62174</v>
      </c>
      <c r="Q18" s="57">
        <f t="shared" si="18"/>
        <v>-8.4246612466124665E-2</v>
      </c>
      <c r="R18" s="187">
        <f>P18+P19</f>
        <v>-3088</v>
      </c>
      <c r="S18" s="188">
        <f t="shared" ref="S18" si="28">R18/(J18+J19)</f>
        <v>-2.0839519503306789E-3</v>
      </c>
      <c r="U18" s="190">
        <v>43767</v>
      </c>
      <c r="V18" s="191">
        <f t="shared" ref="V18" si="29">DATEDIF(D18,U18,"d")</f>
        <v>19</v>
      </c>
      <c r="W18" s="212" t="s">
        <v>1347</v>
      </c>
      <c r="AA18" s="197">
        <f t="shared" ref="AA18" si="30">YEAR(U18)</f>
        <v>2019</v>
      </c>
      <c r="AB18" s="197">
        <f t="shared" ref="AB18" si="31">MONTH(U18)</f>
        <v>10</v>
      </c>
      <c r="AC18" s="198" t="str">
        <f t="shared" ref="AC18" si="32">IF(R18&gt;0,"○","☓")</f>
        <v>☓</v>
      </c>
    </row>
    <row r="19" spans="2:29" s="114" customFormat="1">
      <c r="B19" s="30"/>
      <c r="C19" s="184"/>
      <c r="D19" s="186">
        <v>43748</v>
      </c>
      <c r="E19" s="35" t="s">
        <v>186</v>
      </c>
      <c r="F19" s="35">
        <v>8309</v>
      </c>
      <c r="G19" s="60" t="s">
        <v>188</v>
      </c>
      <c r="H19" s="52">
        <v>3719</v>
      </c>
      <c r="I19" s="52">
        <v>200</v>
      </c>
      <c r="J19" s="53">
        <f t="shared" si="16"/>
        <v>743800</v>
      </c>
      <c r="K19" s="44" t="s">
        <v>191</v>
      </c>
      <c r="L19" s="47">
        <v>4022</v>
      </c>
      <c r="M19" s="37">
        <f t="shared" si="17"/>
        <v>720</v>
      </c>
      <c r="N19" s="139">
        <v>386</v>
      </c>
      <c r="O19" s="139">
        <v>408</v>
      </c>
      <c r="P19" s="35">
        <f>(L19-H19)*I19-M19-N19-O19</f>
        <v>59086</v>
      </c>
      <c r="Q19" s="54">
        <f t="shared" si="18"/>
        <v>7.9438020973379944E-2</v>
      </c>
      <c r="R19" s="187"/>
      <c r="S19" s="189"/>
      <c r="U19" s="191"/>
      <c r="V19" s="191"/>
      <c r="W19" s="213"/>
      <c r="AA19" s="189"/>
      <c r="AB19" s="189"/>
      <c r="AC19" s="199"/>
    </row>
    <row r="20" spans="2:29">
      <c r="B20" s="30"/>
      <c r="C20" s="183">
        <f>ROW()/2-1</f>
        <v>9</v>
      </c>
      <c r="D20" s="185">
        <v>43782</v>
      </c>
      <c r="E20" s="39" t="s">
        <v>185</v>
      </c>
      <c r="F20" s="39">
        <v>1820</v>
      </c>
      <c r="G20" s="61" t="s">
        <v>149</v>
      </c>
      <c r="H20" s="55">
        <v>2431</v>
      </c>
      <c r="I20" s="39">
        <v>400</v>
      </c>
      <c r="J20" s="56">
        <f t="shared" ref="J20:J27" si="33">H20*I20</f>
        <v>972400</v>
      </c>
      <c r="K20" s="58" t="s">
        <v>191</v>
      </c>
      <c r="L20" s="55">
        <v>2375</v>
      </c>
      <c r="M20" s="39">
        <f t="shared" ref="M20:M27" si="34">360*2</f>
        <v>720</v>
      </c>
      <c r="N20" s="39">
        <v>162</v>
      </c>
      <c r="O20" s="58">
        <v>92</v>
      </c>
      <c r="P20" s="55">
        <f>(H20-L20)*I20-M20-N20-O20</f>
        <v>21426</v>
      </c>
      <c r="Q20" s="57">
        <f t="shared" ref="Q20:Q27" si="35">P20/J20</f>
        <v>2.2034142328259974E-2</v>
      </c>
      <c r="R20" s="187">
        <f>P20+P21</f>
        <v>485966</v>
      </c>
      <c r="S20" s="188">
        <f>R20/(J20+J21)</f>
        <v>0.2544948186257156</v>
      </c>
      <c r="U20" s="190">
        <v>43789</v>
      </c>
      <c r="V20" s="191">
        <f>DATEDIF(D20,U20,"d")</f>
        <v>7</v>
      </c>
      <c r="W20" s="200" t="s">
        <v>339</v>
      </c>
      <c r="X20" s="1" t="s">
        <v>1071</v>
      </c>
      <c r="AA20" s="197">
        <f t="shared" ref="AA20" si="36">YEAR(U20)</f>
        <v>2019</v>
      </c>
      <c r="AB20" s="197">
        <f t="shared" ref="AB20" si="37">MONTH(U20)</f>
        <v>11</v>
      </c>
      <c r="AC20" s="197" t="str">
        <f t="shared" ref="AC20" si="38">IF(R20&gt;0,"○","☓")</f>
        <v>○</v>
      </c>
    </row>
    <row r="21" spans="2:29">
      <c r="B21" s="30"/>
      <c r="C21" s="184"/>
      <c r="D21" s="186">
        <v>43748</v>
      </c>
      <c r="E21" s="35" t="s">
        <v>186</v>
      </c>
      <c r="F21" s="35">
        <v>4508</v>
      </c>
      <c r="G21" s="60" t="s">
        <v>353</v>
      </c>
      <c r="H21" s="52">
        <v>1338.76</v>
      </c>
      <c r="I21" s="52">
        <v>700</v>
      </c>
      <c r="J21" s="53">
        <f t="shared" si="33"/>
        <v>937132</v>
      </c>
      <c r="K21" s="44" t="s">
        <v>376</v>
      </c>
      <c r="L21" s="47">
        <v>2004</v>
      </c>
      <c r="M21" s="37">
        <f t="shared" si="34"/>
        <v>720</v>
      </c>
      <c r="N21" s="38">
        <v>0</v>
      </c>
      <c r="O21" s="38">
        <v>408</v>
      </c>
      <c r="P21" s="35">
        <f>(L21-H21)*I21-M21-N21-O21</f>
        <v>464540</v>
      </c>
      <c r="Q21" s="54">
        <f t="shared" si="35"/>
        <v>0.49570391364290195</v>
      </c>
      <c r="R21" s="187"/>
      <c r="S21" s="189"/>
      <c r="U21" s="191"/>
      <c r="V21" s="191"/>
      <c r="W21" s="201"/>
      <c r="X21" s="114" t="s">
        <v>1070</v>
      </c>
      <c r="AA21" s="189"/>
      <c r="AB21" s="189"/>
      <c r="AC21" s="189"/>
    </row>
    <row r="22" spans="2:29" s="114" customFormat="1">
      <c r="B22" s="30"/>
      <c r="C22" s="183">
        <f>ROW()/2-1</f>
        <v>10</v>
      </c>
      <c r="D22" s="185">
        <v>43782</v>
      </c>
      <c r="E22" s="39" t="s">
        <v>185</v>
      </c>
      <c r="F22" s="39">
        <v>8002</v>
      </c>
      <c r="G22" s="61" t="s">
        <v>55</v>
      </c>
      <c r="H22" s="55">
        <v>814</v>
      </c>
      <c r="I22" s="39">
        <v>1300</v>
      </c>
      <c r="J22" s="56">
        <f t="shared" si="33"/>
        <v>1058200</v>
      </c>
      <c r="K22" s="58" t="s">
        <v>191</v>
      </c>
      <c r="L22" s="55">
        <v>794.1</v>
      </c>
      <c r="M22" s="39">
        <f t="shared" si="34"/>
        <v>720</v>
      </c>
      <c r="N22" s="39">
        <v>162</v>
      </c>
      <c r="O22" s="58">
        <v>92</v>
      </c>
      <c r="P22" s="55">
        <f>(H22-L22)*I22-M22-N22-O22</f>
        <v>24895.999999999971</v>
      </c>
      <c r="Q22" s="57">
        <f t="shared" si="35"/>
        <v>2.3526743526743499E-2</v>
      </c>
      <c r="R22" s="187">
        <f>P22+P23</f>
        <v>60327.999999999913</v>
      </c>
      <c r="S22" s="188">
        <f>R22/(J22+J23)</f>
        <v>2.888939968585982E-2</v>
      </c>
      <c r="U22" s="190">
        <v>43790</v>
      </c>
      <c r="V22" s="191">
        <f>DATEDIF(D22,U22,"d")</f>
        <v>8</v>
      </c>
      <c r="W22" s="200" t="s">
        <v>339</v>
      </c>
      <c r="AA22" s="197">
        <f t="shared" ref="AA22" si="39">YEAR(U22)</f>
        <v>2019</v>
      </c>
      <c r="AB22" s="197">
        <f t="shared" ref="AB22" si="40">MONTH(U22)</f>
        <v>11</v>
      </c>
      <c r="AC22" s="197" t="str">
        <f t="shared" ref="AC22" si="41">IF(R22&gt;0,"○","☓")</f>
        <v>○</v>
      </c>
    </row>
    <row r="23" spans="2:29" s="114" customFormat="1">
      <c r="B23" s="30"/>
      <c r="C23" s="184"/>
      <c r="D23" s="186">
        <v>43748</v>
      </c>
      <c r="E23" s="35" t="s">
        <v>186</v>
      </c>
      <c r="F23" s="35">
        <v>8601</v>
      </c>
      <c r="G23" s="60" t="s">
        <v>51</v>
      </c>
      <c r="H23" s="52">
        <v>515.02</v>
      </c>
      <c r="I23" s="52">
        <v>2000</v>
      </c>
      <c r="J23" s="53">
        <f t="shared" si="33"/>
        <v>1030040</v>
      </c>
      <c r="K23" s="44" t="s">
        <v>376</v>
      </c>
      <c r="L23" s="47">
        <v>533.29999999999995</v>
      </c>
      <c r="M23" s="37">
        <f t="shared" si="34"/>
        <v>720</v>
      </c>
      <c r="N23" s="139">
        <v>0</v>
      </c>
      <c r="O23" s="139">
        <v>408</v>
      </c>
      <c r="P23" s="35">
        <f>(L23-H23)*I23-M23-N23-O23</f>
        <v>35431.999999999942</v>
      </c>
      <c r="Q23" s="54">
        <f t="shared" si="35"/>
        <v>3.4398664129548312E-2</v>
      </c>
      <c r="R23" s="187"/>
      <c r="S23" s="189"/>
      <c r="U23" s="191"/>
      <c r="V23" s="191"/>
      <c r="W23" s="201"/>
      <c r="AA23" s="189"/>
      <c r="AB23" s="189"/>
      <c r="AC23" s="189"/>
    </row>
    <row r="24" spans="2:29" s="114" customFormat="1">
      <c r="B24" s="30"/>
      <c r="C24" s="183">
        <f>ROW()/2-1</f>
        <v>11</v>
      </c>
      <c r="D24" s="185">
        <v>43783</v>
      </c>
      <c r="E24" s="39" t="s">
        <v>185</v>
      </c>
      <c r="F24" s="39">
        <v>3105</v>
      </c>
      <c r="G24" s="61" t="s">
        <v>117</v>
      </c>
      <c r="H24" s="55">
        <v>970</v>
      </c>
      <c r="I24" s="39">
        <v>1100</v>
      </c>
      <c r="J24" s="56">
        <f t="shared" si="33"/>
        <v>1067000</v>
      </c>
      <c r="K24" s="58" t="s">
        <v>191</v>
      </c>
      <c r="L24" s="55">
        <v>999</v>
      </c>
      <c r="M24" s="39">
        <f t="shared" si="34"/>
        <v>720</v>
      </c>
      <c r="N24" s="39">
        <v>162</v>
      </c>
      <c r="O24" s="58">
        <v>92</v>
      </c>
      <c r="P24" s="55">
        <f>(H24-L24)*I24-M24-N24-O24</f>
        <v>-32874</v>
      </c>
      <c r="Q24" s="57">
        <f t="shared" si="35"/>
        <v>-3.0809746954076851E-2</v>
      </c>
      <c r="R24" s="187">
        <f>P24+P25</f>
        <v>-58188</v>
      </c>
      <c r="S24" s="188">
        <f>R24/(J24+J25)</f>
        <v>-2.741096664782363E-2</v>
      </c>
      <c r="U24" s="190">
        <v>43798</v>
      </c>
      <c r="V24" s="191">
        <f>DATEDIF(D24,U24,"d")</f>
        <v>15</v>
      </c>
      <c r="W24" s="210" t="s">
        <v>310</v>
      </c>
      <c r="AA24" s="197">
        <f t="shared" ref="AA24" si="42">YEAR(U24)</f>
        <v>2019</v>
      </c>
      <c r="AB24" s="197">
        <f t="shared" ref="AB24" si="43">MONTH(U24)</f>
        <v>11</v>
      </c>
      <c r="AC24" s="197" t="str">
        <f t="shared" ref="AC24" si="44">IF(R24&gt;0,"○","☓")</f>
        <v>☓</v>
      </c>
    </row>
    <row r="25" spans="2:29" s="114" customFormat="1">
      <c r="B25" s="30"/>
      <c r="C25" s="184"/>
      <c r="D25" s="186">
        <v>43748</v>
      </c>
      <c r="E25" s="35" t="s">
        <v>186</v>
      </c>
      <c r="F25" s="35">
        <v>6301</v>
      </c>
      <c r="G25" s="60" t="s">
        <v>136</v>
      </c>
      <c r="H25" s="52">
        <v>2639.5</v>
      </c>
      <c r="I25" s="52">
        <v>400</v>
      </c>
      <c r="J25" s="53">
        <f t="shared" si="33"/>
        <v>1055800</v>
      </c>
      <c r="K25" s="44" t="s">
        <v>176</v>
      </c>
      <c r="L25" s="47">
        <v>2580</v>
      </c>
      <c r="M25" s="37">
        <f t="shared" si="34"/>
        <v>720</v>
      </c>
      <c r="N25" s="140">
        <v>386</v>
      </c>
      <c r="O25" s="140">
        <v>408</v>
      </c>
      <c r="P25" s="35">
        <f>(L25-H25)*I25-M25-N25-O25</f>
        <v>-25314</v>
      </c>
      <c r="Q25" s="54">
        <f t="shared" si="35"/>
        <v>-2.3976131843152112E-2</v>
      </c>
      <c r="R25" s="187"/>
      <c r="S25" s="189"/>
      <c r="U25" s="191"/>
      <c r="V25" s="191"/>
      <c r="W25" s="211"/>
      <c r="AA25" s="189"/>
      <c r="AB25" s="189"/>
      <c r="AC25" s="189"/>
    </row>
    <row r="26" spans="2:29" s="114" customFormat="1">
      <c r="B26" s="30"/>
      <c r="C26" s="183">
        <f>ROW()/2-1</f>
        <v>12</v>
      </c>
      <c r="D26" s="185">
        <v>43784</v>
      </c>
      <c r="E26" s="39" t="s">
        <v>185</v>
      </c>
      <c r="F26" s="39">
        <v>6770</v>
      </c>
      <c r="G26" s="61" t="s">
        <v>50</v>
      </c>
      <c r="H26" s="55">
        <v>2386</v>
      </c>
      <c r="I26" s="39">
        <v>400</v>
      </c>
      <c r="J26" s="56">
        <f t="shared" si="33"/>
        <v>954400</v>
      </c>
      <c r="K26" s="58" t="s">
        <v>191</v>
      </c>
      <c r="L26" s="55">
        <v>2446</v>
      </c>
      <c r="M26" s="39">
        <f t="shared" si="34"/>
        <v>720</v>
      </c>
      <c r="N26" s="39">
        <v>162</v>
      </c>
      <c r="O26" s="58">
        <v>92</v>
      </c>
      <c r="P26" s="55">
        <f>(H26-L26)*I26-M26-N26-O26</f>
        <v>-24974</v>
      </c>
      <c r="Q26" s="57">
        <f t="shared" si="35"/>
        <v>-2.6167225481978206E-2</v>
      </c>
      <c r="R26" s="187">
        <f>P26+P27</f>
        <v>-22888</v>
      </c>
      <c r="S26" s="188">
        <f>R26/(J26+J27)</f>
        <v>-1.2057738910546834E-2</v>
      </c>
      <c r="U26" s="190">
        <v>43802</v>
      </c>
      <c r="V26" s="191">
        <f>DATEDIF(D26,U26,"d")</f>
        <v>18</v>
      </c>
      <c r="W26" s="280" t="s">
        <v>1347</v>
      </c>
      <c r="AA26" s="197">
        <f t="shared" ref="AA26" si="45">YEAR(U26)</f>
        <v>2019</v>
      </c>
      <c r="AB26" s="197">
        <f t="shared" ref="AB26" si="46">MONTH(U26)</f>
        <v>12</v>
      </c>
      <c r="AC26" s="197" t="str">
        <f t="shared" ref="AC26" si="47">IF(R26&gt;0,"○","☓")</f>
        <v>☓</v>
      </c>
    </row>
    <row r="27" spans="2:29" s="114" customFormat="1">
      <c r="B27" s="30"/>
      <c r="C27" s="184"/>
      <c r="D27" s="186">
        <v>43748</v>
      </c>
      <c r="E27" s="35" t="s">
        <v>186</v>
      </c>
      <c r="F27" s="35">
        <v>1911</v>
      </c>
      <c r="G27" s="60" t="s">
        <v>130</v>
      </c>
      <c r="H27" s="52">
        <v>1573</v>
      </c>
      <c r="I27" s="52">
        <v>600</v>
      </c>
      <c r="J27" s="53">
        <f t="shared" si="33"/>
        <v>943800</v>
      </c>
      <c r="K27" s="44" t="s">
        <v>176</v>
      </c>
      <c r="L27" s="47">
        <v>1579</v>
      </c>
      <c r="M27" s="37">
        <f t="shared" si="34"/>
        <v>720</v>
      </c>
      <c r="N27" s="141">
        <v>386</v>
      </c>
      <c r="O27" s="141">
        <v>408</v>
      </c>
      <c r="P27" s="35">
        <f>(L27-H27)*I27-M27-N27-O27</f>
        <v>2086</v>
      </c>
      <c r="Q27" s="54">
        <f t="shared" si="35"/>
        <v>2.2102140283958467E-3</v>
      </c>
      <c r="R27" s="187"/>
      <c r="S27" s="189"/>
      <c r="U27" s="191"/>
      <c r="V27" s="191"/>
      <c r="W27" s="281"/>
      <c r="AA27" s="189"/>
      <c r="AB27" s="189"/>
      <c r="AC27" s="189"/>
    </row>
    <row r="28" spans="2:29" s="114" customFormat="1">
      <c r="B28" s="132"/>
      <c r="C28" s="183">
        <v>13</v>
      </c>
      <c r="D28" s="185">
        <v>43789</v>
      </c>
      <c r="E28" s="39" t="s">
        <v>1072</v>
      </c>
      <c r="F28" s="39">
        <v>4182</v>
      </c>
      <c r="G28" s="61" t="s">
        <v>114</v>
      </c>
      <c r="H28" s="55">
        <v>1627</v>
      </c>
      <c r="I28" s="39">
        <v>600</v>
      </c>
      <c r="J28" s="56">
        <v>976200</v>
      </c>
      <c r="K28" s="58" t="s">
        <v>191</v>
      </c>
      <c r="L28" s="55">
        <v>1681</v>
      </c>
      <c r="M28" s="39">
        <v>770</v>
      </c>
      <c r="N28" s="158">
        <v>441.29589041095886</v>
      </c>
      <c r="O28" s="58">
        <v>92</v>
      </c>
      <c r="P28" s="161">
        <v>-33346</v>
      </c>
      <c r="Q28" s="57">
        <v>-3.4000000000000002E-2</v>
      </c>
      <c r="R28" s="187">
        <v>54150</v>
      </c>
      <c r="S28" s="188">
        <v>2.7799999999999998E-2</v>
      </c>
      <c r="U28" s="190">
        <v>43805</v>
      </c>
      <c r="V28" s="191">
        <v>15</v>
      </c>
      <c r="W28" s="222" t="s">
        <v>1315</v>
      </c>
      <c r="AA28" s="197">
        <f>YEAR(U28)</f>
        <v>2019</v>
      </c>
      <c r="AB28" s="197">
        <f>MONTH(U28)</f>
        <v>12</v>
      </c>
      <c r="AC28" s="197" t="str">
        <f>IF(R28&gt;0,"○","☓")</f>
        <v>○</v>
      </c>
    </row>
    <row r="29" spans="2:29" s="114" customFormat="1">
      <c r="B29" s="132"/>
      <c r="C29" s="184"/>
      <c r="D29" s="186">
        <v>43748</v>
      </c>
      <c r="E29" s="35" t="s">
        <v>1076</v>
      </c>
      <c r="F29" s="35">
        <v>1824</v>
      </c>
      <c r="G29" s="60" t="s">
        <v>356</v>
      </c>
      <c r="H29" s="52">
        <v>973</v>
      </c>
      <c r="I29" s="52">
        <v>1000</v>
      </c>
      <c r="J29" s="53">
        <v>973000</v>
      </c>
      <c r="K29" s="159" t="s">
        <v>191</v>
      </c>
      <c r="L29" s="47">
        <v>1062</v>
      </c>
      <c r="M29" s="37">
        <v>770</v>
      </c>
      <c r="N29" s="37">
        <v>1119.6164383561643</v>
      </c>
      <c r="O29" s="152">
        <v>408</v>
      </c>
      <c r="P29" s="162">
        <v>87496</v>
      </c>
      <c r="Q29" s="54">
        <v>8.8999999999999996E-2</v>
      </c>
      <c r="R29" s="187"/>
      <c r="S29" s="189"/>
      <c r="U29" s="191"/>
      <c r="V29" s="191"/>
      <c r="W29" s="191"/>
      <c r="AA29" s="189"/>
      <c r="AB29" s="189"/>
      <c r="AC29" s="189"/>
    </row>
  </sheetData>
  <autoFilter ref="B3:AC23"/>
  <mergeCells count="130">
    <mergeCell ref="AC28:AC29"/>
    <mergeCell ref="C28:C29"/>
    <mergeCell ref="D28:D29"/>
    <mergeCell ref="R28:R29"/>
    <mergeCell ref="S28:S29"/>
    <mergeCell ref="U28:U29"/>
    <mergeCell ref="V28:V29"/>
    <mergeCell ref="W28:W29"/>
    <mergeCell ref="AA24:AA25"/>
    <mergeCell ref="AB24:AB25"/>
    <mergeCell ref="AA28:AA29"/>
    <mergeCell ref="AB28:AB29"/>
    <mergeCell ref="AC24:AC25"/>
    <mergeCell ref="V26:V27"/>
    <mergeCell ref="W26:W27"/>
    <mergeCell ref="V24:V25"/>
    <mergeCell ref="W24:W25"/>
    <mergeCell ref="C24:C25"/>
    <mergeCell ref="D24:D25"/>
    <mergeCell ref="R24:R25"/>
    <mergeCell ref="S24:S25"/>
    <mergeCell ref="U24:U25"/>
    <mergeCell ref="AA26:AA27"/>
    <mergeCell ref="AB26:AB27"/>
    <mergeCell ref="AC26:AC27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A22:AA23"/>
    <mergeCell ref="AB22:AB23"/>
    <mergeCell ref="AC22:AC23"/>
    <mergeCell ref="C18:C19"/>
    <mergeCell ref="D18:D19"/>
    <mergeCell ref="R18:R19"/>
    <mergeCell ref="S18:S19"/>
    <mergeCell ref="U18:U19"/>
    <mergeCell ref="D20:D21"/>
    <mergeCell ref="AA18:AA19"/>
    <mergeCell ref="AB18:AB19"/>
    <mergeCell ref="AC18:AC19"/>
    <mergeCell ref="AA20:AA21"/>
    <mergeCell ref="AB20:AB21"/>
    <mergeCell ref="AC20:AC21"/>
    <mergeCell ref="C22:C23"/>
    <mergeCell ref="W22:W23"/>
    <mergeCell ref="W20:W21"/>
    <mergeCell ref="C20:C21"/>
    <mergeCell ref="R20:R21"/>
    <mergeCell ref="S20:S21"/>
    <mergeCell ref="V20:V21"/>
    <mergeCell ref="U20:U21"/>
    <mergeCell ref="D22:D23"/>
  </mergeCells>
  <phoneticPr fontId="1" type="noConversion"/>
  <dataValidations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37" sqref="C37"/>
    </sheetView>
  </sheetViews>
  <sheetFormatPr defaultRowHeight="14.25"/>
  <sheetData>
    <row r="27" spans="1:1">
      <c r="A27" s="21" t="s">
        <v>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5"/>
  <sheetViews>
    <sheetView showGridLines="0" tabSelected="1" zoomScaleNormal="100" workbookViewId="0">
      <selection activeCell="E10" sqref="E10"/>
    </sheetView>
  </sheetViews>
  <sheetFormatPr defaultRowHeight="14.25"/>
  <cols>
    <col min="1" max="1" width="6" style="114" customWidth="1"/>
    <col min="2" max="2" width="6.5" style="114" customWidth="1"/>
    <col min="3" max="3" width="12.75" style="114" customWidth="1"/>
    <col min="4" max="4" width="9.875" style="114" customWidth="1"/>
    <col min="5" max="7" width="9" style="114"/>
    <col min="8" max="8" width="10.75" style="114" customWidth="1"/>
    <col min="9" max="10" width="9" style="114"/>
    <col min="11" max="11" width="10.625" style="114" customWidth="1"/>
    <col min="12" max="16384" width="9" style="114"/>
  </cols>
  <sheetData>
    <row r="1" spans="1:23" ht="21" customHeight="1" thickBot="1">
      <c r="A1" s="182" t="s">
        <v>1338</v>
      </c>
    </row>
    <row r="2" spans="1:23" ht="59.25" customHeight="1">
      <c r="A2" s="166" t="s">
        <v>1316</v>
      </c>
      <c r="B2" s="167" t="s">
        <v>1317</v>
      </c>
      <c r="C2" s="168" t="s">
        <v>1324</v>
      </c>
      <c r="D2" s="167" t="s">
        <v>1325</v>
      </c>
      <c r="E2" s="167" t="s">
        <v>1326</v>
      </c>
      <c r="F2" s="168" t="s">
        <v>1334</v>
      </c>
      <c r="G2" s="168" t="s">
        <v>1335</v>
      </c>
      <c r="H2" s="168" t="s">
        <v>1327</v>
      </c>
      <c r="I2" s="168" t="s">
        <v>1328</v>
      </c>
      <c r="J2" s="168" t="s">
        <v>1329</v>
      </c>
      <c r="K2" s="168" t="s">
        <v>1336</v>
      </c>
      <c r="L2" s="168" t="s">
        <v>1330</v>
      </c>
      <c r="M2" s="168" t="s">
        <v>1318</v>
      </c>
      <c r="N2" s="168" t="s">
        <v>1319</v>
      </c>
      <c r="O2" s="168" t="s">
        <v>1320</v>
      </c>
      <c r="P2" s="168" t="s">
        <v>1331</v>
      </c>
      <c r="Q2" s="169" t="s">
        <v>1332</v>
      </c>
      <c r="R2" s="169" t="s">
        <v>1321</v>
      </c>
      <c r="S2" s="170" t="s">
        <v>1322</v>
      </c>
      <c r="T2" s="170" t="s">
        <v>1323</v>
      </c>
      <c r="U2" s="170" t="s">
        <v>1337</v>
      </c>
      <c r="V2" s="171" t="s">
        <v>1333</v>
      </c>
      <c r="W2" s="165"/>
    </row>
    <row r="3" spans="1:23">
      <c r="A3" s="172">
        <v>2019</v>
      </c>
      <c r="B3" s="172">
        <v>9</v>
      </c>
      <c r="C3" s="173">
        <v>5000000</v>
      </c>
      <c r="D3" s="174">
        <f>SUMIFS(取引履歴!$R$4:$R$10000,取引履歴!$AA$4:$AA$10000,$A3,取引履歴!$AB$4:$AB$10000,$B3)</f>
        <v>0</v>
      </c>
      <c r="E3" s="175">
        <f>IF(D3 &lt;&gt; 0,D3/C3, 0)</f>
        <v>0</v>
      </c>
      <c r="F3" s="174">
        <f>SUMIFS(取引履歴!$R$4:$R$10000,取引履歴!$AA$4:$AA$10000,$A3,取引履歴!$AB$4:$AB$10000,$B3,取引履歴!$R$4:$R$10000,"&gt;=0")</f>
        <v>0</v>
      </c>
      <c r="G3" s="174">
        <f>SUMIFS(取引履歴!$R$4:$R$10000,取引履歴!$AA$4:$AA$10000,$A3,取引履歴!$AB$4:$AB$10000,$B3,取引履歴!$R$4:$R$10000,"&lt;0")</f>
        <v>0</v>
      </c>
      <c r="H3" s="172">
        <f>COUNTIFS(取引履歴!$AA$4:$AA$10000,$A3,取引履歴!$AB$4:$AB$10000,$B3)</f>
        <v>0</v>
      </c>
      <c r="I3" s="172">
        <f>COUNTIFS(取引履歴!$AA$4:$AA$10000,$A3,取引履歴!$AB$4:$AB$10000,$B3,取引履歴!$R$4:$R$10000,"&gt;0")</f>
        <v>0</v>
      </c>
      <c r="J3" s="172">
        <f>COUNTIFS(取引履歴!$AA$4:$AA$10000,$A3,取引履歴!$AB$4:$AB$10000,$B3,取引履歴!$R$4:$R$10000,"&lt;0")</f>
        <v>0</v>
      </c>
      <c r="K3" s="176">
        <f>IF(H3&lt;&gt;0,I3/H3,0)</f>
        <v>0</v>
      </c>
      <c r="L3" s="177">
        <f>IF(I3&lt;&gt;0,F3/I3,0)</f>
        <v>0</v>
      </c>
      <c r="M3" s="178">
        <f>IF(J3&lt;&gt;0,G3/J3,0)</f>
        <v>0</v>
      </c>
      <c r="N3" s="179">
        <f>IF(H3&lt;&gt;0,SUMIFS(取引履歴!$V$4:$V$10000,取引履歴!$AA$4:$AA$10000,$A3,取引履歴!$AB$4:$AB$10000,$B3)/H3,0)</f>
        <v>0</v>
      </c>
      <c r="O3" s="179">
        <f>max_drawdown(A3,B3)</f>
        <v>0</v>
      </c>
      <c r="P3" s="180">
        <f>IF(C3&lt;&gt;0,O3/C3,0)</f>
        <v>0</v>
      </c>
      <c r="Q3" s="181">
        <f>get_max_consecutive_trade("W",A3,B3)</f>
        <v>0</v>
      </c>
      <c r="R3" s="181">
        <f>get_max_consecutive_trade("L",A3,B3)</f>
        <v>0</v>
      </c>
      <c r="S3" s="181">
        <f>COUNTIFS(取引履歴!$AA$4:$AA$10000,$A3,取引履歴!$AB$4:$AB$10000,$B3,取引履歴!$W$4:$W$10000,"=STOP PROFIT")</f>
        <v>0</v>
      </c>
      <c r="T3" s="181">
        <f>COUNTIFS(取引履歴!$AA$4:$AA$10000,$A3,取引履歴!$AB$4:$AB$10000,$B3,取引履歴!$W$4:$W$10000,"=STOP LOSS")</f>
        <v>0</v>
      </c>
      <c r="U3" s="181">
        <f>COUNTIFS(取引履歴!$AA$4:$AA$10000,$A3,取引履歴!$AB$4:$AB$10000,$B3,取引履歴!$W$4:$W$10000,"=OVRE MAX DAY")</f>
        <v>0</v>
      </c>
      <c r="V3" s="181">
        <f>IF(H3&lt;&gt;0,H3-S3-T3-U3,0)</f>
        <v>0</v>
      </c>
    </row>
    <row r="4" spans="1:23">
      <c r="A4" s="172">
        <v>2019</v>
      </c>
      <c r="B4" s="172">
        <v>10</v>
      </c>
      <c r="C4" s="173">
        <f>IF(D4 &lt;&gt; 0,C3+D4, 0)</f>
        <v>4976767</v>
      </c>
      <c r="D4" s="174">
        <v>-23232.999999999971</v>
      </c>
      <c r="E4" s="175">
        <f t="shared" ref="E4:E6" si="0">IF(D4 &lt;&gt; 0,D4/C4, 0)</f>
        <v>-4.6682916841395165E-3</v>
      </c>
      <c r="F4" s="174">
        <v>102356</v>
      </c>
      <c r="G4" s="174">
        <v>-125588.99999999997</v>
      </c>
      <c r="H4" s="172">
        <v>8</v>
      </c>
      <c r="I4" s="172">
        <v>3</v>
      </c>
      <c r="J4" s="172">
        <v>5</v>
      </c>
      <c r="K4" s="176">
        <f t="shared" ref="K4:K6" si="1">IF(H4&lt;&gt;0,I4/H4,0)</f>
        <v>0.375</v>
      </c>
      <c r="L4" s="177">
        <f t="shared" ref="L4:L6" si="2">IF(I4&lt;&gt;0,F4/I4,0)</f>
        <v>34118.666666666664</v>
      </c>
      <c r="M4" s="178">
        <f t="shared" ref="M4:M6" si="3">IF(J4&lt;&gt;0,G4/J4,0)</f>
        <v>-25117.799999999996</v>
      </c>
      <c r="N4" s="179">
        <v>14</v>
      </c>
      <c r="O4" s="179">
        <v>-93278.000000000029</v>
      </c>
      <c r="P4" s="180">
        <f t="shared" ref="P4:P6" si="4">IF(C4&lt;&gt;0,O4/C4,0)</f>
        <v>-1.8742689782342638E-2</v>
      </c>
      <c r="Q4" s="181">
        <v>3</v>
      </c>
      <c r="R4" s="181">
        <v>5</v>
      </c>
      <c r="S4" s="181">
        <v>1</v>
      </c>
      <c r="T4" s="181">
        <v>1</v>
      </c>
      <c r="U4" s="181">
        <v>6</v>
      </c>
      <c r="V4" s="181">
        <f t="shared" ref="V4:V6" si="5">IF(H4&lt;&gt;0,H4-S4-T4-U4,0)</f>
        <v>0</v>
      </c>
    </row>
    <row r="5" spans="1:23">
      <c r="A5" s="172">
        <v>2019</v>
      </c>
      <c r="B5" s="172">
        <v>11</v>
      </c>
      <c r="C5" s="173">
        <f t="shared" ref="C5:C6" si="6">IF(D5 &lt;&gt; 0,C4+D5, 0)</f>
        <v>5464873</v>
      </c>
      <c r="D5" s="174">
        <v>488105.99999999988</v>
      </c>
      <c r="E5" s="175">
        <f t="shared" si="0"/>
        <v>8.9316988702207695E-2</v>
      </c>
      <c r="F5" s="174">
        <v>546293.99999999988</v>
      </c>
      <c r="G5" s="174">
        <v>-58188</v>
      </c>
      <c r="H5" s="172">
        <v>3</v>
      </c>
      <c r="I5" s="172">
        <v>2</v>
      </c>
      <c r="J5" s="172">
        <v>1</v>
      </c>
      <c r="K5" s="176">
        <f t="shared" si="1"/>
        <v>0.66666666666666663</v>
      </c>
      <c r="L5" s="177">
        <f t="shared" si="2"/>
        <v>273146.99999999994</v>
      </c>
      <c r="M5" s="178">
        <f t="shared" si="3"/>
        <v>-58188</v>
      </c>
      <c r="N5" s="179">
        <v>10</v>
      </c>
      <c r="O5" s="179">
        <v>-58188</v>
      </c>
      <c r="P5" s="180">
        <f t="shared" si="4"/>
        <v>-1.0647639936005832E-2</v>
      </c>
      <c r="Q5" s="181">
        <v>2</v>
      </c>
      <c r="R5" s="181">
        <v>1</v>
      </c>
      <c r="S5" s="181">
        <v>2</v>
      </c>
      <c r="T5" s="181">
        <v>1</v>
      </c>
      <c r="U5" s="181">
        <v>0</v>
      </c>
      <c r="V5" s="181">
        <f t="shared" si="5"/>
        <v>0</v>
      </c>
    </row>
    <row r="6" spans="1:23">
      <c r="A6" s="172">
        <v>2019</v>
      </c>
      <c r="B6" s="172">
        <v>12</v>
      </c>
      <c r="C6" s="173">
        <f t="shared" si="6"/>
        <v>5496135</v>
      </c>
      <c r="D6" s="174">
        <v>31262</v>
      </c>
      <c r="E6" s="175">
        <f t="shared" si="0"/>
        <v>5.6879971106968807E-3</v>
      </c>
      <c r="F6" s="174">
        <v>54150</v>
      </c>
      <c r="G6" s="174">
        <v>-22888</v>
      </c>
      <c r="H6" s="172">
        <v>2</v>
      </c>
      <c r="I6" s="172">
        <v>1</v>
      </c>
      <c r="J6" s="172">
        <v>1</v>
      </c>
      <c r="K6" s="176">
        <f t="shared" si="1"/>
        <v>0.5</v>
      </c>
      <c r="L6" s="177">
        <f t="shared" si="2"/>
        <v>54150</v>
      </c>
      <c r="M6" s="178">
        <f t="shared" si="3"/>
        <v>-22888</v>
      </c>
      <c r="N6" s="179">
        <v>16.5</v>
      </c>
      <c r="O6" s="179">
        <v>-22888</v>
      </c>
      <c r="P6" s="180">
        <f t="shared" si="4"/>
        <v>-4.1643809695358644E-3</v>
      </c>
      <c r="Q6" s="181">
        <v>1</v>
      </c>
      <c r="R6" s="181">
        <v>1</v>
      </c>
      <c r="S6" s="181">
        <v>1</v>
      </c>
      <c r="T6" s="181">
        <v>0</v>
      </c>
      <c r="U6" s="181">
        <v>1</v>
      </c>
      <c r="V6" s="181">
        <f t="shared" si="5"/>
        <v>0</v>
      </c>
    </row>
    <row r="8" spans="1:23">
      <c r="C8" s="10"/>
      <c r="D8" s="10"/>
    </row>
    <row r="15" spans="1:23">
      <c r="A15" s="21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42" sqref="D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19"/>
  <sheetViews>
    <sheetView showGridLines="0" zoomScale="115" zoomScaleNormal="115" workbookViewId="0">
      <selection activeCell="F30" sqref="F30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6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1.8</v>
      </c>
      <c r="D8" s="24">
        <v>3</v>
      </c>
      <c r="F8" s="4" t="s">
        <v>96</v>
      </c>
      <c r="G8" s="164">
        <v>-2.5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97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98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9">
      <c r="B17" s="4" t="s">
        <v>92</v>
      </c>
      <c r="C17" s="228" t="s">
        <v>91</v>
      </c>
      <c r="D17" s="229"/>
      <c r="E17" s="229"/>
      <c r="F17" s="229"/>
      <c r="G17" s="230"/>
    </row>
    <row r="18" spans="2:9">
      <c r="B18" s="4" t="s">
        <v>90</v>
      </c>
      <c r="C18" s="223" t="str">
        <f>C17 &amp; "\master\" &amp; H18</f>
        <v>G:\Stock\pairs_trade\pair_trade\stock_data\master\master.csv</v>
      </c>
      <c r="D18" s="224"/>
      <c r="E18" s="224"/>
      <c r="F18" s="224"/>
      <c r="G18" s="225"/>
      <c r="H18" s="233" t="s">
        <v>1308</v>
      </c>
      <c r="I18" s="234"/>
    </row>
    <row r="19" spans="2:9">
      <c r="B19" s="4" t="s">
        <v>397</v>
      </c>
      <c r="C19" s="226" t="str">
        <f>C17 &amp; "\master\" &amp; H19</f>
        <v>G:\Stock\pairs_trade\pair_trade\stock_data\master\fiscal_data.csv</v>
      </c>
      <c r="D19" s="227"/>
      <c r="E19" s="227"/>
      <c r="F19" s="227"/>
      <c r="G19" s="227"/>
      <c r="H19" s="231" t="s">
        <v>1307</v>
      </c>
      <c r="I19" s="232"/>
    </row>
  </sheetData>
  <mergeCells count="5"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Z300"/>
  <sheetViews>
    <sheetView showGridLines="0" zoomScaleNormal="100" workbookViewId="0">
      <selection activeCell="C1" sqref="C1"/>
    </sheetView>
  </sheetViews>
  <sheetFormatPr defaultRowHeight="14.25"/>
  <cols>
    <col min="1" max="1" width="7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10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1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52" ht="15" thickBot="1"/>
    <row r="2" spans="1:52">
      <c r="A2" s="114"/>
      <c r="B2" s="239" t="s">
        <v>311</v>
      </c>
      <c r="C2" s="236"/>
      <c r="D2" s="236"/>
      <c r="E2" s="236"/>
      <c r="F2" s="236"/>
      <c r="G2" s="237"/>
      <c r="H2" s="240" t="s">
        <v>312</v>
      </c>
      <c r="I2" s="236"/>
      <c r="J2" s="236"/>
      <c r="K2" s="236"/>
      <c r="L2" s="236"/>
      <c r="M2" s="237"/>
      <c r="N2" s="235" t="s">
        <v>313</v>
      </c>
      <c r="O2" s="236"/>
      <c r="P2" s="236"/>
      <c r="Q2" s="236"/>
      <c r="R2" s="237"/>
      <c r="S2" s="238" t="s">
        <v>314</v>
      </c>
      <c r="T2" s="236"/>
      <c r="U2" s="236"/>
      <c r="V2" s="236"/>
      <c r="W2" s="236"/>
      <c r="X2" s="236"/>
      <c r="Y2" s="237"/>
      <c r="Z2" s="119" t="s">
        <v>315</v>
      </c>
      <c r="AA2" s="120"/>
      <c r="AB2" s="120"/>
      <c r="AC2" s="121"/>
    </row>
    <row r="3" spans="1:52" s="22" customFormat="1" ht="28.5" customHeight="1" thickBot="1">
      <c r="A3" s="115"/>
      <c r="B3" s="117" t="s">
        <v>316</v>
      </c>
      <c r="C3" s="133" t="s">
        <v>317</v>
      </c>
      <c r="D3" s="133" t="s">
        <v>318</v>
      </c>
      <c r="E3" s="133" t="s">
        <v>319</v>
      </c>
      <c r="F3" s="133" t="s">
        <v>320</v>
      </c>
      <c r="G3" s="134" t="s">
        <v>396</v>
      </c>
      <c r="H3" s="118" t="s">
        <v>316</v>
      </c>
      <c r="I3" s="122" t="s">
        <v>317</v>
      </c>
      <c r="J3" s="122" t="s">
        <v>318</v>
      </c>
      <c r="K3" s="122" t="s">
        <v>319</v>
      </c>
      <c r="L3" s="122" t="s">
        <v>320</v>
      </c>
      <c r="M3" s="123" t="s">
        <v>395</v>
      </c>
      <c r="N3" s="124" t="s">
        <v>321</v>
      </c>
      <c r="O3" s="125" t="s">
        <v>322</v>
      </c>
      <c r="P3" s="125" t="s">
        <v>323</v>
      </c>
      <c r="Q3" s="125" t="s">
        <v>324</v>
      </c>
      <c r="R3" s="126" t="s">
        <v>325</v>
      </c>
      <c r="S3" s="127" t="s">
        <v>326</v>
      </c>
      <c r="T3" s="128" t="s">
        <v>327</v>
      </c>
      <c r="U3" s="116" t="s">
        <v>328</v>
      </c>
      <c r="V3" s="116" t="s">
        <v>329</v>
      </c>
      <c r="W3" s="116" t="s">
        <v>330</v>
      </c>
      <c r="X3" s="128" t="s">
        <v>331</v>
      </c>
      <c r="Y3" s="129" t="s">
        <v>332</v>
      </c>
      <c r="Z3" s="130" t="s">
        <v>333</v>
      </c>
      <c r="AA3" s="131" t="s">
        <v>334</v>
      </c>
      <c r="AB3" s="131" t="s">
        <v>335</v>
      </c>
      <c r="AC3" s="163" t="s">
        <v>336</v>
      </c>
    </row>
    <row r="4" spans="1:52">
      <c r="A4" s="132" t="s">
        <v>305</v>
      </c>
      <c r="B4">
        <v>3105</v>
      </c>
      <c r="C4" s="114" t="s">
        <v>117</v>
      </c>
      <c r="D4" s="114" t="s">
        <v>113</v>
      </c>
      <c r="E4">
        <v>1033</v>
      </c>
      <c r="F4">
        <v>1000</v>
      </c>
      <c r="H4">
        <v>6471</v>
      </c>
      <c r="I4" s="114" t="s">
        <v>167</v>
      </c>
      <c r="J4" s="114" t="s">
        <v>126</v>
      </c>
      <c r="K4">
        <v>1065</v>
      </c>
      <c r="L4">
        <v>1000</v>
      </c>
      <c r="M4"/>
      <c r="N4">
        <v>2.11885555417066</v>
      </c>
      <c r="O4">
        <v>6</v>
      </c>
      <c r="P4">
        <v>1033000</v>
      </c>
      <c r="Q4">
        <v>1065000</v>
      </c>
      <c r="R4">
        <v>3</v>
      </c>
      <c r="S4">
        <v>378866</v>
      </c>
      <c r="T4">
        <v>25258</v>
      </c>
      <c r="U4" s="144">
        <v>15</v>
      </c>
      <c r="V4" s="144">
        <v>8</v>
      </c>
      <c r="W4" s="144" t="s">
        <v>1079</v>
      </c>
      <c r="X4">
        <v>53.33</v>
      </c>
      <c r="Y4">
        <v>13</v>
      </c>
      <c r="Z4">
        <v>0.91062990157089496</v>
      </c>
      <c r="AA4">
        <v>0.90753069751786297</v>
      </c>
      <c r="AB4">
        <v>0.13729692805167901</v>
      </c>
      <c r="AC4">
        <v>0.101256154177574</v>
      </c>
      <c r="AD4" s="132" t="s">
        <v>1078</v>
      </c>
    </row>
    <row r="5" spans="1:52" s="145" customFormat="1">
      <c r="A5" s="132" t="s">
        <v>305</v>
      </c>
      <c r="B5">
        <v>7181</v>
      </c>
      <c r="C5" s="114" t="s">
        <v>166</v>
      </c>
      <c r="D5" s="114" t="s">
        <v>137</v>
      </c>
      <c r="E5">
        <v>1938</v>
      </c>
      <c r="F5">
        <v>500</v>
      </c>
      <c r="G5"/>
      <c r="H5">
        <v>9956</v>
      </c>
      <c r="I5" s="114" t="s">
        <v>363</v>
      </c>
      <c r="J5" s="114" t="s">
        <v>122</v>
      </c>
      <c r="K5">
        <v>2042</v>
      </c>
      <c r="L5">
        <v>500</v>
      </c>
      <c r="M5"/>
      <c r="N5">
        <v>2.2417069653342998</v>
      </c>
      <c r="O5">
        <v>5.56</v>
      </c>
      <c r="P5">
        <v>969000</v>
      </c>
      <c r="Q5">
        <v>1021000</v>
      </c>
      <c r="R5">
        <v>5.09</v>
      </c>
      <c r="S5">
        <v>196402</v>
      </c>
      <c r="T5">
        <v>15108</v>
      </c>
      <c r="U5" s="144">
        <v>13</v>
      </c>
      <c r="V5" s="144">
        <v>9</v>
      </c>
      <c r="W5" s="144" t="s">
        <v>1339</v>
      </c>
      <c r="X5">
        <v>69.23</v>
      </c>
      <c r="Y5">
        <v>14</v>
      </c>
      <c r="Z5">
        <v>0.92637450934424503</v>
      </c>
      <c r="AA5">
        <v>0.94953852059482802</v>
      </c>
      <c r="AB5">
        <v>1.55587726962039E-3</v>
      </c>
      <c r="AC5">
        <v>0.22265582683134399</v>
      </c>
      <c r="AD5" s="132" t="s">
        <v>1078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s="145" customFormat="1">
      <c r="A6" s="132" t="s">
        <v>305</v>
      </c>
      <c r="B6">
        <v>1860</v>
      </c>
      <c r="C6" s="114" t="s">
        <v>138</v>
      </c>
      <c r="D6" s="114" t="s">
        <v>103</v>
      </c>
      <c r="E6">
        <v>707</v>
      </c>
      <c r="F6">
        <v>1400</v>
      </c>
      <c r="G6" s="114" t="s">
        <v>885</v>
      </c>
      <c r="H6">
        <v>5110</v>
      </c>
      <c r="I6" s="114" t="s">
        <v>157</v>
      </c>
      <c r="J6" s="114" t="s">
        <v>158</v>
      </c>
      <c r="K6">
        <v>1406</v>
      </c>
      <c r="L6">
        <v>700</v>
      </c>
      <c r="M6"/>
      <c r="N6">
        <v>2.2159708834197902</v>
      </c>
      <c r="O6">
        <v>3.56</v>
      </c>
      <c r="P6">
        <v>989800</v>
      </c>
      <c r="Q6">
        <v>984200</v>
      </c>
      <c r="R6">
        <v>0.56999999999999995</v>
      </c>
      <c r="S6">
        <v>117025</v>
      </c>
      <c r="T6">
        <v>7314</v>
      </c>
      <c r="U6" s="144">
        <v>16</v>
      </c>
      <c r="V6" s="144">
        <v>9</v>
      </c>
      <c r="W6" s="144" t="s">
        <v>1097</v>
      </c>
      <c r="X6">
        <v>56.25</v>
      </c>
      <c r="Y6">
        <v>12</v>
      </c>
      <c r="Z6">
        <v>0.94576409463719502</v>
      </c>
      <c r="AA6">
        <v>0.901895631044205</v>
      </c>
      <c r="AB6">
        <v>2.00746971796123E-2</v>
      </c>
      <c r="AC6">
        <v>7.8096586386658196E-3</v>
      </c>
      <c r="AD6" s="132" t="s">
        <v>1078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s="145" customFormat="1">
      <c r="A7" s="132" t="s">
        <v>305</v>
      </c>
      <c r="B7">
        <v>3105</v>
      </c>
      <c r="C7" s="114" t="s">
        <v>117</v>
      </c>
      <c r="D7" s="114" t="s">
        <v>113</v>
      </c>
      <c r="E7">
        <v>1033</v>
      </c>
      <c r="F7">
        <v>1000</v>
      </c>
      <c r="G7"/>
      <c r="H7">
        <v>7762</v>
      </c>
      <c r="I7" s="114" t="s">
        <v>134</v>
      </c>
      <c r="J7" s="114" t="s">
        <v>120</v>
      </c>
      <c r="K7">
        <v>600</v>
      </c>
      <c r="L7">
        <v>1700</v>
      </c>
      <c r="M7"/>
      <c r="N7">
        <v>2.8805299246539202</v>
      </c>
      <c r="O7">
        <v>6.96</v>
      </c>
      <c r="P7">
        <v>1033000</v>
      </c>
      <c r="Q7">
        <v>1020000</v>
      </c>
      <c r="R7">
        <v>1.26</v>
      </c>
      <c r="S7">
        <v>113398</v>
      </c>
      <c r="T7">
        <v>8100</v>
      </c>
      <c r="U7" s="144">
        <v>14</v>
      </c>
      <c r="V7" s="144">
        <v>5</v>
      </c>
      <c r="W7" s="144" t="s">
        <v>1098</v>
      </c>
      <c r="X7">
        <v>35.71</v>
      </c>
      <c r="Y7">
        <v>12</v>
      </c>
      <c r="Z7">
        <v>0.92931848337447298</v>
      </c>
      <c r="AA7">
        <v>0.90377730900064601</v>
      </c>
      <c r="AB7">
        <v>4.71251702228489E-2</v>
      </c>
      <c r="AC7">
        <v>1.3243447022995699E-2</v>
      </c>
      <c r="AD7" s="132" t="s">
        <v>1078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s="145" customFormat="1">
      <c r="A8" s="132" t="s">
        <v>305</v>
      </c>
      <c r="B8">
        <v>3105</v>
      </c>
      <c r="C8" s="114" t="s">
        <v>117</v>
      </c>
      <c r="D8" s="114" t="s">
        <v>113</v>
      </c>
      <c r="E8">
        <v>1033</v>
      </c>
      <c r="F8">
        <v>600</v>
      </c>
      <c r="G8"/>
      <c r="H8">
        <v>6988</v>
      </c>
      <c r="I8" s="114" t="s">
        <v>168</v>
      </c>
      <c r="J8" s="114" t="s">
        <v>86</v>
      </c>
      <c r="K8">
        <v>6170</v>
      </c>
      <c r="L8">
        <v>100</v>
      </c>
      <c r="M8"/>
      <c r="N8">
        <v>2.0528508751194399</v>
      </c>
      <c r="O8">
        <v>5.18</v>
      </c>
      <c r="P8">
        <v>619800</v>
      </c>
      <c r="Q8">
        <v>617000</v>
      </c>
      <c r="R8">
        <v>0.45</v>
      </c>
      <c r="S8">
        <v>59924</v>
      </c>
      <c r="T8">
        <v>3329</v>
      </c>
      <c r="U8" s="144">
        <v>18</v>
      </c>
      <c r="V8" s="144">
        <v>10</v>
      </c>
      <c r="W8" s="144" t="s">
        <v>1080</v>
      </c>
      <c r="X8">
        <v>55.56</v>
      </c>
      <c r="Y8">
        <v>12</v>
      </c>
      <c r="Z8">
        <v>0.920234813928271</v>
      </c>
      <c r="AA8">
        <v>0.94387561063848802</v>
      </c>
      <c r="AB8">
        <v>0.12369843628720301</v>
      </c>
      <c r="AC8">
        <v>3.7044180442017101E-3</v>
      </c>
      <c r="AD8" s="132" t="s">
        <v>1078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s="145" customFormat="1">
      <c r="A9" s="132" t="s">
        <v>305</v>
      </c>
      <c r="B9">
        <v>5991</v>
      </c>
      <c r="C9" s="114" t="s">
        <v>142</v>
      </c>
      <c r="D9" s="114" t="s">
        <v>143</v>
      </c>
      <c r="E9">
        <v>1004</v>
      </c>
      <c r="F9">
        <v>900</v>
      </c>
      <c r="G9"/>
      <c r="H9">
        <v>7267</v>
      </c>
      <c r="I9" s="114" t="s">
        <v>145</v>
      </c>
      <c r="J9" s="114" t="s">
        <v>110</v>
      </c>
      <c r="K9">
        <v>3129</v>
      </c>
      <c r="L9">
        <v>300</v>
      </c>
      <c r="M9"/>
      <c r="N9">
        <v>2.5100843065263598</v>
      </c>
      <c r="O9">
        <v>6.9</v>
      </c>
      <c r="P9">
        <v>903600</v>
      </c>
      <c r="Q9">
        <v>938700</v>
      </c>
      <c r="R9">
        <v>3.74</v>
      </c>
      <c r="S9">
        <v>-2961</v>
      </c>
      <c r="T9">
        <v>-212</v>
      </c>
      <c r="U9" s="144">
        <v>14</v>
      </c>
      <c r="V9" s="144">
        <v>9</v>
      </c>
      <c r="W9" s="144" t="s">
        <v>1077</v>
      </c>
      <c r="X9">
        <v>64.290000000000006</v>
      </c>
      <c r="Y9">
        <v>16</v>
      </c>
      <c r="Z9">
        <v>0.96161250164060397</v>
      </c>
      <c r="AA9">
        <v>0.91467852747132605</v>
      </c>
      <c r="AB9">
        <v>0.135061514202299</v>
      </c>
      <c r="AC9">
        <v>9.7494757346893002E-2</v>
      </c>
      <c r="AD9" s="132" t="s">
        <v>1078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s="145" customFormat="1">
      <c r="A10" s="132" t="s">
        <v>305</v>
      </c>
      <c r="B10">
        <v>6920</v>
      </c>
      <c r="C10" s="114" t="s">
        <v>112</v>
      </c>
      <c r="D10" s="114" t="s">
        <v>113</v>
      </c>
      <c r="E10">
        <v>9850</v>
      </c>
      <c r="F10">
        <v>100</v>
      </c>
      <c r="G10" s="114" t="s">
        <v>726</v>
      </c>
      <c r="H10">
        <v>4062</v>
      </c>
      <c r="I10" s="114" t="s">
        <v>374</v>
      </c>
      <c r="J10" s="114" t="s">
        <v>113</v>
      </c>
      <c r="K10">
        <v>2556</v>
      </c>
      <c r="L10">
        <v>400</v>
      </c>
      <c r="M10"/>
      <c r="N10">
        <v>-2.33442838942333</v>
      </c>
      <c r="O10">
        <v>-20.07</v>
      </c>
      <c r="P10">
        <v>985000</v>
      </c>
      <c r="Q10">
        <v>1022400</v>
      </c>
      <c r="R10">
        <v>3.8</v>
      </c>
      <c r="S10">
        <v>-4708</v>
      </c>
      <c r="T10">
        <v>-262</v>
      </c>
      <c r="U10" s="144">
        <v>18</v>
      </c>
      <c r="V10" s="144">
        <v>9</v>
      </c>
      <c r="W10" s="144" t="s">
        <v>1099</v>
      </c>
      <c r="X10">
        <v>50</v>
      </c>
      <c r="Y10">
        <v>10</v>
      </c>
      <c r="Z10">
        <v>0.92046311928045099</v>
      </c>
      <c r="AA10">
        <v>0.94773087978398896</v>
      </c>
      <c r="AB10">
        <v>0.26943800938653201</v>
      </c>
      <c r="AC10">
        <v>5.2717322610251097E-2</v>
      </c>
      <c r="AD10" s="132" t="s">
        <v>1078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>
      <c r="A11" s="132" t="s">
        <v>305</v>
      </c>
      <c r="B11">
        <v>8410</v>
      </c>
      <c r="C11" s="114" t="s">
        <v>343</v>
      </c>
      <c r="D11" s="114" t="s">
        <v>108</v>
      </c>
      <c r="E11">
        <v>349</v>
      </c>
      <c r="F11">
        <v>3100</v>
      </c>
      <c r="H11">
        <v>9412</v>
      </c>
      <c r="I11" s="114" t="s">
        <v>104</v>
      </c>
      <c r="J11" s="114" t="s">
        <v>105</v>
      </c>
      <c r="K11">
        <v>470</v>
      </c>
      <c r="L11">
        <v>2300</v>
      </c>
      <c r="M11"/>
      <c r="N11">
        <v>2.1997289414113101</v>
      </c>
      <c r="O11">
        <v>7.36</v>
      </c>
      <c r="P11">
        <v>1081900</v>
      </c>
      <c r="Q11">
        <v>1081000</v>
      </c>
      <c r="R11">
        <v>0.08</v>
      </c>
      <c r="S11">
        <v>-93985</v>
      </c>
      <c r="T11">
        <v>-4947</v>
      </c>
      <c r="U11" s="144">
        <v>19</v>
      </c>
      <c r="V11" s="144">
        <v>8</v>
      </c>
      <c r="W11" s="144" t="s">
        <v>1069</v>
      </c>
      <c r="X11">
        <v>42.11</v>
      </c>
      <c r="Y11">
        <v>14</v>
      </c>
      <c r="Z11">
        <v>0.91887363662797605</v>
      </c>
      <c r="AA11">
        <v>0.90031486346553602</v>
      </c>
      <c r="AB11">
        <v>1.6633128041827099E-3</v>
      </c>
      <c r="AC11">
        <v>3.7420293832084899E-4</v>
      </c>
      <c r="AD11" s="132" t="s">
        <v>1078</v>
      </c>
    </row>
    <row r="12" spans="1:52" ht="17.25" hidden="1" customHeight="1">
      <c r="B12">
        <v>8002</v>
      </c>
      <c r="C12" s="114" t="s">
        <v>55</v>
      </c>
      <c r="D12" s="114" t="s">
        <v>128</v>
      </c>
      <c r="E12">
        <v>826.1</v>
      </c>
      <c r="F12">
        <v>1300</v>
      </c>
      <c r="H12">
        <v>8306</v>
      </c>
      <c r="I12" s="114" t="s">
        <v>173</v>
      </c>
      <c r="J12" s="114" t="s">
        <v>108</v>
      </c>
      <c r="K12">
        <v>584.5</v>
      </c>
      <c r="L12">
        <v>1800</v>
      </c>
      <c r="M12"/>
      <c r="N12">
        <v>2.1401112471539099</v>
      </c>
      <c r="O12">
        <v>4.67</v>
      </c>
      <c r="P12">
        <v>1073930</v>
      </c>
      <c r="Q12">
        <v>1052100</v>
      </c>
      <c r="R12">
        <v>2.0299999999999998</v>
      </c>
      <c r="S12">
        <v>-198026</v>
      </c>
      <c r="T12">
        <v>-13202</v>
      </c>
      <c r="U12" s="144">
        <v>15</v>
      </c>
      <c r="V12" s="144">
        <v>4</v>
      </c>
      <c r="W12" s="144" t="s">
        <v>1100</v>
      </c>
      <c r="X12">
        <v>26.67</v>
      </c>
      <c r="Y12">
        <v>16</v>
      </c>
      <c r="Z12">
        <v>0.903738145579976</v>
      </c>
      <c r="AA12">
        <v>0.908779780208264</v>
      </c>
      <c r="AB12">
        <v>0.35111302158819402</v>
      </c>
      <c r="AC12">
        <v>7.1878925266678897E-2</v>
      </c>
    </row>
    <row r="13" spans="1:52" s="145" customFormat="1" ht="17.25" hidden="1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s="145" customFormat="1" ht="17.25" hidden="1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>
      <c r="B15"/>
      <c r="C15"/>
      <c r="D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52">
      <c r="B16"/>
      <c r="C16"/>
      <c r="D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52" s="14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>
      <c r="B18"/>
      <c r="C18"/>
      <c r="D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52">
      <c r="B19"/>
      <c r="C19"/>
      <c r="D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52">
      <c r="B20"/>
      <c r="C20"/>
      <c r="D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52">
      <c r="B21"/>
      <c r="C21"/>
      <c r="D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52" s="14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>
      <c r="B23"/>
      <c r="C23"/>
      <c r="D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1:52">
      <c r="B24"/>
      <c r="C24"/>
      <c r="D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52">
      <c r="B25"/>
      <c r="C25"/>
      <c r="D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52">
      <c r="B26"/>
      <c r="C26"/>
      <c r="D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52">
      <c r="B27"/>
      <c r="C27"/>
      <c r="D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52">
      <c r="B28"/>
      <c r="C28"/>
      <c r="D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52">
      <c r="B29"/>
      <c r="C29"/>
      <c r="D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52">
      <c r="B30"/>
      <c r="C30"/>
      <c r="D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52">
      <c r="B31"/>
      <c r="C31"/>
      <c r="D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52">
      <c r="B32"/>
      <c r="C32"/>
      <c r="D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2:29">
      <c r="B33"/>
      <c r="C33"/>
      <c r="D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2:29">
      <c r="B34"/>
      <c r="C34"/>
      <c r="D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2:29">
      <c r="B35"/>
      <c r="C35"/>
      <c r="D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2:29">
      <c r="B36"/>
      <c r="C36"/>
      <c r="D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2:29">
      <c r="B37"/>
      <c r="C37"/>
      <c r="D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2:29">
      <c r="B38"/>
      <c r="C38"/>
      <c r="D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2:29">
      <c r="B39"/>
      <c r="C39"/>
      <c r="D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2:29">
      <c r="B40"/>
      <c r="C40"/>
      <c r="D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2:29">
      <c r="B41"/>
      <c r="C41"/>
      <c r="D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2:29">
      <c r="B42"/>
      <c r="C42"/>
      <c r="D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2:29">
      <c r="B43"/>
      <c r="C43"/>
      <c r="D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2:29">
      <c r="B44"/>
      <c r="C44"/>
      <c r="D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2:29">
      <c r="B45"/>
      <c r="C45"/>
      <c r="D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2:29">
      <c r="B46"/>
      <c r="C46"/>
      <c r="D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2:29">
      <c r="B47"/>
      <c r="C47"/>
      <c r="D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2:29">
      <c r="B48"/>
      <c r="C48"/>
      <c r="D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2:29">
      <c r="B49"/>
      <c r="C49"/>
      <c r="D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2:29">
      <c r="B50"/>
      <c r="C50"/>
      <c r="D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2:29">
      <c r="B51"/>
      <c r="C51"/>
      <c r="D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2:29">
      <c r="B52"/>
      <c r="C52"/>
      <c r="D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2:29">
      <c r="B53"/>
      <c r="C53"/>
      <c r="D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2:29">
      <c r="B54"/>
      <c r="C54"/>
      <c r="D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2:29">
      <c r="B55"/>
      <c r="C55"/>
      <c r="D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2:29">
      <c r="B56"/>
      <c r="C56"/>
      <c r="D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2:29">
      <c r="B57"/>
      <c r="C57"/>
      <c r="D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2:29">
      <c r="B58"/>
      <c r="C58"/>
      <c r="D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2:29">
      <c r="B59"/>
      <c r="C59"/>
      <c r="D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2:29">
      <c r="B60"/>
      <c r="C60"/>
      <c r="D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2:29">
      <c r="B61"/>
      <c r="C61"/>
      <c r="D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2:29">
      <c r="B62"/>
      <c r="C62"/>
      <c r="D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2:29">
      <c r="B63"/>
      <c r="C63"/>
      <c r="D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2:29">
      <c r="B64"/>
      <c r="C64"/>
      <c r="D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>
      <c r="B65"/>
      <c r="C65"/>
      <c r="D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>
      <c r="B66"/>
      <c r="C66"/>
      <c r="D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>
      <c r="B67"/>
      <c r="C67"/>
      <c r="D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>
      <c r="B68"/>
      <c r="C68"/>
      <c r="D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>
      <c r="B69"/>
      <c r="C69"/>
      <c r="D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>
      <c r="B70"/>
      <c r="C70"/>
      <c r="D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>
      <c r="B71"/>
      <c r="C71"/>
      <c r="D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>
      <c r="B72"/>
      <c r="C72"/>
      <c r="D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>
      <c r="B73"/>
      <c r="C73"/>
      <c r="D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>
      <c r="B74"/>
      <c r="C74"/>
      <c r="D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>
      <c r="B75"/>
      <c r="C75"/>
      <c r="D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>
      <c r="B76"/>
      <c r="C76"/>
      <c r="D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>
      <c r="B77"/>
      <c r="C77"/>
      <c r="D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>
      <c r="B78"/>
      <c r="C78"/>
      <c r="D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>
      <c r="B79"/>
      <c r="C79"/>
      <c r="D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>
      <c r="B80"/>
      <c r="C80"/>
      <c r="D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>
      <c r="B81"/>
      <c r="C81"/>
      <c r="D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>
      <c r="B82"/>
      <c r="C82"/>
      <c r="D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>
      <c r="B83"/>
      <c r="C83"/>
      <c r="D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>
      <c r="B84"/>
      <c r="C84"/>
      <c r="D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>
      <c r="B85"/>
      <c r="C85"/>
      <c r="D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>
      <c r="B86"/>
      <c r="C86"/>
      <c r="D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>
      <c r="B87"/>
      <c r="C87"/>
      <c r="D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>
      <c r="B88"/>
      <c r="C88"/>
      <c r="D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>
      <c r="B89"/>
      <c r="C89"/>
      <c r="D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>
      <c r="B90"/>
      <c r="C90"/>
      <c r="D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>
      <c r="B91"/>
      <c r="C91"/>
      <c r="D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>
      <c r="B92"/>
      <c r="C92"/>
      <c r="D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>
      <c r="B93"/>
      <c r="C93"/>
      <c r="D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>
      <c r="B94"/>
      <c r="C94"/>
      <c r="D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>
      <c r="B95"/>
      <c r="C95"/>
      <c r="D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>
      <c r="B96"/>
      <c r="C96"/>
      <c r="D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>
      <c r="B97"/>
      <c r="C97"/>
      <c r="D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>
      <c r="B98"/>
      <c r="C98"/>
      <c r="D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>
      <c r="B99"/>
      <c r="C99"/>
      <c r="D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>
      <c r="B100"/>
      <c r="C100"/>
      <c r="D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>
      <c r="B101"/>
      <c r="C101"/>
      <c r="D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>
      <c r="B102"/>
      <c r="C102"/>
      <c r="D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>
      <c r="B103"/>
      <c r="C103"/>
      <c r="D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>
      <c r="B104"/>
      <c r="C104"/>
      <c r="D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>
      <c r="B105"/>
      <c r="C105"/>
      <c r="D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>
      <c r="B106"/>
      <c r="C106"/>
      <c r="D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>
      <c r="B107"/>
      <c r="C107"/>
      <c r="D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>
      <c r="B108"/>
      <c r="C108"/>
      <c r="D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>
      <c r="B109"/>
      <c r="C109"/>
      <c r="D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>
      <c r="B110"/>
      <c r="C110"/>
      <c r="D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>
      <c r="B111"/>
      <c r="C111"/>
      <c r="D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>
      <c r="B112"/>
      <c r="C112"/>
      <c r="D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>
      <c r="B113"/>
      <c r="C113"/>
      <c r="D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>
      <c r="B114"/>
      <c r="C114"/>
      <c r="D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>
      <c r="B115"/>
      <c r="C115"/>
      <c r="D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>
      <c r="B116"/>
      <c r="C116"/>
      <c r="D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>
      <c r="B117"/>
      <c r="C117"/>
      <c r="D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>
      <c r="B118"/>
      <c r="C118"/>
      <c r="D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>
      <c r="B119"/>
      <c r="C119"/>
      <c r="D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>
      <c r="B120"/>
      <c r="C120"/>
      <c r="D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>
      <c r="B121"/>
      <c r="C121"/>
      <c r="D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>
      <c r="B122"/>
      <c r="C122"/>
      <c r="D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>
      <c r="B123"/>
      <c r="C123"/>
      <c r="D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>
      <c r="B124"/>
      <c r="C124"/>
      <c r="D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>
      <c r="B125"/>
      <c r="C125"/>
      <c r="D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>
      <c r="B126"/>
      <c r="C126"/>
      <c r="D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>
      <c r="B127"/>
      <c r="C127"/>
      <c r="D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>
      <c r="B128"/>
      <c r="C128"/>
      <c r="D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>
      <c r="B129"/>
      <c r="C129"/>
      <c r="D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>
      <c r="B130"/>
      <c r="C130"/>
      <c r="D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>
      <c r="B131"/>
      <c r="C131"/>
      <c r="D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>
      <c r="B132"/>
      <c r="C132"/>
      <c r="D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>
      <c r="B133"/>
      <c r="C133"/>
      <c r="D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>
      <c r="B134"/>
      <c r="C134"/>
      <c r="D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>
      <c r="B135"/>
      <c r="C135"/>
      <c r="D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>
      <c r="B136"/>
      <c r="C136"/>
      <c r="D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>
      <c r="B137"/>
      <c r="C137"/>
      <c r="D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>
      <c r="B138"/>
      <c r="C138"/>
      <c r="D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>
      <c r="B139"/>
      <c r="C139"/>
      <c r="D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>
      <c r="B140"/>
      <c r="C140"/>
      <c r="D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>
      <c r="B141"/>
      <c r="C141"/>
      <c r="D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>
      <c r="B142"/>
      <c r="C142"/>
      <c r="D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>
      <c r="B143"/>
      <c r="C143"/>
      <c r="D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>
      <c r="B144"/>
      <c r="C144"/>
      <c r="D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2:29">
      <c r="B145"/>
      <c r="C145"/>
      <c r="D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2:29">
      <c r="B146"/>
      <c r="C146"/>
      <c r="D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2:29">
      <c r="B147"/>
      <c r="C147"/>
      <c r="D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2:29">
      <c r="B148"/>
      <c r="C148"/>
      <c r="D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2:29">
      <c r="B149"/>
      <c r="C149"/>
      <c r="D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2:29">
      <c r="B150"/>
      <c r="C150"/>
      <c r="D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2:29">
      <c r="B151"/>
      <c r="C151"/>
      <c r="D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2:29">
      <c r="B152"/>
      <c r="C152"/>
      <c r="D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2:29">
      <c r="B153"/>
      <c r="C153"/>
      <c r="D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2:29">
      <c r="B154"/>
      <c r="C154"/>
      <c r="D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2:29">
      <c r="B155"/>
      <c r="C155"/>
      <c r="D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2:29">
      <c r="B156"/>
      <c r="C156"/>
      <c r="D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>
      <c r="B157"/>
      <c r="C157"/>
      <c r="D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2:29">
      <c r="B158"/>
      <c r="C158"/>
      <c r="D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2:29">
      <c r="B159"/>
      <c r="C159"/>
      <c r="D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2:29">
      <c r="B160"/>
      <c r="C160"/>
      <c r="D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2:29">
      <c r="B161"/>
      <c r="C161"/>
      <c r="D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2:29">
      <c r="B162"/>
      <c r="C162"/>
      <c r="D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2:29">
      <c r="B163"/>
      <c r="C163"/>
      <c r="D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2:29">
      <c r="B164"/>
      <c r="C164"/>
      <c r="D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2:29">
      <c r="B165"/>
      <c r="C165"/>
      <c r="D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2:29">
      <c r="B166"/>
      <c r="C166"/>
      <c r="D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2:29">
      <c r="B167"/>
      <c r="C167"/>
      <c r="D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2:29">
      <c r="B168"/>
      <c r="C168"/>
      <c r="D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2:29">
      <c r="B169"/>
      <c r="C169"/>
      <c r="D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2:29">
      <c r="B170"/>
      <c r="C170"/>
      <c r="D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2:29">
      <c r="B171"/>
      <c r="C171"/>
      <c r="D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2:29">
      <c r="B172"/>
      <c r="C172"/>
      <c r="D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2:29">
      <c r="B173"/>
      <c r="C173"/>
      <c r="D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2:29">
      <c r="B174"/>
      <c r="C174"/>
      <c r="D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2:29">
      <c r="B175"/>
      <c r="C175"/>
      <c r="D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2:29">
      <c r="B176"/>
      <c r="C176"/>
      <c r="D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2:29">
      <c r="B177"/>
      <c r="C177"/>
      <c r="D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2:29">
      <c r="B178"/>
      <c r="C178"/>
      <c r="D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2:29">
      <c r="B179"/>
      <c r="C179"/>
      <c r="D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2:29">
      <c r="B180"/>
      <c r="C180"/>
      <c r="D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2:29">
      <c r="B181"/>
      <c r="C181"/>
      <c r="D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2:29">
      <c r="B182"/>
      <c r="C182"/>
      <c r="D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2:29">
      <c r="B183"/>
      <c r="C183"/>
      <c r="D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2:29">
      <c r="B184"/>
      <c r="C184"/>
      <c r="D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2:29">
      <c r="B185"/>
      <c r="C185"/>
      <c r="D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2:29">
      <c r="B186"/>
      <c r="C186"/>
      <c r="D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2:29">
      <c r="B187"/>
      <c r="C187"/>
      <c r="D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2:29">
      <c r="B188"/>
      <c r="C188"/>
      <c r="D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2:29">
      <c r="B189"/>
      <c r="C189"/>
      <c r="D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2:29">
      <c r="B190"/>
      <c r="C190"/>
      <c r="D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2:29">
      <c r="B191"/>
      <c r="C191"/>
      <c r="D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2:29">
      <c r="B192"/>
      <c r="C192"/>
      <c r="D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2:29">
      <c r="B193"/>
      <c r="C193"/>
      <c r="D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2:29">
      <c r="B194"/>
      <c r="C194"/>
      <c r="D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2:29">
      <c r="B195"/>
      <c r="C195"/>
      <c r="D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2:29">
      <c r="B196"/>
      <c r="C196"/>
      <c r="D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2:29">
      <c r="B197"/>
      <c r="C197"/>
      <c r="D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2:29">
      <c r="B198"/>
      <c r="C198"/>
      <c r="D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2:29">
      <c r="B199"/>
      <c r="C199"/>
      <c r="D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2:29">
      <c r="B200"/>
      <c r="C200"/>
      <c r="D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2:29">
      <c r="B201"/>
      <c r="C201"/>
      <c r="D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2:29">
      <c r="B202"/>
      <c r="C202"/>
      <c r="D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2:29">
      <c r="B203"/>
      <c r="C203"/>
      <c r="D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2:29">
      <c r="B204"/>
      <c r="C204"/>
      <c r="D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2:29">
      <c r="B205"/>
      <c r="C205"/>
      <c r="D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2:29">
      <c r="B206"/>
      <c r="C206"/>
      <c r="D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2:29">
      <c r="B207"/>
      <c r="C207"/>
      <c r="D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2:29">
      <c r="B208"/>
      <c r="C208"/>
      <c r="D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2:29">
      <c r="B209"/>
      <c r="C209"/>
      <c r="D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2:29">
      <c r="B210"/>
      <c r="C210"/>
      <c r="D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2:29">
      <c r="B211"/>
      <c r="C211"/>
      <c r="D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2:29">
      <c r="B212"/>
      <c r="C212"/>
      <c r="D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2:29">
      <c r="B213"/>
      <c r="C213"/>
      <c r="D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2:29">
      <c r="B214"/>
      <c r="C214"/>
      <c r="D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2:29">
      <c r="B215"/>
      <c r="C215"/>
      <c r="D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2:29">
      <c r="B216"/>
      <c r="C216"/>
      <c r="D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2:29">
      <c r="B217"/>
      <c r="C217"/>
      <c r="D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2:29">
      <c r="B218"/>
      <c r="C218"/>
      <c r="D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2:29">
      <c r="B219"/>
      <c r="C219"/>
      <c r="D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2:29">
      <c r="B220"/>
      <c r="C220"/>
      <c r="D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2:29">
      <c r="B221"/>
      <c r="C221"/>
      <c r="D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2:29">
      <c r="B222"/>
      <c r="C222"/>
      <c r="D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2:29">
      <c r="B223"/>
      <c r="C223"/>
      <c r="D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2:29">
      <c r="B224"/>
      <c r="C224"/>
      <c r="D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2:29">
      <c r="B225"/>
      <c r="C225"/>
      <c r="D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2:29">
      <c r="B226"/>
      <c r="C226"/>
      <c r="D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2:29">
      <c r="B227"/>
      <c r="C227"/>
      <c r="D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2:29">
      <c r="B228"/>
      <c r="C228"/>
      <c r="D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2:29">
      <c r="B229"/>
      <c r="C229"/>
      <c r="D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2:29">
      <c r="B230"/>
      <c r="C230"/>
      <c r="D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2:29">
      <c r="B231"/>
      <c r="C231"/>
      <c r="D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2:29">
      <c r="B232"/>
      <c r="C232"/>
      <c r="D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2:29">
      <c r="B233"/>
      <c r="C233"/>
      <c r="D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2:29">
      <c r="B234"/>
      <c r="C234"/>
      <c r="D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2:29">
      <c r="B235"/>
      <c r="C235"/>
      <c r="D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2:29">
      <c r="B236"/>
      <c r="C236"/>
      <c r="D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2:29">
      <c r="B237"/>
      <c r="C237"/>
      <c r="D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2:29">
      <c r="B238"/>
      <c r="C238"/>
      <c r="D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2:29">
      <c r="B239"/>
      <c r="C239"/>
      <c r="D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2:29">
      <c r="B240"/>
      <c r="C240"/>
      <c r="D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  <row r="241" spans="2:29">
      <c r="B241"/>
      <c r="C241"/>
      <c r="D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</row>
    <row r="242" spans="2:29">
      <c r="B242"/>
      <c r="C242"/>
      <c r="D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</row>
    <row r="243" spans="2:29">
      <c r="B243"/>
      <c r="C243"/>
      <c r="D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</row>
    <row r="244" spans="2:29">
      <c r="B244"/>
      <c r="C244"/>
      <c r="D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</row>
    <row r="245" spans="2:29">
      <c r="B245"/>
      <c r="C245"/>
      <c r="D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</row>
    <row r="246" spans="2:29">
      <c r="B246"/>
      <c r="C246"/>
      <c r="D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</row>
    <row r="247" spans="2:29">
      <c r="B247"/>
      <c r="C247"/>
      <c r="D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</row>
    <row r="248" spans="2:29">
      <c r="B248"/>
      <c r="C248"/>
      <c r="D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</row>
    <row r="249" spans="2:29">
      <c r="B249"/>
      <c r="C249"/>
      <c r="D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</row>
    <row r="250" spans="2:29">
      <c r="B250"/>
      <c r="C250"/>
      <c r="D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</row>
    <row r="251" spans="2:29">
      <c r="B251"/>
      <c r="C251"/>
      <c r="D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</row>
    <row r="252" spans="2:29">
      <c r="B252"/>
      <c r="C252"/>
      <c r="D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</row>
    <row r="253" spans="2:29">
      <c r="B253"/>
      <c r="C253"/>
      <c r="D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</row>
    <row r="254" spans="2:29">
      <c r="B254"/>
      <c r="C254"/>
      <c r="D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</row>
    <row r="255" spans="2:29">
      <c r="B255"/>
      <c r="C255"/>
      <c r="D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</row>
    <row r="256" spans="2:29">
      <c r="B256"/>
      <c r="C256"/>
      <c r="D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</row>
    <row r="257" spans="2:29">
      <c r="B257"/>
      <c r="C257"/>
      <c r="D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</row>
    <row r="258" spans="2:29">
      <c r="B258"/>
      <c r="C258"/>
      <c r="D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</row>
    <row r="259" spans="2:29">
      <c r="B259"/>
      <c r="C259"/>
      <c r="D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</row>
    <row r="260" spans="2:29">
      <c r="B260"/>
      <c r="C260"/>
      <c r="D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</row>
    <row r="261" spans="2:29">
      <c r="B261"/>
      <c r="C261"/>
      <c r="D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</row>
    <row r="262" spans="2:29">
      <c r="B262"/>
      <c r="C262"/>
      <c r="D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</row>
    <row r="263" spans="2:29">
      <c r="B263"/>
      <c r="C263"/>
      <c r="D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2:29">
      <c r="B264"/>
      <c r="C264"/>
      <c r="D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2:29">
      <c r="B265"/>
      <c r="C265"/>
      <c r="D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2:29">
      <c r="B266"/>
      <c r="C266"/>
      <c r="D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</row>
    <row r="267" spans="2:29">
      <c r="B267"/>
      <c r="C267"/>
      <c r="D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</row>
    <row r="268" spans="2:29">
      <c r="B268"/>
      <c r="C268"/>
      <c r="D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</row>
    <row r="269" spans="2:29">
      <c r="B269"/>
      <c r="C269"/>
      <c r="D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</row>
    <row r="270" spans="2:29">
      <c r="B270"/>
      <c r="C270"/>
      <c r="D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</row>
    <row r="271" spans="2:29">
      <c r="B271"/>
      <c r="C271"/>
      <c r="D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</row>
    <row r="272" spans="2:29">
      <c r="B272"/>
      <c r="C272"/>
      <c r="D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</row>
    <row r="273" spans="2:29">
      <c r="B273"/>
      <c r="C273"/>
      <c r="D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</row>
    <row r="274" spans="2:29">
      <c r="B274"/>
      <c r="C274"/>
      <c r="D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</row>
    <row r="275" spans="2:29">
      <c r="B275"/>
      <c r="C275"/>
      <c r="D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</row>
    <row r="276" spans="2:29">
      <c r="B276"/>
      <c r="C276"/>
      <c r="D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</row>
    <row r="277" spans="2:29">
      <c r="B277"/>
      <c r="C277"/>
      <c r="D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</row>
    <row r="278" spans="2:29">
      <c r="B278"/>
      <c r="C278"/>
      <c r="D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</row>
    <row r="279" spans="2:29">
      <c r="B279"/>
      <c r="C279"/>
      <c r="D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</row>
    <row r="280" spans="2:29">
      <c r="B280"/>
      <c r="C280"/>
      <c r="D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</row>
    <row r="281" spans="2:29">
      <c r="B281"/>
      <c r="C281"/>
      <c r="D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</row>
    <row r="282" spans="2:29">
      <c r="B282"/>
      <c r="C282"/>
      <c r="D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</row>
    <row r="283" spans="2:29">
      <c r="B283"/>
      <c r="C283"/>
      <c r="D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</row>
    <row r="284" spans="2:29">
      <c r="B284"/>
      <c r="C284"/>
      <c r="D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</row>
    <row r="285" spans="2:29">
      <c r="B285"/>
      <c r="C285"/>
      <c r="D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</row>
    <row r="286" spans="2:29">
      <c r="B286"/>
      <c r="C286"/>
      <c r="D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</row>
    <row r="287" spans="2:29">
      <c r="B287"/>
      <c r="C287"/>
      <c r="D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</row>
    <row r="288" spans="2:29">
      <c r="B288"/>
      <c r="C288"/>
      <c r="D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</row>
    <row r="289" spans="2:29">
      <c r="B289"/>
      <c r="C289"/>
      <c r="D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</row>
    <row r="290" spans="2:29">
      <c r="B290"/>
      <c r="C290"/>
      <c r="D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</row>
    <row r="291" spans="2:29">
      <c r="B291"/>
      <c r="C291"/>
      <c r="D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</row>
    <row r="292" spans="2:29">
      <c r="B292"/>
      <c r="C292"/>
      <c r="D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</row>
    <row r="293" spans="2:29">
      <c r="B293"/>
      <c r="C293"/>
      <c r="D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</row>
    <row r="294" spans="2:29">
      <c r="B294"/>
      <c r="C294"/>
      <c r="D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</row>
    <row r="295" spans="2:29">
      <c r="B295"/>
      <c r="C295"/>
      <c r="D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</row>
    <row r="296" spans="2:29">
      <c r="B296"/>
      <c r="C296"/>
      <c r="D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</row>
    <row r="297" spans="2:29">
      <c r="B297"/>
      <c r="C297"/>
      <c r="D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</row>
    <row r="298" spans="2:29">
      <c r="B298"/>
      <c r="C298"/>
      <c r="D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</row>
    <row r="299" spans="2:29">
      <c r="B299"/>
      <c r="C299"/>
      <c r="D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</row>
    <row r="300" spans="2:29">
      <c r="B300"/>
      <c r="C300"/>
      <c r="D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D4" display="Setup"/>
    <hyperlink ref="A5" display="Select"/>
    <hyperlink ref="AD5" display="Setup"/>
    <hyperlink ref="A6" display="Select"/>
    <hyperlink ref="AD6" display="Setup"/>
    <hyperlink ref="A7" display="Select"/>
    <hyperlink ref="AD7" display="Setup"/>
    <hyperlink ref="A8" display="Select"/>
    <hyperlink ref="AD8" display="Setup"/>
    <hyperlink ref="A9" display="Select"/>
    <hyperlink ref="AD9" display="Setup"/>
    <hyperlink ref="A10" display="Select"/>
    <hyperlink ref="AD10" display="Setup"/>
    <hyperlink ref="A11" display="Select"/>
    <hyperlink ref="AD11" display="Setup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241" t="s">
        <v>174</v>
      </c>
      <c r="D2" s="242"/>
      <c r="E2">
        <v>8804</v>
      </c>
      <c r="G2" s="1" t="s">
        <v>32</v>
      </c>
    </row>
    <row r="3" spans="3:11">
      <c r="C3" s="241" t="s">
        <v>35</v>
      </c>
      <c r="D3" s="242"/>
      <c r="E3">
        <v>5711</v>
      </c>
    </row>
    <row r="4" spans="3:11">
      <c r="C4" s="241" t="s">
        <v>25</v>
      </c>
      <c r="D4" s="242"/>
    </row>
    <row r="5" spans="3:11">
      <c r="C5" s="241" t="s">
        <v>26</v>
      </c>
      <c r="D5" s="242"/>
    </row>
    <row r="6" spans="3:11">
      <c r="C6" s="241" t="s">
        <v>28</v>
      </c>
      <c r="D6" s="242"/>
    </row>
    <row r="7" spans="3:11">
      <c r="C7" s="241" t="s">
        <v>27</v>
      </c>
      <c r="D7" s="242"/>
    </row>
    <row r="8" spans="3:11">
      <c r="C8" s="241" t="s">
        <v>29</v>
      </c>
      <c r="D8" s="242"/>
      <c r="K8" s="1" t="s">
        <v>41</v>
      </c>
    </row>
    <row r="9" spans="3:11">
      <c r="C9" s="241" t="s">
        <v>20</v>
      </c>
      <c r="D9" s="242"/>
      <c r="K9" s="1" t="s">
        <v>42</v>
      </c>
    </row>
    <row r="10" spans="3:11">
      <c r="C10" s="241" t="s">
        <v>9</v>
      </c>
      <c r="D10" s="242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U777"/>
  <sheetViews>
    <sheetView showGridLines="0" workbookViewId="0">
      <selection activeCell="V28" sqref="V28"/>
    </sheetView>
  </sheetViews>
  <sheetFormatPr defaultRowHeight="14.25"/>
  <cols>
    <col min="1" max="1" width="9.125" customWidth="1"/>
  </cols>
  <sheetData>
    <row r="1" spans="1:21" ht="22.5" customHeight="1" thickBot="1">
      <c r="A1" s="147"/>
      <c r="B1" s="148" t="s">
        <v>1072</v>
      </c>
      <c r="C1" s="114">
        <v>3105</v>
      </c>
      <c r="D1" s="151" t="s">
        <v>1345</v>
      </c>
      <c r="H1" s="149" t="s">
        <v>1076</v>
      </c>
      <c r="I1" s="114">
        <v>6988</v>
      </c>
      <c r="J1" s="150" t="s">
        <v>1346</v>
      </c>
      <c r="N1" s="148" t="s">
        <v>1073</v>
      </c>
      <c r="O1" s="148">
        <v>8</v>
      </c>
      <c r="P1" s="148"/>
      <c r="Q1" s="148" t="s">
        <v>1074</v>
      </c>
      <c r="R1" s="148">
        <v>5</v>
      </c>
      <c r="T1" s="148" t="s">
        <v>1075</v>
      </c>
      <c r="U1" s="114" t="s">
        <v>1342</v>
      </c>
    </row>
    <row r="2" spans="1:21">
      <c r="B2" s="102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4"/>
    </row>
    <row r="3" spans="1:21">
      <c r="B3" s="105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6"/>
    </row>
    <row r="4" spans="1:21">
      <c r="B4" s="10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6"/>
    </row>
    <row r="5" spans="1:21">
      <c r="B5" s="105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6"/>
    </row>
    <row r="6" spans="1:21">
      <c r="A6" s="114" t="s">
        <v>393</v>
      </c>
      <c r="B6" s="10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6"/>
    </row>
    <row r="7" spans="1:21">
      <c r="A7">
        <v>0.19801776384370279</v>
      </c>
      <c r="B7" s="10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6"/>
    </row>
    <row r="8" spans="1:21">
      <c r="A8" s="114" t="s">
        <v>394</v>
      </c>
      <c r="B8" s="10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6"/>
    </row>
    <row r="9" spans="1:21">
      <c r="A9">
        <v>9.0299024991208066E-3</v>
      </c>
      <c r="B9" s="105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6"/>
    </row>
    <row r="10" spans="1:21">
      <c r="B10" s="10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6"/>
    </row>
    <row r="11" spans="1:21">
      <c r="B11" s="10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6"/>
    </row>
    <row r="12" spans="1:21">
      <c r="B12" s="10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6"/>
    </row>
    <row r="13" spans="1:21">
      <c r="B13" s="10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6"/>
    </row>
    <row r="14" spans="1:21">
      <c r="B14" s="105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6"/>
    </row>
    <row r="15" spans="1:21">
      <c r="B15" s="10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6"/>
    </row>
    <row r="16" spans="1:21">
      <c r="B16" s="10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6"/>
    </row>
    <row r="17" spans="2:20">
      <c r="B17" s="10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6"/>
    </row>
    <row r="18" spans="2:20">
      <c r="B18" s="10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6"/>
    </row>
    <row r="19" spans="2:20">
      <c r="B19" s="105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6"/>
    </row>
    <row r="20" spans="2:20">
      <c r="B20" s="105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6"/>
    </row>
    <row r="21" spans="2:20">
      <c r="B21" s="105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6"/>
    </row>
    <row r="22" spans="2:20">
      <c r="B22" s="105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6"/>
    </row>
    <row r="23" spans="2:20">
      <c r="B23" s="105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6"/>
    </row>
    <row r="24" spans="2:20">
      <c r="B24" s="10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6"/>
    </row>
    <row r="25" spans="2:20">
      <c r="B25" s="10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6"/>
    </row>
    <row r="26" spans="2:20">
      <c r="B26" s="10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6"/>
    </row>
    <row r="27" spans="2:20">
      <c r="B27" s="105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6"/>
    </row>
    <row r="28" spans="2:20">
      <c r="B28" s="105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6"/>
    </row>
    <row r="29" spans="2:20">
      <c r="B29" s="105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6"/>
    </row>
    <row r="30" spans="2:20">
      <c r="B30" s="105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6"/>
    </row>
    <row r="31" spans="2:20">
      <c r="B31" s="105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6"/>
    </row>
    <row r="32" spans="2:20">
      <c r="B32" s="105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6"/>
    </row>
    <row r="33" spans="1:20">
      <c r="B33" s="105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6"/>
    </row>
    <row r="34" spans="1:20">
      <c r="B34" s="105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6"/>
    </row>
    <row r="35" spans="1:20">
      <c r="B35" s="105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6"/>
    </row>
    <row r="36" spans="1:20">
      <c r="B36" s="10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6"/>
    </row>
    <row r="37" spans="1:20">
      <c r="B37" s="105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6"/>
    </row>
    <row r="38" spans="1:20" ht="15" thickBot="1">
      <c r="B38" s="107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9"/>
    </row>
    <row r="40" spans="1:20">
      <c r="A40" s="111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</row>
    <row r="41" spans="1:20">
      <c r="A41" s="114" t="s">
        <v>1309</v>
      </c>
      <c r="B41" s="114" t="s">
        <v>1340</v>
      </c>
      <c r="C41" s="114" t="s">
        <v>1341</v>
      </c>
      <c r="D41" s="114" t="s">
        <v>1343</v>
      </c>
      <c r="E41" s="114" t="s">
        <v>1344</v>
      </c>
      <c r="F41" s="114" t="s">
        <v>1310</v>
      </c>
      <c r="G41" s="114" t="s">
        <v>1311</v>
      </c>
      <c r="H41" s="114" t="s">
        <v>1312</v>
      </c>
      <c r="I41" s="114" t="s">
        <v>1313</v>
      </c>
      <c r="J41" s="114" t="s">
        <v>1314</v>
      </c>
      <c r="L41" s="114" t="s">
        <v>306</v>
      </c>
      <c r="M41" s="114" t="s">
        <v>307</v>
      </c>
      <c r="N41" s="114" t="s">
        <v>308</v>
      </c>
      <c r="O41" s="114" t="s">
        <v>309</v>
      </c>
    </row>
    <row r="42" spans="1:20">
      <c r="A42" s="19">
        <v>43804</v>
      </c>
      <c r="B42">
        <v>1027</v>
      </c>
      <c r="C42">
        <v>1033</v>
      </c>
      <c r="D42">
        <v>6120</v>
      </c>
      <c r="E42">
        <v>6170</v>
      </c>
      <c r="F42">
        <v>0.167423014586709</v>
      </c>
      <c r="G42">
        <v>0.15874438941825</v>
      </c>
      <c r="H42">
        <v>4.2275964969713002E-3</v>
      </c>
      <c r="I42">
        <v>2.0528508751194399</v>
      </c>
      <c r="J42">
        <v>5.18</v>
      </c>
      <c r="L42">
        <v>0.1629719859152213</v>
      </c>
      <c r="M42">
        <v>0.15451679292127871</v>
      </c>
      <c r="N42">
        <v>0.1671995824121926</v>
      </c>
      <c r="O42">
        <v>0.15028919642430741</v>
      </c>
    </row>
    <row r="43" spans="1:20">
      <c r="A43" s="19">
        <v>43803</v>
      </c>
      <c r="B43">
        <v>1000</v>
      </c>
      <c r="C43">
        <v>1016</v>
      </c>
      <c r="D43">
        <v>6060</v>
      </c>
      <c r="E43">
        <v>6060</v>
      </c>
      <c r="F43">
        <v>0.16765676567656701</v>
      </c>
      <c r="G43">
        <v>0.158661286938164</v>
      </c>
      <c r="H43">
        <v>4.1159673508509602E-3</v>
      </c>
      <c r="I43">
        <v>2.1855077972236701</v>
      </c>
      <c r="J43">
        <v>5.37</v>
      </c>
      <c r="L43">
        <v>0.16277725428901496</v>
      </c>
      <c r="M43">
        <v>0.15454531958731305</v>
      </c>
      <c r="N43">
        <v>0.16689322163986592</v>
      </c>
      <c r="O43">
        <v>0.15042935223646209</v>
      </c>
    </row>
    <row r="44" spans="1:20">
      <c r="A44" s="19">
        <v>43802</v>
      </c>
      <c r="B44">
        <v>997</v>
      </c>
      <c r="C44">
        <v>1012</v>
      </c>
      <c r="D44">
        <v>6060</v>
      </c>
      <c r="E44">
        <v>6150</v>
      </c>
      <c r="F44">
        <v>0.16455284552845501</v>
      </c>
      <c r="G44">
        <v>0.158575012746896</v>
      </c>
      <c r="H44">
        <v>3.9924718404346403E-3</v>
      </c>
      <c r="I44">
        <v>1.4972761287924199</v>
      </c>
      <c r="J44">
        <v>3.63</v>
      </c>
      <c r="L44">
        <v>0.16256748458733064</v>
      </c>
      <c r="M44">
        <v>0.15458254090646137</v>
      </c>
      <c r="N44">
        <v>0.16655995642776528</v>
      </c>
      <c r="O44">
        <v>0.15059006906602673</v>
      </c>
    </row>
    <row r="45" spans="1:20">
      <c r="A45" s="19">
        <v>43801</v>
      </c>
      <c r="B45">
        <v>1003</v>
      </c>
      <c r="C45">
        <v>1019</v>
      </c>
      <c r="D45">
        <v>6210</v>
      </c>
      <c r="E45">
        <v>6210</v>
      </c>
      <c r="F45">
        <v>0.16409017713365501</v>
      </c>
      <c r="G45">
        <v>0.15854336088771001</v>
      </c>
      <c r="H45">
        <v>3.9541811450459702E-3</v>
      </c>
      <c r="I45">
        <v>1.4027724179744701</v>
      </c>
      <c r="J45">
        <v>3.38</v>
      </c>
      <c r="L45">
        <v>0.16249754203275599</v>
      </c>
      <c r="M45">
        <v>0.15458917974266403</v>
      </c>
      <c r="N45">
        <v>0.16645172317780196</v>
      </c>
      <c r="O45">
        <v>0.15063499859761806</v>
      </c>
    </row>
    <row r="46" spans="1:20">
      <c r="A46" s="19">
        <v>43798</v>
      </c>
      <c r="B46">
        <v>999</v>
      </c>
      <c r="C46">
        <v>1003</v>
      </c>
      <c r="D46">
        <v>6260</v>
      </c>
      <c r="E46">
        <v>6140</v>
      </c>
      <c r="F46">
        <v>0.16335504885993399</v>
      </c>
      <c r="G46">
        <v>0.15853495307052301</v>
      </c>
      <c r="H46">
        <v>3.9430326471836304E-3</v>
      </c>
      <c r="I46">
        <v>1.2224336496057899</v>
      </c>
      <c r="J46">
        <v>2.95</v>
      </c>
      <c r="L46">
        <v>0.16247798571770664</v>
      </c>
      <c r="M46">
        <v>0.15459192042333939</v>
      </c>
      <c r="N46">
        <v>0.16642101836489026</v>
      </c>
      <c r="O46">
        <v>0.15064888777615576</v>
      </c>
    </row>
    <row r="47" spans="1:20">
      <c r="A47" s="19">
        <v>43797</v>
      </c>
      <c r="B47">
        <v>993</v>
      </c>
      <c r="C47">
        <v>993</v>
      </c>
      <c r="D47">
        <v>6260</v>
      </c>
      <c r="E47">
        <v>6220</v>
      </c>
      <c r="F47">
        <v>0.15964630225080301</v>
      </c>
      <c r="G47">
        <v>0.158489781568633</v>
      </c>
      <c r="H47">
        <v>3.9067939418116404E-3</v>
      </c>
      <c r="I47">
        <v>0.29602807299169898</v>
      </c>
      <c r="J47">
        <v>0.72</v>
      </c>
      <c r="L47">
        <v>0.16239657551044465</v>
      </c>
      <c r="M47">
        <v>0.15458298762682135</v>
      </c>
      <c r="N47">
        <v>0.16630336945225627</v>
      </c>
      <c r="O47">
        <v>0.15067619368500973</v>
      </c>
    </row>
    <row r="48" spans="1:20">
      <c r="A48" s="19">
        <v>43796</v>
      </c>
      <c r="B48">
        <v>990</v>
      </c>
      <c r="C48">
        <v>989</v>
      </c>
      <c r="D48">
        <v>6280</v>
      </c>
      <c r="E48">
        <v>6230</v>
      </c>
      <c r="F48">
        <v>0.15874799357945399</v>
      </c>
      <c r="G48">
        <v>0.15849108085473501</v>
      </c>
      <c r="H48">
        <v>3.9071945343118596E-3</v>
      </c>
      <c r="I48">
        <v>6.5753758217816399E-2</v>
      </c>
      <c r="J48">
        <v>0.16</v>
      </c>
      <c r="L48">
        <v>0.16239827538904686</v>
      </c>
      <c r="M48">
        <v>0.15458388632042316</v>
      </c>
      <c r="N48">
        <v>0.16630546992335873</v>
      </c>
      <c r="O48">
        <v>0.15067669178611129</v>
      </c>
    </row>
    <row r="49" spans="1:15">
      <c r="A49" s="19">
        <v>43795</v>
      </c>
      <c r="B49">
        <v>988</v>
      </c>
      <c r="C49">
        <v>979</v>
      </c>
      <c r="D49">
        <v>6320</v>
      </c>
      <c r="E49">
        <v>6240</v>
      </c>
      <c r="F49">
        <v>0.156891025641025</v>
      </c>
      <c r="G49">
        <v>0.15849202540429499</v>
      </c>
      <c r="H49">
        <v>3.9072650899862702E-3</v>
      </c>
      <c r="I49">
        <v>-0.40974946065805901</v>
      </c>
      <c r="J49">
        <v>-1.02</v>
      </c>
      <c r="L49">
        <v>0.16239929049428126</v>
      </c>
      <c r="M49">
        <v>0.15458476031430873</v>
      </c>
      <c r="N49">
        <v>0.16630655558426755</v>
      </c>
      <c r="O49">
        <v>0.15067749522432244</v>
      </c>
    </row>
    <row r="50" spans="1:15">
      <c r="A50" s="19">
        <v>43794</v>
      </c>
      <c r="B50">
        <v>977</v>
      </c>
      <c r="C50">
        <v>980</v>
      </c>
      <c r="D50">
        <v>6220</v>
      </c>
      <c r="E50">
        <v>6190</v>
      </c>
      <c r="F50">
        <v>0.15831987075928899</v>
      </c>
      <c r="G50">
        <v>0.15852729420275899</v>
      </c>
      <c r="H50">
        <v>3.9045918519325499E-3</v>
      </c>
      <c r="I50">
        <v>-5.3122951472443503E-2</v>
      </c>
      <c r="J50">
        <v>-0.13</v>
      </c>
      <c r="L50">
        <v>0.16243188605469153</v>
      </c>
      <c r="M50">
        <v>0.15462270235082645</v>
      </c>
      <c r="N50">
        <v>0.16633647790662409</v>
      </c>
      <c r="O50">
        <v>0.15071811049889389</v>
      </c>
    </row>
    <row r="51" spans="1:15">
      <c r="A51" s="19">
        <v>43791</v>
      </c>
      <c r="B51">
        <v>957</v>
      </c>
      <c r="C51">
        <v>962</v>
      </c>
      <c r="D51">
        <v>6110</v>
      </c>
      <c r="E51">
        <v>6120</v>
      </c>
      <c r="F51">
        <v>0.15718954248365999</v>
      </c>
      <c r="G51">
        <v>0.158480529581425</v>
      </c>
      <c r="H51">
        <v>3.9277309599290901E-3</v>
      </c>
      <c r="I51">
        <v>-0.32868521569729298</v>
      </c>
      <c r="J51">
        <v>-0.82</v>
      </c>
      <c r="L51">
        <v>0.1624082605413541</v>
      </c>
      <c r="M51">
        <v>0.1545527986214959</v>
      </c>
      <c r="N51">
        <v>0.16633599150128317</v>
      </c>
      <c r="O51">
        <v>0.15062506766156683</v>
      </c>
    </row>
    <row r="52" spans="1:15">
      <c r="A52" s="19">
        <v>43790</v>
      </c>
      <c r="B52">
        <v>956</v>
      </c>
      <c r="C52">
        <v>958</v>
      </c>
      <c r="D52">
        <v>6110</v>
      </c>
      <c r="E52">
        <v>6040</v>
      </c>
      <c r="F52">
        <v>0.158609271523178</v>
      </c>
      <c r="G52">
        <v>0.15850912988989899</v>
      </c>
      <c r="H52">
        <v>3.9260356061601798E-3</v>
      </c>
      <c r="I52">
        <v>2.5507061913073899E-2</v>
      </c>
      <c r="J52">
        <v>0.06</v>
      </c>
      <c r="L52">
        <v>0.16243516549605916</v>
      </c>
      <c r="M52">
        <v>0.15458309428373881</v>
      </c>
      <c r="N52">
        <v>0.16636120110221936</v>
      </c>
      <c r="O52">
        <v>0.15065705867757861</v>
      </c>
    </row>
    <row r="53" spans="1:15">
      <c r="A53" s="19">
        <v>43789</v>
      </c>
      <c r="B53">
        <v>978</v>
      </c>
      <c r="C53">
        <v>968</v>
      </c>
      <c r="D53">
        <v>6090</v>
      </c>
      <c r="E53">
        <v>6120</v>
      </c>
      <c r="F53">
        <v>0.15816993464052201</v>
      </c>
      <c r="G53">
        <v>0.15850689371547699</v>
      </c>
      <c r="H53">
        <v>3.9260256937196699E-3</v>
      </c>
      <c r="I53">
        <v>-8.5827017254130999E-2</v>
      </c>
      <c r="J53">
        <v>-0.21</v>
      </c>
      <c r="L53">
        <v>0.16243291940919666</v>
      </c>
      <c r="M53">
        <v>0.15458086802175733</v>
      </c>
      <c r="N53">
        <v>0.16635894510291632</v>
      </c>
      <c r="O53">
        <v>0.15065484232803766</v>
      </c>
    </row>
    <row r="54" spans="1:15">
      <c r="A54" s="19">
        <v>43788</v>
      </c>
      <c r="B54">
        <v>990</v>
      </c>
      <c r="C54">
        <v>992</v>
      </c>
      <c r="D54">
        <v>6200</v>
      </c>
      <c r="E54">
        <v>6180</v>
      </c>
      <c r="F54">
        <v>0.16051779935275001</v>
      </c>
      <c r="G54">
        <v>0.158557165233703</v>
      </c>
      <c r="H54">
        <v>3.9454801418206797E-3</v>
      </c>
      <c r="I54">
        <v>0.49693169109255297</v>
      </c>
      <c r="J54">
        <v>1.22</v>
      </c>
      <c r="L54">
        <v>0.16250264537552367</v>
      </c>
      <c r="M54">
        <v>0.15461168509188233</v>
      </c>
      <c r="N54">
        <v>0.16644812551734436</v>
      </c>
      <c r="O54">
        <v>0.15066620495006164</v>
      </c>
    </row>
    <row r="55" spans="1:15">
      <c r="A55" s="19">
        <v>43787</v>
      </c>
      <c r="B55">
        <v>996</v>
      </c>
      <c r="C55">
        <v>999</v>
      </c>
      <c r="D55">
        <v>6240</v>
      </c>
      <c r="E55">
        <v>6230</v>
      </c>
      <c r="F55">
        <v>0.160353130016051</v>
      </c>
      <c r="G55">
        <v>0.15856240734400701</v>
      </c>
      <c r="H55">
        <v>3.9483417746502903E-3</v>
      </c>
      <c r="I55">
        <v>0.45353790888641599</v>
      </c>
      <c r="J55">
        <v>1.1200000000000001</v>
      </c>
      <c r="L55">
        <v>0.16251074911865729</v>
      </c>
      <c r="M55">
        <v>0.15461406556935672</v>
      </c>
      <c r="N55">
        <v>0.1664590908933076</v>
      </c>
      <c r="O55">
        <v>0.15066572379470641</v>
      </c>
    </row>
    <row r="56" spans="1:15">
      <c r="A56" s="19">
        <v>43784</v>
      </c>
      <c r="B56">
        <v>972</v>
      </c>
      <c r="C56">
        <v>992</v>
      </c>
      <c r="D56">
        <v>6190</v>
      </c>
      <c r="E56">
        <v>6230</v>
      </c>
      <c r="F56">
        <v>0.15922953451043301</v>
      </c>
      <c r="G56">
        <v>0.15856456373021499</v>
      </c>
      <c r="H56">
        <v>3.9493632206853398E-3</v>
      </c>
      <c r="I56">
        <v>0.16837417655968201</v>
      </c>
      <c r="J56">
        <v>0.42</v>
      </c>
      <c r="L56">
        <v>0.16251392695090033</v>
      </c>
      <c r="M56">
        <v>0.15461520050952965</v>
      </c>
      <c r="N56">
        <v>0.16646329017158568</v>
      </c>
      <c r="O56">
        <v>0.15066583728884431</v>
      </c>
    </row>
    <row r="57" spans="1:15">
      <c r="A57" s="19">
        <v>43783</v>
      </c>
      <c r="B57">
        <v>970</v>
      </c>
      <c r="C57">
        <v>968</v>
      </c>
      <c r="D57">
        <v>6230</v>
      </c>
      <c r="E57">
        <v>6180</v>
      </c>
      <c r="F57">
        <v>0.15663430420711899</v>
      </c>
      <c r="G57">
        <v>0.158574231574103</v>
      </c>
      <c r="H57">
        <v>3.95186589973541E-3</v>
      </c>
      <c r="I57">
        <v>-0.490888966428153</v>
      </c>
      <c r="J57">
        <v>-1.24</v>
      </c>
      <c r="L57">
        <v>0.16252609747383839</v>
      </c>
      <c r="M57">
        <v>0.1546223656743676</v>
      </c>
      <c r="N57">
        <v>0.16647796337357382</v>
      </c>
      <c r="O57">
        <v>0.15067049977463218</v>
      </c>
    </row>
    <row r="58" spans="1:15">
      <c r="A58" s="19">
        <v>43782</v>
      </c>
      <c r="B58">
        <v>993</v>
      </c>
      <c r="C58">
        <v>973</v>
      </c>
      <c r="D58">
        <v>6390</v>
      </c>
      <c r="E58">
        <v>6310</v>
      </c>
      <c r="F58">
        <v>0.154199683042789</v>
      </c>
      <c r="G58">
        <v>0.15861496531935901</v>
      </c>
      <c r="H58">
        <v>3.9474025241061396E-3</v>
      </c>
      <c r="I58">
        <v>-1.1185285132709899</v>
      </c>
      <c r="J58">
        <v>-2.86</v>
      </c>
      <c r="L58">
        <v>0.16256236784346514</v>
      </c>
      <c r="M58">
        <v>0.15466756279525287</v>
      </c>
      <c r="N58">
        <v>0.16650977036757128</v>
      </c>
      <c r="O58">
        <v>0.15072016027114674</v>
      </c>
    </row>
    <row r="59" spans="1:15">
      <c r="A59" s="19">
        <v>43781</v>
      </c>
      <c r="B59">
        <v>952</v>
      </c>
      <c r="C59">
        <v>964</v>
      </c>
      <c r="D59">
        <v>6130</v>
      </c>
      <c r="E59">
        <v>6470</v>
      </c>
      <c r="F59">
        <v>0.148995363214837</v>
      </c>
      <c r="G59">
        <v>0.158716244298719</v>
      </c>
      <c r="H59">
        <v>3.9302272281709601E-3</v>
      </c>
      <c r="I59">
        <v>-2.4733636300223298</v>
      </c>
      <c r="J59">
        <v>-6.52</v>
      </c>
      <c r="L59">
        <v>0.16264647152688996</v>
      </c>
      <c r="M59">
        <v>0.15478601707054804</v>
      </c>
      <c r="N59">
        <v>0.16657669875506093</v>
      </c>
      <c r="O59">
        <v>0.15085578984237707</v>
      </c>
    </row>
    <row r="60" spans="1:15">
      <c r="A60" s="19">
        <v>43780</v>
      </c>
      <c r="B60">
        <v>971</v>
      </c>
      <c r="C60">
        <v>951</v>
      </c>
      <c r="D60">
        <v>6280</v>
      </c>
      <c r="E60">
        <v>6150</v>
      </c>
      <c r="F60">
        <v>0.154634146341463</v>
      </c>
      <c r="G60">
        <v>0.158869493262698</v>
      </c>
      <c r="H60">
        <v>3.7689739030681798E-3</v>
      </c>
      <c r="I60">
        <v>-1.1237400497221399</v>
      </c>
      <c r="J60">
        <v>-2.74</v>
      </c>
      <c r="L60">
        <v>0.16263846716576619</v>
      </c>
      <c r="M60">
        <v>0.15510051935962982</v>
      </c>
      <c r="N60">
        <v>0.16640744106883437</v>
      </c>
      <c r="O60">
        <v>0.15133154545656163</v>
      </c>
    </row>
    <row r="61" spans="1:15">
      <c r="A61" s="19">
        <v>43777</v>
      </c>
      <c r="B61">
        <v>955</v>
      </c>
      <c r="C61">
        <v>965</v>
      </c>
      <c r="D61">
        <v>6340</v>
      </c>
      <c r="E61">
        <v>6250</v>
      </c>
      <c r="F61">
        <v>0.15440000000000001</v>
      </c>
      <c r="G61">
        <v>0.15891877300443799</v>
      </c>
      <c r="H61">
        <v>3.73730372796959E-3</v>
      </c>
      <c r="I61">
        <v>-1.2090997503413901</v>
      </c>
      <c r="J61">
        <v>-2.93</v>
      </c>
      <c r="L61">
        <v>0.16265607673240759</v>
      </c>
      <c r="M61">
        <v>0.15518146927646839</v>
      </c>
      <c r="N61">
        <v>0.16639338046037716</v>
      </c>
      <c r="O61">
        <v>0.15144416554849882</v>
      </c>
    </row>
    <row r="62" spans="1:15">
      <c r="A62" s="19">
        <v>43776</v>
      </c>
      <c r="B62">
        <v>930</v>
      </c>
      <c r="C62">
        <v>933</v>
      </c>
      <c r="D62">
        <v>6190</v>
      </c>
      <c r="E62">
        <v>6240</v>
      </c>
      <c r="F62">
        <v>0.14951923076922999</v>
      </c>
      <c r="G62">
        <v>0.15896924506229401</v>
      </c>
      <c r="H62">
        <v>3.70132480718057E-3</v>
      </c>
      <c r="I62">
        <v>-2.55314374861964</v>
      </c>
      <c r="J62">
        <v>-6.32</v>
      </c>
      <c r="L62">
        <v>0.16267056986947459</v>
      </c>
      <c r="M62">
        <v>0.15526792025511343</v>
      </c>
      <c r="N62">
        <v>0.16637189467665514</v>
      </c>
      <c r="O62">
        <v>0.15156659544793288</v>
      </c>
    </row>
    <row r="63" spans="1:15">
      <c r="A63" s="19">
        <v>43775</v>
      </c>
      <c r="B63">
        <v>960</v>
      </c>
      <c r="C63">
        <v>935</v>
      </c>
      <c r="D63">
        <v>6150</v>
      </c>
      <c r="E63">
        <v>6150</v>
      </c>
      <c r="F63">
        <v>0.15203252032520301</v>
      </c>
      <c r="G63">
        <v>0.15912693736998601</v>
      </c>
      <c r="H63">
        <v>3.54394753545355E-3</v>
      </c>
      <c r="I63">
        <v>-2.00184031332613</v>
      </c>
      <c r="J63">
        <v>-4.67</v>
      </c>
      <c r="L63">
        <v>0.16267088490543957</v>
      </c>
      <c r="M63">
        <v>0.15558298983453245</v>
      </c>
      <c r="N63">
        <v>0.16621483244089311</v>
      </c>
      <c r="O63">
        <v>0.15203904229907891</v>
      </c>
    </row>
    <row r="64" spans="1:15">
      <c r="A64" s="19">
        <v>43774</v>
      </c>
      <c r="B64">
        <v>921</v>
      </c>
      <c r="C64">
        <v>958</v>
      </c>
      <c r="D64">
        <v>6050</v>
      </c>
      <c r="E64">
        <v>6090</v>
      </c>
      <c r="F64">
        <v>0.15730706075533599</v>
      </c>
      <c r="G64">
        <v>0.15925037473339199</v>
      </c>
      <c r="H64">
        <v>3.4548015547767302E-3</v>
      </c>
      <c r="I64">
        <v>-0.56249655652995501</v>
      </c>
      <c r="J64">
        <v>-1.24</v>
      </c>
      <c r="L64">
        <v>0.16270517628816872</v>
      </c>
      <c r="M64">
        <v>0.15579557317861525</v>
      </c>
      <c r="N64">
        <v>0.16615997784294545</v>
      </c>
      <c r="O64">
        <v>0.15234077162383852</v>
      </c>
    </row>
    <row r="65" spans="1:15">
      <c r="A65" s="19">
        <v>43770</v>
      </c>
      <c r="B65">
        <v>888</v>
      </c>
      <c r="C65">
        <v>903</v>
      </c>
      <c r="D65">
        <v>5950</v>
      </c>
      <c r="E65">
        <v>5930</v>
      </c>
      <c r="F65">
        <v>0.152276559865092</v>
      </c>
      <c r="G65">
        <v>0.15929557391041399</v>
      </c>
      <c r="H65">
        <v>3.4512549677669E-3</v>
      </c>
      <c r="I65">
        <v>-2.0337570277698598</v>
      </c>
      <c r="J65">
        <v>-4.6100000000000003</v>
      </c>
      <c r="L65">
        <v>0.1627468288781809</v>
      </c>
      <c r="M65">
        <v>0.15584431894264708</v>
      </c>
      <c r="N65">
        <v>0.16619808384594778</v>
      </c>
      <c r="O65">
        <v>0.1523930639748802</v>
      </c>
    </row>
    <row r="66" spans="1:15">
      <c r="A66" s="19">
        <v>43769</v>
      </c>
      <c r="B66">
        <v>914</v>
      </c>
      <c r="C66">
        <v>910</v>
      </c>
      <c r="D66">
        <v>5980</v>
      </c>
      <c r="E66">
        <v>6040</v>
      </c>
      <c r="F66">
        <v>0.15066225165562899</v>
      </c>
      <c r="G66">
        <v>0.159381984914512</v>
      </c>
      <c r="H66">
        <v>3.35420162039036E-3</v>
      </c>
      <c r="I66">
        <v>-2.5996449366299199</v>
      </c>
      <c r="J66">
        <v>-5.79</v>
      </c>
      <c r="L66">
        <v>0.16273618653490235</v>
      </c>
      <c r="M66">
        <v>0.15602778329412165</v>
      </c>
      <c r="N66">
        <v>0.16609038815529273</v>
      </c>
      <c r="O66">
        <v>0.15267358167373127</v>
      </c>
    </row>
    <row r="67" spans="1:15">
      <c r="A67" s="19">
        <v>43768</v>
      </c>
      <c r="B67">
        <v>919</v>
      </c>
      <c r="C67">
        <v>911</v>
      </c>
      <c r="D67">
        <v>6100</v>
      </c>
      <c r="E67">
        <v>6021</v>
      </c>
      <c r="F67">
        <v>0.15130377013785001</v>
      </c>
      <c r="G67">
        <v>0.15951320209936101</v>
      </c>
      <c r="H67">
        <v>3.1994435576950401E-3</v>
      </c>
      <c r="I67">
        <v>-2.5658936666552301</v>
      </c>
      <c r="J67">
        <v>-5.43</v>
      </c>
      <c r="L67">
        <v>0.16271264565705607</v>
      </c>
      <c r="M67">
        <v>0.15631375854166596</v>
      </c>
      <c r="N67">
        <v>0.16591208921475109</v>
      </c>
      <c r="O67">
        <v>0.15311431498397093</v>
      </c>
    </row>
    <row r="68" spans="1:15">
      <c r="A68" s="19">
        <v>43767</v>
      </c>
      <c r="B68">
        <v>906</v>
      </c>
      <c r="C68">
        <v>919</v>
      </c>
      <c r="D68">
        <v>5844</v>
      </c>
      <c r="E68">
        <v>6116</v>
      </c>
      <c r="F68">
        <v>0.150261608894702</v>
      </c>
      <c r="G68">
        <v>0.15961886143911999</v>
      </c>
      <c r="H68">
        <v>3.0541383509873799E-3</v>
      </c>
      <c r="I68">
        <v>-3.0637945859239601</v>
      </c>
      <c r="J68">
        <v>-6.23</v>
      </c>
      <c r="L68">
        <v>0.16267299979010738</v>
      </c>
      <c r="M68">
        <v>0.1565647230881326</v>
      </c>
      <c r="N68">
        <v>0.16572713814109474</v>
      </c>
      <c r="O68">
        <v>0.15351058473714524</v>
      </c>
    </row>
    <row r="69" spans="1:15">
      <c r="A69" s="19">
        <v>43766</v>
      </c>
      <c r="B69">
        <v>902</v>
      </c>
      <c r="C69">
        <v>900</v>
      </c>
      <c r="D69">
        <v>5741</v>
      </c>
      <c r="E69">
        <v>5744</v>
      </c>
      <c r="F69">
        <v>0.156685236768802</v>
      </c>
      <c r="G69">
        <v>0.15969028676087599</v>
      </c>
      <c r="H69">
        <v>2.8928512210277301E-3</v>
      </c>
      <c r="I69">
        <v>-1.0387848397564601</v>
      </c>
      <c r="J69">
        <v>-1.92</v>
      </c>
      <c r="L69">
        <v>0.16258313798190371</v>
      </c>
      <c r="M69">
        <v>0.15679743553984826</v>
      </c>
      <c r="N69">
        <v>0.16547598920293144</v>
      </c>
      <c r="O69">
        <v>0.15390458431882054</v>
      </c>
    </row>
    <row r="70" spans="1:15">
      <c r="A70" s="19">
        <v>43763</v>
      </c>
      <c r="B70">
        <v>894</v>
      </c>
      <c r="C70">
        <v>889</v>
      </c>
      <c r="D70">
        <v>5793</v>
      </c>
      <c r="E70">
        <v>5750</v>
      </c>
      <c r="F70">
        <v>0.154608695652173</v>
      </c>
      <c r="G70">
        <v>0.15967438259385799</v>
      </c>
      <c r="H70">
        <v>2.9125403976699099E-3</v>
      </c>
      <c r="I70">
        <v>-1.73926752938333</v>
      </c>
      <c r="J70">
        <v>-3.28</v>
      </c>
      <c r="L70">
        <v>0.16258692299152791</v>
      </c>
      <c r="M70">
        <v>0.15676184219618808</v>
      </c>
      <c r="N70">
        <v>0.16549946338919783</v>
      </c>
      <c r="O70">
        <v>0.15384930179851816</v>
      </c>
    </row>
    <row r="71" spans="1:15">
      <c r="A71" s="19">
        <v>43762</v>
      </c>
      <c r="B71">
        <v>890</v>
      </c>
      <c r="C71">
        <v>897</v>
      </c>
      <c r="D71">
        <v>5700</v>
      </c>
      <c r="E71">
        <v>5773</v>
      </c>
      <c r="F71">
        <v>0.15537848605577601</v>
      </c>
      <c r="G71">
        <v>0.15965558202781099</v>
      </c>
      <c r="H71">
        <v>2.9494954258131099E-3</v>
      </c>
      <c r="I71">
        <v>-1.4501110714065599</v>
      </c>
      <c r="J71">
        <v>-2.75</v>
      </c>
      <c r="L71">
        <v>0.1626050774536241</v>
      </c>
      <c r="M71">
        <v>0.15670608660199789</v>
      </c>
      <c r="N71">
        <v>0.1655545728794372</v>
      </c>
      <c r="O71">
        <v>0.15375659117618479</v>
      </c>
    </row>
    <row r="72" spans="1:15">
      <c r="A72" s="19">
        <v>43761</v>
      </c>
      <c r="B72">
        <v>886</v>
      </c>
      <c r="C72">
        <v>887</v>
      </c>
      <c r="D72">
        <v>5638</v>
      </c>
      <c r="E72">
        <v>5657</v>
      </c>
      <c r="F72">
        <v>0.156796888810323</v>
      </c>
      <c r="G72">
        <v>0.159658789515321</v>
      </c>
      <c r="H72">
        <v>2.9449697983688901E-3</v>
      </c>
      <c r="I72">
        <v>-0.97179288785351203</v>
      </c>
      <c r="J72">
        <v>-1.83</v>
      </c>
      <c r="L72">
        <v>0.16260375931368989</v>
      </c>
      <c r="M72">
        <v>0.15671381971695211</v>
      </c>
      <c r="N72">
        <v>0.16554872911205878</v>
      </c>
      <c r="O72">
        <v>0.15376884991858322</v>
      </c>
    </row>
    <row r="73" spans="1:15">
      <c r="A73" s="19">
        <v>43759</v>
      </c>
      <c r="B73">
        <v>873</v>
      </c>
      <c r="C73">
        <v>876</v>
      </c>
      <c r="D73">
        <v>5580</v>
      </c>
      <c r="E73">
        <v>5551</v>
      </c>
      <c r="F73">
        <v>0.15780940371104299</v>
      </c>
      <c r="G73">
        <v>0.15963236186204799</v>
      </c>
      <c r="H73">
        <v>2.9792275669764498E-3</v>
      </c>
      <c r="I73">
        <v>-0.61188952841738697</v>
      </c>
      <c r="J73">
        <v>-1.1599999999999999</v>
      </c>
      <c r="L73">
        <v>0.16261158942902443</v>
      </c>
      <c r="M73">
        <v>0.15665313429507155</v>
      </c>
      <c r="N73">
        <v>0.16559081699600089</v>
      </c>
      <c r="O73">
        <v>0.15367390672809508</v>
      </c>
    </row>
    <row r="74" spans="1:15">
      <c r="A74" s="19">
        <v>43756</v>
      </c>
      <c r="B74">
        <v>881</v>
      </c>
      <c r="C74">
        <v>877</v>
      </c>
      <c r="D74">
        <v>5490</v>
      </c>
      <c r="E74">
        <v>5543</v>
      </c>
      <c r="F74">
        <v>0.15821757171206899</v>
      </c>
      <c r="G74">
        <v>0.15961450517284401</v>
      </c>
      <c r="H74">
        <v>2.9940769245211099E-3</v>
      </c>
      <c r="I74">
        <v>-0.46656565478817202</v>
      </c>
      <c r="J74">
        <v>-0.88</v>
      </c>
      <c r="L74">
        <v>0.16260858209736512</v>
      </c>
      <c r="M74">
        <v>0.1566204282483229</v>
      </c>
      <c r="N74">
        <v>0.16560265902188623</v>
      </c>
      <c r="O74">
        <v>0.15362635132380179</v>
      </c>
    </row>
    <row r="75" spans="1:15">
      <c r="A75" s="19">
        <v>43755</v>
      </c>
      <c r="B75">
        <v>887</v>
      </c>
      <c r="C75">
        <v>873</v>
      </c>
      <c r="D75">
        <v>5473</v>
      </c>
      <c r="E75">
        <v>5472</v>
      </c>
      <c r="F75">
        <v>0.15953947368421001</v>
      </c>
      <c r="G75">
        <v>0.159568758000145</v>
      </c>
      <c r="H75">
        <v>3.0409169052187401E-3</v>
      </c>
      <c r="I75">
        <v>-9.6300940958832706E-3</v>
      </c>
      <c r="J75">
        <v>-0.02</v>
      </c>
      <c r="L75">
        <v>0.16260967490536374</v>
      </c>
      <c r="M75">
        <v>0.15652784109492626</v>
      </c>
      <c r="N75">
        <v>0.16565059181058248</v>
      </c>
      <c r="O75">
        <v>0.15348692418970752</v>
      </c>
    </row>
    <row r="76" spans="1:15">
      <c r="A76" s="19">
        <v>43754</v>
      </c>
      <c r="B76">
        <v>888</v>
      </c>
      <c r="C76">
        <v>885</v>
      </c>
      <c r="D76">
        <v>5572</v>
      </c>
      <c r="E76">
        <v>5482</v>
      </c>
      <c r="F76">
        <v>0.16143743159430801</v>
      </c>
      <c r="G76">
        <v>0.15950280474883199</v>
      </c>
      <c r="H76">
        <v>3.0940145340147798E-3</v>
      </c>
      <c r="I76">
        <v>0.62528046465451903</v>
      </c>
      <c r="J76">
        <v>1.2</v>
      </c>
      <c r="L76">
        <v>0.16259681928284678</v>
      </c>
      <c r="M76">
        <v>0.15640879021481721</v>
      </c>
      <c r="N76">
        <v>0.16569083381686156</v>
      </c>
      <c r="O76">
        <v>0.15331477568080243</v>
      </c>
    </row>
    <row r="77" spans="1:15">
      <c r="A77" s="19">
        <v>43753</v>
      </c>
      <c r="B77">
        <v>870</v>
      </c>
      <c r="C77">
        <v>878</v>
      </c>
      <c r="D77">
        <v>5499</v>
      </c>
      <c r="E77">
        <v>5479</v>
      </c>
      <c r="F77">
        <v>0.16024822047818901</v>
      </c>
      <c r="G77">
        <v>0.159423585374938</v>
      </c>
      <c r="H77">
        <v>3.11942439604967E-3</v>
      </c>
      <c r="I77">
        <v>0.26435489326024603</v>
      </c>
      <c r="J77">
        <v>0.51</v>
      </c>
      <c r="L77">
        <v>0.16254300977098768</v>
      </c>
      <c r="M77">
        <v>0.15630416097888833</v>
      </c>
      <c r="N77">
        <v>0.16566243416703735</v>
      </c>
      <c r="O77">
        <v>0.15318473658283865</v>
      </c>
    </row>
    <row r="78" spans="1:15">
      <c r="A78" s="19">
        <v>43749</v>
      </c>
      <c r="B78">
        <v>839</v>
      </c>
      <c r="C78">
        <v>845</v>
      </c>
      <c r="D78">
        <v>5358</v>
      </c>
      <c r="E78">
        <v>5415</v>
      </c>
      <c r="F78">
        <v>0.156048014773776</v>
      </c>
      <c r="G78">
        <v>0.15936916211195001</v>
      </c>
      <c r="H78">
        <v>3.1401002964072801E-3</v>
      </c>
      <c r="I78">
        <v>-1.0576564519209199</v>
      </c>
      <c r="J78">
        <v>-2.13</v>
      </c>
      <c r="L78">
        <v>0.16250926240835728</v>
      </c>
      <c r="M78">
        <v>0.15622906181554275</v>
      </c>
      <c r="N78">
        <v>0.16564936270476457</v>
      </c>
      <c r="O78">
        <v>0.15308896151913545</v>
      </c>
    </row>
    <row r="79" spans="1:15">
      <c r="A79" s="19">
        <v>43748</v>
      </c>
      <c r="B79">
        <v>818</v>
      </c>
      <c r="C79">
        <v>827</v>
      </c>
      <c r="D79">
        <v>5245</v>
      </c>
      <c r="E79">
        <v>5293</v>
      </c>
      <c r="F79">
        <v>0.15624409597581701</v>
      </c>
      <c r="G79">
        <v>0.159378093009654</v>
      </c>
      <c r="H79">
        <v>3.13158275099417E-3</v>
      </c>
      <c r="I79">
        <v>-1.0007709465261301</v>
      </c>
      <c r="J79">
        <v>-2.0099999999999998</v>
      </c>
      <c r="L79">
        <v>0.16250967576064818</v>
      </c>
      <c r="M79">
        <v>0.15624651025865982</v>
      </c>
      <c r="N79">
        <v>0.16564125851164233</v>
      </c>
      <c r="O79">
        <v>0.15311492750766567</v>
      </c>
    </row>
    <row r="80" spans="1:15">
      <c r="A80" s="19">
        <v>43747</v>
      </c>
      <c r="B80">
        <v>815</v>
      </c>
      <c r="C80">
        <v>814</v>
      </c>
      <c r="D80">
        <v>5164</v>
      </c>
      <c r="E80">
        <v>5209</v>
      </c>
      <c r="F80">
        <v>0.15626799769629399</v>
      </c>
      <c r="G80">
        <v>0.15938365105149399</v>
      </c>
      <c r="H80">
        <v>3.1263810945563E-3</v>
      </c>
      <c r="I80">
        <v>-0.99656863989618405</v>
      </c>
      <c r="J80">
        <v>-1.99</v>
      </c>
      <c r="L80">
        <v>0.16251003214605028</v>
      </c>
      <c r="M80">
        <v>0.1562572699569377</v>
      </c>
      <c r="N80">
        <v>0.1656364132406066</v>
      </c>
      <c r="O80">
        <v>0.15313088886238138</v>
      </c>
    </row>
    <row r="81" spans="1:15">
      <c r="A81" s="19">
        <v>43746</v>
      </c>
      <c r="B81">
        <v>830</v>
      </c>
      <c r="C81">
        <v>830</v>
      </c>
      <c r="D81">
        <v>5260</v>
      </c>
      <c r="E81">
        <v>5265</v>
      </c>
      <c r="F81">
        <v>0.15764482431149099</v>
      </c>
      <c r="G81">
        <v>0.15941125268026901</v>
      </c>
      <c r="H81">
        <v>3.1078354890839801E-3</v>
      </c>
      <c r="I81">
        <v>-0.56837898112154595</v>
      </c>
      <c r="J81">
        <v>-1.1200000000000001</v>
      </c>
      <c r="L81">
        <v>0.16251908816935298</v>
      </c>
      <c r="M81">
        <v>0.15630341719118504</v>
      </c>
      <c r="N81">
        <v>0.16562692365843698</v>
      </c>
      <c r="O81">
        <v>0.15319558170210104</v>
      </c>
    </row>
    <row r="82" spans="1:15">
      <c r="A82" s="19">
        <v>43745</v>
      </c>
      <c r="B82">
        <v>824</v>
      </c>
      <c r="C82">
        <v>817</v>
      </c>
      <c r="D82">
        <v>5222</v>
      </c>
      <c r="E82">
        <v>5188</v>
      </c>
      <c r="F82">
        <v>0.157478797224363</v>
      </c>
      <c r="G82">
        <v>0.15942989043422201</v>
      </c>
      <c r="H82">
        <v>3.1013709850875402E-3</v>
      </c>
      <c r="I82">
        <v>-0.62910668192879804</v>
      </c>
      <c r="J82">
        <v>-1.24</v>
      </c>
      <c r="L82">
        <v>0.16253126141930954</v>
      </c>
      <c r="M82">
        <v>0.15632851944913448</v>
      </c>
      <c r="N82">
        <v>0.1656326324043971</v>
      </c>
      <c r="O82">
        <v>0.15322714846404692</v>
      </c>
    </row>
    <row r="83" spans="1:15">
      <c r="A83" s="19">
        <v>43742</v>
      </c>
      <c r="B83">
        <v>836</v>
      </c>
      <c r="C83">
        <v>822</v>
      </c>
      <c r="D83">
        <v>5174</v>
      </c>
      <c r="E83">
        <v>5222</v>
      </c>
      <c r="F83">
        <v>0.15741095365760199</v>
      </c>
      <c r="G83">
        <v>0.15945362008494399</v>
      </c>
      <c r="H83">
        <v>3.0931494620017302E-3</v>
      </c>
      <c r="I83">
        <v>-0.66038400421169696</v>
      </c>
      <c r="J83">
        <v>-1.3</v>
      </c>
      <c r="L83">
        <v>0.16254676954694572</v>
      </c>
      <c r="M83">
        <v>0.15636047062294225</v>
      </c>
      <c r="N83">
        <v>0.16563991900894745</v>
      </c>
      <c r="O83">
        <v>0.15326732116094052</v>
      </c>
    </row>
    <row r="84" spans="1:15">
      <c r="A84" s="19">
        <v>43741</v>
      </c>
      <c r="B84">
        <v>836</v>
      </c>
      <c r="C84">
        <v>832</v>
      </c>
      <c r="D84">
        <v>5169</v>
      </c>
      <c r="E84">
        <v>5184</v>
      </c>
      <c r="F84">
        <v>0.16049382716049301</v>
      </c>
      <c r="G84">
        <v>0.159488457974308</v>
      </c>
      <c r="H84">
        <v>3.0846493207316301E-3</v>
      </c>
      <c r="I84">
        <v>0.32592657435266897</v>
      </c>
      <c r="J84">
        <v>0.63</v>
      </c>
      <c r="L84">
        <v>0.16257310729503963</v>
      </c>
      <c r="M84">
        <v>0.15640380865357636</v>
      </c>
      <c r="N84">
        <v>0.16565775661577126</v>
      </c>
      <c r="O84">
        <v>0.15331915933284473</v>
      </c>
    </row>
    <row r="85" spans="1:15">
      <c r="A85" s="19">
        <v>43740</v>
      </c>
      <c r="B85">
        <v>857</v>
      </c>
      <c r="C85">
        <v>863</v>
      </c>
      <c r="D85">
        <v>5270</v>
      </c>
      <c r="E85">
        <v>5302</v>
      </c>
      <c r="F85">
        <v>0.16276876650320601</v>
      </c>
      <c r="G85">
        <v>0.159521165204768</v>
      </c>
      <c r="H85">
        <v>3.1080523759474902E-3</v>
      </c>
      <c r="I85">
        <v>1.0448991540716399</v>
      </c>
      <c r="J85">
        <v>2</v>
      </c>
      <c r="L85">
        <v>0.1626292175807155</v>
      </c>
      <c r="M85">
        <v>0.15641311282882051</v>
      </c>
      <c r="N85">
        <v>0.16573726995666299</v>
      </c>
      <c r="O85">
        <v>0.15330506045287301</v>
      </c>
    </row>
    <row r="86" spans="1:15">
      <c r="A86" s="19">
        <v>43739</v>
      </c>
      <c r="B86">
        <v>840</v>
      </c>
      <c r="C86">
        <v>872</v>
      </c>
      <c r="D86">
        <v>5248</v>
      </c>
      <c r="E86">
        <v>5333</v>
      </c>
      <c r="F86">
        <v>0.16351021938871099</v>
      </c>
      <c r="G86">
        <v>0.15947693522631801</v>
      </c>
      <c r="H86">
        <v>3.0850401025395899E-3</v>
      </c>
      <c r="I86">
        <v>1.30736847118217</v>
      </c>
      <c r="J86">
        <v>2.4700000000000002</v>
      </c>
      <c r="L86">
        <v>0.16256197532885761</v>
      </c>
      <c r="M86">
        <v>0.15639189512377841</v>
      </c>
      <c r="N86">
        <v>0.16564701543139718</v>
      </c>
      <c r="O86">
        <v>0.15330685502123884</v>
      </c>
    </row>
    <row r="87" spans="1:15">
      <c r="A87" s="19">
        <v>43738</v>
      </c>
      <c r="B87">
        <v>854</v>
      </c>
      <c r="C87">
        <v>842</v>
      </c>
      <c r="D87">
        <v>5187</v>
      </c>
      <c r="E87">
        <v>5204</v>
      </c>
      <c r="F87">
        <v>0.16179861644888499</v>
      </c>
      <c r="G87">
        <v>0.15941824801653801</v>
      </c>
      <c r="H87">
        <v>3.0494160100888999E-3</v>
      </c>
      <c r="I87">
        <v>0.78059812910777804</v>
      </c>
      <c r="J87">
        <v>1.47</v>
      </c>
      <c r="L87">
        <v>0.16246766402662691</v>
      </c>
      <c r="M87">
        <v>0.1563688320064491</v>
      </c>
      <c r="N87">
        <v>0.16551708003671581</v>
      </c>
      <c r="O87">
        <v>0.1533194159963602</v>
      </c>
    </row>
    <row r="88" spans="1:15">
      <c r="A88" s="19">
        <v>43735</v>
      </c>
      <c r="B88">
        <v>861</v>
      </c>
      <c r="C88">
        <v>855</v>
      </c>
      <c r="D88">
        <v>5218</v>
      </c>
      <c r="E88">
        <v>5203</v>
      </c>
      <c r="F88">
        <v>0.16432827215068199</v>
      </c>
      <c r="G88">
        <v>0.15936142523104499</v>
      </c>
      <c r="H88">
        <v>3.04423274657559E-3</v>
      </c>
      <c r="I88">
        <v>1.6315595202842801</v>
      </c>
      <c r="J88">
        <v>3.02</v>
      </c>
      <c r="L88">
        <v>0.16240565797762058</v>
      </c>
      <c r="M88">
        <v>0.1563171924844694</v>
      </c>
      <c r="N88">
        <v>0.16544989072419616</v>
      </c>
      <c r="O88">
        <v>0.15327295973789382</v>
      </c>
    </row>
    <row r="89" spans="1:15">
      <c r="A89" s="19">
        <v>43734</v>
      </c>
      <c r="B89">
        <v>873</v>
      </c>
      <c r="C89">
        <v>865</v>
      </c>
      <c r="D89">
        <v>5303</v>
      </c>
      <c r="E89">
        <v>5321</v>
      </c>
      <c r="F89">
        <v>0.16256342792708101</v>
      </c>
      <c r="G89">
        <v>0.15924550637252999</v>
      </c>
      <c r="H89">
        <v>3.0183111196226999E-3</v>
      </c>
      <c r="I89">
        <v>1.0992642650324</v>
      </c>
      <c r="J89">
        <v>2.04</v>
      </c>
      <c r="L89">
        <v>0.16226381749215268</v>
      </c>
      <c r="M89">
        <v>0.15622719525290729</v>
      </c>
      <c r="N89">
        <v>0.16528212861177538</v>
      </c>
      <c r="O89">
        <v>0.1532088841332846</v>
      </c>
    </row>
    <row r="90" spans="1:15">
      <c r="A90" s="19">
        <v>43733</v>
      </c>
      <c r="B90">
        <v>871</v>
      </c>
      <c r="C90">
        <v>861</v>
      </c>
      <c r="D90">
        <v>5229</v>
      </c>
      <c r="E90">
        <v>5231</v>
      </c>
      <c r="F90">
        <v>0.16459567960237001</v>
      </c>
      <c r="G90">
        <v>0.159143796592392</v>
      </c>
      <c r="H90">
        <v>3.0332808879136499E-3</v>
      </c>
      <c r="I90">
        <v>1.7973551449526199</v>
      </c>
      <c r="J90">
        <v>3.31</v>
      </c>
      <c r="L90">
        <v>0.16217707748030566</v>
      </c>
      <c r="M90">
        <v>0.15611051570447834</v>
      </c>
      <c r="N90">
        <v>0.16521035836821929</v>
      </c>
      <c r="O90">
        <v>0.15307723481656471</v>
      </c>
    </row>
    <row r="91" spans="1:15">
      <c r="A91" s="19">
        <v>43732</v>
      </c>
      <c r="B91">
        <v>872</v>
      </c>
      <c r="C91">
        <v>874</v>
      </c>
      <c r="D91">
        <v>5358</v>
      </c>
      <c r="E91">
        <v>5322</v>
      </c>
      <c r="F91">
        <v>0.16422397594889099</v>
      </c>
      <c r="G91">
        <v>0.159027531350796</v>
      </c>
      <c r="H91">
        <v>2.9888738394615402E-3</v>
      </c>
      <c r="I91">
        <v>1.7385961660500999</v>
      </c>
      <c r="J91">
        <v>3.16</v>
      </c>
      <c r="L91">
        <v>0.16201640519025753</v>
      </c>
      <c r="M91">
        <v>0.15603865751133447</v>
      </c>
      <c r="N91">
        <v>0.16500527902971909</v>
      </c>
      <c r="O91">
        <v>0.15304978367187291</v>
      </c>
    </row>
    <row r="92" spans="1:15">
      <c r="A92" s="19">
        <v>43728</v>
      </c>
      <c r="B92">
        <v>881</v>
      </c>
      <c r="C92">
        <v>874</v>
      </c>
      <c r="D92">
        <v>5365</v>
      </c>
      <c r="E92">
        <v>5345</v>
      </c>
      <c r="F92">
        <v>0.163517305893358</v>
      </c>
      <c r="G92">
        <v>0.15891284487094201</v>
      </c>
      <c r="H92">
        <v>2.95207793117498E-3</v>
      </c>
      <c r="I92">
        <v>1.55973559295013</v>
      </c>
      <c r="J92">
        <v>2.82</v>
      </c>
      <c r="L92">
        <v>0.16186492280211698</v>
      </c>
      <c r="M92">
        <v>0.15596076693976704</v>
      </c>
      <c r="N92">
        <v>0.16481700073329197</v>
      </c>
      <c r="O92">
        <v>0.15300868900859205</v>
      </c>
    </row>
    <row r="93" spans="1:15">
      <c r="A93" s="19">
        <v>43727</v>
      </c>
      <c r="B93">
        <v>886</v>
      </c>
      <c r="C93">
        <v>878</v>
      </c>
      <c r="D93">
        <v>5394</v>
      </c>
      <c r="E93">
        <v>5364</v>
      </c>
      <c r="F93">
        <v>0.163683818046234</v>
      </c>
      <c r="G93">
        <v>0.158822145517554</v>
      </c>
      <c r="H93">
        <v>2.9134639893145702E-3</v>
      </c>
      <c r="I93">
        <v>1.6686914773996</v>
      </c>
      <c r="J93">
        <v>2.97</v>
      </c>
      <c r="L93">
        <v>0.16173560950686858</v>
      </c>
      <c r="M93">
        <v>0.15590868152823942</v>
      </c>
      <c r="N93">
        <v>0.16464907349618313</v>
      </c>
      <c r="O93">
        <v>0.15299521753892487</v>
      </c>
    </row>
    <row r="94" spans="1:15">
      <c r="A94" s="19">
        <v>43726</v>
      </c>
      <c r="B94">
        <v>881</v>
      </c>
      <c r="C94">
        <v>879</v>
      </c>
      <c r="D94">
        <v>5417</v>
      </c>
      <c r="E94">
        <v>5369</v>
      </c>
      <c r="F94">
        <v>0.16371763829390901</v>
      </c>
      <c r="G94">
        <v>0.158721700133959</v>
      </c>
      <c r="H94">
        <v>2.8737107803761602E-3</v>
      </c>
      <c r="I94">
        <v>1.7384972051001699</v>
      </c>
      <c r="J94">
        <v>3.05</v>
      </c>
      <c r="L94">
        <v>0.16159541091433516</v>
      </c>
      <c r="M94">
        <v>0.15584798935358285</v>
      </c>
      <c r="N94">
        <v>0.16446912169471131</v>
      </c>
      <c r="O94">
        <v>0.1529742785732067</v>
      </c>
    </row>
    <row r="95" spans="1:15">
      <c r="A95" s="19">
        <v>43725</v>
      </c>
      <c r="B95">
        <v>878</v>
      </c>
      <c r="C95">
        <v>884</v>
      </c>
      <c r="D95">
        <v>5474</v>
      </c>
      <c r="E95">
        <v>5394</v>
      </c>
      <c r="F95">
        <v>0.16388579903596501</v>
      </c>
      <c r="G95">
        <v>0.15865528951811</v>
      </c>
      <c r="H95">
        <v>2.8144296690038998E-3</v>
      </c>
      <c r="I95">
        <v>1.85846161851557</v>
      </c>
      <c r="J95">
        <v>3.19</v>
      </c>
      <c r="L95">
        <v>0.16146971918711389</v>
      </c>
      <c r="M95">
        <v>0.15584085984910612</v>
      </c>
      <c r="N95">
        <v>0.16428414885611781</v>
      </c>
      <c r="O95">
        <v>0.1530264301801022</v>
      </c>
    </row>
    <row r="96" spans="1:15">
      <c r="A96" s="19">
        <v>43721</v>
      </c>
      <c r="B96">
        <v>881</v>
      </c>
      <c r="C96">
        <v>878</v>
      </c>
      <c r="D96">
        <v>5555</v>
      </c>
      <c r="E96">
        <v>5531</v>
      </c>
      <c r="F96">
        <v>0.158741638040137</v>
      </c>
      <c r="G96">
        <v>0.158578710724636</v>
      </c>
      <c r="H96">
        <v>2.7484324995607598E-3</v>
      </c>
      <c r="I96">
        <v>5.9280086204562099E-2</v>
      </c>
      <c r="J96">
        <v>0.1</v>
      </c>
      <c r="L96">
        <v>0.16132714322419675</v>
      </c>
      <c r="M96">
        <v>0.15583027822507525</v>
      </c>
      <c r="N96">
        <v>0.16407557572375753</v>
      </c>
      <c r="O96">
        <v>0.15308184572551448</v>
      </c>
    </row>
    <row r="97" spans="1:15">
      <c r="A97" s="19">
        <v>43720</v>
      </c>
      <c r="B97">
        <v>880</v>
      </c>
      <c r="C97">
        <v>875</v>
      </c>
      <c r="D97">
        <v>5478</v>
      </c>
      <c r="E97">
        <v>5489</v>
      </c>
      <c r="F97">
        <v>0.159409728548005</v>
      </c>
      <c r="G97">
        <v>0.15855719828581</v>
      </c>
      <c r="H97">
        <v>2.75338289538877E-3</v>
      </c>
      <c r="I97">
        <v>0.30963011487528302</v>
      </c>
      <c r="J97">
        <v>0.53</v>
      </c>
      <c r="L97">
        <v>0.16131058118119876</v>
      </c>
      <c r="M97">
        <v>0.15580381539042124</v>
      </c>
      <c r="N97">
        <v>0.16406396407658755</v>
      </c>
      <c r="O97">
        <v>0.15305043249503245</v>
      </c>
    </row>
    <row r="98" spans="1:15">
      <c r="A98" s="19">
        <v>43719</v>
      </c>
      <c r="B98">
        <v>854</v>
      </c>
      <c r="C98">
        <v>873</v>
      </c>
      <c r="D98">
        <v>5379</v>
      </c>
      <c r="E98">
        <v>5410</v>
      </c>
      <c r="F98">
        <v>0.16136783733826199</v>
      </c>
      <c r="G98">
        <v>0.15847809814817501</v>
      </c>
      <c r="H98">
        <v>2.8123393105608202E-3</v>
      </c>
      <c r="I98">
        <v>1.0275215295804401</v>
      </c>
      <c r="J98">
        <v>1.79</v>
      </c>
      <c r="L98">
        <v>0.16129043745873584</v>
      </c>
      <c r="M98">
        <v>0.15566575883761419</v>
      </c>
      <c r="N98">
        <v>0.16410277676929666</v>
      </c>
      <c r="O98">
        <v>0.15285341952705336</v>
      </c>
    </row>
    <row r="99" spans="1:15">
      <c r="A99" s="19">
        <v>43718</v>
      </c>
      <c r="B99">
        <v>819</v>
      </c>
      <c r="C99">
        <v>842</v>
      </c>
      <c r="D99">
        <v>5250</v>
      </c>
      <c r="E99">
        <v>5310</v>
      </c>
      <c r="F99">
        <v>0.15856873822975501</v>
      </c>
      <c r="G99">
        <v>0.158417232698532</v>
      </c>
      <c r="H99">
        <v>2.7985036120172801E-3</v>
      </c>
      <c r="I99">
        <v>5.41380509827337E-2</v>
      </c>
      <c r="J99">
        <v>0.1</v>
      </c>
      <c r="L99">
        <v>0.16121573631054928</v>
      </c>
      <c r="M99">
        <v>0.15561872908651472</v>
      </c>
      <c r="N99">
        <v>0.16401423992256656</v>
      </c>
      <c r="O99">
        <v>0.15282022547449745</v>
      </c>
    </row>
    <row r="100" spans="1:15">
      <c r="A100" s="19">
        <v>43717</v>
      </c>
      <c r="B100">
        <v>805</v>
      </c>
      <c r="C100">
        <v>811</v>
      </c>
      <c r="D100">
        <v>5192</v>
      </c>
      <c r="E100">
        <v>5173</v>
      </c>
      <c r="F100">
        <v>0.156775565435917</v>
      </c>
      <c r="G100">
        <v>0.15838023839301599</v>
      </c>
      <c r="H100">
        <v>2.8145492715638898E-3</v>
      </c>
      <c r="I100">
        <v>-0.57013496736811597</v>
      </c>
      <c r="J100">
        <v>-1.02</v>
      </c>
      <c r="L100">
        <v>0.16119478766457987</v>
      </c>
      <c r="M100">
        <v>0.15556568912145211</v>
      </c>
      <c r="N100">
        <v>0.16400933693614378</v>
      </c>
      <c r="O100">
        <v>0.1527511398498882</v>
      </c>
    </row>
    <row r="101" spans="1:15">
      <c r="A101" s="19">
        <v>43714</v>
      </c>
      <c r="B101">
        <v>790</v>
      </c>
      <c r="C101">
        <v>805</v>
      </c>
      <c r="D101">
        <v>5200</v>
      </c>
      <c r="E101">
        <v>5225</v>
      </c>
      <c r="F101">
        <v>0.15406698564593299</v>
      </c>
      <c r="G101">
        <v>0.15836662247648101</v>
      </c>
      <c r="H101">
        <v>2.8247309400556502E-3</v>
      </c>
      <c r="I101">
        <v>-1.5221403106321401</v>
      </c>
      <c r="J101">
        <v>-2.79</v>
      </c>
      <c r="L101">
        <v>0.16119135341653665</v>
      </c>
      <c r="M101">
        <v>0.15554189153642536</v>
      </c>
      <c r="N101">
        <v>0.16401608435659232</v>
      </c>
      <c r="O101">
        <v>0.15271716059636969</v>
      </c>
    </row>
    <row r="102" spans="1:15">
      <c r="A102" s="19">
        <v>43713</v>
      </c>
      <c r="B102">
        <v>758</v>
      </c>
      <c r="C102">
        <v>780</v>
      </c>
      <c r="D102">
        <v>4979</v>
      </c>
      <c r="E102">
        <v>5134</v>
      </c>
      <c r="F102">
        <v>0.15192832099727299</v>
      </c>
      <c r="G102">
        <v>0.15842810747037001</v>
      </c>
      <c r="H102">
        <v>2.7803108686344398E-3</v>
      </c>
      <c r="I102">
        <v>-2.3377912687476798</v>
      </c>
      <c r="J102">
        <v>-4.28</v>
      </c>
      <c r="L102">
        <v>0.16120841833900446</v>
      </c>
      <c r="M102">
        <v>0.15564779660173556</v>
      </c>
      <c r="N102">
        <v>0.16398872920763888</v>
      </c>
      <c r="O102">
        <v>0.15286748573310113</v>
      </c>
    </row>
    <row r="103" spans="1:15">
      <c r="A103" s="19">
        <v>43712</v>
      </c>
      <c r="B103">
        <v>765</v>
      </c>
      <c r="C103">
        <v>752</v>
      </c>
      <c r="D103">
        <v>4940</v>
      </c>
      <c r="E103">
        <v>4926</v>
      </c>
      <c r="F103">
        <v>0.15265935850588699</v>
      </c>
      <c r="G103">
        <v>0.158503963244432</v>
      </c>
      <c r="H103">
        <v>2.6776555312196999E-3</v>
      </c>
      <c r="I103">
        <v>-2.1827321215894999</v>
      </c>
      <c r="J103">
        <v>-3.83</v>
      </c>
      <c r="L103">
        <v>0.16118161877565171</v>
      </c>
      <c r="M103">
        <v>0.15582630771321229</v>
      </c>
      <c r="N103">
        <v>0.16385927430687139</v>
      </c>
      <c r="O103">
        <v>0.15314865218199261</v>
      </c>
    </row>
    <row r="104" spans="1:15">
      <c r="A104" s="19">
        <v>43711</v>
      </c>
      <c r="B104">
        <v>775</v>
      </c>
      <c r="C104">
        <v>766</v>
      </c>
      <c r="D104">
        <v>4886</v>
      </c>
      <c r="E104">
        <v>4984</v>
      </c>
      <c r="F104">
        <v>0.15369181380417299</v>
      </c>
      <c r="G104">
        <v>0.15856739514111101</v>
      </c>
      <c r="H104">
        <v>2.59347589621869E-3</v>
      </c>
      <c r="I104">
        <v>-1.8799408716489101</v>
      </c>
      <c r="J104">
        <v>-3.17</v>
      </c>
      <c r="L104">
        <v>0.16116087103732971</v>
      </c>
      <c r="M104">
        <v>0.15597391924489232</v>
      </c>
      <c r="N104">
        <v>0.1637543469335484</v>
      </c>
      <c r="O104">
        <v>0.15338044334867362</v>
      </c>
    </row>
    <row r="105" spans="1:15">
      <c r="A105" s="19">
        <v>43710</v>
      </c>
      <c r="B105">
        <v>788</v>
      </c>
      <c r="C105">
        <v>782</v>
      </c>
      <c r="D105">
        <v>4946</v>
      </c>
      <c r="E105">
        <v>4899</v>
      </c>
      <c r="F105">
        <v>0.15962441314553899</v>
      </c>
      <c r="G105">
        <v>0.15861654037699599</v>
      </c>
      <c r="H105">
        <v>2.5348812291820701E-3</v>
      </c>
      <c r="I105">
        <v>0.39760157475638402</v>
      </c>
      <c r="J105">
        <v>0.63</v>
      </c>
      <c r="L105">
        <v>0.16115142160617807</v>
      </c>
      <c r="M105">
        <v>0.15608165914781391</v>
      </c>
      <c r="N105">
        <v>0.16368630283536012</v>
      </c>
      <c r="O105">
        <v>0.15354677791863186</v>
      </c>
    </row>
    <row r="106" spans="1:15">
      <c r="A106" s="19">
        <v>43707</v>
      </c>
      <c r="B106">
        <v>782</v>
      </c>
      <c r="C106">
        <v>793</v>
      </c>
      <c r="D106">
        <v>4908</v>
      </c>
      <c r="E106">
        <v>4946</v>
      </c>
      <c r="F106">
        <v>0.16033158107561599</v>
      </c>
      <c r="G106">
        <v>0.158545191535717</v>
      </c>
      <c r="H106">
        <v>2.58040895342525E-3</v>
      </c>
      <c r="I106">
        <v>0.69228931233098401</v>
      </c>
      <c r="J106">
        <v>1.1100000000000001</v>
      </c>
      <c r="L106">
        <v>0.16112560048914226</v>
      </c>
      <c r="M106">
        <v>0.15596478258229174</v>
      </c>
      <c r="N106">
        <v>0.1637060094425675</v>
      </c>
      <c r="O106">
        <v>0.1533843736288665</v>
      </c>
    </row>
    <row r="107" spans="1:15">
      <c r="A107" s="19">
        <v>43706</v>
      </c>
      <c r="B107">
        <v>781</v>
      </c>
      <c r="C107">
        <v>775</v>
      </c>
      <c r="D107">
        <v>4860</v>
      </c>
      <c r="E107">
        <v>4845</v>
      </c>
      <c r="F107">
        <v>0.159958720330237</v>
      </c>
      <c r="G107">
        <v>0.158460105977212</v>
      </c>
      <c r="H107">
        <v>2.6249276811348599E-3</v>
      </c>
      <c r="I107">
        <v>0.57091643468711395</v>
      </c>
      <c r="J107">
        <v>0.94</v>
      </c>
      <c r="L107">
        <v>0.16108503365834687</v>
      </c>
      <c r="M107">
        <v>0.15583517829607713</v>
      </c>
      <c r="N107">
        <v>0.16370996133948171</v>
      </c>
      <c r="O107">
        <v>0.15321025061494228</v>
      </c>
    </row>
    <row r="108" spans="1:15">
      <c r="A108" s="19">
        <v>43705</v>
      </c>
      <c r="B108">
        <v>778</v>
      </c>
      <c r="C108">
        <v>776</v>
      </c>
      <c r="D108">
        <v>4874</v>
      </c>
      <c r="E108">
        <v>4850</v>
      </c>
      <c r="F108">
        <v>0.16</v>
      </c>
      <c r="G108">
        <v>0.158369963151821</v>
      </c>
      <c r="H108">
        <v>2.6872608007087102E-3</v>
      </c>
      <c r="I108">
        <v>0.60657932707873996</v>
      </c>
      <c r="J108">
        <v>1.02</v>
      </c>
      <c r="L108">
        <v>0.16105722395252972</v>
      </c>
      <c r="M108">
        <v>0.15568270235111228</v>
      </c>
      <c r="N108">
        <v>0.16374448475323841</v>
      </c>
      <c r="O108">
        <v>0.15299544155040359</v>
      </c>
    </row>
    <row r="109" spans="1:15">
      <c r="A109" s="19">
        <v>43704</v>
      </c>
      <c r="B109">
        <v>764</v>
      </c>
      <c r="C109">
        <v>778</v>
      </c>
      <c r="D109">
        <v>4886</v>
      </c>
      <c r="E109">
        <v>4879</v>
      </c>
      <c r="F109">
        <v>0.15945890551342401</v>
      </c>
      <c r="G109">
        <v>0.158288108390372</v>
      </c>
      <c r="H109">
        <v>2.7295298133961999E-3</v>
      </c>
      <c r="I109">
        <v>0.42893729070342801</v>
      </c>
      <c r="J109">
        <v>0.73</v>
      </c>
      <c r="L109">
        <v>0.16101763820376819</v>
      </c>
      <c r="M109">
        <v>0.1555585785769758</v>
      </c>
      <c r="N109">
        <v>0.16374716801716441</v>
      </c>
      <c r="O109">
        <v>0.15282904876357958</v>
      </c>
    </row>
    <row r="110" spans="1:15">
      <c r="A110" s="19">
        <v>43703</v>
      </c>
      <c r="B110">
        <v>773</v>
      </c>
      <c r="C110">
        <v>762</v>
      </c>
      <c r="D110">
        <v>4754</v>
      </c>
      <c r="E110">
        <v>4835</v>
      </c>
      <c r="F110">
        <v>0.15760082730093</v>
      </c>
      <c r="G110">
        <v>0.158211144216791</v>
      </c>
      <c r="H110">
        <v>2.7764099036921698E-3</v>
      </c>
      <c r="I110">
        <v>-0.219822337850276</v>
      </c>
      <c r="J110">
        <v>-0.39</v>
      </c>
      <c r="L110">
        <v>0.16098755412048316</v>
      </c>
      <c r="M110">
        <v>0.15543473431309884</v>
      </c>
      <c r="N110">
        <v>0.16376396402417534</v>
      </c>
      <c r="O110">
        <v>0.15265832440940666</v>
      </c>
    </row>
    <row r="111" spans="1:15">
      <c r="A111" s="19">
        <v>43700</v>
      </c>
      <c r="B111">
        <v>785</v>
      </c>
      <c r="C111">
        <v>802</v>
      </c>
      <c r="D111">
        <v>4846</v>
      </c>
      <c r="E111">
        <v>4877</v>
      </c>
      <c r="F111">
        <v>0.164445355751486</v>
      </c>
      <c r="G111">
        <v>0.15828057977752799</v>
      </c>
      <c r="H111">
        <v>2.8249730164697602E-3</v>
      </c>
      <c r="I111">
        <v>2.18224242780984</v>
      </c>
      <c r="J111">
        <v>3.75</v>
      </c>
      <c r="L111">
        <v>0.16110555279399774</v>
      </c>
      <c r="M111">
        <v>0.15545560676105824</v>
      </c>
      <c r="N111">
        <v>0.16393052581046752</v>
      </c>
      <c r="O111">
        <v>0.15263063374458846</v>
      </c>
    </row>
    <row r="112" spans="1:15">
      <c r="A112" s="19">
        <v>43699</v>
      </c>
      <c r="B112">
        <v>792</v>
      </c>
      <c r="C112">
        <v>798</v>
      </c>
      <c r="D112">
        <v>4902</v>
      </c>
      <c r="E112">
        <v>4916</v>
      </c>
      <c r="F112">
        <v>0.16232709519934899</v>
      </c>
      <c r="G112">
        <v>0.158338863050626</v>
      </c>
      <c r="H112">
        <v>2.9917307267621398E-3</v>
      </c>
      <c r="I112">
        <v>1.3330852650093199</v>
      </c>
      <c r="J112">
        <v>2.46</v>
      </c>
      <c r="L112">
        <v>0.16133059377738815</v>
      </c>
      <c r="M112">
        <v>0.15534713232386385</v>
      </c>
      <c r="N112">
        <v>0.16432232450415027</v>
      </c>
      <c r="O112">
        <v>0.15235540159710173</v>
      </c>
    </row>
    <row r="113" spans="1:15">
      <c r="A113" s="19">
        <v>43698</v>
      </c>
      <c r="B113">
        <v>781</v>
      </c>
      <c r="C113">
        <v>794</v>
      </c>
      <c r="D113">
        <v>4876</v>
      </c>
      <c r="E113">
        <v>4895</v>
      </c>
      <c r="F113">
        <v>0.16220633299284901</v>
      </c>
      <c r="G113">
        <v>0.15851230733175201</v>
      </c>
      <c r="H113">
        <v>3.5440176125311699E-3</v>
      </c>
      <c r="I113">
        <v>1.0423271171214801</v>
      </c>
      <c r="J113">
        <v>2.2799999999999998</v>
      </c>
      <c r="L113">
        <v>0.16205632494428318</v>
      </c>
      <c r="M113">
        <v>0.15496828971922083</v>
      </c>
      <c r="N113">
        <v>0.16560034255681436</v>
      </c>
      <c r="O113">
        <v>0.15142427210668966</v>
      </c>
    </row>
    <row r="114" spans="1:15">
      <c r="A114" s="19">
        <v>43697</v>
      </c>
      <c r="B114">
        <v>786</v>
      </c>
      <c r="C114">
        <v>792</v>
      </c>
      <c r="D114">
        <v>4905</v>
      </c>
      <c r="E114">
        <v>4915</v>
      </c>
      <c r="F114">
        <v>0.16113936927772099</v>
      </c>
      <c r="G114">
        <v>0.15854209935261501</v>
      </c>
      <c r="H114">
        <v>3.5841101532441402E-3</v>
      </c>
      <c r="I114">
        <v>0.72466241662651598</v>
      </c>
      <c r="J114">
        <v>1.61</v>
      </c>
      <c r="L114">
        <v>0.16212620950585915</v>
      </c>
      <c r="M114">
        <v>0.15495798919937087</v>
      </c>
      <c r="N114">
        <v>0.16571031965910329</v>
      </c>
      <c r="O114">
        <v>0.15137387904612673</v>
      </c>
    </row>
    <row r="115" spans="1:15">
      <c r="A115" s="19">
        <v>43696</v>
      </c>
      <c r="B115">
        <v>793</v>
      </c>
      <c r="C115">
        <v>790</v>
      </c>
      <c r="D115">
        <v>4864</v>
      </c>
      <c r="E115">
        <v>4915</v>
      </c>
      <c r="F115">
        <v>0.160732451678535</v>
      </c>
      <c r="G115">
        <v>0.158638644376662</v>
      </c>
      <c r="H115">
        <v>3.7466121027919901E-3</v>
      </c>
      <c r="I115">
        <v>0.55885350402624501</v>
      </c>
      <c r="J115">
        <v>1.3</v>
      </c>
      <c r="L115">
        <v>0.16238525647945398</v>
      </c>
      <c r="M115">
        <v>0.15489203227387002</v>
      </c>
      <c r="N115">
        <v>0.16613186858224599</v>
      </c>
      <c r="O115">
        <v>0.15114542017107802</v>
      </c>
    </row>
    <row r="116" spans="1:15">
      <c r="A116" s="19">
        <v>43693</v>
      </c>
      <c r="B116">
        <v>769</v>
      </c>
      <c r="C116">
        <v>781</v>
      </c>
      <c r="D116">
        <v>4769</v>
      </c>
      <c r="E116">
        <v>4794</v>
      </c>
      <c r="F116">
        <v>0.16291197329995799</v>
      </c>
      <c r="G116">
        <v>0.15871776724317099</v>
      </c>
      <c r="H116">
        <v>3.85119591716676E-3</v>
      </c>
      <c r="I116">
        <v>1.08906587641815</v>
      </c>
      <c r="J116">
        <v>2.57</v>
      </c>
      <c r="L116">
        <v>0.16256896316033775</v>
      </c>
      <c r="M116">
        <v>0.15486657132600423</v>
      </c>
      <c r="N116">
        <v>0.16642015907750451</v>
      </c>
      <c r="O116">
        <v>0.15101537540883747</v>
      </c>
    </row>
    <row r="117" spans="1:15">
      <c r="A117" s="19">
        <v>43692</v>
      </c>
      <c r="B117">
        <v>775</v>
      </c>
      <c r="C117">
        <v>780</v>
      </c>
      <c r="D117">
        <v>4817</v>
      </c>
      <c r="E117">
        <v>4839</v>
      </c>
      <c r="F117">
        <v>0.16119032858028501</v>
      </c>
      <c r="G117">
        <v>0.15879233021449701</v>
      </c>
      <c r="H117">
        <v>3.9835396370035301E-3</v>
      </c>
      <c r="I117">
        <v>0.60197678052774495</v>
      </c>
      <c r="J117">
        <v>1.49</v>
      </c>
      <c r="L117">
        <v>0.16277586985150055</v>
      </c>
      <c r="M117">
        <v>0.15480879057749347</v>
      </c>
      <c r="N117">
        <v>0.16675940948850407</v>
      </c>
      <c r="O117">
        <v>0.15082525094048996</v>
      </c>
    </row>
    <row r="118" spans="1:15">
      <c r="A118" s="19">
        <v>43691</v>
      </c>
      <c r="B118">
        <v>797</v>
      </c>
      <c r="C118">
        <v>799</v>
      </c>
      <c r="D118">
        <v>4952</v>
      </c>
      <c r="E118">
        <v>4957</v>
      </c>
      <c r="F118">
        <v>0.16118620133145001</v>
      </c>
      <c r="G118">
        <v>0.158925866893982</v>
      </c>
      <c r="H118">
        <v>4.2223927849933101E-3</v>
      </c>
      <c r="I118">
        <v>0.53532074171343802</v>
      </c>
      <c r="J118">
        <v>1.4</v>
      </c>
      <c r="L118">
        <v>0.16314825967897531</v>
      </c>
      <c r="M118">
        <v>0.15470347410898869</v>
      </c>
      <c r="N118">
        <v>0.16737065246396862</v>
      </c>
      <c r="O118">
        <v>0.15048108132399537</v>
      </c>
    </row>
    <row r="119" spans="1:15">
      <c r="A119" s="19">
        <v>43690</v>
      </c>
      <c r="B119">
        <v>789</v>
      </c>
      <c r="C119">
        <v>783</v>
      </c>
      <c r="D119">
        <v>4876</v>
      </c>
      <c r="E119">
        <v>4828</v>
      </c>
      <c r="F119">
        <v>0.16217895608947799</v>
      </c>
      <c r="G119">
        <v>0.15903801581734101</v>
      </c>
      <c r="H119">
        <v>4.3893410863979103E-3</v>
      </c>
      <c r="I119">
        <v>0.71558354894536402</v>
      </c>
      <c r="J119">
        <v>1.94</v>
      </c>
      <c r="L119">
        <v>0.16342735690373891</v>
      </c>
      <c r="M119">
        <v>0.1546486747309431</v>
      </c>
      <c r="N119">
        <v>0.16781669799013682</v>
      </c>
      <c r="O119">
        <v>0.15025933364454519</v>
      </c>
    </row>
    <row r="120" spans="1:15">
      <c r="A120" s="19">
        <v>43686</v>
      </c>
      <c r="B120">
        <v>794</v>
      </c>
      <c r="C120">
        <v>807</v>
      </c>
      <c r="D120">
        <v>4965</v>
      </c>
      <c r="E120">
        <v>4937</v>
      </c>
      <c r="F120">
        <v>0.16345959084464201</v>
      </c>
      <c r="G120">
        <v>0.15913604466467601</v>
      </c>
      <c r="H120">
        <v>4.53797698814271E-3</v>
      </c>
      <c r="I120">
        <v>0.95274748886190397</v>
      </c>
      <c r="J120">
        <v>2.65</v>
      </c>
      <c r="L120">
        <v>0.16367402165281872</v>
      </c>
      <c r="M120">
        <v>0.15459806767653331</v>
      </c>
      <c r="N120">
        <v>0.16821199864096142</v>
      </c>
      <c r="O120">
        <v>0.1500600906883906</v>
      </c>
    </row>
    <row r="121" spans="1:15">
      <c r="A121" s="19">
        <v>43685</v>
      </c>
      <c r="B121">
        <v>767</v>
      </c>
      <c r="C121">
        <v>780</v>
      </c>
      <c r="D121">
        <v>4781</v>
      </c>
      <c r="E121">
        <v>4876</v>
      </c>
      <c r="F121">
        <v>0.15996718621821099</v>
      </c>
      <c r="G121">
        <v>0.15923728520780001</v>
      </c>
      <c r="H121">
        <v>4.7145673600245096E-3</v>
      </c>
      <c r="I121">
        <v>0.15481823774544201</v>
      </c>
      <c r="J121">
        <v>0.46</v>
      </c>
      <c r="L121">
        <v>0.16395185256782452</v>
      </c>
      <c r="M121">
        <v>0.15452271784777549</v>
      </c>
      <c r="N121">
        <v>0.16866641992784903</v>
      </c>
      <c r="O121">
        <v>0.14980815048775098</v>
      </c>
    </row>
    <row r="122" spans="1:15">
      <c r="A122" s="19">
        <v>43684</v>
      </c>
      <c r="B122">
        <v>793</v>
      </c>
      <c r="C122">
        <v>773</v>
      </c>
      <c r="D122">
        <v>4951</v>
      </c>
      <c r="E122">
        <v>4839</v>
      </c>
      <c r="F122">
        <v>0.15974374870840999</v>
      </c>
      <c r="G122">
        <v>0.159370814949122</v>
      </c>
      <c r="H122">
        <v>4.8725256872515499E-3</v>
      </c>
      <c r="I122">
        <v>7.6538079678905593E-2</v>
      </c>
      <c r="J122">
        <v>0.23</v>
      </c>
      <c r="L122">
        <v>0.16424334063637355</v>
      </c>
      <c r="M122">
        <v>0.15449828926187045</v>
      </c>
      <c r="N122">
        <v>0.1691158663236251</v>
      </c>
      <c r="O122">
        <v>0.1496257635746189</v>
      </c>
    </row>
    <row r="123" spans="1:15">
      <c r="A123" s="19">
        <v>43683</v>
      </c>
      <c r="B123">
        <v>761</v>
      </c>
      <c r="C123">
        <v>796</v>
      </c>
      <c r="D123">
        <v>4852</v>
      </c>
      <c r="E123">
        <v>5012</v>
      </c>
      <c r="F123">
        <v>0.15881883479648801</v>
      </c>
      <c r="G123">
        <v>0.15949432743096301</v>
      </c>
      <c r="H123">
        <v>4.9962511121734001E-3</v>
      </c>
      <c r="I123">
        <v>-0.135199896744468</v>
      </c>
      <c r="J123">
        <v>-0.43</v>
      </c>
      <c r="L123">
        <v>0.1644905785431364</v>
      </c>
      <c r="M123">
        <v>0.15449807631878962</v>
      </c>
      <c r="N123">
        <v>0.16948682965530981</v>
      </c>
      <c r="O123">
        <v>0.1495018252066162</v>
      </c>
    </row>
    <row r="124" spans="1:15">
      <c r="A124" s="19">
        <v>43682</v>
      </c>
      <c r="B124">
        <v>798</v>
      </c>
      <c r="C124">
        <v>798</v>
      </c>
      <c r="D124">
        <v>5122</v>
      </c>
      <c r="E124">
        <v>5002</v>
      </c>
      <c r="F124">
        <v>0.15953618552578899</v>
      </c>
      <c r="G124">
        <v>0.159612271909126</v>
      </c>
      <c r="H124">
        <v>5.08257715318632E-3</v>
      </c>
      <c r="I124">
        <v>-1.49700400098969E-2</v>
      </c>
      <c r="J124">
        <v>-0.05</v>
      </c>
      <c r="L124">
        <v>0.16469484906231233</v>
      </c>
      <c r="M124">
        <v>0.15452969475593967</v>
      </c>
      <c r="N124">
        <v>0.16977742621549863</v>
      </c>
      <c r="O124">
        <v>0.14944711760275337</v>
      </c>
    </row>
    <row r="125" spans="1:15">
      <c r="A125" s="19">
        <v>43679</v>
      </c>
      <c r="B125">
        <v>838</v>
      </c>
      <c r="C125">
        <v>801</v>
      </c>
      <c r="D125">
        <v>5302</v>
      </c>
      <c r="E125">
        <v>5174</v>
      </c>
      <c r="F125">
        <v>0.154812524159257</v>
      </c>
      <c r="G125">
        <v>0.159715417793</v>
      </c>
      <c r="H125">
        <v>5.1579245779897502E-3</v>
      </c>
      <c r="I125">
        <v>-0.95055551115752002</v>
      </c>
      <c r="J125">
        <v>-3.17</v>
      </c>
      <c r="L125">
        <v>0.16487334237098974</v>
      </c>
      <c r="M125">
        <v>0.15455749321501025</v>
      </c>
      <c r="N125">
        <v>0.17003126694897949</v>
      </c>
      <c r="O125">
        <v>0.1493995686370205</v>
      </c>
    </row>
    <row r="126" spans="1:15">
      <c r="A126" s="19">
        <v>43678</v>
      </c>
      <c r="B126">
        <v>852</v>
      </c>
      <c r="C126">
        <v>862</v>
      </c>
      <c r="D126">
        <v>5360</v>
      </c>
      <c r="E126">
        <v>5410</v>
      </c>
      <c r="F126">
        <v>0.15933456561922299</v>
      </c>
      <c r="G126">
        <v>0.15988329138676599</v>
      </c>
      <c r="H126">
        <v>5.2003353182022496E-3</v>
      </c>
      <c r="I126">
        <v>-0.105517381854677</v>
      </c>
      <c r="J126">
        <v>-0.34</v>
      </c>
      <c r="L126">
        <v>0.16508362670496823</v>
      </c>
      <c r="M126">
        <v>0.15468295606856375</v>
      </c>
      <c r="N126">
        <v>0.17028396202317048</v>
      </c>
      <c r="O126">
        <v>0.14948262075036151</v>
      </c>
    </row>
    <row r="127" spans="1:15">
      <c r="A127" s="19">
        <v>43677</v>
      </c>
      <c r="B127">
        <v>868</v>
      </c>
      <c r="C127">
        <v>854</v>
      </c>
      <c r="D127">
        <v>5317</v>
      </c>
      <c r="E127">
        <v>5390</v>
      </c>
      <c r="F127">
        <v>0.15844155844155799</v>
      </c>
      <c r="G127">
        <v>0.159963892716905</v>
      </c>
      <c r="H127">
        <v>5.2379173223091298E-3</v>
      </c>
      <c r="I127">
        <v>-0.29063732427842398</v>
      </c>
      <c r="J127">
        <v>-0.96</v>
      </c>
      <c r="L127">
        <v>0.16520181003921414</v>
      </c>
      <c r="M127">
        <v>0.15472597539459587</v>
      </c>
      <c r="N127">
        <v>0.17043972736152327</v>
      </c>
      <c r="O127">
        <v>0.14948805807228674</v>
      </c>
    </row>
    <row r="128" spans="1:15">
      <c r="A128" s="19">
        <v>43676</v>
      </c>
      <c r="B128">
        <v>870</v>
      </c>
      <c r="C128">
        <v>868</v>
      </c>
      <c r="D128">
        <v>5257</v>
      </c>
      <c r="E128">
        <v>5360</v>
      </c>
      <c r="F128">
        <v>0.161940298507462</v>
      </c>
      <c r="G128">
        <v>0.160027124216092</v>
      </c>
      <c r="H128">
        <v>5.24777356433862E-3</v>
      </c>
      <c r="I128">
        <v>0.36456875814374301</v>
      </c>
      <c r="J128">
        <v>1.18</v>
      </c>
      <c r="L128">
        <v>0.16527489778043061</v>
      </c>
      <c r="M128">
        <v>0.15477935065175338</v>
      </c>
      <c r="N128">
        <v>0.17052267134476923</v>
      </c>
      <c r="O128">
        <v>0.14953157708741477</v>
      </c>
    </row>
    <row r="129" spans="1:15">
      <c r="A129" s="19">
        <v>43675</v>
      </c>
      <c r="B129">
        <v>852</v>
      </c>
      <c r="C129">
        <v>862</v>
      </c>
      <c r="D129">
        <v>5500</v>
      </c>
      <c r="E129">
        <v>5357</v>
      </c>
      <c r="F129">
        <v>0.16091095762553601</v>
      </c>
      <c r="G129">
        <v>0.16006142795739201</v>
      </c>
      <c r="H129">
        <v>5.2685353474990204E-3</v>
      </c>
      <c r="I129">
        <v>0.161245889438311</v>
      </c>
      <c r="J129">
        <v>0.53</v>
      </c>
      <c r="L129">
        <v>0.16532996330489103</v>
      </c>
      <c r="M129">
        <v>0.15479289260989298</v>
      </c>
      <c r="N129">
        <v>0.17059849865239005</v>
      </c>
      <c r="O129">
        <v>0.14952435726239396</v>
      </c>
    </row>
    <row r="130" spans="1:15">
      <c r="A130" s="19">
        <v>43672</v>
      </c>
      <c r="B130">
        <v>849</v>
      </c>
      <c r="C130">
        <v>848</v>
      </c>
      <c r="D130">
        <v>5272</v>
      </c>
      <c r="E130">
        <v>5283</v>
      </c>
      <c r="F130">
        <v>0.160514858981639</v>
      </c>
      <c r="G130">
        <v>0.160166113975727</v>
      </c>
      <c r="H130">
        <v>5.3615585872818297E-3</v>
      </c>
      <c r="I130">
        <v>6.5045452779250598E-2</v>
      </c>
      <c r="J130">
        <v>0.22</v>
      </c>
      <c r="L130">
        <v>0.16552767256300882</v>
      </c>
      <c r="M130">
        <v>0.15480455538844518</v>
      </c>
      <c r="N130">
        <v>0.17088923115029064</v>
      </c>
      <c r="O130">
        <v>0.14944299680116335</v>
      </c>
    </row>
    <row r="131" spans="1:15">
      <c r="A131" s="19">
        <v>43671</v>
      </c>
      <c r="B131">
        <v>845</v>
      </c>
      <c r="C131">
        <v>846</v>
      </c>
      <c r="D131">
        <v>5284</v>
      </c>
      <c r="E131">
        <v>5289</v>
      </c>
      <c r="F131">
        <v>0.15995462280204101</v>
      </c>
      <c r="G131">
        <v>0.16027965633096999</v>
      </c>
      <c r="H131">
        <v>5.4570599464995196E-3</v>
      </c>
      <c r="I131">
        <v>-5.9562022795246403E-2</v>
      </c>
      <c r="J131">
        <v>-0.2</v>
      </c>
      <c r="L131">
        <v>0.16573671627746953</v>
      </c>
      <c r="M131">
        <v>0.15482259638447046</v>
      </c>
      <c r="N131">
        <v>0.17119377622396903</v>
      </c>
      <c r="O131">
        <v>0.14936553643797096</v>
      </c>
    </row>
    <row r="132" spans="1:15">
      <c r="A132" s="19">
        <v>43670</v>
      </c>
      <c r="B132">
        <v>849</v>
      </c>
      <c r="C132">
        <v>843</v>
      </c>
      <c r="D132">
        <v>5282</v>
      </c>
      <c r="E132">
        <v>5279</v>
      </c>
      <c r="F132">
        <v>0.159689335101344</v>
      </c>
      <c r="G132">
        <v>0.160417192257991</v>
      </c>
      <c r="H132">
        <v>5.5758308255057804E-3</v>
      </c>
      <c r="I132">
        <v>-0.13053788384635601</v>
      </c>
      <c r="J132">
        <v>-0.46</v>
      </c>
      <c r="L132">
        <v>0.16599302308349678</v>
      </c>
      <c r="M132">
        <v>0.15484136143248522</v>
      </c>
      <c r="N132">
        <v>0.17156885390900256</v>
      </c>
      <c r="O132">
        <v>0.14926553060697945</v>
      </c>
    </row>
    <row r="133" spans="1:15">
      <c r="A133" s="19">
        <v>43669</v>
      </c>
      <c r="B133">
        <v>823</v>
      </c>
      <c r="C133">
        <v>847</v>
      </c>
      <c r="D133">
        <v>5154</v>
      </c>
      <c r="E133">
        <v>5235</v>
      </c>
      <c r="F133">
        <v>0.161795606494746</v>
      </c>
      <c r="G133">
        <v>0.160521435364814</v>
      </c>
      <c r="H133">
        <v>5.6340279983040902E-3</v>
      </c>
      <c r="I133">
        <v>0.226156336162399</v>
      </c>
      <c r="J133">
        <v>0.79</v>
      </c>
      <c r="L133">
        <v>0.16615546336311809</v>
      </c>
      <c r="M133">
        <v>0.15488740736650991</v>
      </c>
      <c r="N133">
        <v>0.17178949136142219</v>
      </c>
      <c r="O133">
        <v>0.14925337936820582</v>
      </c>
    </row>
    <row r="134" spans="1:15">
      <c r="A134" s="19">
        <v>43668</v>
      </c>
      <c r="B134">
        <v>822</v>
      </c>
      <c r="C134">
        <v>827</v>
      </c>
      <c r="D134">
        <v>5186</v>
      </c>
      <c r="E134">
        <v>5153</v>
      </c>
      <c r="F134">
        <v>0.16048903551329299</v>
      </c>
      <c r="G134">
        <v>0.160581414839123</v>
      </c>
      <c r="H134">
        <v>5.6710966732918498E-3</v>
      </c>
      <c r="I134">
        <v>-1.62894993952327E-2</v>
      </c>
      <c r="J134">
        <v>-0.06</v>
      </c>
      <c r="L134">
        <v>0.16625251151241485</v>
      </c>
      <c r="M134">
        <v>0.15491031816583115</v>
      </c>
      <c r="N134">
        <v>0.17192360818570671</v>
      </c>
      <c r="O134">
        <v>0.14923922149253929</v>
      </c>
    </row>
    <row r="135" spans="1:15">
      <c r="A135" s="19">
        <v>43665</v>
      </c>
      <c r="B135">
        <v>801</v>
      </c>
      <c r="C135">
        <v>823</v>
      </c>
      <c r="D135">
        <v>5070</v>
      </c>
      <c r="E135">
        <v>5198</v>
      </c>
      <c r="F135">
        <v>0.15833012697191201</v>
      </c>
      <c r="G135">
        <v>0.16061242218619101</v>
      </c>
      <c r="H135">
        <v>5.6768614845290099E-3</v>
      </c>
      <c r="I135">
        <v>-0.40203468421746502</v>
      </c>
      <c r="J135">
        <v>-1.44</v>
      </c>
      <c r="L135">
        <v>0.16628928367072002</v>
      </c>
      <c r="M135">
        <v>0.15493556070166201</v>
      </c>
      <c r="N135">
        <v>0.17196614515524902</v>
      </c>
      <c r="O135">
        <v>0.149258699217133</v>
      </c>
    </row>
    <row r="136" spans="1:15">
      <c r="A136" s="19">
        <v>43664</v>
      </c>
      <c r="B136">
        <v>828</v>
      </c>
      <c r="C136">
        <v>802</v>
      </c>
      <c r="D136">
        <v>5127</v>
      </c>
      <c r="E136">
        <v>5070</v>
      </c>
      <c r="F136">
        <v>0.15818540433924999</v>
      </c>
      <c r="G136">
        <v>0.16068489278211701</v>
      </c>
      <c r="H136">
        <v>5.6819543102951302E-3</v>
      </c>
      <c r="I136">
        <v>-0.43989942656493802</v>
      </c>
      <c r="J136">
        <v>-1.58</v>
      </c>
      <c r="L136">
        <v>0.16636684709241215</v>
      </c>
      <c r="M136">
        <v>0.15500293847182187</v>
      </c>
      <c r="N136">
        <v>0.17204880140270726</v>
      </c>
      <c r="O136">
        <v>0.14932098416152675</v>
      </c>
    </row>
    <row r="137" spans="1:15">
      <c r="A137" s="19">
        <v>43663</v>
      </c>
      <c r="B137">
        <v>830</v>
      </c>
      <c r="C137">
        <v>839</v>
      </c>
      <c r="D137">
        <v>5143</v>
      </c>
      <c r="E137">
        <v>5200</v>
      </c>
      <c r="F137">
        <v>0.161346153846153</v>
      </c>
      <c r="G137">
        <v>0.16072847313339</v>
      </c>
      <c r="H137">
        <v>5.6751468610828802E-3</v>
      </c>
      <c r="I137">
        <v>0.10883959972901899</v>
      </c>
      <c r="J137">
        <v>0.38</v>
      </c>
      <c r="L137">
        <v>0.1664036199944729</v>
      </c>
      <c r="M137">
        <v>0.15505332627230711</v>
      </c>
      <c r="N137">
        <v>0.17207876685555576</v>
      </c>
      <c r="O137">
        <v>0.14937817941122425</v>
      </c>
    </row>
    <row r="138" spans="1:15">
      <c r="A138" s="19">
        <v>43662</v>
      </c>
      <c r="B138">
        <v>825</v>
      </c>
      <c r="C138">
        <v>830</v>
      </c>
      <c r="D138">
        <v>5138</v>
      </c>
      <c r="E138">
        <v>5146</v>
      </c>
      <c r="F138">
        <v>0.16129032258064499</v>
      </c>
      <c r="G138">
        <v>0.16071431347568499</v>
      </c>
      <c r="H138">
        <v>5.6749128889348804E-3</v>
      </c>
      <c r="I138">
        <v>0.101500959791477</v>
      </c>
      <c r="J138">
        <v>0.36</v>
      </c>
      <c r="L138">
        <v>0.16638922636461986</v>
      </c>
      <c r="M138">
        <v>0.15503940058675011</v>
      </c>
      <c r="N138">
        <v>0.17206413925355474</v>
      </c>
      <c r="O138">
        <v>0.14936448769781524</v>
      </c>
    </row>
    <row r="139" spans="1:15">
      <c r="A139" s="19">
        <v>43658</v>
      </c>
      <c r="B139">
        <v>840</v>
      </c>
      <c r="C139">
        <v>830</v>
      </c>
      <c r="D139">
        <v>5214</v>
      </c>
      <c r="E139">
        <v>5165</v>
      </c>
      <c r="F139">
        <v>0.16069699903194501</v>
      </c>
      <c r="G139">
        <v>0.16072945963796201</v>
      </c>
      <c r="H139">
        <v>5.67794514000466E-3</v>
      </c>
      <c r="I139">
        <v>-5.71696365793181E-3</v>
      </c>
      <c r="J139">
        <v>-0.02</v>
      </c>
      <c r="L139">
        <v>0.16640740477796667</v>
      </c>
      <c r="M139">
        <v>0.15505151449795734</v>
      </c>
      <c r="N139">
        <v>0.17208534991797134</v>
      </c>
      <c r="O139">
        <v>0.14937356935795268</v>
      </c>
    </row>
    <row r="140" spans="1:15">
      <c r="A140" s="19">
        <v>43657</v>
      </c>
      <c r="B140">
        <v>818</v>
      </c>
      <c r="C140">
        <v>833</v>
      </c>
      <c r="D140">
        <v>5082</v>
      </c>
      <c r="E140">
        <v>5247</v>
      </c>
      <c r="F140">
        <v>0.158757385172479</v>
      </c>
      <c r="G140">
        <v>0.16074399097873801</v>
      </c>
      <c r="H140">
        <v>5.6792379286869903E-3</v>
      </c>
      <c r="I140">
        <v>-0.34980147533949901</v>
      </c>
      <c r="J140">
        <v>-1.25</v>
      </c>
      <c r="L140">
        <v>0.166423228907425</v>
      </c>
      <c r="M140">
        <v>0.15506475305005102</v>
      </c>
      <c r="N140">
        <v>0.17210246683611199</v>
      </c>
      <c r="O140">
        <v>0.14938551512136403</v>
      </c>
    </row>
    <row r="141" spans="1:15">
      <c r="A141" s="19">
        <v>43656</v>
      </c>
      <c r="B141">
        <v>818</v>
      </c>
      <c r="C141">
        <v>816</v>
      </c>
      <c r="D141">
        <v>5088</v>
      </c>
      <c r="E141">
        <v>5084</v>
      </c>
      <c r="F141">
        <v>0.16050354051927601</v>
      </c>
      <c r="G141">
        <v>0.160756114731994</v>
      </c>
      <c r="H141">
        <v>5.6759536760350804E-3</v>
      </c>
      <c r="I141">
        <v>-4.4498991206419897E-2</v>
      </c>
      <c r="J141">
        <v>-0.16</v>
      </c>
      <c r="L141">
        <v>0.16643206840802907</v>
      </c>
      <c r="M141">
        <v>0.15508016105595893</v>
      </c>
      <c r="N141">
        <v>0.17210802208406417</v>
      </c>
      <c r="O141">
        <v>0.14940420737992383</v>
      </c>
    </row>
    <row r="142" spans="1:15">
      <c r="A142" s="19">
        <v>43655</v>
      </c>
      <c r="B142">
        <v>821</v>
      </c>
      <c r="C142">
        <v>817</v>
      </c>
      <c r="D142">
        <v>5260</v>
      </c>
      <c r="E142">
        <v>5131</v>
      </c>
      <c r="F142">
        <v>0.159228220619762</v>
      </c>
      <c r="G142">
        <v>0.16075092415589401</v>
      </c>
      <c r="H142">
        <v>5.6763602649741798E-3</v>
      </c>
      <c r="I142">
        <v>-0.26825350489615002</v>
      </c>
      <c r="J142">
        <v>-0.96</v>
      </c>
      <c r="L142">
        <v>0.16642728442086818</v>
      </c>
      <c r="M142">
        <v>0.15507456389091984</v>
      </c>
      <c r="N142">
        <v>0.17210364468584238</v>
      </c>
      <c r="O142">
        <v>0.14939820362594564</v>
      </c>
    </row>
    <row r="143" spans="1:15">
      <c r="A143" s="19">
        <v>43654</v>
      </c>
      <c r="B143">
        <v>818</v>
      </c>
      <c r="C143">
        <v>824</v>
      </c>
      <c r="D143">
        <v>5293</v>
      </c>
      <c r="E143">
        <v>5295</v>
      </c>
      <c r="F143">
        <v>0.15561850802644001</v>
      </c>
      <c r="G143">
        <v>0.16076959914548899</v>
      </c>
      <c r="H143">
        <v>5.6736232514930304E-3</v>
      </c>
      <c r="I143">
        <v>-0.90790151032569599</v>
      </c>
      <c r="J143">
        <v>-3.31</v>
      </c>
      <c r="L143">
        <v>0.16644322239698203</v>
      </c>
      <c r="M143">
        <v>0.15509597589399596</v>
      </c>
      <c r="N143">
        <v>0.17211684564847507</v>
      </c>
      <c r="O143">
        <v>0.14942235264250292</v>
      </c>
    </row>
    <row r="144" spans="1:15">
      <c r="A144" s="19">
        <v>43651</v>
      </c>
      <c r="B144">
        <v>821</v>
      </c>
      <c r="C144">
        <v>821</v>
      </c>
      <c r="D144">
        <v>5331</v>
      </c>
      <c r="E144">
        <v>5280</v>
      </c>
      <c r="F144">
        <v>0.15549242424242399</v>
      </c>
      <c r="G144">
        <v>0.16089174777330101</v>
      </c>
      <c r="H144">
        <v>5.6600092433211303E-3</v>
      </c>
      <c r="I144">
        <v>-0.95394252884811304</v>
      </c>
      <c r="J144">
        <v>-3.47</v>
      </c>
      <c r="L144">
        <v>0.16655175701662214</v>
      </c>
      <c r="M144">
        <v>0.15523173852997987</v>
      </c>
      <c r="N144">
        <v>0.17221176625994328</v>
      </c>
      <c r="O144">
        <v>0.14957172928665874</v>
      </c>
    </row>
    <row r="145" spans="1:15">
      <c r="A145" s="19">
        <v>43650</v>
      </c>
      <c r="B145">
        <v>825</v>
      </c>
      <c r="C145">
        <v>819</v>
      </c>
      <c r="D145">
        <v>5270</v>
      </c>
      <c r="E145">
        <v>5346</v>
      </c>
      <c r="F145">
        <v>0.153198653198653</v>
      </c>
      <c r="G145">
        <v>0.160982958374005</v>
      </c>
      <c r="H145">
        <v>5.6272895075308096E-3</v>
      </c>
      <c r="I145">
        <v>-1.3833134344581499</v>
      </c>
      <c r="J145">
        <v>-5.08</v>
      </c>
      <c r="L145">
        <v>0.16661024788153581</v>
      </c>
      <c r="M145">
        <v>0.1553556688664742</v>
      </c>
      <c r="N145">
        <v>0.17223753738906661</v>
      </c>
      <c r="O145">
        <v>0.1497283793589434</v>
      </c>
    </row>
    <row r="146" spans="1:15">
      <c r="A146" s="19">
        <v>43649</v>
      </c>
      <c r="B146">
        <v>831</v>
      </c>
      <c r="C146">
        <v>817</v>
      </c>
      <c r="D146">
        <v>5315</v>
      </c>
      <c r="E146">
        <v>5250</v>
      </c>
      <c r="F146">
        <v>0.15561904761904699</v>
      </c>
      <c r="G146">
        <v>0.16112875259096399</v>
      </c>
      <c r="H146">
        <v>5.5650260035371903E-3</v>
      </c>
      <c r="I146">
        <v>-0.99005916026533103</v>
      </c>
      <c r="J146">
        <v>-3.54</v>
      </c>
      <c r="L146">
        <v>0.16669377859450119</v>
      </c>
      <c r="M146">
        <v>0.15556372658742679</v>
      </c>
      <c r="N146">
        <v>0.17225880459803836</v>
      </c>
      <c r="O146">
        <v>0.14999870058388962</v>
      </c>
    </row>
    <row r="147" spans="1:15">
      <c r="A147" s="19">
        <v>43648</v>
      </c>
      <c r="B147">
        <v>842</v>
      </c>
      <c r="C147">
        <v>836</v>
      </c>
      <c r="D147">
        <v>5393</v>
      </c>
      <c r="E147">
        <v>5400</v>
      </c>
      <c r="F147">
        <v>0.15481481481481399</v>
      </c>
      <c r="G147">
        <v>0.16125404419516601</v>
      </c>
      <c r="H147">
        <v>5.5453156664885504E-3</v>
      </c>
      <c r="I147">
        <v>-1.16120159205096</v>
      </c>
      <c r="J147">
        <v>-4.16</v>
      </c>
      <c r="L147">
        <v>0.16679935986165456</v>
      </c>
      <c r="M147">
        <v>0.15570872852867745</v>
      </c>
      <c r="N147">
        <v>0.17234467552814312</v>
      </c>
      <c r="O147">
        <v>0.1501634128621889</v>
      </c>
    </row>
    <row r="148" spans="1:15">
      <c r="A148" s="19">
        <v>43647</v>
      </c>
      <c r="B148">
        <v>840</v>
      </c>
      <c r="C148">
        <v>844</v>
      </c>
      <c r="D148">
        <v>5417</v>
      </c>
      <c r="E148">
        <v>5394</v>
      </c>
      <c r="F148">
        <v>0.156470152020763</v>
      </c>
      <c r="G148">
        <v>0.16136388744225599</v>
      </c>
      <c r="H148">
        <v>5.4980691150736697E-3</v>
      </c>
      <c r="I148">
        <v>-0.89008255790669</v>
      </c>
      <c r="J148">
        <v>-3.13</v>
      </c>
      <c r="L148">
        <v>0.16686195655732966</v>
      </c>
      <c r="M148">
        <v>0.15586581832718233</v>
      </c>
      <c r="N148">
        <v>0.17236002567240333</v>
      </c>
      <c r="O148">
        <v>0.15036774921210866</v>
      </c>
    </row>
    <row r="149" spans="1:15">
      <c r="A149" s="19">
        <v>43644</v>
      </c>
      <c r="B149">
        <v>822</v>
      </c>
      <c r="C149">
        <v>823</v>
      </c>
      <c r="D149">
        <v>5300</v>
      </c>
      <c r="E149">
        <v>5317</v>
      </c>
      <c r="F149">
        <v>0.154786533759638</v>
      </c>
      <c r="G149">
        <v>0.161441192163709</v>
      </c>
      <c r="H149">
        <v>5.4694032365369899E-3</v>
      </c>
      <c r="I149">
        <v>-1.2167064881257501</v>
      </c>
      <c r="J149">
        <v>-4.3</v>
      </c>
      <c r="L149">
        <v>0.166910595400246</v>
      </c>
      <c r="M149">
        <v>0.15597178892717201</v>
      </c>
      <c r="N149">
        <v>0.17237999863678299</v>
      </c>
      <c r="O149">
        <v>0.15050238569063501</v>
      </c>
    </row>
    <row r="150" spans="1:15">
      <c r="A150" s="19">
        <v>43643</v>
      </c>
      <c r="B150">
        <v>817</v>
      </c>
      <c r="C150">
        <v>828</v>
      </c>
      <c r="D150">
        <v>5261</v>
      </c>
      <c r="E150">
        <v>5356</v>
      </c>
      <c r="F150">
        <v>0.154592979835698</v>
      </c>
      <c r="G150">
        <v>0.16151922761489801</v>
      </c>
      <c r="H150">
        <v>5.4153853568539804E-3</v>
      </c>
      <c r="I150">
        <v>-1.2789944431995099</v>
      </c>
      <c r="J150">
        <v>-4.4800000000000004</v>
      </c>
      <c r="L150">
        <v>0.16693461297175199</v>
      </c>
      <c r="M150">
        <v>0.15610384225804402</v>
      </c>
      <c r="N150">
        <v>0.17234999832860598</v>
      </c>
      <c r="O150">
        <v>0.15068845690119004</v>
      </c>
    </row>
    <row r="151" spans="1:15">
      <c r="A151" s="19">
        <v>43642</v>
      </c>
      <c r="B151">
        <v>802</v>
      </c>
      <c r="C151">
        <v>812</v>
      </c>
      <c r="D151">
        <v>5211</v>
      </c>
      <c r="E151">
        <v>5222</v>
      </c>
      <c r="F151">
        <v>0.15549597855227801</v>
      </c>
      <c r="G151">
        <v>0.161565016905732</v>
      </c>
      <c r="H151">
        <v>5.3709641027293699E-3</v>
      </c>
      <c r="I151">
        <v>-1.12997187048209</v>
      </c>
      <c r="J151">
        <v>-3.9</v>
      </c>
      <c r="L151">
        <v>0.16693598100846135</v>
      </c>
      <c r="M151">
        <v>0.15619405280300264</v>
      </c>
      <c r="N151">
        <v>0.17230694511119074</v>
      </c>
      <c r="O151">
        <v>0.15082308870027325</v>
      </c>
    </row>
    <row r="152" spans="1:15">
      <c r="A152" s="19">
        <v>43641</v>
      </c>
      <c r="B152">
        <v>825</v>
      </c>
      <c r="C152">
        <v>818</v>
      </c>
      <c r="D152">
        <v>5299</v>
      </c>
      <c r="E152">
        <v>5238</v>
      </c>
      <c r="F152">
        <v>0.156166475754104</v>
      </c>
      <c r="G152">
        <v>0.16162178327976801</v>
      </c>
      <c r="H152">
        <v>5.3288535315536099E-3</v>
      </c>
      <c r="I152">
        <v>-1.0237300562610301</v>
      </c>
      <c r="J152">
        <v>-3.49</v>
      </c>
      <c r="L152">
        <v>0.16695063681132161</v>
      </c>
      <c r="M152">
        <v>0.1562929297482144</v>
      </c>
      <c r="N152">
        <v>0.17227949034287524</v>
      </c>
      <c r="O152">
        <v>0.15096407621666078</v>
      </c>
    </row>
    <row r="153" spans="1:15">
      <c r="A153" s="19">
        <v>43640</v>
      </c>
      <c r="B153">
        <v>825</v>
      </c>
      <c r="C153">
        <v>827</v>
      </c>
      <c r="D153">
        <v>5245</v>
      </c>
      <c r="E153">
        <v>5277</v>
      </c>
      <c r="F153">
        <v>0.156717832101572</v>
      </c>
      <c r="G153">
        <v>0.16163884490005501</v>
      </c>
      <c r="H153">
        <v>5.3133857856619299E-3</v>
      </c>
      <c r="I153">
        <v>-0.92615386817233403</v>
      </c>
      <c r="J153">
        <v>-3.14</v>
      </c>
      <c r="L153">
        <v>0.16695223068571693</v>
      </c>
      <c r="M153">
        <v>0.15632545911439308</v>
      </c>
      <c r="N153">
        <v>0.17226561647137886</v>
      </c>
      <c r="O153">
        <v>0.15101207332873115</v>
      </c>
    </row>
    <row r="154" spans="1:15">
      <c r="A154" s="19">
        <v>43637</v>
      </c>
      <c r="B154">
        <v>830</v>
      </c>
      <c r="C154">
        <v>822</v>
      </c>
      <c r="D154">
        <v>5190</v>
      </c>
      <c r="E154">
        <v>5247</v>
      </c>
      <c r="F154">
        <v>0.15666094911377901</v>
      </c>
      <c r="G154">
        <v>0.16168323543444901</v>
      </c>
      <c r="H154">
        <v>5.28592415550463E-3</v>
      </c>
      <c r="I154">
        <v>-0.95012455209741697</v>
      </c>
      <c r="J154">
        <v>-3.21</v>
      </c>
      <c r="L154">
        <v>0.16696915958995365</v>
      </c>
      <c r="M154">
        <v>0.15639731127894438</v>
      </c>
      <c r="N154">
        <v>0.17225508374545828</v>
      </c>
      <c r="O154">
        <v>0.15111138712343974</v>
      </c>
    </row>
    <row r="155" spans="1:15">
      <c r="A155" s="19">
        <v>43636</v>
      </c>
      <c r="B155">
        <v>823</v>
      </c>
      <c r="C155">
        <v>827</v>
      </c>
      <c r="D155">
        <v>5188</v>
      </c>
      <c r="E155">
        <v>5223</v>
      </c>
      <c r="F155">
        <v>0.15833811985448901</v>
      </c>
      <c r="G155">
        <v>0.16175562542008201</v>
      </c>
      <c r="H155">
        <v>5.25372731020818E-3</v>
      </c>
      <c r="I155">
        <v>-0.650491615534037</v>
      </c>
      <c r="J155">
        <v>-2.16</v>
      </c>
      <c r="L155">
        <v>0.16700935273029019</v>
      </c>
      <c r="M155">
        <v>0.15650189810987383</v>
      </c>
      <c r="N155">
        <v>0.17226308004049837</v>
      </c>
      <c r="O155">
        <v>0.15124817079966565</v>
      </c>
    </row>
    <row r="156" spans="1:15">
      <c r="A156" s="19">
        <v>43635</v>
      </c>
      <c r="B156">
        <v>823</v>
      </c>
      <c r="C156">
        <v>824</v>
      </c>
      <c r="D156">
        <v>5104</v>
      </c>
      <c r="E156">
        <v>5181</v>
      </c>
      <c r="F156">
        <v>0.159042655857942</v>
      </c>
      <c r="G156">
        <v>0.161785958874782</v>
      </c>
      <c r="H156">
        <v>5.24045894140804E-3</v>
      </c>
      <c r="I156">
        <v>-0.52348526102622905</v>
      </c>
      <c r="J156">
        <v>-1.72</v>
      </c>
      <c r="L156">
        <v>0.16702641781619004</v>
      </c>
      <c r="M156">
        <v>0.15654549993337397</v>
      </c>
      <c r="N156">
        <v>0.17226687675759808</v>
      </c>
      <c r="O156">
        <v>0.15130504099196593</v>
      </c>
    </row>
    <row r="157" spans="1:15">
      <c r="A157" s="19">
        <v>43634</v>
      </c>
      <c r="B157">
        <v>800</v>
      </c>
      <c r="C157">
        <v>799</v>
      </c>
      <c r="D157">
        <v>5043</v>
      </c>
      <c r="E157">
        <v>5017</v>
      </c>
      <c r="F157">
        <v>0.15925852102850299</v>
      </c>
      <c r="G157">
        <v>0.16184339826688801</v>
      </c>
      <c r="H157">
        <v>5.2336803112082797E-3</v>
      </c>
      <c r="I157">
        <v>-0.49389284111397502</v>
      </c>
      <c r="J157">
        <v>-1.62</v>
      </c>
      <c r="L157">
        <v>0.16707707857809628</v>
      </c>
      <c r="M157">
        <v>0.15660971795567974</v>
      </c>
      <c r="N157">
        <v>0.17231075888930458</v>
      </c>
      <c r="O157">
        <v>0.15137603764447144</v>
      </c>
    </row>
    <row r="158" spans="1:15">
      <c r="A158" s="19">
        <v>43633</v>
      </c>
      <c r="B158">
        <v>819</v>
      </c>
      <c r="C158">
        <v>807</v>
      </c>
      <c r="D158">
        <v>5050</v>
      </c>
      <c r="E158">
        <v>5043</v>
      </c>
      <c r="F158">
        <v>0.16002379535990399</v>
      </c>
      <c r="G158">
        <v>0.161910315068646</v>
      </c>
      <c r="H158">
        <v>5.2322870413356497E-3</v>
      </c>
      <c r="I158">
        <v>-0.36055355790653298</v>
      </c>
      <c r="J158">
        <v>-1.18</v>
      </c>
      <c r="L158">
        <v>0.16714260210998166</v>
      </c>
      <c r="M158">
        <v>0.15667802802731035</v>
      </c>
      <c r="N158">
        <v>0.1723748891513173</v>
      </c>
      <c r="O158">
        <v>0.15144574098597471</v>
      </c>
    </row>
    <row r="159" spans="1:15">
      <c r="A159" s="19">
        <v>43630</v>
      </c>
      <c r="B159">
        <v>819</v>
      </c>
      <c r="C159">
        <v>825</v>
      </c>
      <c r="D159">
        <v>5089</v>
      </c>
      <c r="E159">
        <v>5063</v>
      </c>
      <c r="F159">
        <v>0.16294686944499301</v>
      </c>
      <c r="G159">
        <v>0.16192821530797799</v>
      </c>
      <c r="H159">
        <v>5.2280972015055303E-3</v>
      </c>
      <c r="I159">
        <v>0.19484223375217799</v>
      </c>
      <c r="J159">
        <v>0.63</v>
      </c>
      <c r="L159">
        <v>0.16715631250948351</v>
      </c>
      <c r="M159">
        <v>0.15670011810647247</v>
      </c>
      <c r="N159">
        <v>0.17238440971098906</v>
      </c>
      <c r="O159">
        <v>0.15147202090496692</v>
      </c>
    </row>
    <row r="160" spans="1:15">
      <c r="A160" s="19">
        <v>43629</v>
      </c>
      <c r="B160">
        <v>810</v>
      </c>
      <c r="C160">
        <v>814</v>
      </c>
      <c r="D160">
        <v>5121</v>
      </c>
      <c r="E160">
        <v>5105</v>
      </c>
      <c r="F160">
        <v>0.15945151811948999</v>
      </c>
      <c r="G160">
        <v>0.16186745311096701</v>
      </c>
      <c r="H160">
        <v>5.2423678162642501E-3</v>
      </c>
      <c r="I160">
        <v>-0.46084805113857302</v>
      </c>
      <c r="J160">
        <v>-1.52</v>
      </c>
      <c r="L160">
        <v>0.16710982092723126</v>
      </c>
      <c r="M160">
        <v>0.15662508529470276</v>
      </c>
      <c r="N160">
        <v>0.1723521887434955</v>
      </c>
      <c r="O160">
        <v>0.15138271747843851</v>
      </c>
    </row>
    <row r="161" spans="1:15">
      <c r="A161" s="19">
        <v>43628</v>
      </c>
      <c r="B161">
        <v>807</v>
      </c>
      <c r="C161">
        <v>814</v>
      </c>
      <c r="D161">
        <v>5068</v>
      </c>
      <c r="E161">
        <v>5116</v>
      </c>
      <c r="F161">
        <v>0.15910867865519901</v>
      </c>
      <c r="G161">
        <v>0.161848434190378</v>
      </c>
      <c r="H161">
        <v>5.25367342948672E-3</v>
      </c>
      <c r="I161">
        <v>-0.52149330786376902</v>
      </c>
      <c r="J161">
        <v>-1.72</v>
      </c>
      <c r="L161">
        <v>0.16710210761986471</v>
      </c>
      <c r="M161">
        <v>0.15659476076089129</v>
      </c>
      <c r="N161">
        <v>0.17235578104935145</v>
      </c>
      <c r="O161">
        <v>0.15134108733140456</v>
      </c>
    </row>
    <row r="162" spans="1:15">
      <c r="A162" s="19">
        <v>43627</v>
      </c>
      <c r="B162">
        <v>792</v>
      </c>
      <c r="C162">
        <v>811</v>
      </c>
      <c r="D162">
        <v>5078</v>
      </c>
      <c r="E162">
        <v>5148</v>
      </c>
      <c r="F162">
        <v>0.15753690753690699</v>
      </c>
      <c r="G162">
        <v>0.16184577946788301</v>
      </c>
      <c r="H162">
        <v>5.2551072875638696E-3</v>
      </c>
      <c r="I162">
        <v>-0.81993985949113901</v>
      </c>
      <c r="J162">
        <v>-2.74</v>
      </c>
      <c r="L162">
        <v>0.16710088675544688</v>
      </c>
      <c r="M162">
        <v>0.15659067218031913</v>
      </c>
      <c r="N162">
        <v>0.17235599404301075</v>
      </c>
      <c r="O162">
        <v>0.15133556489275526</v>
      </c>
    </row>
    <row r="163" spans="1:15">
      <c r="A163" s="19">
        <v>43626</v>
      </c>
      <c r="B163">
        <v>787</v>
      </c>
      <c r="C163">
        <v>790</v>
      </c>
      <c r="D163">
        <v>5077</v>
      </c>
      <c r="E163">
        <v>5076</v>
      </c>
      <c r="F163">
        <v>0.15563435776201701</v>
      </c>
      <c r="G163">
        <v>0.161887535363297</v>
      </c>
      <c r="H163">
        <v>5.2330998507324998E-3</v>
      </c>
      <c r="I163">
        <v>-1.19492801200904</v>
      </c>
      <c r="J163">
        <v>-4.0199999999999996</v>
      </c>
      <c r="L163">
        <v>0.16712063521402951</v>
      </c>
      <c r="M163">
        <v>0.1566544355125645</v>
      </c>
      <c r="N163">
        <v>0.17235373506476201</v>
      </c>
      <c r="O163">
        <v>0.151421335661832</v>
      </c>
    </row>
    <row r="164" spans="1:15">
      <c r="A164" s="19">
        <v>43623</v>
      </c>
      <c r="B164">
        <v>769</v>
      </c>
      <c r="C164">
        <v>777</v>
      </c>
      <c r="D164">
        <v>4938</v>
      </c>
      <c r="E164">
        <v>5015</v>
      </c>
      <c r="F164">
        <v>0.15493519441674899</v>
      </c>
      <c r="G164">
        <v>0.161941903856651</v>
      </c>
      <c r="H164">
        <v>5.18884586446486E-3</v>
      </c>
      <c r="I164">
        <v>-1.3503406389244199</v>
      </c>
      <c r="J164">
        <v>-4.5199999999999996</v>
      </c>
      <c r="L164">
        <v>0.16713074972111586</v>
      </c>
      <c r="M164">
        <v>0.15675305799218614</v>
      </c>
      <c r="N164">
        <v>0.17231959558558071</v>
      </c>
      <c r="O164">
        <v>0.15156421212772128</v>
      </c>
    </row>
    <row r="165" spans="1:15">
      <c r="A165" s="19">
        <v>43622</v>
      </c>
      <c r="B165">
        <v>775</v>
      </c>
      <c r="C165">
        <v>768</v>
      </c>
      <c r="D165">
        <v>4942</v>
      </c>
      <c r="E165">
        <v>4927</v>
      </c>
      <c r="F165">
        <v>0.15587578648264599</v>
      </c>
      <c r="G165">
        <v>0.16196201134298399</v>
      </c>
      <c r="H165">
        <v>5.1645198993774096E-3</v>
      </c>
      <c r="I165">
        <v>-1.17846866289957</v>
      </c>
      <c r="J165">
        <v>-3.9</v>
      </c>
      <c r="L165">
        <v>0.1671265312423614</v>
      </c>
      <c r="M165">
        <v>0.15679749144360658</v>
      </c>
      <c r="N165">
        <v>0.17229105114173882</v>
      </c>
      <c r="O165">
        <v>0.15163297154422917</v>
      </c>
    </row>
    <row r="166" spans="1:15">
      <c r="A166" s="19">
        <v>43621</v>
      </c>
      <c r="B166">
        <v>763</v>
      </c>
      <c r="C166">
        <v>775</v>
      </c>
      <c r="D166">
        <v>4907</v>
      </c>
      <c r="E166">
        <v>4980</v>
      </c>
      <c r="F166">
        <v>0.15562248995983899</v>
      </c>
      <c r="G166">
        <v>0.161951630858784</v>
      </c>
      <c r="H166">
        <v>5.1775086231242501E-3</v>
      </c>
      <c r="I166">
        <v>-1.22242981318803</v>
      </c>
      <c r="J166">
        <v>-4.07</v>
      </c>
      <c r="L166">
        <v>0.16712913948190825</v>
      </c>
      <c r="M166">
        <v>0.15677412223565976</v>
      </c>
      <c r="N166">
        <v>0.17230664810503249</v>
      </c>
      <c r="O166">
        <v>0.15159661361253551</v>
      </c>
    </row>
    <row r="167" spans="1:15">
      <c r="A167" s="19">
        <v>43620</v>
      </c>
      <c r="B167">
        <v>738</v>
      </c>
      <c r="C167">
        <v>748</v>
      </c>
      <c r="D167">
        <v>4717</v>
      </c>
      <c r="E167">
        <v>4773</v>
      </c>
      <c r="F167">
        <v>0.15671485438927299</v>
      </c>
      <c r="G167">
        <v>0.16192302723565799</v>
      </c>
      <c r="H167">
        <v>5.2181618067503304E-3</v>
      </c>
      <c r="I167">
        <v>-0.99808573196188699</v>
      </c>
      <c r="J167">
        <v>-3.32</v>
      </c>
      <c r="L167">
        <v>0.16714118904240832</v>
      </c>
      <c r="M167">
        <v>0.15670486542890766</v>
      </c>
      <c r="N167">
        <v>0.17235935084915865</v>
      </c>
      <c r="O167">
        <v>0.15148670362215733</v>
      </c>
    </row>
    <row r="168" spans="1:15">
      <c r="A168" s="19">
        <v>43619</v>
      </c>
      <c r="B168">
        <v>750</v>
      </c>
      <c r="C168">
        <v>735</v>
      </c>
      <c r="D168">
        <v>4659</v>
      </c>
      <c r="E168">
        <v>4707</v>
      </c>
      <c r="F168">
        <v>0.156150414276609</v>
      </c>
      <c r="G168">
        <v>0.161874784035379</v>
      </c>
      <c r="H168">
        <v>5.2824197641314699E-3</v>
      </c>
      <c r="I168">
        <v>-1.08366430809595</v>
      </c>
      <c r="J168">
        <v>-3.67</v>
      </c>
      <c r="L168">
        <v>0.16715720379951046</v>
      </c>
      <c r="M168">
        <v>0.15659236427124754</v>
      </c>
      <c r="N168">
        <v>0.17243962356364195</v>
      </c>
      <c r="O168">
        <v>0.15130994450711605</v>
      </c>
    </row>
    <row r="169" spans="1:15">
      <c r="A169" s="19">
        <v>43616</v>
      </c>
      <c r="B169">
        <v>770</v>
      </c>
      <c r="C169">
        <v>754</v>
      </c>
      <c r="D169">
        <v>4849</v>
      </c>
      <c r="E169">
        <v>4750</v>
      </c>
      <c r="F169">
        <v>0.15873684210526301</v>
      </c>
      <c r="G169">
        <v>0.16182433988401801</v>
      </c>
      <c r="H169">
        <v>5.3544170393875004E-3</v>
      </c>
      <c r="I169">
        <v>-0.576626317308368</v>
      </c>
      <c r="J169">
        <v>-1.95</v>
      </c>
      <c r="L169">
        <v>0.1671787569234055</v>
      </c>
      <c r="M169">
        <v>0.15646992284463052</v>
      </c>
      <c r="N169">
        <v>0.172533173962793</v>
      </c>
      <c r="O169">
        <v>0.15111550580524302</v>
      </c>
    </row>
    <row r="170" spans="1:15">
      <c r="A170" s="19">
        <v>43615</v>
      </c>
      <c r="B170">
        <v>764</v>
      </c>
      <c r="C170">
        <v>773</v>
      </c>
      <c r="D170">
        <v>4832</v>
      </c>
      <c r="E170">
        <v>4888</v>
      </c>
      <c r="F170">
        <v>0.15814238952536799</v>
      </c>
      <c r="G170">
        <v>0.16178177626620699</v>
      </c>
      <c r="H170">
        <v>5.3913518655431796E-3</v>
      </c>
      <c r="I170">
        <v>-0.67504159097822403</v>
      </c>
      <c r="J170">
        <v>-2.2999999999999998</v>
      </c>
      <c r="L170">
        <v>0.16717312813175017</v>
      </c>
      <c r="M170">
        <v>0.15639042440066381</v>
      </c>
      <c r="N170">
        <v>0.17256447999729335</v>
      </c>
      <c r="O170">
        <v>0.15099907253512063</v>
      </c>
    </row>
    <row r="171" spans="1:15">
      <c r="A171" s="19">
        <v>43614</v>
      </c>
      <c r="B171">
        <v>761</v>
      </c>
      <c r="C171">
        <v>766</v>
      </c>
      <c r="D171">
        <v>4907</v>
      </c>
      <c r="E171">
        <v>4875</v>
      </c>
      <c r="F171">
        <v>0.157128205128205</v>
      </c>
      <c r="G171">
        <v>0.16176328925775799</v>
      </c>
      <c r="H171">
        <v>5.4061565484713903E-3</v>
      </c>
      <c r="I171">
        <v>-0.85737142237653297</v>
      </c>
      <c r="J171">
        <v>-2.95</v>
      </c>
      <c r="L171">
        <v>0.16716944580622939</v>
      </c>
      <c r="M171">
        <v>0.15635713270928658</v>
      </c>
      <c r="N171">
        <v>0.17257560235470076</v>
      </c>
      <c r="O171">
        <v>0.15095097616081521</v>
      </c>
    </row>
    <row r="172" spans="1:15">
      <c r="A172" s="19">
        <v>43613</v>
      </c>
      <c r="B172">
        <v>766</v>
      </c>
      <c r="C172">
        <v>768</v>
      </c>
      <c r="D172">
        <v>4930</v>
      </c>
      <c r="E172">
        <v>5004</v>
      </c>
      <c r="F172">
        <v>0.15347721822541899</v>
      </c>
      <c r="G172">
        <v>0.16172021336186301</v>
      </c>
      <c r="H172">
        <v>5.4555621944186502E-3</v>
      </c>
      <c r="I172">
        <v>-1.5109341334017801</v>
      </c>
      <c r="J172">
        <v>-5.37</v>
      </c>
      <c r="L172">
        <v>0.16717577555628166</v>
      </c>
      <c r="M172">
        <v>0.15626465116744437</v>
      </c>
      <c r="N172">
        <v>0.1726313377507003</v>
      </c>
      <c r="O172">
        <v>0.15080908897302572</v>
      </c>
    </row>
    <row r="173" spans="1:15">
      <c r="A173" s="19">
        <v>43612</v>
      </c>
      <c r="B173">
        <v>768</v>
      </c>
      <c r="C173">
        <v>771</v>
      </c>
      <c r="D173">
        <v>4949</v>
      </c>
      <c r="E173">
        <v>4917</v>
      </c>
      <c r="F173">
        <v>0.156802928615009</v>
      </c>
      <c r="G173">
        <v>0.161728139268694</v>
      </c>
      <c r="H173">
        <v>5.4440004697074596E-3</v>
      </c>
      <c r="I173">
        <v>-0.90470430358911502</v>
      </c>
      <c r="J173">
        <v>-3.14</v>
      </c>
      <c r="L173">
        <v>0.16717213973840148</v>
      </c>
      <c r="M173">
        <v>0.15628413879898653</v>
      </c>
      <c r="N173">
        <v>0.17261614020810892</v>
      </c>
      <c r="O173">
        <v>0.15084013832927909</v>
      </c>
    </row>
    <row r="174" spans="1:15">
      <c r="A174" s="19">
        <v>43609</v>
      </c>
      <c r="B174">
        <v>754</v>
      </c>
      <c r="C174">
        <v>769</v>
      </c>
      <c r="D174">
        <v>4886</v>
      </c>
      <c r="E174">
        <v>4936</v>
      </c>
      <c r="F174">
        <v>0.15579416531604501</v>
      </c>
      <c r="G174">
        <v>0.16171549964387</v>
      </c>
      <c r="H174">
        <v>5.4565070321981003E-3</v>
      </c>
      <c r="I174">
        <v>-1.08518770211119</v>
      </c>
      <c r="J174">
        <v>-3.8</v>
      </c>
      <c r="L174">
        <v>0.1671720066760681</v>
      </c>
      <c r="M174">
        <v>0.15625899261167189</v>
      </c>
      <c r="N174">
        <v>0.17262851370826621</v>
      </c>
      <c r="O174">
        <v>0.15080248557947379</v>
      </c>
    </row>
    <row r="175" spans="1:15">
      <c r="A175" s="19">
        <v>43608</v>
      </c>
      <c r="B175">
        <v>774</v>
      </c>
      <c r="C175">
        <v>766</v>
      </c>
      <c r="D175">
        <v>4906</v>
      </c>
      <c r="E175">
        <v>4918</v>
      </c>
      <c r="F175">
        <v>0.15575437169581099</v>
      </c>
      <c r="G175">
        <v>0.16172940281033099</v>
      </c>
      <c r="H175">
        <v>5.4427127844068604E-3</v>
      </c>
      <c r="I175">
        <v>-1.09780386200764</v>
      </c>
      <c r="J175">
        <v>-3.84</v>
      </c>
      <c r="L175">
        <v>0.16717211559473785</v>
      </c>
      <c r="M175">
        <v>0.15628669002592413</v>
      </c>
      <c r="N175">
        <v>0.17261482837914471</v>
      </c>
      <c r="O175">
        <v>0.15084397724151727</v>
      </c>
    </row>
    <row r="176" spans="1:15">
      <c r="A176" s="19">
        <v>43607</v>
      </c>
      <c r="B176">
        <v>781</v>
      </c>
      <c r="C176">
        <v>778</v>
      </c>
      <c r="D176">
        <v>4960</v>
      </c>
      <c r="E176">
        <v>4903</v>
      </c>
      <c r="F176">
        <v>0.15867836018764001</v>
      </c>
      <c r="G176">
        <v>0.16172312601049699</v>
      </c>
      <c r="H176">
        <v>5.4498666103082599E-3</v>
      </c>
      <c r="I176">
        <v>-0.55868630199104397</v>
      </c>
      <c r="J176">
        <v>-1.92</v>
      </c>
      <c r="L176">
        <v>0.16717299262080526</v>
      </c>
      <c r="M176">
        <v>0.15627325940018871</v>
      </c>
      <c r="N176">
        <v>0.17262285923111351</v>
      </c>
      <c r="O176">
        <v>0.15082339278988047</v>
      </c>
    </row>
    <row r="177" spans="1:15">
      <c r="A177" s="19">
        <v>43606</v>
      </c>
      <c r="B177">
        <v>775</v>
      </c>
      <c r="C177">
        <v>778</v>
      </c>
      <c r="D177">
        <v>4929</v>
      </c>
      <c r="E177">
        <v>4936</v>
      </c>
      <c r="F177">
        <v>0.15761750405186301</v>
      </c>
      <c r="G177">
        <v>0.16170511569075399</v>
      </c>
      <c r="H177">
        <v>5.4621171702789097E-3</v>
      </c>
      <c r="I177">
        <v>-0.74835663744686398</v>
      </c>
      <c r="J177">
        <v>-2.59</v>
      </c>
      <c r="L177">
        <v>0.16716723286103291</v>
      </c>
      <c r="M177">
        <v>0.15624299852047507</v>
      </c>
      <c r="N177">
        <v>0.1726293500313118</v>
      </c>
      <c r="O177">
        <v>0.15078088135019618</v>
      </c>
    </row>
    <row r="178" spans="1:15">
      <c r="A178" s="19">
        <v>43605</v>
      </c>
      <c r="B178">
        <v>788</v>
      </c>
      <c r="C178">
        <v>780</v>
      </c>
      <c r="D178">
        <v>5023</v>
      </c>
      <c r="E178">
        <v>4955</v>
      </c>
      <c r="F178">
        <v>0.157416750756811</v>
      </c>
      <c r="G178">
        <v>0.16172954659274899</v>
      </c>
      <c r="H178">
        <v>5.4478586809056503E-3</v>
      </c>
      <c r="I178">
        <v>-0.79164972671816303</v>
      </c>
      <c r="J178">
        <v>-2.74</v>
      </c>
      <c r="L178">
        <v>0.16717740527365463</v>
      </c>
      <c r="M178">
        <v>0.15628168791184335</v>
      </c>
      <c r="N178">
        <v>0.17262526395456029</v>
      </c>
      <c r="O178">
        <v>0.15083382923093769</v>
      </c>
    </row>
    <row r="179" spans="1:15">
      <c r="A179" s="19">
        <v>43602</v>
      </c>
      <c r="B179">
        <v>790</v>
      </c>
      <c r="C179">
        <v>785</v>
      </c>
      <c r="D179">
        <v>5056</v>
      </c>
      <c r="E179">
        <v>4988</v>
      </c>
      <c r="F179">
        <v>0.15737770649558899</v>
      </c>
      <c r="G179">
        <v>0.16176966952208299</v>
      </c>
      <c r="H179">
        <v>5.42698894986167E-3</v>
      </c>
      <c r="I179">
        <v>-0.80928173376994395</v>
      </c>
      <c r="J179">
        <v>-2.79</v>
      </c>
      <c r="L179">
        <v>0.16719665847194468</v>
      </c>
      <c r="M179">
        <v>0.15634268057222131</v>
      </c>
      <c r="N179">
        <v>0.17262364742180633</v>
      </c>
      <c r="O179">
        <v>0.15091569162235965</v>
      </c>
    </row>
    <row r="180" spans="1:15">
      <c r="A180" s="19">
        <v>43601</v>
      </c>
      <c r="B180">
        <v>793</v>
      </c>
      <c r="C180">
        <v>778</v>
      </c>
      <c r="D180">
        <v>5199</v>
      </c>
      <c r="E180">
        <v>5043</v>
      </c>
      <c r="F180">
        <v>0.15427325004957301</v>
      </c>
      <c r="G180">
        <v>0.16179837192534699</v>
      </c>
      <c r="H180">
        <v>5.4093486246166202E-3</v>
      </c>
      <c r="I180">
        <v>-1.3911327218823299</v>
      </c>
      <c r="J180">
        <v>-4.88</v>
      </c>
      <c r="L180">
        <v>0.16720772054996361</v>
      </c>
      <c r="M180">
        <v>0.15638902330073037</v>
      </c>
      <c r="N180">
        <v>0.17261706917458022</v>
      </c>
      <c r="O180">
        <v>0.15097967467611376</v>
      </c>
    </row>
    <row r="181" spans="1:15">
      <c r="A181" s="19">
        <v>43600</v>
      </c>
      <c r="B181">
        <v>808</v>
      </c>
      <c r="C181">
        <v>797</v>
      </c>
      <c r="D181">
        <v>5218</v>
      </c>
      <c r="E181">
        <v>5177</v>
      </c>
      <c r="F181">
        <v>0.15395016418775301</v>
      </c>
      <c r="G181">
        <v>0.16186162502540799</v>
      </c>
      <c r="H181">
        <v>5.3483781293082802E-3</v>
      </c>
      <c r="I181">
        <v>-1.47922615910442</v>
      </c>
      <c r="J181">
        <v>-5.14</v>
      </c>
      <c r="L181">
        <v>0.16721000315471626</v>
      </c>
      <c r="M181">
        <v>0.15651324689609972</v>
      </c>
      <c r="N181">
        <v>0.17255838128402456</v>
      </c>
      <c r="O181">
        <v>0.15116486876679142</v>
      </c>
    </row>
    <row r="182" spans="1:15">
      <c r="A182" s="19">
        <v>43599</v>
      </c>
      <c r="B182">
        <v>788</v>
      </c>
      <c r="C182">
        <v>800</v>
      </c>
      <c r="D182">
        <v>5120</v>
      </c>
      <c r="E182">
        <v>5222</v>
      </c>
      <c r="F182">
        <v>0.15319800842588999</v>
      </c>
      <c r="G182">
        <v>0.161973336518967</v>
      </c>
      <c r="H182">
        <v>5.2688733404726096E-3</v>
      </c>
      <c r="I182">
        <v>-1.66550370943063</v>
      </c>
      <c r="J182">
        <v>-5.73</v>
      </c>
      <c r="L182">
        <v>0.16724220985943961</v>
      </c>
      <c r="M182">
        <v>0.1567044631784944</v>
      </c>
      <c r="N182">
        <v>0.17251108319991224</v>
      </c>
      <c r="O182">
        <v>0.15143558983802177</v>
      </c>
    </row>
    <row r="183" spans="1:15">
      <c r="A183" s="19">
        <v>43598</v>
      </c>
      <c r="B183">
        <v>815</v>
      </c>
      <c r="C183">
        <v>803</v>
      </c>
      <c r="D183">
        <v>5221</v>
      </c>
      <c r="E183">
        <v>5219</v>
      </c>
      <c r="F183">
        <v>0.15386089289135799</v>
      </c>
      <c r="G183">
        <v>0.16204627399944399</v>
      </c>
      <c r="H183">
        <v>5.1840714176527199E-3</v>
      </c>
      <c r="I183">
        <v>-1.57894836869213</v>
      </c>
      <c r="J183">
        <v>-5.32</v>
      </c>
      <c r="L183">
        <v>0.16723034541709672</v>
      </c>
      <c r="M183">
        <v>0.15686220258179126</v>
      </c>
      <c r="N183">
        <v>0.17241441683474942</v>
      </c>
      <c r="O183">
        <v>0.15167813116413856</v>
      </c>
    </row>
    <row r="184" spans="1:15">
      <c r="A184" s="19">
        <v>43595</v>
      </c>
      <c r="B184">
        <v>856</v>
      </c>
      <c r="C184">
        <v>815</v>
      </c>
      <c r="D184">
        <v>5278</v>
      </c>
      <c r="E184">
        <v>5303</v>
      </c>
      <c r="F184">
        <v>0.15368659249481401</v>
      </c>
      <c r="G184">
        <v>0.16206991279845101</v>
      </c>
      <c r="H184">
        <v>5.1506273379336798E-3</v>
      </c>
      <c r="I184">
        <v>-1.6276309182564299</v>
      </c>
      <c r="J184">
        <v>-5.45</v>
      </c>
      <c r="L184">
        <v>0.16722054013638468</v>
      </c>
      <c r="M184">
        <v>0.15691928546051734</v>
      </c>
      <c r="N184">
        <v>0.17237116747431838</v>
      </c>
      <c r="O184">
        <v>0.15176865812258364</v>
      </c>
    </row>
    <row r="185" spans="1:15">
      <c r="A185" s="19">
        <v>43594</v>
      </c>
      <c r="B185">
        <v>910</v>
      </c>
      <c r="C185">
        <v>851</v>
      </c>
      <c r="D185">
        <v>5279</v>
      </c>
      <c r="E185">
        <v>5227</v>
      </c>
      <c r="F185">
        <v>0.16280849435622699</v>
      </c>
      <c r="G185">
        <v>0.16210852341639301</v>
      </c>
      <c r="H185">
        <v>5.0982260960195699E-3</v>
      </c>
      <c r="I185">
        <v>0.137296959108959</v>
      </c>
      <c r="J185">
        <v>0.43</v>
      </c>
      <c r="L185">
        <v>0.16720674951241257</v>
      </c>
      <c r="M185">
        <v>0.15701029732037344</v>
      </c>
      <c r="N185">
        <v>0.17230497560843214</v>
      </c>
      <c r="O185">
        <v>0.15191207122435388</v>
      </c>
    </row>
    <row r="186" spans="1:15">
      <c r="A186" s="19">
        <v>43593</v>
      </c>
      <c r="B186">
        <v>930</v>
      </c>
      <c r="C186">
        <v>903</v>
      </c>
      <c r="D186">
        <v>5452</v>
      </c>
      <c r="E186">
        <v>5349</v>
      </c>
      <c r="F186">
        <v>0.16881660123387501</v>
      </c>
      <c r="G186">
        <v>0.16198043528481501</v>
      </c>
      <c r="H186">
        <v>5.1987190273986E-3</v>
      </c>
      <c r="I186">
        <v>1.3149712290722599</v>
      </c>
      <c r="J186">
        <v>4.05</v>
      </c>
      <c r="L186">
        <v>0.16717915431221361</v>
      </c>
      <c r="M186">
        <v>0.15678171625741641</v>
      </c>
      <c r="N186">
        <v>0.17237787333961221</v>
      </c>
      <c r="O186">
        <v>0.15158299723001781</v>
      </c>
    </row>
    <row r="187" spans="1:15">
      <c r="A187" s="19">
        <v>43592</v>
      </c>
      <c r="B187">
        <v>979</v>
      </c>
      <c r="C187">
        <v>954</v>
      </c>
      <c r="D187">
        <v>5463</v>
      </c>
      <c r="E187">
        <v>5441</v>
      </c>
      <c r="F187">
        <v>0.175335416283771</v>
      </c>
      <c r="G187">
        <v>0.16179863622487001</v>
      </c>
      <c r="H187">
        <v>5.1948848790014804E-3</v>
      </c>
      <c r="I187">
        <v>2.6057901905812701</v>
      </c>
      <c r="J187">
        <v>7.72</v>
      </c>
      <c r="L187">
        <v>0.1669935211038715</v>
      </c>
      <c r="M187">
        <v>0.15660375134586851</v>
      </c>
      <c r="N187">
        <v>0.17218840598287297</v>
      </c>
      <c r="O187">
        <v>0.15140886646686705</v>
      </c>
    </row>
    <row r="188" spans="1:15">
      <c r="A188" s="19">
        <v>43581</v>
      </c>
      <c r="B188">
        <v>992</v>
      </c>
      <c r="C188">
        <v>985</v>
      </c>
      <c r="D188">
        <v>5896</v>
      </c>
      <c r="E188">
        <v>5990</v>
      </c>
      <c r="F188">
        <v>0.164440734557596</v>
      </c>
      <c r="G188">
        <v>0.16151998677749599</v>
      </c>
      <c r="H188">
        <v>5.01882101846778E-3</v>
      </c>
      <c r="I188">
        <v>0.58195894401328196</v>
      </c>
      <c r="J188">
        <v>1.78</v>
      </c>
      <c r="L188">
        <v>0.16653880779596378</v>
      </c>
      <c r="M188">
        <v>0.1565011657590282</v>
      </c>
      <c r="N188">
        <v>0.17155762881443154</v>
      </c>
      <c r="O188">
        <v>0.15148234474056044</v>
      </c>
    </row>
    <row r="189" spans="1:15">
      <c r="A189" s="19">
        <v>43580</v>
      </c>
      <c r="B189">
        <v>1001</v>
      </c>
      <c r="C189">
        <v>999</v>
      </c>
      <c r="D189">
        <v>5983</v>
      </c>
      <c r="E189">
        <v>5933</v>
      </c>
      <c r="F189">
        <v>0.16838024608124</v>
      </c>
      <c r="G189">
        <v>0.16139964581612701</v>
      </c>
      <c r="H189">
        <v>5.0554186078535998E-3</v>
      </c>
      <c r="I189">
        <v>1.3808154787160301</v>
      </c>
      <c r="J189">
        <v>4.1500000000000004</v>
      </c>
      <c r="L189">
        <v>0.16645506442398061</v>
      </c>
      <c r="M189">
        <v>0.1563442272082734</v>
      </c>
      <c r="N189">
        <v>0.17151048303183419</v>
      </c>
      <c r="O189">
        <v>0.15128880860041982</v>
      </c>
    </row>
    <row r="190" spans="1:15">
      <c r="A190" s="19">
        <v>43579</v>
      </c>
      <c r="B190">
        <v>1019</v>
      </c>
      <c r="C190">
        <v>1005</v>
      </c>
      <c r="D190">
        <v>6105</v>
      </c>
      <c r="E190">
        <v>6030</v>
      </c>
      <c r="F190">
        <v>0.16666666666666599</v>
      </c>
      <c r="G190">
        <v>0.16120772475807499</v>
      </c>
      <c r="H190">
        <v>5.0599903329904402E-3</v>
      </c>
      <c r="I190">
        <v>1.07884433553161</v>
      </c>
      <c r="J190">
        <v>3.28</v>
      </c>
      <c r="L190">
        <v>0.16626771509106542</v>
      </c>
      <c r="M190">
        <v>0.15614773442508456</v>
      </c>
      <c r="N190">
        <v>0.17132770542405587</v>
      </c>
      <c r="O190">
        <v>0.15108774409209411</v>
      </c>
    </row>
    <row r="191" spans="1:15">
      <c r="A191" s="19">
        <v>43578</v>
      </c>
      <c r="B191">
        <v>1035</v>
      </c>
      <c r="C191">
        <v>1024</v>
      </c>
      <c r="D191">
        <v>6053</v>
      </c>
      <c r="E191">
        <v>6077</v>
      </c>
      <c r="F191">
        <v>0.168504196149415</v>
      </c>
      <c r="G191">
        <v>0.161017823481586</v>
      </c>
      <c r="H191">
        <v>5.11847699150923E-3</v>
      </c>
      <c r="I191">
        <v>1.46261723560506</v>
      </c>
      <c r="J191">
        <v>4.4400000000000004</v>
      </c>
      <c r="L191">
        <v>0.16613630047309522</v>
      </c>
      <c r="M191">
        <v>0.15589934649007678</v>
      </c>
      <c r="N191">
        <v>0.17125477746460446</v>
      </c>
      <c r="O191">
        <v>0.15078086949856753</v>
      </c>
    </row>
    <row r="192" spans="1:15">
      <c r="A192" s="19">
        <v>43577</v>
      </c>
      <c r="B192">
        <v>1032</v>
      </c>
      <c r="C192">
        <v>1031</v>
      </c>
      <c r="D192">
        <v>6023</v>
      </c>
      <c r="E192">
        <v>6022</v>
      </c>
      <c r="F192">
        <v>0.17120557954168</v>
      </c>
      <c r="G192">
        <v>0.16077001841993199</v>
      </c>
      <c r="H192">
        <v>5.1992911465508001E-3</v>
      </c>
      <c r="I192">
        <v>2.0071122827332299</v>
      </c>
      <c r="J192">
        <v>6.1</v>
      </c>
      <c r="L192">
        <v>0.16596930956648279</v>
      </c>
      <c r="M192">
        <v>0.1555707272733812</v>
      </c>
      <c r="N192">
        <v>0.17116860071303358</v>
      </c>
      <c r="O192">
        <v>0.1503714361268304</v>
      </c>
    </row>
    <row r="193" spans="1:15">
      <c r="A193" s="19">
        <v>43574</v>
      </c>
      <c r="B193">
        <v>1036</v>
      </c>
      <c r="C193">
        <v>1032</v>
      </c>
      <c r="D193">
        <v>6077</v>
      </c>
      <c r="E193">
        <v>6085</v>
      </c>
      <c r="F193">
        <v>0.16959737058340099</v>
      </c>
      <c r="G193">
        <v>0.160516958990018</v>
      </c>
      <c r="H193">
        <v>5.1468325876260499E-3</v>
      </c>
      <c r="I193">
        <v>1.7642717999443001</v>
      </c>
      <c r="J193">
        <v>5.35</v>
      </c>
      <c r="L193">
        <v>0.16566379157764405</v>
      </c>
      <c r="M193">
        <v>0.15537012640239195</v>
      </c>
      <c r="N193">
        <v>0.1708106241652701</v>
      </c>
      <c r="O193">
        <v>0.1502232938147659</v>
      </c>
    </row>
    <row r="194" spans="1:15">
      <c r="A194" s="19">
        <v>43573</v>
      </c>
      <c r="B194">
        <v>1046</v>
      </c>
      <c r="C194">
        <v>1016</v>
      </c>
      <c r="D194">
        <v>6065</v>
      </c>
      <c r="E194">
        <v>5993</v>
      </c>
      <c r="F194">
        <v>0.16953111963957901</v>
      </c>
      <c r="G194">
        <v>0.160273435155428</v>
      </c>
      <c r="H194">
        <v>5.1435180447141496E-3</v>
      </c>
      <c r="I194">
        <v>1.7998740169027201</v>
      </c>
      <c r="J194">
        <v>5.46</v>
      </c>
      <c r="L194">
        <v>0.16541695320014216</v>
      </c>
      <c r="M194">
        <v>0.15512991711071383</v>
      </c>
      <c r="N194">
        <v>0.17056047124485629</v>
      </c>
      <c r="O194">
        <v>0.1499863990659997</v>
      </c>
    </row>
    <row r="195" spans="1:15">
      <c r="A195" s="19">
        <v>43572</v>
      </c>
      <c r="B195">
        <v>1040</v>
      </c>
      <c r="C195">
        <v>1040</v>
      </c>
      <c r="D195">
        <v>6133</v>
      </c>
      <c r="E195">
        <v>6080</v>
      </c>
      <c r="F195">
        <v>0.17105263157894701</v>
      </c>
      <c r="G195">
        <v>0.16007000246786099</v>
      </c>
      <c r="H195">
        <v>5.0746060068952402E-3</v>
      </c>
      <c r="I195">
        <v>2.16423286776612</v>
      </c>
      <c r="J195">
        <v>6.42</v>
      </c>
      <c r="L195">
        <v>0.16514460847475623</v>
      </c>
      <c r="M195">
        <v>0.15499539646096575</v>
      </c>
      <c r="N195">
        <v>0.17021921448165148</v>
      </c>
      <c r="O195">
        <v>0.1499207904540705</v>
      </c>
    </row>
    <row r="196" spans="1:15">
      <c r="A196" s="19">
        <v>43571</v>
      </c>
      <c r="B196">
        <v>1033</v>
      </c>
      <c r="C196">
        <v>1034</v>
      </c>
      <c r="D196">
        <v>6092</v>
      </c>
      <c r="E196">
        <v>6083</v>
      </c>
      <c r="F196">
        <v>0.169981916817359</v>
      </c>
      <c r="G196">
        <v>0.15986376545887601</v>
      </c>
      <c r="H196">
        <v>4.9365039303792503E-3</v>
      </c>
      <c r="I196">
        <v>2.0496593340514799</v>
      </c>
      <c r="J196">
        <v>5.95</v>
      </c>
      <c r="L196">
        <v>0.16480026938925527</v>
      </c>
      <c r="M196">
        <v>0.15492726152849676</v>
      </c>
      <c r="N196">
        <v>0.16973677331963452</v>
      </c>
      <c r="O196">
        <v>0.1499907575981175</v>
      </c>
    </row>
    <row r="197" spans="1:15">
      <c r="A197" s="19">
        <v>43570</v>
      </c>
      <c r="B197">
        <v>1028</v>
      </c>
      <c r="C197">
        <v>1035</v>
      </c>
      <c r="D197">
        <v>6150</v>
      </c>
      <c r="E197">
        <v>6124</v>
      </c>
      <c r="F197">
        <v>0.16900718484650501</v>
      </c>
      <c r="G197">
        <v>0.15966147554450999</v>
      </c>
      <c r="H197">
        <v>4.8273844481825897E-3</v>
      </c>
      <c r="I197">
        <v>1.9359778369243399</v>
      </c>
      <c r="J197">
        <v>5.53</v>
      </c>
      <c r="L197">
        <v>0.16448885999269258</v>
      </c>
      <c r="M197">
        <v>0.1548340910963274</v>
      </c>
      <c r="N197">
        <v>0.16931624444087517</v>
      </c>
      <c r="O197">
        <v>0.15000670664814481</v>
      </c>
    </row>
    <row r="198" spans="1:15">
      <c r="A198" s="19">
        <v>43567</v>
      </c>
      <c r="B198">
        <v>1014</v>
      </c>
      <c r="C198">
        <v>1008</v>
      </c>
      <c r="D198">
        <v>6060</v>
      </c>
      <c r="E198">
        <v>6012</v>
      </c>
      <c r="F198">
        <v>0.16766467065868201</v>
      </c>
      <c r="G198">
        <v>0.159479381879511</v>
      </c>
      <c r="H198">
        <v>4.7279753914917103E-3</v>
      </c>
      <c r="I198">
        <v>1.7312460622999399</v>
      </c>
      <c r="J198">
        <v>4.88</v>
      </c>
      <c r="L198">
        <v>0.16420735727100272</v>
      </c>
      <c r="M198">
        <v>0.15475140648801927</v>
      </c>
      <c r="N198">
        <v>0.16893533266249441</v>
      </c>
      <c r="O198">
        <v>0.15002343109652758</v>
      </c>
    </row>
    <row r="199" spans="1:15">
      <c r="A199" s="19">
        <v>43566</v>
      </c>
      <c r="B199">
        <v>1012</v>
      </c>
      <c r="C199">
        <v>1013</v>
      </c>
      <c r="D199">
        <v>6068</v>
      </c>
      <c r="E199">
        <v>6056</v>
      </c>
      <c r="F199">
        <v>0.16727212681638001</v>
      </c>
      <c r="G199">
        <v>0.15932366514396801</v>
      </c>
      <c r="H199">
        <v>4.6474625694132403E-3</v>
      </c>
      <c r="I199">
        <v>1.71027986857254</v>
      </c>
      <c r="J199">
        <v>4.75</v>
      </c>
      <c r="L199">
        <v>0.16397112771338124</v>
      </c>
      <c r="M199">
        <v>0.15467620257455478</v>
      </c>
      <c r="N199">
        <v>0.16861859028279449</v>
      </c>
      <c r="O199">
        <v>0.15002874000514152</v>
      </c>
    </row>
    <row r="200" spans="1:15">
      <c r="A200" s="19">
        <v>43565</v>
      </c>
      <c r="B200">
        <v>1028</v>
      </c>
      <c r="C200">
        <v>1023</v>
      </c>
      <c r="D200">
        <v>6104</v>
      </c>
      <c r="E200">
        <v>6111</v>
      </c>
      <c r="F200">
        <v>0.167403043691703</v>
      </c>
      <c r="G200">
        <v>0.15924911560882801</v>
      </c>
      <c r="H200">
        <v>4.5634487993858304E-3</v>
      </c>
      <c r="I200">
        <v>1.7867907456246399</v>
      </c>
      <c r="J200">
        <v>4.87</v>
      </c>
      <c r="L200">
        <v>0.16381256440821385</v>
      </c>
      <c r="M200">
        <v>0.15468566680944218</v>
      </c>
      <c r="N200">
        <v>0.16837601320759968</v>
      </c>
      <c r="O200">
        <v>0.15012221801005635</v>
      </c>
    </row>
    <row r="201" spans="1:15">
      <c r="A201" s="19">
        <v>43564</v>
      </c>
      <c r="B201">
        <v>1023</v>
      </c>
      <c r="C201">
        <v>1028</v>
      </c>
      <c r="D201">
        <v>6269</v>
      </c>
      <c r="E201">
        <v>6216</v>
      </c>
      <c r="F201">
        <v>0.165379665379665</v>
      </c>
      <c r="G201">
        <v>0.15920455630809299</v>
      </c>
      <c r="H201">
        <v>4.4994808136327603E-3</v>
      </c>
      <c r="I201">
        <v>1.3724048012077099</v>
      </c>
      <c r="J201">
        <v>3.73</v>
      </c>
      <c r="L201">
        <v>0.16370403712172577</v>
      </c>
      <c r="M201">
        <v>0.15470507549446022</v>
      </c>
      <c r="N201">
        <v>0.16820351793535851</v>
      </c>
      <c r="O201">
        <v>0.15020559468082748</v>
      </c>
    </row>
    <row r="202" spans="1:15">
      <c r="A202" s="19">
        <v>43563</v>
      </c>
      <c r="B202">
        <v>1044</v>
      </c>
      <c r="C202">
        <v>1023</v>
      </c>
      <c r="D202">
        <v>6388</v>
      </c>
      <c r="E202">
        <v>6269</v>
      </c>
      <c r="F202">
        <v>0.163183920880523</v>
      </c>
      <c r="G202">
        <v>0.159145746178849</v>
      </c>
      <c r="H202">
        <v>4.4469032352168602E-3</v>
      </c>
      <c r="I202">
        <v>0.90808692883042497</v>
      </c>
      <c r="J202">
        <v>2.4700000000000002</v>
      </c>
      <c r="L202">
        <v>0.16359264941406584</v>
      </c>
      <c r="M202">
        <v>0.15469884294363215</v>
      </c>
      <c r="N202">
        <v>0.16803955264928272</v>
      </c>
      <c r="O202">
        <v>0.15025193970841527</v>
      </c>
    </row>
    <row r="203" spans="1:15">
      <c r="A203" s="19">
        <v>43560</v>
      </c>
      <c r="B203">
        <v>1030</v>
      </c>
      <c r="C203">
        <v>1044</v>
      </c>
      <c r="D203">
        <v>6043</v>
      </c>
      <c r="E203">
        <v>6346</v>
      </c>
      <c r="F203">
        <v>0.164513079104948</v>
      </c>
      <c r="G203">
        <v>0.159130670681567</v>
      </c>
      <c r="H203">
        <v>4.4350886604061397E-3</v>
      </c>
      <c r="I203">
        <v>1.2135965784474601</v>
      </c>
      <c r="J203">
        <v>3.27</v>
      </c>
      <c r="L203">
        <v>0.16356575934197315</v>
      </c>
      <c r="M203">
        <v>0.15469558202116085</v>
      </c>
      <c r="N203">
        <v>0.16800084800237927</v>
      </c>
      <c r="O203">
        <v>0.15026049336075473</v>
      </c>
    </row>
    <row r="204" spans="1:15">
      <c r="A204" s="19">
        <v>43559</v>
      </c>
      <c r="B204">
        <v>1016</v>
      </c>
      <c r="C204">
        <v>1020</v>
      </c>
      <c r="D204">
        <v>6030</v>
      </c>
      <c r="E204">
        <v>6044</v>
      </c>
      <c r="F204">
        <v>0.168762409000661</v>
      </c>
      <c r="G204">
        <v>0.159127740864523</v>
      </c>
      <c r="H204">
        <v>4.43160328606394E-3</v>
      </c>
      <c r="I204">
        <v>2.17408181965118</v>
      </c>
      <c r="J204">
        <v>5.71</v>
      </c>
      <c r="L204">
        <v>0.16355934415058693</v>
      </c>
      <c r="M204">
        <v>0.15469613757845907</v>
      </c>
      <c r="N204">
        <v>0.16799094743665088</v>
      </c>
      <c r="O204">
        <v>0.15026453429239511</v>
      </c>
    </row>
    <row r="205" spans="1:15">
      <c r="A205" s="19">
        <v>43558</v>
      </c>
      <c r="B205">
        <v>1028</v>
      </c>
      <c r="C205">
        <v>1013</v>
      </c>
      <c r="D205">
        <v>5975</v>
      </c>
      <c r="E205">
        <v>5993</v>
      </c>
      <c r="F205">
        <v>0.16903053562489501</v>
      </c>
      <c r="G205">
        <v>0.15911112553715501</v>
      </c>
      <c r="H205">
        <v>4.3976551102134298E-3</v>
      </c>
      <c r="I205">
        <v>2.25561346652731</v>
      </c>
      <c r="J205">
        <v>5.87</v>
      </c>
      <c r="L205">
        <v>0.16350878064736843</v>
      </c>
      <c r="M205">
        <v>0.15471347042694159</v>
      </c>
      <c r="N205">
        <v>0.16790643575758188</v>
      </c>
      <c r="O205">
        <v>0.15031581531672814</v>
      </c>
    </row>
    <row r="206" spans="1:15">
      <c r="A206" s="19">
        <v>43557</v>
      </c>
      <c r="B206">
        <v>1019</v>
      </c>
      <c r="C206">
        <v>1016</v>
      </c>
      <c r="D206">
        <v>5950</v>
      </c>
      <c r="E206">
        <v>5967</v>
      </c>
      <c r="F206">
        <v>0.17026981732863999</v>
      </c>
      <c r="G206">
        <v>0.15908572068801599</v>
      </c>
      <c r="H206">
        <v>4.3454721613833003E-3</v>
      </c>
      <c r="I206">
        <v>2.57373565524439</v>
      </c>
      <c r="J206">
        <v>6.57</v>
      </c>
      <c r="L206">
        <v>0.1634311928493993</v>
      </c>
      <c r="M206">
        <v>0.15474024852663268</v>
      </c>
      <c r="N206">
        <v>0.16777666501078259</v>
      </c>
      <c r="O206">
        <v>0.15039477636524939</v>
      </c>
    </row>
    <row r="207" spans="1:15">
      <c r="A207" s="19">
        <v>43556</v>
      </c>
      <c r="B207">
        <v>982</v>
      </c>
      <c r="C207">
        <v>996</v>
      </c>
      <c r="D207">
        <v>5805</v>
      </c>
      <c r="E207">
        <v>5946</v>
      </c>
      <c r="F207">
        <v>0.16750756811301701</v>
      </c>
      <c r="G207">
        <v>0.15903616335547899</v>
      </c>
      <c r="H207">
        <v>4.2374944335145503E-3</v>
      </c>
      <c r="I207">
        <v>1.99915419133934</v>
      </c>
      <c r="J207">
        <v>5.0599999999999996</v>
      </c>
      <c r="L207">
        <v>0.16327365778899353</v>
      </c>
      <c r="M207">
        <v>0.15479866892196445</v>
      </c>
      <c r="N207">
        <v>0.16751115222250809</v>
      </c>
      <c r="O207">
        <v>0.15056117448844988</v>
      </c>
    </row>
    <row r="208" spans="1:15">
      <c r="A208" s="19">
        <v>43553</v>
      </c>
      <c r="B208">
        <v>956</v>
      </c>
      <c r="C208">
        <v>967</v>
      </c>
      <c r="D208">
        <v>5884</v>
      </c>
      <c r="E208">
        <v>5815</v>
      </c>
      <c r="F208">
        <v>0.16629406706792699</v>
      </c>
      <c r="G208">
        <v>0.158988485233095</v>
      </c>
      <c r="H208">
        <v>4.1613429054424304E-3</v>
      </c>
      <c r="I208">
        <v>1.7555827531727799</v>
      </c>
      <c r="J208">
        <v>4.3899999999999997</v>
      </c>
      <c r="L208">
        <v>0.16314982813853743</v>
      </c>
      <c r="M208">
        <v>0.15482714232765257</v>
      </c>
      <c r="N208">
        <v>0.16731117104397986</v>
      </c>
      <c r="O208">
        <v>0.15066579942221014</v>
      </c>
    </row>
    <row r="209" spans="1:15">
      <c r="A209" s="19">
        <v>43552</v>
      </c>
      <c r="B209">
        <v>966</v>
      </c>
      <c r="C209">
        <v>951</v>
      </c>
      <c r="D209">
        <v>5847</v>
      </c>
      <c r="E209">
        <v>5841</v>
      </c>
      <c r="F209">
        <v>0.1628145865434</v>
      </c>
      <c r="G209">
        <v>0.158989777703063</v>
      </c>
      <c r="H209">
        <v>4.1636261698602102E-3</v>
      </c>
      <c r="I209">
        <v>0.91862445961731298</v>
      </c>
      <c r="J209">
        <v>2.35</v>
      </c>
      <c r="L209">
        <v>0.16315340387292321</v>
      </c>
      <c r="M209">
        <v>0.15482615153320278</v>
      </c>
      <c r="N209">
        <v>0.16731703004278342</v>
      </c>
      <c r="O209">
        <v>0.15066252536334257</v>
      </c>
    </row>
    <row r="210" spans="1:15">
      <c r="A210" s="19">
        <v>43551</v>
      </c>
      <c r="B210">
        <v>966</v>
      </c>
      <c r="C210">
        <v>969</v>
      </c>
      <c r="D210">
        <v>5850</v>
      </c>
      <c r="E210">
        <v>5917</v>
      </c>
      <c r="F210">
        <v>0.163765421666385</v>
      </c>
      <c r="G210">
        <v>0.15903334647158299</v>
      </c>
      <c r="H210">
        <v>4.2201346999847103E-3</v>
      </c>
      <c r="I210">
        <v>1.12130904134864</v>
      </c>
      <c r="J210">
        <v>2.89</v>
      </c>
      <c r="L210">
        <v>0.16325348117156771</v>
      </c>
      <c r="M210">
        <v>0.15481321177159826</v>
      </c>
      <c r="N210">
        <v>0.16747361587155241</v>
      </c>
      <c r="O210">
        <v>0.15059307707161357</v>
      </c>
    </row>
    <row r="211" spans="1:15">
      <c r="A211" s="19">
        <v>43550</v>
      </c>
      <c r="B211">
        <v>929</v>
      </c>
      <c r="C211">
        <v>955</v>
      </c>
      <c r="D211">
        <v>5833</v>
      </c>
      <c r="E211">
        <v>5915</v>
      </c>
      <c r="F211">
        <v>0.16145393068469899</v>
      </c>
      <c r="G211">
        <v>0.15907023849029001</v>
      </c>
      <c r="H211">
        <v>4.2731023924690997E-3</v>
      </c>
      <c r="I211">
        <v>0.55783643252030701</v>
      </c>
      <c r="J211">
        <v>1.48</v>
      </c>
      <c r="L211">
        <v>0.16334334088275909</v>
      </c>
      <c r="M211">
        <v>0.15479713609782092</v>
      </c>
      <c r="N211">
        <v>0.16761644327522821</v>
      </c>
      <c r="O211">
        <v>0.15052403370535181</v>
      </c>
    </row>
    <row r="212" spans="1:15">
      <c r="A212" s="19">
        <v>43549</v>
      </c>
      <c r="B212">
        <v>954</v>
      </c>
      <c r="C212">
        <v>925</v>
      </c>
      <c r="D212">
        <v>5842</v>
      </c>
      <c r="E212">
        <v>5771</v>
      </c>
      <c r="F212">
        <v>0.160284179518281</v>
      </c>
      <c r="G212">
        <v>0.15918261642779299</v>
      </c>
      <c r="H212">
        <v>4.4418109081074599E-3</v>
      </c>
      <c r="I212">
        <v>0.24799864588495399</v>
      </c>
      <c r="J212">
        <v>0.69</v>
      </c>
      <c r="L212">
        <v>0.16362442733590046</v>
      </c>
      <c r="M212">
        <v>0.15474080551968553</v>
      </c>
      <c r="N212">
        <v>0.1680662382440079</v>
      </c>
      <c r="O212">
        <v>0.15029899461157809</v>
      </c>
    </row>
    <row r="213" spans="1:15">
      <c r="A213" s="19">
        <v>43546</v>
      </c>
      <c r="B213">
        <v>974</v>
      </c>
      <c r="C213">
        <v>964</v>
      </c>
      <c r="D213">
        <v>6000</v>
      </c>
      <c r="E213">
        <v>5935</v>
      </c>
      <c r="F213">
        <v>0.162426284751474</v>
      </c>
      <c r="G213">
        <v>0.15924002389341599</v>
      </c>
      <c r="H213">
        <v>4.4833063357269604E-3</v>
      </c>
      <c r="I213">
        <v>0.71069443385265096</v>
      </c>
      <c r="J213">
        <v>1.96</v>
      </c>
      <c r="L213">
        <v>0.16372333022914295</v>
      </c>
      <c r="M213">
        <v>0.15475671755768902</v>
      </c>
      <c r="N213">
        <v>0.16820663656486992</v>
      </c>
      <c r="O213">
        <v>0.15027341122196206</v>
      </c>
    </row>
    <row r="214" spans="1:15">
      <c r="A214" s="19">
        <v>43544</v>
      </c>
      <c r="B214">
        <v>959</v>
      </c>
      <c r="C214">
        <v>967</v>
      </c>
      <c r="D214">
        <v>6000</v>
      </c>
      <c r="E214">
        <v>5977</v>
      </c>
      <c r="F214">
        <v>0.16178684959009501</v>
      </c>
      <c r="G214">
        <v>0.159296927996461</v>
      </c>
      <c r="H214">
        <v>4.5499753874242797E-3</v>
      </c>
      <c r="I214">
        <v>0.54723847529275305</v>
      </c>
      <c r="J214">
        <v>1.54</v>
      </c>
      <c r="L214">
        <v>0.16384690338388527</v>
      </c>
      <c r="M214">
        <v>0.15474695260903673</v>
      </c>
      <c r="N214">
        <v>0.16839687877130957</v>
      </c>
      <c r="O214">
        <v>0.15019697722161243</v>
      </c>
    </row>
    <row r="215" spans="1:15">
      <c r="A215" s="19">
        <v>43543</v>
      </c>
      <c r="B215">
        <v>958</v>
      </c>
      <c r="C215">
        <v>958</v>
      </c>
      <c r="D215">
        <v>5972</v>
      </c>
      <c r="E215">
        <v>6000</v>
      </c>
      <c r="F215">
        <v>0.15966666666666601</v>
      </c>
      <c r="G215">
        <v>0.15935869678832701</v>
      </c>
      <c r="H215">
        <v>4.6143486337212204E-3</v>
      </c>
      <c r="I215">
        <v>6.67417880149071E-2</v>
      </c>
      <c r="J215">
        <v>0.19</v>
      </c>
      <c r="L215">
        <v>0.16397304542204824</v>
      </c>
      <c r="M215">
        <v>0.15474434815460578</v>
      </c>
      <c r="N215">
        <v>0.16858739405576945</v>
      </c>
      <c r="O215">
        <v>0.15012999952088457</v>
      </c>
    </row>
    <row r="216" spans="1:15">
      <c r="A216" s="19">
        <v>43542</v>
      </c>
      <c r="B216">
        <v>944</v>
      </c>
      <c r="C216">
        <v>953</v>
      </c>
      <c r="D216">
        <v>5852</v>
      </c>
      <c r="E216">
        <v>5952</v>
      </c>
      <c r="F216">
        <v>0.160114247311827</v>
      </c>
      <c r="G216">
        <v>0.15947193510353999</v>
      </c>
      <c r="H216">
        <v>4.7234369986504498E-3</v>
      </c>
      <c r="I216">
        <v>0.13598407440836299</v>
      </c>
      <c r="J216">
        <v>0.4</v>
      </c>
      <c r="L216">
        <v>0.16419537210219043</v>
      </c>
      <c r="M216">
        <v>0.15474849810488955</v>
      </c>
      <c r="N216">
        <v>0.16891880910084089</v>
      </c>
      <c r="O216">
        <v>0.15002506110623909</v>
      </c>
    </row>
    <row r="217" spans="1:15">
      <c r="A217" s="19">
        <v>43539</v>
      </c>
      <c r="B217">
        <v>942</v>
      </c>
      <c r="C217">
        <v>940</v>
      </c>
      <c r="D217">
        <v>5789</v>
      </c>
      <c r="E217">
        <v>5852</v>
      </c>
      <c r="F217">
        <v>0.16062884483937101</v>
      </c>
      <c r="G217">
        <v>0.159585101356781</v>
      </c>
      <c r="H217">
        <v>4.8377599854516401E-3</v>
      </c>
      <c r="I217">
        <v>0.21574933145273401</v>
      </c>
      <c r="J217">
        <v>0.65</v>
      </c>
      <c r="L217">
        <v>0.16442286134223263</v>
      </c>
      <c r="M217">
        <v>0.15474734137132937</v>
      </c>
      <c r="N217">
        <v>0.16926062132768427</v>
      </c>
      <c r="O217">
        <v>0.14990958138587773</v>
      </c>
    </row>
    <row r="218" spans="1:15">
      <c r="A218" s="19">
        <v>43538</v>
      </c>
      <c r="B218">
        <v>960</v>
      </c>
      <c r="C218">
        <v>946</v>
      </c>
      <c r="D218">
        <v>5804</v>
      </c>
      <c r="E218">
        <v>5741</v>
      </c>
      <c r="F218">
        <v>0.16477965511234899</v>
      </c>
      <c r="G218">
        <v>0.159715005123649</v>
      </c>
      <c r="H218">
        <v>4.9923785169743804E-3</v>
      </c>
      <c r="I218">
        <v>1.01447636061252</v>
      </c>
      <c r="J218">
        <v>3.07</v>
      </c>
      <c r="L218">
        <v>0.16470738364062337</v>
      </c>
      <c r="M218">
        <v>0.15472262660667463</v>
      </c>
      <c r="N218">
        <v>0.16969976215759777</v>
      </c>
      <c r="O218">
        <v>0.14973024808970023</v>
      </c>
    </row>
    <row r="219" spans="1:15">
      <c r="A219" s="19">
        <v>43537</v>
      </c>
      <c r="B219">
        <v>967</v>
      </c>
      <c r="C219">
        <v>949</v>
      </c>
      <c r="D219">
        <v>5848</v>
      </c>
      <c r="E219">
        <v>5846</v>
      </c>
      <c r="F219">
        <v>0.162333219295244</v>
      </c>
      <c r="G219">
        <v>0.15981009277393399</v>
      </c>
      <c r="H219">
        <v>5.1532608630023204E-3</v>
      </c>
      <c r="I219">
        <v>0.48961746521018201</v>
      </c>
      <c r="J219">
        <v>1.55</v>
      </c>
      <c r="L219">
        <v>0.16496335363693632</v>
      </c>
      <c r="M219">
        <v>0.15465683191093166</v>
      </c>
      <c r="N219">
        <v>0.17011661449993862</v>
      </c>
      <c r="O219">
        <v>0.14950357104792936</v>
      </c>
    </row>
    <row r="220" spans="1:15">
      <c r="A220" s="19">
        <v>43536</v>
      </c>
      <c r="B220">
        <v>948</v>
      </c>
      <c r="C220">
        <v>961</v>
      </c>
      <c r="D220">
        <v>5744</v>
      </c>
      <c r="E220">
        <v>5855</v>
      </c>
      <c r="F220">
        <v>0.16413321947053799</v>
      </c>
      <c r="G220">
        <v>0.159966317954638</v>
      </c>
      <c r="H220">
        <v>5.39912178413919E-3</v>
      </c>
      <c r="I220">
        <v>0.77177394444791902</v>
      </c>
      <c r="J220">
        <v>2.54</v>
      </c>
      <c r="L220">
        <v>0.16536543973877718</v>
      </c>
      <c r="M220">
        <v>0.15456719617049883</v>
      </c>
      <c r="N220">
        <v>0.17076456152291639</v>
      </c>
      <c r="O220">
        <v>0.14916807438635962</v>
      </c>
    </row>
    <row r="221" spans="1:15">
      <c r="A221" s="19">
        <v>43535</v>
      </c>
      <c r="B221">
        <v>927</v>
      </c>
      <c r="C221">
        <v>933</v>
      </c>
      <c r="D221">
        <v>5650</v>
      </c>
      <c r="E221">
        <v>5654</v>
      </c>
      <c r="F221">
        <v>0.165015917934205</v>
      </c>
      <c r="G221">
        <v>0.160129398149118</v>
      </c>
      <c r="H221">
        <v>5.6989152780764201E-3</v>
      </c>
      <c r="I221">
        <v>0.85744734684614399</v>
      </c>
      <c r="J221">
        <v>2.96</v>
      </c>
      <c r="L221">
        <v>0.16582831342719442</v>
      </c>
      <c r="M221">
        <v>0.15443048287104158</v>
      </c>
      <c r="N221">
        <v>0.17152722870527085</v>
      </c>
      <c r="O221">
        <v>0.14873156759296516</v>
      </c>
    </row>
    <row r="222" spans="1:15">
      <c r="A222" s="19">
        <v>43532</v>
      </c>
      <c r="B222">
        <v>951</v>
      </c>
      <c r="C222">
        <v>925</v>
      </c>
      <c r="D222">
        <v>5833</v>
      </c>
      <c r="E222">
        <v>5673</v>
      </c>
      <c r="F222">
        <v>0.16305305834655301</v>
      </c>
      <c r="G222">
        <v>0.16026349548804</v>
      </c>
      <c r="H222">
        <v>5.9261158504446696E-3</v>
      </c>
      <c r="I222">
        <v>0.47072364579299603</v>
      </c>
      <c r="J222">
        <v>1.71</v>
      </c>
      <c r="L222">
        <v>0.16618961133848467</v>
      </c>
      <c r="M222">
        <v>0.15433737963759533</v>
      </c>
      <c r="N222">
        <v>0.17211572718892934</v>
      </c>
      <c r="O222">
        <v>0.14841126378715067</v>
      </c>
    </row>
    <row r="223" spans="1:15">
      <c r="A223" s="19">
        <v>43531</v>
      </c>
      <c r="B223">
        <v>955</v>
      </c>
      <c r="C223">
        <v>953</v>
      </c>
      <c r="D223">
        <v>5900</v>
      </c>
      <c r="E223">
        <v>5873</v>
      </c>
      <c r="F223">
        <v>0.16226800612974601</v>
      </c>
      <c r="G223">
        <v>0.16051451668890099</v>
      </c>
      <c r="H223">
        <v>6.4173350787500999E-3</v>
      </c>
      <c r="I223">
        <v>0.27324261852109599</v>
      </c>
      <c r="J223">
        <v>1.08</v>
      </c>
      <c r="L223">
        <v>0.16693185176765107</v>
      </c>
      <c r="M223">
        <v>0.1540971816101509</v>
      </c>
      <c r="N223">
        <v>0.17334918684640119</v>
      </c>
      <c r="O223">
        <v>0.14767984653140079</v>
      </c>
    </row>
    <row r="224" spans="1:15">
      <c r="A224" s="19">
        <v>43530</v>
      </c>
      <c r="B224">
        <v>945</v>
      </c>
      <c r="C224">
        <v>955</v>
      </c>
      <c r="D224">
        <v>5938</v>
      </c>
      <c r="E224">
        <v>5945</v>
      </c>
      <c r="F224">
        <v>0.16063919259882201</v>
      </c>
      <c r="G224">
        <v>0.16072298628459</v>
      </c>
      <c r="H224">
        <v>6.7178341997034003E-3</v>
      </c>
      <c r="I224">
        <v>-1.2473318524576E-2</v>
      </c>
      <c r="J224">
        <v>-0.05</v>
      </c>
      <c r="L224">
        <v>0.1674408204842934</v>
      </c>
      <c r="M224">
        <v>0.1540051520848866</v>
      </c>
      <c r="N224">
        <v>0.1741586546839968</v>
      </c>
      <c r="O224">
        <v>0.14728731788518321</v>
      </c>
    </row>
    <row r="225" spans="1:15">
      <c r="A225" s="19">
        <v>43529</v>
      </c>
      <c r="B225">
        <v>949</v>
      </c>
      <c r="C225">
        <v>942</v>
      </c>
      <c r="D225">
        <v>5965</v>
      </c>
      <c r="E225">
        <v>5961</v>
      </c>
      <c r="F225">
        <v>0.158027176648213</v>
      </c>
      <c r="G225">
        <v>0.161017777556762</v>
      </c>
      <c r="H225">
        <v>7.1770908596202202E-3</v>
      </c>
      <c r="I225">
        <v>-0.41668706263351402</v>
      </c>
      <c r="J225">
        <v>-1.89</v>
      </c>
      <c r="L225">
        <v>0.16819486841638223</v>
      </c>
      <c r="M225">
        <v>0.15384068669714177</v>
      </c>
      <c r="N225">
        <v>0.17537195927600244</v>
      </c>
      <c r="O225">
        <v>0.14666359583752156</v>
      </c>
    </row>
    <row r="226" spans="1:15">
      <c r="A226" s="19">
        <v>43528</v>
      </c>
      <c r="B226">
        <v>955</v>
      </c>
      <c r="C226">
        <v>959</v>
      </c>
      <c r="D226">
        <v>5976</v>
      </c>
      <c r="E226">
        <v>6003</v>
      </c>
      <c r="F226">
        <v>0.15975345660502999</v>
      </c>
      <c r="G226">
        <v>0.16149401328101301</v>
      </c>
      <c r="H226">
        <v>8.0898334743018108E-3</v>
      </c>
      <c r="I226">
        <v>-0.21515358523906999</v>
      </c>
      <c r="J226">
        <v>-1.0900000000000001</v>
      </c>
      <c r="L226">
        <v>0.16958384675531482</v>
      </c>
      <c r="M226">
        <v>0.1534041798067112</v>
      </c>
      <c r="N226">
        <v>0.17767368022961663</v>
      </c>
      <c r="O226">
        <v>0.14531434633240939</v>
      </c>
    </row>
    <row r="227" spans="1:15">
      <c r="A227" s="19">
        <v>43525</v>
      </c>
      <c r="B227">
        <v>940</v>
      </c>
      <c r="C227">
        <v>942</v>
      </c>
      <c r="D227">
        <v>5970</v>
      </c>
      <c r="E227">
        <v>5983</v>
      </c>
      <c r="F227">
        <v>0.15744609727561401</v>
      </c>
      <c r="G227">
        <v>0.161829045253752</v>
      </c>
      <c r="H227">
        <v>8.5197040237502096E-3</v>
      </c>
      <c r="I227">
        <v>-0.51444838528657599</v>
      </c>
      <c r="J227">
        <v>-2.78</v>
      </c>
      <c r="L227">
        <v>0.17034874927750221</v>
      </c>
      <c r="M227">
        <v>0.15330934123000178</v>
      </c>
      <c r="N227">
        <v>0.17886845330125242</v>
      </c>
      <c r="O227">
        <v>0.14478963720625157</v>
      </c>
    </row>
    <row r="228" spans="1:15">
      <c r="A228" s="19">
        <v>43524</v>
      </c>
      <c r="B228">
        <v>976</v>
      </c>
      <c r="C228">
        <v>951</v>
      </c>
      <c r="D228">
        <v>5989</v>
      </c>
      <c r="E228">
        <v>5942</v>
      </c>
      <c r="F228">
        <v>0.160047122181083</v>
      </c>
      <c r="G228">
        <v>0.16215612547401401</v>
      </c>
      <c r="H228">
        <v>8.8110631758125998E-3</v>
      </c>
      <c r="I228">
        <v>-0.23935854854839</v>
      </c>
      <c r="J228">
        <v>-1.32</v>
      </c>
      <c r="L228">
        <v>0.1709671886498266</v>
      </c>
      <c r="M228">
        <v>0.15334506229820141</v>
      </c>
      <c r="N228">
        <v>0.1797782518256392</v>
      </c>
      <c r="O228">
        <v>0.14453399912238882</v>
      </c>
    </row>
    <row r="229" spans="1:15">
      <c r="A229" s="19">
        <v>43523</v>
      </c>
      <c r="B229">
        <v>962</v>
      </c>
      <c r="C229">
        <v>974</v>
      </c>
      <c r="D229">
        <v>6010</v>
      </c>
      <c r="E229">
        <v>6009</v>
      </c>
      <c r="F229">
        <v>0.162090198036278</v>
      </c>
      <c r="G229">
        <v>0.16236076522908699</v>
      </c>
      <c r="H229">
        <v>8.9370348676679999E-3</v>
      </c>
      <c r="I229">
        <v>-3.0274827928425702E-2</v>
      </c>
      <c r="J229">
        <v>-0.17</v>
      </c>
      <c r="L229">
        <v>0.17129780009675499</v>
      </c>
      <c r="M229">
        <v>0.15342373036141899</v>
      </c>
      <c r="N229">
        <v>0.180234834964423</v>
      </c>
      <c r="O229">
        <v>0.14448669549375098</v>
      </c>
    </row>
    <row r="230" spans="1:15">
      <c r="A230" s="19">
        <v>43522</v>
      </c>
      <c r="B230">
        <v>977</v>
      </c>
      <c r="C230">
        <v>964</v>
      </c>
      <c r="D230">
        <v>6002</v>
      </c>
      <c r="E230">
        <v>6002</v>
      </c>
      <c r="F230">
        <v>0.16061312895701399</v>
      </c>
      <c r="G230">
        <v>0.16260084669775299</v>
      </c>
      <c r="H230">
        <v>9.1654770822919094E-3</v>
      </c>
      <c r="I230">
        <v>-0.21687007919964299</v>
      </c>
      <c r="J230">
        <v>-1.24</v>
      </c>
      <c r="L230">
        <v>0.17176632378004489</v>
      </c>
      <c r="M230">
        <v>0.15343536961546109</v>
      </c>
      <c r="N230">
        <v>0.18093180086233682</v>
      </c>
      <c r="O230">
        <v>0.14426989253316916</v>
      </c>
    </row>
    <row r="231" spans="1:15">
      <c r="A231" s="19">
        <v>43521</v>
      </c>
      <c r="B231">
        <v>975</v>
      </c>
      <c r="C231">
        <v>977</v>
      </c>
      <c r="D231">
        <v>5987</v>
      </c>
      <c r="E231">
        <v>5981</v>
      </c>
      <c r="F231">
        <v>0.163350610265841</v>
      </c>
      <c r="G231">
        <v>0.16275196757458599</v>
      </c>
      <c r="H231">
        <v>9.2247046178700592E-3</v>
      </c>
      <c r="I231">
        <v>6.4895594607536203E-2</v>
      </c>
      <c r="J231">
        <v>0.37</v>
      </c>
      <c r="L231">
        <v>0.17197667219245605</v>
      </c>
      <c r="M231">
        <v>0.15352726295671593</v>
      </c>
      <c r="N231">
        <v>0.18120137681032611</v>
      </c>
      <c r="O231">
        <v>0.14430255833884587</v>
      </c>
    </row>
    <row r="232" spans="1:15">
      <c r="A232" s="19">
        <v>43518</v>
      </c>
      <c r="B232">
        <v>950</v>
      </c>
      <c r="C232">
        <v>974</v>
      </c>
      <c r="D232">
        <v>5916</v>
      </c>
      <c r="E232">
        <v>5929</v>
      </c>
      <c r="F232">
        <v>0.164277281160398</v>
      </c>
      <c r="G232">
        <v>0.162923022261481</v>
      </c>
      <c r="H232">
        <v>9.3522828657198898E-3</v>
      </c>
      <c r="I232">
        <v>0.14480516878723301</v>
      </c>
      <c r="J232">
        <v>0.82</v>
      </c>
      <c r="L232">
        <v>0.17227530512720091</v>
      </c>
      <c r="M232">
        <v>0.1535707393957611</v>
      </c>
      <c r="N232">
        <v>0.18162758799292078</v>
      </c>
      <c r="O232">
        <v>0.14421845653004123</v>
      </c>
    </row>
    <row r="233" spans="1:15">
      <c r="A233" s="19">
        <v>43517</v>
      </c>
      <c r="B233">
        <v>966</v>
      </c>
      <c r="C233">
        <v>959</v>
      </c>
      <c r="D233">
        <v>6035</v>
      </c>
      <c r="E233">
        <v>5943</v>
      </c>
      <c r="F233">
        <v>0.16136631330977599</v>
      </c>
      <c r="G233">
        <v>0.16314208670996999</v>
      </c>
      <c r="H233">
        <v>9.5712976115997998E-3</v>
      </c>
      <c r="I233">
        <v>-0.18553110270457401</v>
      </c>
      <c r="J233">
        <v>-1.1000000000000001</v>
      </c>
      <c r="L233">
        <v>0.1727133843215698</v>
      </c>
      <c r="M233">
        <v>0.15357078909837019</v>
      </c>
      <c r="N233">
        <v>0.1822846819331696</v>
      </c>
      <c r="O233">
        <v>0.14399949148677038</v>
      </c>
    </row>
    <row r="234" spans="1:15">
      <c r="A234" s="19">
        <v>43516</v>
      </c>
      <c r="B234">
        <v>958</v>
      </c>
      <c r="C234">
        <v>960</v>
      </c>
      <c r="D234">
        <v>6062</v>
      </c>
      <c r="E234">
        <v>6061</v>
      </c>
      <c r="F234">
        <v>0.158389704669196</v>
      </c>
      <c r="G234">
        <v>0.163388785318793</v>
      </c>
      <c r="H234">
        <v>9.7589564698823492E-3</v>
      </c>
      <c r="I234">
        <v>-0.51225565612728696</v>
      </c>
      <c r="J234">
        <v>-3.16</v>
      </c>
      <c r="L234">
        <v>0.17314774178867534</v>
      </c>
      <c r="M234">
        <v>0.15362982884891066</v>
      </c>
      <c r="N234">
        <v>0.18290669825855771</v>
      </c>
      <c r="O234">
        <v>0.14387087237902829</v>
      </c>
    </row>
    <row r="235" spans="1:15">
      <c r="A235" s="19">
        <v>43515</v>
      </c>
      <c r="B235">
        <v>961</v>
      </c>
      <c r="C235">
        <v>957</v>
      </c>
      <c r="D235">
        <v>6049</v>
      </c>
      <c r="E235">
        <v>6056</v>
      </c>
      <c r="F235">
        <v>0.15802509907529699</v>
      </c>
      <c r="G235">
        <v>0.163665185981205</v>
      </c>
      <c r="H235">
        <v>9.9059141482496799E-3</v>
      </c>
      <c r="I235">
        <v>-0.56936561547976205</v>
      </c>
      <c r="J235">
        <v>-3.57</v>
      </c>
      <c r="L235">
        <v>0.17357110012945468</v>
      </c>
      <c r="M235">
        <v>0.15375927183295532</v>
      </c>
      <c r="N235">
        <v>0.18347701427770435</v>
      </c>
      <c r="O235">
        <v>0.14385335768470564</v>
      </c>
    </row>
    <row r="236" spans="1:15">
      <c r="A236" s="19">
        <v>43514</v>
      </c>
      <c r="B236">
        <v>968</v>
      </c>
      <c r="C236">
        <v>956</v>
      </c>
      <c r="D236">
        <v>5998</v>
      </c>
      <c r="E236">
        <v>6016</v>
      </c>
      <c r="F236">
        <v>0.15890957446808501</v>
      </c>
      <c r="G236">
        <v>0.16392786666978401</v>
      </c>
      <c r="H236">
        <v>1.0013497688400199E-2</v>
      </c>
      <c r="I236">
        <v>-0.50115277976371497</v>
      </c>
      <c r="J236">
        <v>-3.16</v>
      </c>
      <c r="L236">
        <v>0.17394136435818422</v>
      </c>
      <c r="M236">
        <v>0.1539143689813838</v>
      </c>
      <c r="N236">
        <v>0.1839548620465844</v>
      </c>
      <c r="O236">
        <v>0.14390087129298362</v>
      </c>
    </row>
    <row r="237" spans="1:15">
      <c r="A237" s="19">
        <v>43511</v>
      </c>
      <c r="B237">
        <v>980</v>
      </c>
      <c r="C237">
        <v>942</v>
      </c>
      <c r="D237">
        <v>6030</v>
      </c>
      <c r="E237">
        <v>5863</v>
      </c>
      <c r="F237">
        <v>0.16066859969298899</v>
      </c>
      <c r="G237">
        <v>0.164160620613124</v>
      </c>
      <c r="H237">
        <v>1.00966819708467E-2</v>
      </c>
      <c r="I237">
        <v>-0.3458582661331</v>
      </c>
      <c r="J237">
        <v>-2.17</v>
      </c>
      <c r="L237">
        <v>0.17425730258397071</v>
      </c>
      <c r="M237">
        <v>0.1540639386422773</v>
      </c>
      <c r="N237">
        <v>0.18435398455481741</v>
      </c>
      <c r="O237">
        <v>0.14396725667143059</v>
      </c>
    </row>
    <row r="238" spans="1:15">
      <c r="A238" s="19">
        <v>43510</v>
      </c>
      <c r="B238">
        <v>941</v>
      </c>
      <c r="C238">
        <v>976</v>
      </c>
      <c r="D238">
        <v>6070</v>
      </c>
      <c r="E238">
        <v>6111</v>
      </c>
      <c r="F238">
        <v>0.159711994763541</v>
      </c>
      <c r="G238">
        <v>0.16430152673908099</v>
      </c>
      <c r="H238">
        <v>1.0120678249493699E-2</v>
      </c>
      <c r="I238">
        <v>-0.45348067218420302</v>
      </c>
      <c r="J238">
        <v>-2.87</v>
      </c>
      <c r="L238">
        <v>0.17442220498857469</v>
      </c>
      <c r="M238">
        <v>0.1541808484895873</v>
      </c>
      <c r="N238">
        <v>0.18454288323806839</v>
      </c>
      <c r="O238">
        <v>0.1440601702400936</v>
      </c>
    </row>
    <row r="239" spans="1:15">
      <c r="A239" s="19">
        <v>43509</v>
      </c>
      <c r="B239">
        <v>940</v>
      </c>
      <c r="C239">
        <v>936</v>
      </c>
      <c r="D239">
        <v>5930</v>
      </c>
      <c r="E239">
        <v>5983</v>
      </c>
      <c r="F239">
        <v>0.156443255891693</v>
      </c>
      <c r="G239">
        <v>0.164387781839511</v>
      </c>
      <c r="H239">
        <v>1.0108755753342399E-2</v>
      </c>
      <c r="I239">
        <v>-0.78590542116829198</v>
      </c>
      <c r="J239">
        <v>-5.08</v>
      </c>
      <c r="L239">
        <v>0.17449653759285338</v>
      </c>
      <c r="M239">
        <v>0.15427902608616861</v>
      </c>
      <c r="N239">
        <v>0.1846052933461958</v>
      </c>
      <c r="O239">
        <v>0.1441702703328262</v>
      </c>
    </row>
    <row r="240" spans="1:15">
      <c r="A240" s="19">
        <v>43508</v>
      </c>
      <c r="B240">
        <v>896</v>
      </c>
      <c r="C240">
        <v>925</v>
      </c>
      <c r="D240">
        <v>5884</v>
      </c>
      <c r="E240">
        <v>5964</v>
      </c>
      <c r="F240">
        <v>0.15509725016767201</v>
      </c>
      <c r="G240">
        <v>0.16454380517141901</v>
      </c>
      <c r="H240">
        <v>1.0075181526428899E-2</v>
      </c>
      <c r="I240">
        <v>-0.93760643209918004</v>
      </c>
      <c r="J240">
        <v>-6.09</v>
      </c>
      <c r="L240">
        <v>0.17461898669784789</v>
      </c>
      <c r="M240">
        <v>0.15446862364499012</v>
      </c>
      <c r="N240">
        <v>0.18469416822427681</v>
      </c>
      <c r="O240">
        <v>0.1443934421185612</v>
      </c>
    </row>
    <row r="241" spans="1:15">
      <c r="A241" s="19">
        <v>43504</v>
      </c>
      <c r="B241">
        <v>912</v>
      </c>
      <c r="C241">
        <v>896</v>
      </c>
      <c r="D241">
        <v>5933</v>
      </c>
      <c r="E241">
        <v>5838</v>
      </c>
      <c r="F241">
        <v>0.15347721822541899</v>
      </c>
      <c r="G241">
        <v>0.164700310996618</v>
      </c>
      <c r="H241">
        <v>1.0018231502813699E-2</v>
      </c>
      <c r="I241">
        <v>-1.12026686227474</v>
      </c>
      <c r="J241">
        <v>-7.31</v>
      </c>
      <c r="L241">
        <v>0.17471854249943169</v>
      </c>
      <c r="M241">
        <v>0.1546820794938043</v>
      </c>
      <c r="N241">
        <v>0.18473677400224539</v>
      </c>
      <c r="O241">
        <v>0.14466384799099061</v>
      </c>
    </row>
    <row r="242" spans="1:15">
      <c r="A242" s="19">
        <v>43503</v>
      </c>
      <c r="B242">
        <v>935</v>
      </c>
      <c r="C242">
        <v>927</v>
      </c>
      <c r="D242">
        <v>6130</v>
      </c>
      <c r="E242">
        <v>6055</v>
      </c>
      <c r="F242">
        <v>0.15309661436829</v>
      </c>
      <c r="G242">
        <v>0.16485887995471599</v>
      </c>
      <c r="H242">
        <v>9.9330941131243293E-3</v>
      </c>
      <c r="I242">
        <v>-1.1841492139780101</v>
      </c>
      <c r="J242">
        <v>-7.68</v>
      </c>
      <c r="L242">
        <v>0.17479197406784031</v>
      </c>
      <c r="M242">
        <v>0.15492578584159167</v>
      </c>
      <c r="N242">
        <v>0.18472506818096465</v>
      </c>
      <c r="O242">
        <v>0.14499269172846732</v>
      </c>
    </row>
    <row r="243" spans="1:15">
      <c r="A243" s="19">
        <v>43502</v>
      </c>
      <c r="B243">
        <v>953</v>
      </c>
      <c r="C243">
        <v>943</v>
      </c>
      <c r="D243">
        <v>6133</v>
      </c>
      <c r="E243">
        <v>6189</v>
      </c>
      <c r="F243">
        <v>0.152367102924543</v>
      </c>
      <c r="G243">
        <v>0.165043183541422</v>
      </c>
      <c r="H243">
        <v>9.8409512387182905E-3</v>
      </c>
      <c r="I243">
        <v>-1.28809505396247</v>
      </c>
      <c r="J243">
        <v>-8.32</v>
      </c>
      <c r="L243">
        <v>0.17488413478014028</v>
      </c>
      <c r="M243">
        <v>0.15520223230270372</v>
      </c>
      <c r="N243">
        <v>0.18472508601885859</v>
      </c>
      <c r="O243">
        <v>0.14536128106398541</v>
      </c>
    </row>
    <row r="244" spans="1:15">
      <c r="A244" s="19">
        <v>43501</v>
      </c>
      <c r="B244">
        <v>942</v>
      </c>
      <c r="C244">
        <v>944</v>
      </c>
      <c r="D244">
        <v>6106</v>
      </c>
      <c r="E244">
        <v>6069</v>
      </c>
      <c r="F244">
        <v>0.155544570769484</v>
      </c>
      <c r="G244">
        <v>0.16521965757937701</v>
      </c>
      <c r="H244">
        <v>9.7301033595929703E-3</v>
      </c>
      <c r="I244">
        <v>-0.99434573840932605</v>
      </c>
      <c r="J244">
        <v>-6.22</v>
      </c>
      <c r="L244">
        <v>0.17494976093896997</v>
      </c>
      <c r="M244">
        <v>0.15548955421978405</v>
      </c>
      <c r="N244">
        <v>0.18467986429856295</v>
      </c>
      <c r="O244">
        <v>0.14575945086019107</v>
      </c>
    </row>
    <row r="245" spans="1:15">
      <c r="A245" s="19">
        <v>43500</v>
      </c>
      <c r="B245">
        <v>933</v>
      </c>
      <c r="C245">
        <v>949</v>
      </c>
      <c r="D245">
        <v>6050</v>
      </c>
      <c r="E245">
        <v>6054</v>
      </c>
      <c r="F245">
        <v>0.15675586389164101</v>
      </c>
      <c r="G245">
        <v>0.16533187987893699</v>
      </c>
      <c r="H245">
        <v>9.6661954719650493E-3</v>
      </c>
      <c r="I245">
        <v>-0.88721731441997598</v>
      </c>
      <c r="J245">
        <v>-5.47</v>
      </c>
      <c r="L245">
        <v>0.17499807535090203</v>
      </c>
      <c r="M245">
        <v>0.15566568440697195</v>
      </c>
      <c r="N245">
        <v>0.1846642708228671</v>
      </c>
      <c r="O245">
        <v>0.14599948893500689</v>
      </c>
    </row>
    <row r="246" spans="1:15">
      <c r="A246" s="19">
        <v>43497</v>
      </c>
      <c r="B246">
        <v>949</v>
      </c>
      <c r="C246">
        <v>922</v>
      </c>
      <c r="D246">
        <v>5915</v>
      </c>
      <c r="E246">
        <v>5991</v>
      </c>
      <c r="F246">
        <v>0.15389751293607001</v>
      </c>
      <c r="G246">
        <v>0.16542127275285401</v>
      </c>
      <c r="H246">
        <v>9.6173492100287295E-3</v>
      </c>
      <c r="I246">
        <v>-1.1982262019525101</v>
      </c>
      <c r="J246">
        <v>-7.49</v>
      </c>
      <c r="L246">
        <v>0.17503862196288275</v>
      </c>
      <c r="M246">
        <v>0.15580392354282527</v>
      </c>
      <c r="N246">
        <v>0.18465597117291147</v>
      </c>
      <c r="O246">
        <v>0.14618657433279655</v>
      </c>
    </row>
    <row r="247" spans="1:15">
      <c r="A247" s="19">
        <v>43496</v>
      </c>
      <c r="B247">
        <v>960</v>
      </c>
      <c r="C247">
        <v>946</v>
      </c>
      <c r="D247">
        <v>6086</v>
      </c>
      <c r="E247">
        <v>6140</v>
      </c>
      <c r="F247">
        <v>0.15407166123778501</v>
      </c>
      <c r="G247">
        <v>0.165486059591922</v>
      </c>
      <c r="H247">
        <v>9.5556701824854196E-3</v>
      </c>
      <c r="I247">
        <v>-1.1945157310953101</v>
      </c>
      <c r="J247">
        <v>-7.41</v>
      </c>
      <c r="L247">
        <v>0.17504172977440743</v>
      </c>
      <c r="M247">
        <v>0.15593038940943657</v>
      </c>
      <c r="N247">
        <v>0.18459739995689284</v>
      </c>
      <c r="O247">
        <v>0.14637471922695117</v>
      </c>
    </row>
    <row r="248" spans="1:15">
      <c r="A248" s="19">
        <v>43495</v>
      </c>
      <c r="B248">
        <v>947</v>
      </c>
      <c r="C248">
        <v>937</v>
      </c>
      <c r="D248">
        <v>6134</v>
      </c>
      <c r="E248">
        <v>6012</v>
      </c>
      <c r="F248">
        <v>0.15585495675316</v>
      </c>
      <c r="G248">
        <v>0.165564024486619</v>
      </c>
      <c r="H248">
        <v>9.4858209312951094E-3</v>
      </c>
      <c r="I248">
        <v>-1.0235347898490901</v>
      </c>
      <c r="J248">
        <v>-6.23</v>
      </c>
      <c r="L248">
        <v>0.1750498454179141</v>
      </c>
      <c r="M248">
        <v>0.1560782035553239</v>
      </c>
      <c r="N248">
        <v>0.1845356663492092</v>
      </c>
      <c r="O248">
        <v>0.14659238262402879</v>
      </c>
    </row>
    <row r="249" spans="1:15">
      <c r="A249" s="19">
        <v>43494</v>
      </c>
      <c r="B249">
        <v>949</v>
      </c>
      <c r="C249">
        <v>952</v>
      </c>
      <c r="D249">
        <v>6102</v>
      </c>
      <c r="E249">
        <v>6070</v>
      </c>
      <c r="F249">
        <v>0.15683690280065801</v>
      </c>
      <c r="G249">
        <v>0.165569484363598</v>
      </c>
      <c r="H249">
        <v>9.4803472546514007E-3</v>
      </c>
      <c r="I249">
        <v>-0.92112465170039803</v>
      </c>
      <c r="J249">
        <v>-5.57</v>
      </c>
      <c r="L249">
        <v>0.17504983161824941</v>
      </c>
      <c r="M249">
        <v>0.15608913710894659</v>
      </c>
      <c r="N249">
        <v>0.1845301788729008</v>
      </c>
      <c r="O249">
        <v>0.14660878985429521</v>
      </c>
    </row>
    <row r="250" spans="1:15">
      <c r="A250" s="19">
        <v>43493</v>
      </c>
      <c r="B250">
        <v>959</v>
      </c>
      <c r="C250">
        <v>939</v>
      </c>
      <c r="D250">
        <v>6093</v>
      </c>
      <c r="E250">
        <v>6047</v>
      </c>
      <c r="F250">
        <v>0.155283611708285</v>
      </c>
      <c r="G250">
        <v>0.165540024468977</v>
      </c>
      <c r="H250">
        <v>9.5108217022999396E-3</v>
      </c>
      <c r="I250">
        <v>-1.0783939686528199</v>
      </c>
      <c r="J250">
        <v>-6.6</v>
      </c>
      <c r="L250">
        <v>0.17505084617127695</v>
      </c>
      <c r="M250">
        <v>0.15602920276667706</v>
      </c>
      <c r="N250">
        <v>0.18456166787357689</v>
      </c>
      <c r="O250">
        <v>0.14651838106437712</v>
      </c>
    </row>
    <row r="251" spans="1:15">
      <c r="A251" s="19">
        <v>43490</v>
      </c>
      <c r="B251">
        <v>942</v>
      </c>
      <c r="C251">
        <v>949</v>
      </c>
      <c r="D251">
        <v>5891</v>
      </c>
      <c r="E251">
        <v>6032</v>
      </c>
      <c r="F251">
        <v>0.15732758620689599</v>
      </c>
      <c r="G251">
        <v>0.16554894684875199</v>
      </c>
      <c r="H251">
        <v>9.5015050012666399E-3</v>
      </c>
      <c r="I251">
        <v>-0.86526930636352095</v>
      </c>
      <c r="J251">
        <v>-5.23</v>
      </c>
      <c r="L251">
        <v>0.17505045185001863</v>
      </c>
      <c r="M251">
        <v>0.15604744184748534</v>
      </c>
      <c r="N251">
        <v>0.18455195685128528</v>
      </c>
      <c r="O251">
        <v>0.14654593684621869</v>
      </c>
    </row>
    <row r="252" spans="1:15">
      <c r="A252" s="19">
        <v>43489</v>
      </c>
      <c r="B252">
        <v>930</v>
      </c>
      <c r="C252">
        <v>939</v>
      </c>
      <c r="D252">
        <v>5791</v>
      </c>
      <c r="E252">
        <v>5889</v>
      </c>
      <c r="F252">
        <v>0.15944982170147701</v>
      </c>
      <c r="G252">
        <v>0.16554053617932901</v>
      </c>
      <c r="H252">
        <v>9.5090549632896697E-3</v>
      </c>
      <c r="I252">
        <v>-0.64051732810106798</v>
      </c>
      <c r="J252">
        <v>-3.82</v>
      </c>
      <c r="L252">
        <v>0.17504959114261867</v>
      </c>
      <c r="M252">
        <v>0.15603148121603935</v>
      </c>
      <c r="N252">
        <v>0.18455864610590836</v>
      </c>
      <c r="O252">
        <v>0.14652242625274967</v>
      </c>
    </row>
    <row r="253" spans="1:15">
      <c r="A253" s="19">
        <v>43488</v>
      </c>
      <c r="B253">
        <v>910</v>
      </c>
      <c r="C253">
        <v>934</v>
      </c>
      <c r="D253">
        <v>5731</v>
      </c>
      <c r="E253">
        <v>5822</v>
      </c>
      <c r="F253">
        <v>0.160425970456887</v>
      </c>
      <c r="G253">
        <v>0.165498401326656</v>
      </c>
      <c r="H253">
        <v>9.5428907883929309E-3</v>
      </c>
      <c r="I253">
        <v>-0.53154028294425404</v>
      </c>
      <c r="J253">
        <v>-3.16</v>
      </c>
      <c r="L253">
        <v>0.17504129211504893</v>
      </c>
      <c r="M253">
        <v>0.15595551053826306</v>
      </c>
      <c r="N253">
        <v>0.18458418290344186</v>
      </c>
      <c r="O253">
        <v>0.14641261974987013</v>
      </c>
    </row>
    <row r="254" spans="1:15">
      <c r="A254" s="19">
        <v>43487</v>
      </c>
      <c r="B254">
        <v>932</v>
      </c>
      <c r="C254">
        <v>924</v>
      </c>
      <c r="D254">
        <v>5887</v>
      </c>
      <c r="E254">
        <v>5792</v>
      </c>
      <c r="F254">
        <v>0.15953038674033099</v>
      </c>
      <c r="G254">
        <v>0.16547775381700999</v>
      </c>
      <c r="H254">
        <v>9.5555103675448502E-3</v>
      </c>
      <c r="I254">
        <v>-0.62240182344198902</v>
      </c>
      <c r="J254">
        <v>-3.73</v>
      </c>
      <c r="L254">
        <v>0.17503326418455484</v>
      </c>
      <c r="M254">
        <v>0.15592224344946515</v>
      </c>
      <c r="N254">
        <v>0.18458877455209968</v>
      </c>
      <c r="O254">
        <v>0.1463667330819203</v>
      </c>
    </row>
    <row r="255" spans="1:15">
      <c r="A255" s="19">
        <v>43486</v>
      </c>
      <c r="B255">
        <v>937</v>
      </c>
      <c r="C255">
        <v>932</v>
      </c>
      <c r="D255">
        <v>5799</v>
      </c>
      <c r="E255">
        <v>5861</v>
      </c>
      <c r="F255">
        <v>0.159017232554171</v>
      </c>
      <c r="G255">
        <v>0.165486775718729</v>
      </c>
      <c r="H255">
        <v>9.5502088181533898E-3</v>
      </c>
      <c r="I255">
        <v>-0.67742426241617004</v>
      </c>
      <c r="J255">
        <v>-4.07</v>
      </c>
      <c r="L255">
        <v>0.17503698453688238</v>
      </c>
      <c r="M255">
        <v>0.15593656690057561</v>
      </c>
      <c r="N255">
        <v>0.18458719335503576</v>
      </c>
      <c r="O255">
        <v>0.14638635808242223</v>
      </c>
    </row>
    <row r="256" spans="1:15">
      <c r="A256" s="19">
        <v>43483</v>
      </c>
      <c r="B256">
        <v>902</v>
      </c>
      <c r="C256">
        <v>923</v>
      </c>
      <c r="D256">
        <v>5519</v>
      </c>
      <c r="E256">
        <v>5686</v>
      </c>
      <c r="F256">
        <v>0.162328526204713</v>
      </c>
      <c r="G256">
        <v>0.16542546068002201</v>
      </c>
      <c r="H256">
        <v>9.6061467073605706E-3</v>
      </c>
      <c r="I256">
        <v>-0.32239092006959402</v>
      </c>
      <c r="J256">
        <v>-1.91</v>
      </c>
      <c r="L256">
        <v>0.17503160738738258</v>
      </c>
      <c r="M256">
        <v>0.15581931397266144</v>
      </c>
      <c r="N256">
        <v>0.18463775409474315</v>
      </c>
      <c r="O256">
        <v>0.14621316726530087</v>
      </c>
    </row>
    <row r="257" spans="1:15">
      <c r="A257" s="19">
        <v>43482</v>
      </c>
      <c r="B257">
        <v>902</v>
      </c>
      <c r="C257">
        <v>896</v>
      </c>
      <c r="D257">
        <v>5708</v>
      </c>
      <c r="E257">
        <v>5647</v>
      </c>
      <c r="F257">
        <v>0.15866831946166099</v>
      </c>
      <c r="G257">
        <v>0.16534101824292699</v>
      </c>
      <c r="H257">
        <v>9.6606800390076492E-3</v>
      </c>
      <c r="I257">
        <v>-0.69070694343708805</v>
      </c>
      <c r="J257">
        <v>-4.21</v>
      </c>
      <c r="L257">
        <v>0.17500169828193463</v>
      </c>
      <c r="M257">
        <v>0.15568033820391936</v>
      </c>
      <c r="N257">
        <v>0.18466237832094229</v>
      </c>
      <c r="O257">
        <v>0.14601965816491169</v>
      </c>
    </row>
    <row r="258" spans="1:15">
      <c r="A258" s="19">
        <v>43481</v>
      </c>
      <c r="B258">
        <v>900</v>
      </c>
      <c r="C258">
        <v>884</v>
      </c>
      <c r="D258">
        <v>5784</v>
      </c>
      <c r="E258">
        <v>5680</v>
      </c>
      <c r="F258">
        <v>0.15563380281690101</v>
      </c>
      <c r="G258">
        <v>0.16534046993814999</v>
      </c>
      <c r="H258">
        <v>9.6610599008876506E-3</v>
      </c>
      <c r="I258">
        <v>-1.0047207263829601</v>
      </c>
      <c r="J258">
        <v>-6.24</v>
      </c>
      <c r="L258">
        <v>0.17500152983903763</v>
      </c>
      <c r="M258">
        <v>0.15567941003726235</v>
      </c>
      <c r="N258">
        <v>0.1846625897399253</v>
      </c>
      <c r="O258">
        <v>0.14601835013637468</v>
      </c>
    </row>
    <row r="259" spans="1:15">
      <c r="A259" s="19">
        <v>43480</v>
      </c>
      <c r="B259">
        <v>887</v>
      </c>
      <c r="C259">
        <v>898</v>
      </c>
      <c r="D259">
        <v>5635</v>
      </c>
      <c r="E259">
        <v>5735</v>
      </c>
      <c r="F259">
        <v>0.156582388840453</v>
      </c>
      <c r="G259">
        <v>0.165344443261078</v>
      </c>
      <c r="H259">
        <v>9.6571274829697594E-3</v>
      </c>
      <c r="I259">
        <v>-0.90731477202475896</v>
      </c>
      <c r="J259">
        <v>-5.6</v>
      </c>
      <c r="L259">
        <v>0.17500157074404776</v>
      </c>
      <c r="M259">
        <v>0.15568731577810824</v>
      </c>
      <c r="N259">
        <v>0.18465869822701753</v>
      </c>
      <c r="O259">
        <v>0.14603018829513847</v>
      </c>
    </row>
    <row r="260" spans="1:15">
      <c r="A260" s="19">
        <v>43476</v>
      </c>
      <c r="B260">
        <v>871</v>
      </c>
      <c r="C260">
        <v>878</v>
      </c>
      <c r="D260">
        <v>5687</v>
      </c>
      <c r="E260">
        <v>5731</v>
      </c>
      <c r="F260">
        <v>0.153201884487872</v>
      </c>
      <c r="G260">
        <v>0.16532024469623499</v>
      </c>
      <c r="H260">
        <v>9.6812964899561493E-3</v>
      </c>
      <c r="I260">
        <v>-1.2517290655166</v>
      </c>
      <c r="J260">
        <v>-7.91</v>
      </c>
      <c r="L260">
        <v>0.17500154118619113</v>
      </c>
      <c r="M260">
        <v>0.15563894820627885</v>
      </c>
      <c r="N260">
        <v>0.18468283767614729</v>
      </c>
      <c r="O260">
        <v>0.14595765171632269</v>
      </c>
    </row>
    <row r="261" spans="1:15">
      <c r="A261" s="19">
        <v>43475</v>
      </c>
      <c r="B261">
        <v>864</v>
      </c>
      <c r="C261">
        <v>867</v>
      </c>
      <c r="D261">
        <v>5571</v>
      </c>
      <c r="E261">
        <v>5587</v>
      </c>
      <c r="F261">
        <v>0.15518167173796299</v>
      </c>
      <c r="G261">
        <v>0.16535794247716601</v>
      </c>
      <c r="H261">
        <v>9.6394498924224793E-3</v>
      </c>
      <c r="I261">
        <v>-1.05568998778681</v>
      </c>
      <c r="J261">
        <v>-6.56</v>
      </c>
      <c r="L261">
        <v>0.1749973923695885</v>
      </c>
      <c r="M261">
        <v>0.15571849258474352</v>
      </c>
      <c r="N261">
        <v>0.18463684226201096</v>
      </c>
      <c r="O261">
        <v>0.14607904269232105</v>
      </c>
    </row>
    <row r="262" spans="1:15">
      <c r="A262" s="19">
        <v>43474</v>
      </c>
      <c r="B262">
        <v>871</v>
      </c>
      <c r="C262">
        <v>865</v>
      </c>
      <c r="D262">
        <v>5640</v>
      </c>
      <c r="E262">
        <v>5601</v>
      </c>
      <c r="F262">
        <v>0.15443670773076201</v>
      </c>
      <c r="G262">
        <v>0.16535807206046599</v>
      </c>
      <c r="H262">
        <v>9.6393131561132994E-3</v>
      </c>
      <c r="I262">
        <v>-1.1330023366631701</v>
      </c>
      <c r="J262">
        <v>-7.07</v>
      </c>
      <c r="L262">
        <v>0.17499738521657929</v>
      </c>
      <c r="M262">
        <v>0.15571875890435269</v>
      </c>
      <c r="N262">
        <v>0.18463669837269259</v>
      </c>
      <c r="O262">
        <v>0.14607944574823939</v>
      </c>
    </row>
    <row r="263" spans="1:15">
      <c r="A263" s="19">
        <v>43473</v>
      </c>
      <c r="B263">
        <v>841</v>
      </c>
      <c r="C263">
        <v>861</v>
      </c>
      <c r="D263">
        <v>5490</v>
      </c>
      <c r="E263">
        <v>5540</v>
      </c>
      <c r="F263">
        <v>0.155415162454873</v>
      </c>
      <c r="G263">
        <v>0.165418895621853</v>
      </c>
      <c r="H263">
        <v>9.5844441148149693E-3</v>
      </c>
      <c r="I263">
        <v>-1.0437468305039099</v>
      </c>
      <c r="J263">
        <v>-6.44</v>
      </c>
      <c r="L263">
        <v>0.17500333973666796</v>
      </c>
      <c r="M263">
        <v>0.15583445150703804</v>
      </c>
      <c r="N263">
        <v>0.18458778385148294</v>
      </c>
      <c r="O263">
        <v>0.14625000739222305</v>
      </c>
    </row>
    <row r="264" spans="1:15">
      <c r="A264" s="19">
        <v>43472</v>
      </c>
      <c r="B264">
        <v>830</v>
      </c>
      <c r="C264">
        <v>846</v>
      </c>
      <c r="D264">
        <v>5481</v>
      </c>
      <c r="E264">
        <v>5494</v>
      </c>
      <c r="F264">
        <v>0.153986166727338</v>
      </c>
      <c r="G264">
        <v>0.16540450173193699</v>
      </c>
      <c r="H264">
        <v>9.6002544694853802E-3</v>
      </c>
      <c r="I264">
        <v>-1.1893783691767801</v>
      </c>
      <c r="J264">
        <v>-7.42</v>
      </c>
      <c r="L264">
        <v>0.17500475620142236</v>
      </c>
      <c r="M264">
        <v>0.15580424726245162</v>
      </c>
      <c r="N264">
        <v>0.18460501067090776</v>
      </c>
      <c r="O264">
        <v>0.14620399279296623</v>
      </c>
    </row>
    <row r="265" spans="1:15">
      <c r="A265" s="19">
        <v>43469</v>
      </c>
      <c r="B265">
        <v>828</v>
      </c>
      <c r="C265">
        <v>808</v>
      </c>
      <c r="D265">
        <v>5300</v>
      </c>
      <c r="E265">
        <v>5301</v>
      </c>
      <c r="F265">
        <v>0.15242407093001301</v>
      </c>
      <c r="G265">
        <v>0.165425907137215</v>
      </c>
      <c r="H265">
        <v>9.5765319330062808E-3</v>
      </c>
      <c r="I265">
        <v>-1.35767690205159</v>
      </c>
      <c r="J265">
        <v>-8.5299999999999994</v>
      </c>
      <c r="L265">
        <v>0.17500243907022128</v>
      </c>
      <c r="M265">
        <v>0.15584937520420872</v>
      </c>
      <c r="N265">
        <v>0.18457897100322757</v>
      </c>
      <c r="O265">
        <v>0.14627284327120244</v>
      </c>
    </row>
    <row r="266" spans="1:15">
      <c r="A266" s="19">
        <v>43462</v>
      </c>
      <c r="B266">
        <v>818</v>
      </c>
      <c r="C266">
        <v>831</v>
      </c>
      <c r="D266">
        <v>5374</v>
      </c>
      <c r="E266">
        <v>5543</v>
      </c>
      <c r="F266">
        <v>0.149918816525347</v>
      </c>
      <c r="G266">
        <v>0.16544871151415599</v>
      </c>
      <c r="H266">
        <v>9.5475362920108692E-3</v>
      </c>
      <c r="I266">
        <v>-1.62658664118451</v>
      </c>
      <c r="J266">
        <v>-10.36</v>
      </c>
      <c r="L266">
        <v>0.17499624780616685</v>
      </c>
      <c r="M266">
        <v>0.15590117522214514</v>
      </c>
      <c r="N266">
        <v>0.18454378409817773</v>
      </c>
      <c r="O266">
        <v>0.14635363893013426</v>
      </c>
    </row>
    <row r="267" spans="1:15">
      <c r="A267" s="19">
        <v>43461</v>
      </c>
      <c r="B267">
        <v>839</v>
      </c>
      <c r="C267">
        <v>824</v>
      </c>
      <c r="D267">
        <v>5502</v>
      </c>
      <c r="E267">
        <v>5413</v>
      </c>
      <c r="F267">
        <v>0.15222612229817101</v>
      </c>
      <c r="G267">
        <v>0.16546199913943899</v>
      </c>
      <c r="H267">
        <v>9.5265840630108199E-3</v>
      </c>
      <c r="I267">
        <v>-1.3893623101128001</v>
      </c>
      <c r="J267">
        <v>-8.69</v>
      </c>
      <c r="L267">
        <v>0.17498858320244981</v>
      </c>
      <c r="M267">
        <v>0.15593541507642816</v>
      </c>
      <c r="N267">
        <v>0.18451516726546063</v>
      </c>
      <c r="O267">
        <v>0.14640883101341734</v>
      </c>
    </row>
    <row r="268" spans="1:15">
      <c r="A268" s="19">
        <v>43460</v>
      </c>
      <c r="B268">
        <v>800</v>
      </c>
      <c r="C268">
        <v>806</v>
      </c>
      <c r="D268">
        <v>5256</v>
      </c>
      <c r="E268">
        <v>5326</v>
      </c>
      <c r="F268">
        <v>0.15133308298911</v>
      </c>
      <c r="G268">
        <v>0.16541327907043099</v>
      </c>
      <c r="H268">
        <v>9.6031848526926793E-3</v>
      </c>
      <c r="I268">
        <v>-1.4662006716837399</v>
      </c>
      <c r="J268">
        <v>-9.3000000000000007</v>
      </c>
      <c r="L268">
        <v>0.17501646392312367</v>
      </c>
      <c r="M268">
        <v>0.15581009421773831</v>
      </c>
      <c r="N268">
        <v>0.18461964877581635</v>
      </c>
      <c r="O268">
        <v>0.14620690936504563</v>
      </c>
    </row>
    <row r="269" spans="1:15">
      <c r="A269" s="19">
        <v>43459</v>
      </c>
      <c r="B269">
        <v>811</v>
      </c>
      <c r="C269">
        <v>805</v>
      </c>
      <c r="D269">
        <v>5109</v>
      </c>
      <c r="E269">
        <v>5218</v>
      </c>
      <c r="F269">
        <v>0.154273668072058</v>
      </c>
      <c r="G269">
        <v>0.16538665863138</v>
      </c>
      <c r="H269">
        <v>9.6448556885814392E-3</v>
      </c>
      <c r="I269">
        <v>-1.1522194751424799</v>
      </c>
      <c r="J269">
        <v>-7.2</v>
      </c>
      <c r="L269">
        <v>0.17503151431996145</v>
      </c>
      <c r="M269">
        <v>0.15574180294279855</v>
      </c>
      <c r="N269">
        <v>0.18467637000854287</v>
      </c>
      <c r="O269">
        <v>0.14609694725421712</v>
      </c>
    </row>
    <row r="270" spans="1:15">
      <c r="A270" s="19">
        <v>43455</v>
      </c>
      <c r="B270">
        <v>833</v>
      </c>
      <c r="C270">
        <v>826</v>
      </c>
      <c r="D270">
        <v>5326</v>
      </c>
      <c r="E270">
        <v>5309</v>
      </c>
      <c r="F270">
        <v>0.15558485590506599</v>
      </c>
      <c r="G270">
        <v>0.16530297134524499</v>
      </c>
      <c r="H270">
        <v>9.7673710317962709E-3</v>
      </c>
      <c r="I270">
        <v>-0.99495712905164801</v>
      </c>
      <c r="J270">
        <v>-6.25</v>
      </c>
      <c r="L270">
        <v>0.17507034237704128</v>
      </c>
      <c r="M270">
        <v>0.15553560031344871</v>
      </c>
      <c r="N270">
        <v>0.18483771340883753</v>
      </c>
      <c r="O270">
        <v>0.14576822928165245</v>
      </c>
    </row>
    <row r="271" spans="1:15">
      <c r="A271" s="19">
        <v>43454</v>
      </c>
      <c r="B271">
        <v>860</v>
      </c>
      <c r="C271">
        <v>840</v>
      </c>
      <c r="D271">
        <v>5542</v>
      </c>
      <c r="E271">
        <v>5426</v>
      </c>
      <c r="F271">
        <v>0.154810173239955</v>
      </c>
      <c r="G271">
        <v>0.165170714084448</v>
      </c>
      <c r="H271">
        <v>9.96325881796142E-3</v>
      </c>
      <c r="I271">
        <v>-1.0398747070401599</v>
      </c>
      <c r="J271">
        <v>-6.69</v>
      </c>
      <c r="L271">
        <v>0.17513397290240942</v>
      </c>
      <c r="M271">
        <v>0.15520745526648658</v>
      </c>
      <c r="N271">
        <v>0.18509723172037085</v>
      </c>
      <c r="O271">
        <v>0.14524419644852515</v>
      </c>
    </row>
    <row r="272" spans="1:15">
      <c r="A272" s="19">
        <v>43453</v>
      </c>
      <c r="B272">
        <v>889</v>
      </c>
      <c r="C272">
        <v>874</v>
      </c>
      <c r="D272">
        <v>5680</v>
      </c>
      <c r="E272">
        <v>5626</v>
      </c>
      <c r="F272">
        <v>0.15535015997155999</v>
      </c>
      <c r="G272">
        <v>0.16503363762839099</v>
      </c>
      <c r="H272">
        <v>1.0173364997524199E-2</v>
      </c>
      <c r="I272">
        <v>-0.95184608624460199</v>
      </c>
      <c r="J272">
        <v>-6.23</v>
      </c>
      <c r="L272">
        <v>0.17520700262591518</v>
      </c>
      <c r="M272">
        <v>0.1548602726308668</v>
      </c>
      <c r="N272">
        <v>0.1853803676234394</v>
      </c>
      <c r="O272">
        <v>0.14468690763334258</v>
      </c>
    </row>
    <row r="273" spans="1:15">
      <c r="A273" s="19">
        <v>43452</v>
      </c>
      <c r="B273">
        <v>897</v>
      </c>
      <c r="C273">
        <v>886</v>
      </c>
      <c r="D273">
        <v>5500</v>
      </c>
      <c r="E273">
        <v>5680</v>
      </c>
      <c r="F273">
        <v>0.15598591549295701</v>
      </c>
      <c r="G273">
        <v>0.16485919043860001</v>
      </c>
      <c r="H273">
        <v>1.04464262373354E-2</v>
      </c>
      <c r="I273">
        <v>-0.84940770595107895</v>
      </c>
      <c r="J273">
        <v>-5.69</v>
      </c>
      <c r="L273">
        <v>0.17530561667593542</v>
      </c>
      <c r="M273">
        <v>0.1544127642012646</v>
      </c>
      <c r="N273">
        <v>0.1857520429132708</v>
      </c>
      <c r="O273">
        <v>0.14396633796392921</v>
      </c>
    </row>
    <row r="274" spans="1:15">
      <c r="A274" s="19">
        <v>43451</v>
      </c>
      <c r="B274">
        <v>922</v>
      </c>
      <c r="C274">
        <v>908</v>
      </c>
      <c r="D274">
        <v>5576</v>
      </c>
      <c r="E274">
        <v>5616</v>
      </c>
      <c r="F274">
        <v>0.161680911680911</v>
      </c>
      <c r="G274">
        <v>0.164647802327298</v>
      </c>
      <c r="H274">
        <v>1.07789570869405E-2</v>
      </c>
      <c r="I274">
        <v>-0.27524839578230498</v>
      </c>
      <c r="J274">
        <v>-1.84</v>
      </c>
      <c r="L274">
        <v>0.17542675941423849</v>
      </c>
      <c r="M274">
        <v>0.15386884524035752</v>
      </c>
      <c r="N274">
        <v>0.18620571650117901</v>
      </c>
      <c r="O274">
        <v>0.143089888153417</v>
      </c>
    </row>
    <row r="275" spans="1:15">
      <c r="A275" s="19">
        <v>43448</v>
      </c>
      <c r="B275">
        <v>922</v>
      </c>
      <c r="C275">
        <v>913</v>
      </c>
      <c r="D275">
        <v>5725</v>
      </c>
      <c r="E275">
        <v>5565</v>
      </c>
      <c r="F275">
        <v>0.164061096136567</v>
      </c>
      <c r="G275">
        <v>0.16435768442116899</v>
      </c>
      <c r="H275">
        <v>1.1141627962106699E-2</v>
      </c>
      <c r="I275">
        <v>-2.6619833798975701E-2</v>
      </c>
      <c r="J275">
        <v>-0.18</v>
      </c>
      <c r="L275">
        <v>0.17549931238327568</v>
      </c>
      <c r="M275">
        <v>0.15321605645906231</v>
      </c>
      <c r="N275">
        <v>0.18664094034538239</v>
      </c>
      <c r="O275">
        <v>0.14207442849695559</v>
      </c>
    </row>
    <row r="276" spans="1:15">
      <c r="A276" s="19">
        <v>43447</v>
      </c>
      <c r="B276">
        <v>927</v>
      </c>
      <c r="C276">
        <v>937</v>
      </c>
      <c r="D276">
        <v>5724</v>
      </c>
      <c r="E276">
        <v>5821</v>
      </c>
      <c r="F276">
        <v>0.16096890568630801</v>
      </c>
      <c r="G276">
        <v>0.164069956107712</v>
      </c>
      <c r="H276">
        <v>1.1420719260835901E-2</v>
      </c>
      <c r="I276">
        <v>-0.27152846949300302</v>
      </c>
      <c r="J276">
        <v>-1.93</v>
      </c>
      <c r="L276">
        <v>0.1754906753685479</v>
      </c>
      <c r="M276">
        <v>0.15264923684687609</v>
      </c>
      <c r="N276">
        <v>0.1869113946293838</v>
      </c>
      <c r="O276">
        <v>0.14122851758604019</v>
      </c>
    </row>
    <row r="277" spans="1:15">
      <c r="A277" s="19">
        <v>43446</v>
      </c>
      <c r="B277">
        <v>918</v>
      </c>
      <c r="C277">
        <v>925</v>
      </c>
      <c r="D277">
        <v>5700</v>
      </c>
      <c r="E277">
        <v>5708</v>
      </c>
      <c r="F277">
        <v>0.162053258584442</v>
      </c>
      <c r="G277">
        <v>0.16382571438460899</v>
      </c>
      <c r="H277">
        <v>1.1677415709824101E-2</v>
      </c>
      <c r="I277">
        <v>-0.15178493634300699</v>
      </c>
      <c r="J277">
        <v>-1.0900000000000001</v>
      </c>
      <c r="L277">
        <v>0.17550313009443311</v>
      </c>
      <c r="M277">
        <v>0.15214829867478488</v>
      </c>
      <c r="N277">
        <v>0.18718054580425719</v>
      </c>
      <c r="O277">
        <v>0.1404708829649608</v>
      </c>
    </row>
    <row r="278" spans="1:15">
      <c r="A278" s="19">
        <v>43445</v>
      </c>
      <c r="B278">
        <v>952</v>
      </c>
      <c r="C278">
        <v>923</v>
      </c>
      <c r="D278">
        <v>5701</v>
      </c>
      <c r="E278">
        <v>5618</v>
      </c>
      <c r="F278">
        <v>0.164293342826628</v>
      </c>
      <c r="G278">
        <v>0.16358243694229899</v>
      </c>
      <c r="H278">
        <v>1.1899749758659E-2</v>
      </c>
      <c r="I278">
        <v>5.97412465595418E-2</v>
      </c>
      <c r="J278">
        <v>0.43</v>
      </c>
      <c r="L278">
        <v>0.175482186700958</v>
      </c>
      <c r="M278">
        <v>0.15168268718363997</v>
      </c>
      <c r="N278">
        <v>0.18738193645961698</v>
      </c>
      <c r="O278">
        <v>0.13978293742498099</v>
      </c>
    </row>
    <row r="279" spans="1:15">
      <c r="A279" s="19">
        <v>43444</v>
      </c>
      <c r="B279">
        <v>957</v>
      </c>
      <c r="C279">
        <v>953</v>
      </c>
      <c r="D279">
        <v>5657</v>
      </c>
      <c r="E279">
        <v>5689</v>
      </c>
      <c r="F279">
        <v>0.16751625944805701</v>
      </c>
      <c r="G279">
        <v>0.16333139857748399</v>
      </c>
      <c r="H279">
        <v>1.20793466008021E-2</v>
      </c>
      <c r="I279">
        <v>0.34644761913657302</v>
      </c>
      <c r="J279">
        <v>2.5</v>
      </c>
      <c r="L279">
        <v>0.17541074517828609</v>
      </c>
      <c r="M279">
        <v>0.1512520519766819</v>
      </c>
      <c r="N279">
        <v>0.18749009177908821</v>
      </c>
      <c r="O279">
        <v>0.13917270537587978</v>
      </c>
    </row>
    <row r="280" spans="1:15">
      <c r="A280" s="19">
        <v>43441</v>
      </c>
      <c r="B280">
        <v>977</v>
      </c>
      <c r="C280">
        <v>972</v>
      </c>
      <c r="D280">
        <v>5890</v>
      </c>
      <c r="E280">
        <v>5816</v>
      </c>
      <c r="F280">
        <v>0.16712517193947701</v>
      </c>
      <c r="G280">
        <v>0.16301315162764099</v>
      </c>
      <c r="H280">
        <v>1.22776943620294E-2</v>
      </c>
      <c r="I280">
        <v>0.33491795695397403</v>
      </c>
      <c r="J280">
        <v>2.46</v>
      </c>
      <c r="L280">
        <v>0.1752908459896704</v>
      </c>
      <c r="M280">
        <v>0.15073545726561158</v>
      </c>
      <c r="N280">
        <v>0.18756854035169979</v>
      </c>
      <c r="O280">
        <v>0.13845776290358219</v>
      </c>
    </row>
    <row r="281" spans="1:15">
      <c r="A281" s="19">
        <v>43440</v>
      </c>
      <c r="B281">
        <v>982</v>
      </c>
      <c r="C281">
        <v>977</v>
      </c>
      <c r="D281">
        <v>5958</v>
      </c>
      <c r="E281">
        <v>5866</v>
      </c>
      <c r="F281">
        <v>0.166553017388339</v>
      </c>
      <c r="G281">
        <v>0.16268186080635699</v>
      </c>
      <c r="H281">
        <v>1.2495559078595699E-2</v>
      </c>
      <c r="I281">
        <v>0.30980259127528897</v>
      </c>
      <c r="J281">
        <v>2.3199999999999998</v>
      </c>
      <c r="L281">
        <v>0.1751774198849527</v>
      </c>
      <c r="M281">
        <v>0.15018630172776129</v>
      </c>
      <c r="N281">
        <v>0.1876729789635484</v>
      </c>
      <c r="O281">
        <v>0.13769074264916559</v>
      </c>
    </row>
    <row r="282" spans="1:15">
      <c r="A282" s="19">
        <v>43439</v>
      </c>
      <c r="B282">
        <v>998</v>
      </c>
      <c r="C282">
        <v>989</v>
      </c>
      <c r="D282">
        <v>5981</v>
      </c>
      <c r="E282">
        <v>6033</v>
      </c>
      <c r="F282">
        <v>0.16393170893419501</v>
      </c>
      <c r="G282">
        <v>0.16236819559944701</v>
      </c>
      <c r="H282">
        <v>1.26882251010939E-2</v>
      </c>
      <c r="I282">
        <v>0.123225535667135</v>
      </c>
      <c r="J282">
        <v>0.95</v>
      </c>
      <c r="L282">
        <v>0.17505642070054092</v>
      </c>
      <c r="M282">
        <v>0.1496799704983531</v>
      </c>
      <c r="N282">
        <v>0.1877446458016348</v>
      </c>
      <c r="O282">
        <v>0.13699174539725922</v>
      </c>
    </row>
    <row r="283" spans="1:15">
      <c r="A283" s="19">
        <v>43438</v>
      </c>
      <c r="B283">
        <v>1035</v>
      </c>
      <c r="C283">
        <v>1006</v>
      </c>
      <c r="D283">
        <v>6273</v>
      </c>
      <c r="E283">
        <v>6046</v>
      </c>
      <c r="F283">
        <v>0.16639100231557999</v>
      </c>
      <c r="G283">
        <v>0.16207713417501901</v>
      </c>
      <c r="H283">
        <v>1.2897671847501801E-2</v>
      </c>
      <c r="I283">
        <v>0.33446874688443901</v>
      </c>
      <c r="J283">
        <v>2.59</v>
      </c>
      <c r="L283">
        <v>0.1749748060225208</v>
      </c>
      <c r="M283">
        <v>0.14917946232751722</v>
      </c>
      <c r="N283">
        <v>0.18787247787002262</v>
      </c>
      <c r="O283">
        <v>0.1362817904800154</v>
      </c>
    </row>
    <row r="284" spans="1:15">
      <c r="A284" s="19">
        <v>43437</v>
      </c>
      <c r="B284">
        <v>1039</v>
      </c>
      <c r="C284">
        <v>1042</v>
      </c>
      <c r="D284">
        <v>6345</v>
      </c>
      <c r="E284">
        <v>6274</v>
      </c>
      <c r="F284">
        <v>0.16608224418233899</v>
      </c>
      <c r="G284">
        <v>0.16175192720723</v>
      </c>
      <c r="H284">
        <v>1.3090849760481299E-2</v>
      </c>
      <c r="I284">
        <v>0.33078960146513903</v>
      </c>
      <c r="J284">
        <v>2.61</v>
      </c>
      <c r="L284">
        <v>0.17484277696771131</v>
      </c>
      <c r="M284">
        <v>0.1486610774467487</v>
      </c>
      <c r="N284">
        <v>0.18793362672819261</v>
      </c>
      <c r="O284">
        <v>0.13557022768626739</v>
      </c>
    </row>
    <row r="285" spans="1:15">
      <c r="A285" s="19">
        <v>43434</v>
      </c>
      <c r="B285">
        <v>1037</v>
      </c>
      <c r="C285">
        <v>1033</v>
      </c>
      <c r="D285">
        <v>6146</v>
      </c>
      <c r="E285">
        <v>6203</v>
      </c>
      <c r="F285">
        <v>0.16653232306948201</v>
      </c>
      <c r="G285">
        <v>0.16143479308398301</v>
      </c>
      <c r="H285">
        <v>1.3268995619652901E-2</v>
      </c>
      <c r="I285">
        <v>0.38416848807675402</v>
      </c>
      <c r="J285">
        <v>3.06</v>
      </c>
      <c r="L285">
        <v>0.1747037887036359</v>
      </c>
      <c r="M285">
        <v>0.14816579746433012</v>
      </c>
      <c r="N285">
        <v>0.18797278432328882</v>
      </c>
      <c r="O285">
        <v>0.1348968018446772</v>
      </c>
    </row>
    <row r="286" spans="1:15">
      <c r="A286" s="19">
        <v>43433</v>
      </c>
      <c r="B286">
        <v>1029</v>
      </c>
      <c r="C286">
        <v>1039</v>
      </c>
      <c r="D286">
        <v>6241</v>
      </c>
      <c r="E286">
        <v>6116</v>
      </c>
      <c r="F286">
        <v>0.16988227599738301</v>
      </c>
      <c r="G286">
        <v>0.161111235840945</v>
      </c>
      <c r="H286">
        <v>1.34355709473839E-2</v>
      </c>
      <c r="I286">
        <v>0.65282228725427305</v>
      </c>
      <c r="J286">
        <v>5.16</v>
      </c>
      <c r="L286">
        <v>0.1745468067883289</v>
      </c>
      <c r="M286">
        <v>0.1476756648935611</v>
      </c>
      <c r="N286">
        <v>0.1879823777357128</v>
      </c>
      <c r="O286">
        <v>0.1342400939461772</v>
      </c>
    </row>
    <row r="287" spans="1:15">
      <c r="A287" s="19">
        <v>43432</v>
      </c>
      <c r="B287">
        <v>1014</v>
      </c>
      <c r="C287">
        <v>1017</v>
      </c>
      <c r="D287">
        <v>6066</v>
      </c>
      <c r="E287">
        <v>6179</v>
      </c>
      <c r="F287">
        <v>0.16458973944003799</v>
      </c>
      <c r="G287">
        <v>0.16076535469990999</v>
      </c>
      <c r="H287">
        <v>1.3538832683913499E-2</v>
      </c>
      <c r="I287">
        <v>0.28247521994067998</v>
      </c>
      <c r="J287">
        <v>2.3199999999999998</v>
      </c>
      <c r="L287">
        <v>0.1743041873838235</v>
      </c>
      <c r="M287">
        <v>0.14722652201599648</v>
      </c>
      <c r="N287">
        <v>0.18784302006773698</v>
      </c>
      <c r="O287">
        <v>0.133687689332083</v>
      </c>
    </row>
    <row r="288" spans="1:15">
      <c r="A288" s="19">
        <v>43431</v>
      </c>
      <c r="B288">
        <v>1009</v>
      </c>
      <c r="C288">
        <v>1013</v>
      </c>
      <c r="D288">
        <v>6082</v>
      </c>
      <c r="E288">
        <v>6077</v>
      </c>
      <c r="F288">
        <v>0.16669409247984199</v>
      </c>
      <c r="G288">
        <v>0.160468064163898</v>
      </c>
      <c r="H288">
        <v>1.3695485632563099E-2</v>
      </c>
      <c r="I288">
        <v>0.45460442097357801</v>
      </c>
      <c r="J288">
        <v>3.74</v>
      </c>
      <c r="L288">
        <v>0.17416354979646109</v>
      </c>
      <c r="M288">
        <v>0.14677257853133491</v>
      </c>
      <c r="N288">
        <v>0.18785903542902421</v>
      </c>
      <c r="O288">
        <v>0.13307709289877179</v>
      </c>
    </row>
    <row r="289" spans="1:15">
      <c r="A289" s="19">
        <v>43430</v>
      </c>
      <c r="B289">
        <v>987</v>
      </c>
      <c r="C289">
        <v>1010</v>
      </c>
      <c r="D289">
        <v>5962</v>
      </c>
      <c r="E289">
        <v>6069</v>
      </c>
      <c r="F289">
        <v>0.166419508980062</v>
      </c>
      <c r="G289">
        <v>0.16014365109605899</v>
      </c>
      <c r="H289">
        <v>1.38316579221057E-2</v>
      </c>
      <c r="I289">
        <v>0.453731426799723</v>
      </c>
      <c r="J289">
        <v>3.77</v>
      </c>
      <c r="L289">
        <v>0.17397530901816469</v>
      </c>
      <c r="M289">
        <v>0.1463119931739533</v>
      </c>
      <c r="N289">
        <v>0.18780696694027038</v>
      </c>
      <c r="O289">
        <v>0.1324803352518476</v>
      </c>
    </row>
    <row r="290" spans="1:15">
      <c r="A290" s="19">
        <v>43426</v>
      </c>
      <c r="B290">
        <v>998</v>
      </c>
      <c r="C290">
        <v>995</v>
      </c>
      <c r="D290">
        <v>5950</v>
      </c>
      <c r="E290">
        <v>5917</v>
      </c>
      <c r="F290">
        <v>0.16815954030758801</v>
      </c>
      <c r="G290">
        <v>0.15987762584172999</v>
      </c>
      <c r="H290">
        <v>1.39000944512736E-2</v>
      </c>
      <c r="I290">
        <v>0.59581713598347497</v>
      </c>
      <c r="J290">
        <v>4.93</v>
      </c>
      <c r="L290">
        <v>0.17377772029300359</v>
      </c>
      <c r="M290">
        <v>0.14597753139045638</v>
      </c>
      <c r="N290">
        <v>0.18767781474427719</v>
      </c>
      <c r="O290">
        <v>0.13207743693918278</v>
      </c>
    </row>
    <row r="291" spans="1:15">
      <c r="A291" s="19">
        <v>43425</v>
      </c>
      <c r="B291">
        <v>990</v>
      </c>
      <c r="C291">
        <v>1002</v>
      </c>
      <c r="D291">
        <v>5751</v>
      </c>
      <c r="E291">
        <v>5943</v>
      </c>
      <c r="F291">
        <v>0.16860171630489601</v>
      </c>
      <c r="G291">
        <v>0.159612866118272</v>
      </c>
      <c r="H291">
        <v>1.3928905973306401E-2</v>
      </c>
      <c r="I291">
        <v>0.64533784662271099</v>
      </c>
      <c r="J291">
        <v>5.33</v>
      </c>
      <c r="L291">
        <v>0.17354177209157839</v>
      </c>
      <c r="M291">
        <v>0.1456839601449656</v>
      </c>
      <c r="N291">
        <v>0.18747067806488479</v>
      </c>
      <c r="O291">
        <v>0.1317550541716592</v>
      </c>
    </row>
    <row r="292" spans="1:15">
      <c r="A292" s="19">
        <v>43424</v>
      </c>
      <c r="B292">
        <v>1008</v>
      </c>
      <c r="C292">
        <v>1004</v>
      </c>
      <c r="D292">
        <v>5888</v>
      </c>
      <c r="E292">
        <v>5893</v>
      </c>
      <c r="F292">
        <v>0.17037162735448799</v>
      </c>
      <c r="G292">
        <v>0.15930710660387001</v>
      </c>
      <c r="H292">
        <v>1.39798335413887E-2</v>
      </c>
      <c r="I292">
        <v>0.79146298257847103</v>
      </c>
      <c r="J292">
        <v>6.49</v>
      </c>
      <c r="L292">
        <v>0.17328694014525872</v>
      </c>
      <c r="M292">
        <v>0.1453272730624813</v>
      </c>
      <c r="N292">
        <v>0.1872667736866474</v>
      </c>
      <c r="O292">
        <v>0.13134743952109262</v>
      </c>
    </row>
    <row r="293" spans="1:15">
      <c r="A293" s="19">
        <v>43423</v>
      </c>
      <c r="B293">
        <v>1048</v>
      </c>
      <c r="C293">
        <v>1038</v>
      </c>
      <c r="D293">
        <v>6000</v>
      </c>
      <c r="E293">
        <v>6038</v>
      </c>
      <c r="F293">
        <v>0.171911228883736</v>
      </c>
      <c r="G293">
        <v>0.158942879515347</v>
      </c>
      <c r="H293">
        <v>1.4042531503121699E-2</v>
      </c>
      <c r="I293">
        <v>0.92350509347306697</v>
      </c>
      <c r="J293">
        <v>7.54</v>
      </c>
      <c r="L293">
        <v>0.1729854110184687</v>
      </c>
      <c r="M293">
        <v>0.14490034801222529</v>
      </c>
      <c r="N293">
        <v>0.18702794252159038</v>
      </c>
      <c r="O293">
        <v>0.13085781650910361</v>
      </c>
    </row>
    <row r="294" spans="1:15">
      <c r="A294" s="19">
        <v>43420</v>
      </c>
      <c r="B294">
        <v>1068</v>
      </c>
      <c r="C294">
        <v>1049</v>
      </c>
      <c r="D294">
        <v>6072</v>
      </c>
      <c r="E294">
        <v>6027</v>
      </c>
      <c r="F294">
        <v>0.174050107848017</v>
      </c>
      <c r="G294">
        <v>0.158569678652938</v>
      </c>
      <c r="H294">
        <v>1.40648402078932E-2</v>
      </c>
      <c r="I294">
        <v>1.10064735654737</v>
      </c>
      <c r="J294">
        <v>8.89</v>
      </c>
      <c r="L294">
        <v>0.1726345188608312</v>
      </c>
      <c r="M294">
        <v>0.1445048384450448</v>
      </c>
      <c r="N294">
        <v>0.1866993590687244</v>
      </c>
      <c r="O294">
        <v>0.13043999823715161</v>
      </c>
    </row>
    <row r="295" spans="1:15">
      <c r="A295" s="19">
        <v>43419</v>
      </c>
      <c r="B295">
        <v>1059</v>
      </c>
      <c r="C295">
        <v>1073</v>
      </c>
      <c r="D295">
        <v>6087</v>
      </c>
      <c r="E295">
        <v>6084</v>
      </c>
      <c r="F295">
        <v>0.176364234056541</v>
      </c>
      <c r="G295">
        <v>0.15827161221455199</v>
      </c>
      <c r="H295">
        <v>1.3970174079411399E-2</v>
      </c>
      <c r="I295">
        <v>1.2950892192999499</v>
      </c>
      <c r="J295">
        <v>10.26</v>
      </c>
      <c r="L295">
        <v>0.17224178629396339</v>
      </c>
      <c r="M295">
        <v>0.1443014381351406</v>
      </c>
      <c r="N295">
        <v>0.18621196037337479</v>
      </c>
      <c r="O295">
        <v>0.1303312640557292</v>
      </c>
    </row>
    <row r="296" spans="1:15">
      <c r="A296" s="19">
        <v>43418</v>
      </c>
      <c r="B296">
        <v>1073</v>
      </c>
      <c r="C296">
        <v>1076</v>
      </c>
      <c r="D296">
        <v>5994</v>
      </c>
      <c r="E296">
        <v>6146</v>
      </c>
      <c r="F296">
        <v>0.17507321835340001</v>
      </c>
      <c r="G296">
        <v>0.157961461569953</v>
      </c>
      <c r="H296">
        <v>1.3822488936839201E-2</v>
      </c>
      <c r="I296">
        <v>1.2379649469526</v>
      </c>
      <c r="J296">
        <v>9.77</v>
      </c>
      <c r="L296">
        <v>0.17178395050679221</v>
      </c>
      <c r="M296">
        <v>0.14413897263311379</v>
      </c>
      <c r="N296">
        <v>0.18560643944363139</v>
      </c>
      <c r="O296">
        <v>0.1303164836962746</v>
      </c>
    </row>
    <row r="297" spans="1:15">
      <c r="A297" s="19">
        <v>43417</v>
      </c>
      <c r="B297">
        <v>1094</v>
      </c>
      <c r="C297">
        <v>1076</v>
      </c>
      <c r="D297">
        <v>6000</v>
      </c>
      <c r="E297">
        <v>5916</v>
      </c>
      <c r="F297">
        <v>0.181879648411088</v>
      </c>
      <c r="G297">
        <v>0.157635382444583</v>
      </c>
      <c r="H297">
        <v>1.37029146221605E-2</v>
      </c>
      <c r="I297">
        <v>1.76927804303016</v>
      </c>
      <c r="J297">
        <v>13.33</v>
      </c>
      <c r="L297">
        <v>0.1713382970667435</v>
      </c>
      <c r="M297">
        <v>0.1439324678224225</v>
      </c>
      <c r="N297">
        <v>0.185041211688904</v>
      </c>
      <c r="O297">
        <v>0.130229553200262</v>
      </c>
    </row>
    <row r="298" spans="1:15">
      <c r="A298" s="19">
        <v>43416</v>
      </c>
      <c r="B298">
        <v>1115</v>
      </c>
      <c r="C298">
        <v>1103</v>
      </c>
      <c r="D298">
        <v>6077</v>
      </c>
      <c r="E298">
        <v>6200</v>
      </c>
      <c r="F298">
        <v>0.17790322580645099</v>
      </c>
      <c r="G298">
        <v>0.15720572954922399</v>
      </c>
      <c r="H298">
        <v>1.34386439115623E-2</v>
      </c>
      <c r="I298">
        <v>1.5401476810780801</v>
      </c>
      <c r="J298">
        <v>11.63</v>
      </c>
      <c r="L298">
        <v>0.17064437346078629</v>
      </c>
      <c r="M298">
        <v>0.14376708563766169</v>
      </c>
      <c r="N298">
        <v>0.18408301737234858</v>
      </c>
      <c r="O298">
        <v>0.13032844172609939</v>
      </c>
    </row>
    <row r="299" spans="1:15">
      <c r="A299" s="19">
        <v>43413</v>
      </c>
      <c r="B299">
        <v>1189</v>
      </c>
      <c r="C299">
        <v>1125</v>
      </c>
      <c r="D299">
        <v>6077</v>
      </c>
      <c r="E299">
        <v>6156</v>
      </c>
      <c r="F299">
        <v>0.18274853801169499</v>
      </c>
      <c r="G299">
        <v>0.15682655158952299</v>
      </c>
      <c r="H299">
        <v>1.3249169779175E-2</v>
      </c>
      <c r="I299">
        <v>1.9564989244017399</v>
      </c>
      <c r="J299">
        <v>14.18</v>
      </c>
      <c r="L299">
        <v>0.170075721368698</v>
      </c>
      <c r="M299">
        <v>0.14357738181034799</v>
      </c>
      <c r="N299">
        <v>0.18332489114787298</v>
      </c>
      <c r="O299">
        <v>0.13032821203117301</v>
      </c>
    </row>
    <row r="300" spans="1:15">
      <c r="A300" s="19">
        <v>43412</v>
      </c>
      <c r="B300">
        <v>1164</v>
      </c>
      <c r="C300">
        <v>1177</v>
      </c>
      <c r="D300">
        <v>6150</v>
      </c>
      <c r="E300">
        <v>6075</v>
      </c>
      <c r="F300">
        <v>0.19374485596707799</v>
      </c>
      <c r="G300">
        <v>0.15640412440766899</v>
      </c>
      <c r="H300">
        <v>1.29168535668082E-2</v>
      </c>
      <c r="I300">
        <v>2.89085351678529</v>
      </c>
      <c r="J300">
        <v>19.27</v>
      </c>
      <c r="L300">
        <v>0.16932097797447718</v>
      </c>
      <c r="M300">
        <v>0.1434872708408608</v>
      </c>
      <c r="N300">
        <v>0.18223783154128539</v>
      </c>
      <c r="O300">
        <v>0.13057041727405258</v>
      </c>
    </row>
    <row r="301" spans="1:15">
      <c r="A301" s="19">
        <v>43411</v>
      </c>
      <c r="B301">
        <v>1162</v>
      </c>
      <c r="C301">
        <v>1125</v>
      </c>
      <c r="D301">
        <v>6265</v>
      </c>
      <c r="E301">
        <v>6085</v>
      </c>
      <c r="F301">
        <v>0.18488085456039399</v>
      </c>
      <c r="G301">
        <v>0.15583624557741099</v>
      </c>
      <c r="H301">
        <v>1.21778107729503E-2</v>
      </c>
      <c r="I301">
        <v>2.38504354555233</v>
      </c>
      <c r="J301">
        <v>15.71</v>
      </c>
      <c r="L301">
        <v>0.16801405635036129</v>
      </c>
      <c r="M301">
        <v>0.14365843480446069</v>
      </c>
      <c r="N301">
        <v>0.18019186712331159</v>
      </c>
      <c r="O301">
        <v>0.1314806240315104</v>
      </c>
    </row>
    <row r="302" spans="1:15">
      <c r="A302" s="19">
        <v>43410</v>
      </c>
      <c r="B302">
        <v>1142</v>
      </c>
      <c r="C302">
        <v>1145</v>
      </c>
      <c r="D302">
        <v>6409</v>
      </c>
      <c r="E302">
        <v>6292</v>
      </c>
      <c r="F302">
        <v>0.18197711379529499</v>
      </c>
      <c r="G302">
        <v>0.15537494347632899</v>
      </c>
      <c r="H302">
        <v>1.17153561375706E-2</v>
      </c>
      <c r="I302">
        <v>2.2707094864708499</v>
      </c>
      <c r="J302">
        <v>14.62</v>
      </c>
      <c r="L302">
        <v>0.1670902996138996</v>
      </c>
      <c r="M302">
        <v>0.14365958733875839</v>
      </c>
      <c r="N302">
        <v>0.1788056557514702</v>
      </c>
      <c r="O302">
        <v>0.13194423120118778</v>
      </c>
    </row>
    <row r="303" spans="1:15">
      <c r="A303" s="19">
        <v>43409</v>
      </c>
      <c r="B303">
        <v>1119</v>
      </c>
      <c r="C303">
        <v>1132</v>
      </c>
      <c r="D303">
        <v>6280</v>
      </c>
      <c r="E303">
        <v>6454</v>
      </c>
      <c r="F303">
        <v>0.17539510381158899</v>
      </c>
      <c r="G303">
        <v>0.154937030803943</v>
      </c>
      <c r="H303">
        <v>1.13199606924188E-2</v>
      </c>
      <c r="I303">
        <v>1.80725654121287</v>
      </c>
      <c r="J303">
        <v>11.66</v>
      </c>
      <c r="L303">
        <v>0.16625699149636181</v>
      </c>
      <c r="M303">
        <v>0.14361707011152419</v>
      </c>
      <c r="N303">
        <v>0.17757695218878061</v>
      </c>
      <c r="O303">
        <v>0.13229710941910539</v>
      </c>
    </row>
    <row r="304" spans="1:15">
      <c r="A304" s="19">
        <v>43406</v>
      </c>
      <c r="B304">
        <v>1042</v>
      </c>
      <c r="C304">
        <v>1122</v>
      </c>
      <c r="D304">
        <v>6060</v>
      </c>
      <c r="E304">
        <v>6230</v>
      </c>
      <c r="F304">
        <v>0.18009630818619499</v>
      </c>
      <c r="G304">
        <v>0.15459135934284901</v>
      </c>
      <c r="H304">
        <v>1.10833268592765E-2</v>
      </c>
      <c r="I304">
        <v>2.3011997360701302</v>
      </c>
      <c r="J304">
        <v>14.16</v>
      </c>
      <c r="L304">
        <v>0.1656746862021255</v>
      </c>
      <c r="M304">
        <v>0.14350803248357252</v>
      </c>
      <c r="N304">
        <v>0.17675801306140201</v>
      </c>
      <c r="O304">
        <v>0.13242470562429601</v>
      </c>
    </row>
    <row r="305" spans="1:15">
      <c r="A305" s="19">
        <v>43405</v>
      </c>
      <c r="B305">
        <v>980</v>
      </c>
      <c r="C305">
        <v>1042</v>
      </c>
      <c r="D305">
        <v>6128</v>
      </c>
      <c r="E305">
        <v>6060</v>
      </c>
      <c r="F305">
        <v>0.17194719471947101</v>
      </c>
      <c r="G305">
        <v>0.154193425317452</v>
      </c>
      <c r="H305">
        <v>1.06892268430456E-2</v>
      </c>
      <c r="I305">
        <v>1.6609030440372701</v>
      </c>
      <c r="J305">
        <v>10.33</v>
      </c>
      <c r="L305">
        <v>0.16488265216049761</v>
      </c>
      <c r="M305">
        <v>0.1435041984744064</v>
      </c>
      <c r="N305">
        <v>0.17557187900354321</v>
      </c>
      <c r="O305">
        <v>0.1328149716313608</v>
      </c>
    </row>
    <row r="306" spans="1:15">
      <c r="A306" s="19">
        <v>43404</v>
      </c>
      <c r="B306">
        <v>1232</v>
      </c>
      <c r="C306">
        <v>1247</v>
      </c>
      <c r="D306">
        <v>6904</v>
      </c>
      <c r="E306">
        <v>7078</v>
      </c>
      <c r="F306">
        <v>0.176179711782989</v>
      </c>
      <c r="G306">
        <v>0.15386437483520701</v>
      </c>
      <c r="H306">
        <v>1.05160872003493E-2</v>
      </c>
      <c r="I306">
        <v>2.1220190097930298</v>
      </c>
      <c r="J306">
        <v>12.67</v>
      </c>
      <c r="L306">
        <v>0.16438046203555631</v>
      </c>
      <c r="M306">
        <v>0.14334828763485771</v>
      </c>
      <c r="N306">
        <v>0.17489654923590561</v>
      </c>
      <c r="O306">
        <v>0.13283220043450841</v>
      </c>
    </row>
    <row r="307" spans="1:15">
      <c r="A307" s="19">
        <v>43403</v>
      </c>
      <c r="B307">
        <v>1214</v>
      </c>
      <c r="C307">
        <v>1242</v>
      </c>
      <c r="D307">
        <v>6779</v>
      </c>
      <c r="E307">
        <v>6873</v>
      </c>
      <c r="F307">
        <v>0.180707114797031</v>
      </c>
      <c r="G307">
        <v>0.15346804676356399</v>
      </c>
      <c r="H307">
        <v>1.02236647378393E-2</v>
      </c>
      <c r="I307" s="20">
        <v>2.6643154614266402</v>
      </c>
      <c r="J307">
        <v>15.07</v>
      </c>
      <c r="L307">
        <v>0.1636917115014033</v>
      </c>
      <c r="M307">
        <v>0.14324438202572468</v>
      </c>
      <c r="N307">
        <v>0.17391537623924258</v>
      </c>
      <c r="O307">
        <v>0.13302071728788539</v>
      </c>
    </row>
    <row r="308" spans="1:15">
      <c r="A308" s="19">
        <v>43402</v>
      </c>
      <c r="B308">
        <v>1230</v>
      </c>
      <c r="C308">
        <v>1233</v>
      </c>
      <c r="D308">
        <v>6885</v>
      </c>
      <c r="E308">
        <v>6855</v>
      </c>
      <c r="F308">
        <v>0.17986870897155299</v>
      </c>
      <c r="G308">
        <v>0.15302677574784199</v>
      </c>
      <c r="H308">
        <v>9.7413031122252393E-3</v>
      </c>
      <c r="I308">
        <v>2.7554766456271098</v>
      </c>
      <c r="J308">
        <v>14.92</v>
      </c>
      <c r="L308">
        <v>0.16276807886006722</v>
      </c>
      <c r="M308">
        <v>0.14328547263561675</v>
      </c>
      <c r="N308">
        <v>0.17250938197229246</v>
      </c>
      <c r="O308">
        <v>0.13354416952339151</v>
      </c>
    </row>
    <row r="309" spans="1:15">
      <c r="A309" s="19">
        <v>43399</v>
      </c>
      <c r="B309">
        <v>1224</v>
      </c>
      <c r="C309">
        <v>1225</v>
      </c>
      <c r="D309">
        <v>6930</v>
      </c>
      <c r="E309">
        <v>6839</v>
      </c>
      <c r="F309">
        <v>0.17911975435005101</v>
      </c>
      <c r="G309">
        <v>0.152615499664498</v>
      </c>
      <c r="H309">
        <v>9.2374806755450792E-3</v>
      </c>
      <c r="I309">
        <v>2.8692081333083799</v>
      </c>
      <c r="J309">
        <v>14.8</v>
      </c>
      <c r="L309">
        <v>0.16185298034004308</v>
      </c>
      <c r="M309">
        <v>0.14337801898895292</v>
      </c>
      <c r="N309">
        <v>0.17109046101558817</v>
      </c>
      <c r="O309">
        <v>0.13414053831340783</v>
      </c>
    </row>
    <row r="310" spans="1:15">
      <c r="A310" s="19">
        <v>43398</v>
      </c>
      <c r="B310">
        <v>1250</v>
      </c>
      <c r="C310">
        <v>1224</v>
      </c>
      <c r="D310">
        <v>7050</v>
      </c>
      <c r="E310">
        <v>6887</v>
      </c>
      <c r="F310">
        <v>0.17772615071874501</v>
      </c>
      <c r="G310">
        <v>0.15218894102918601</v>
      </c>
      <c r="H310">
        <v>8.7283606562966708E-3</v>
      </c>
      <c r="I310">
        <v>2.9257738875783499</v>
      </c>
      <c r="J310">
        <v>14.37</v>
      </c>
      <c r="L310">
        <v>0.16091730168548268</v>
      </c>
      <c r="M310">
        <v>0.14346058037288933</v>
      </c>
      <c r="N310">
        <v>0.16964566234177936</v>
      </c>
      <c r="O310">
        <v>0.13473221971659266</v>
      </c>
    </row>
    <row r="311" spans="1:15">
      <c r="A311" s="19">
        <v>43397</v>
      </c>
      <c r="B311">
        <v>1291</v>
      </c>
      <c r="C311">
        <v>1291</v>
      </c>
      <c r="D311">
        <v>7525</v>
      </c>
      <c r="E311">
        <v>7320</v>
      </c>
      <c r="F311">
        <v>0.176366120218579</v>
      </c>
      <c r="G311">
        <v>0.15175191393810999</v>
      </c>
      <c r="H311">
        <v>8.2460192222353606E-3</v>
      </c>
      <c r="I311">
        <v>2.9849804635546402</v>
      </c>
      <c r="J311">
        <v>13.96</v>
      </c>
      <c r="L311">
        <v>0.15999793316034536</v>
      </c>
      <c r="M311">
        <v>0.14350589471587463</v>
      </c>
      <c r="N311">
        <v>0.16824395238258072</v>
      </c>
      <c r="O311">
        <v>0.13525987549363927</v>
      </c>
    </row>
    <row r="312" spans="1:15">
      <c r="A312" s="19">
        <v>43396</v>
      </c>
      <c r="B312">
        <v>1294</v>
      </c>
      <c r="C312">
        <v>1274</v>
      </c>
      <c r="D312">
        <v>7723</v>
      </c>
      <c r="E312">
        <v>7440</v>
      </c>
      <c r="F312">
        <v>0.171236559139784</v>
      </c>
      <c r="G312">
        <v>0.15127832332730901</v>
      </c>
      <c r="H312">
        <v>7.8281566138691406E-3</v>
      </c>
      <c r="I312">
        <v>2.5495447775170699</v>
      </c>
      <c r="J312">
        <v>11.66</v>
      </c>
      <c r="L312">
        <v>0.15910647994117816</v>
      </c>
      <c r="M312">
        <v>0.14345016671343985</v>
      </c>
      <c r="N312">
        <v>0.16693463655504728</v>
      </c>
      <c r="O312">
        <v>0.13562201009957073</v>
      </c>
    </row>
    <row r="313" spans="1:15">
      <c r="A313" s="19">
        <v>43395</v>
      </c>
      <c r="B313">
        <v>1303</v>
      </c>
      <c r="C313">
        <v>1312</v>
      </c>
      <c r="D313">
        <v>7799</v>
      </c>
      <c r="E313">
        <v>7895</v>
      </c>
      <c r="F313">
        <v>0.16618112729575599</v>
      </c>
      <c r="G313">
        <v>0.150872247663383</v>
      </c>
      <c r="H313">
        <v>7.56791511396684E-3</v>
      </c>
      <c r="I313">
        <v>2.02286619258193</v>
      </c>
      <c r="J313">
        <v>9.2100000000000009</v>
      </c>
      <c r="L313">
        <v>0.15844016277734985</v>
      </c>
      <c r="M313">
        <v>0.14330433254941616</v>
      </c>
      <c r="N313">
        <v>0.16600807789131669</v>
      </c>
      <c r="O313">
        <v>0.13573641743544931</v>
      </c>
    </row>
    <row r="314" spans="1:15">
      <c r="A314" s="19">
        <v>43392</v>
      </c>
      <c r="B314">
        <v>1296</v>
      </c>
      <c r="C314">
        <v>1308</v>
      </c>
      <c r="D314">
        <v>7764</v>
      </c>
      <c r="E314">
        <v>7779</v>
      </c>
      <c r="F314">
        <v>0.16814500578480501</v>
      </c>
      <c r="G314">
        <v>0.150564112288504</v>
      </c>
      <c r="H314">
        <v>7.4070934061774701E-3</v>
      </c>
      <c r="I314">
        <v>2.3735212359598301</v>
      </c>
      <c r="J314">
        <v>10.46</v>
      </c>
      <c r="L314">
        <v>0.15797120569468148</v>
      </c>
      <c r="M314">
        <v>0.14315701888232651</v>
      </c>
      <c r="N314">
        <v>0.16537829910085894</v>
      </c>
      <c r="O314">
        <v>0.13574992547614906</v>
      </c>
    </row>
    <row r="315" spans="1:15">
      <c r="A315" s="19">
        <v>43391</v>
      </c>
      <c r="B315">
        <v>1343</v>
      </c>
      <c r="C315">
        <v>1320</v>
      </c>
      <c r="D315">
        <v>8097</v>
      </c>
      <c r="E315">
        <v>7912</v>
      </c>
      <c r="F315">
        <v>0.16683518705763301</v>
      </c>
      <c r="G315">
        <v>0.15023751887557199</v>
      </c>
      <c r="H315">
        <v>7.1606218832279203E-3</v>
      </c>
      <c r="I315">
        <v>2.3179087588659599</v>
      </c>
      <c r="J315">
        <v>9.9499999999999993</v>
      </c>
      <c r="L315">
        <v>0.1573981407587999</v>
      </c>
      <c r="M315">
        <v>0.14307689699234408</v>
      </c>
      <c r="N315">
        <v>0.16455876264202784</v>
      </c>
      <c r="O315">
        <v>0.13591627510911614</v>
      </c>
    </row>
    <row r="316" spans="1:15">
      <c r="A316" s="19">
        <v>43390</v>
      </c>
      <c r="B316">
        <v>1335</v>
      </c>
      <c r="C316">
        <v>1339</v>
      </c>
      <c r="D316">
        <v>7975</v>
      </c>
      <c r="E316">
        <v>8097</v>
      </c>
      <c r="F316">
        <v>0.165369890082746</v>
      </c>
      <c r="G316">
        <v>0.149905769107225</v>
      </c>
      <c r="H316">
        <v>6.9574597272741697E-3</v>
      </c>
      <c r="I316">
        <v>2.2226676950640298</v>
      </c>
      <c r="J316">
        <v>9.35</v>
      </c>
      <c r="L316">
        <v>0.15686322883449916</v>
      </c>
      <c r="M316">
        <v>0.14294830937995084</v>
      </c>
      <c r="N316">
        <v>0.16382068856177334</v>
      </c>
      <c r="O316">
        <v>0.13599084965267666</v>
      </c>
    </row>
    <row r="317" spans="1:15">
      <c r="A317" s="19">
        <v>43389</v>
      </c>
      <c r="B317">
        <v>1292</v>
      </c>
      <c r="C317">
        <v>1321</v>
      </c>
      <c r="D317">
        <v>7803</v>
      </c>
      <c r="E317">
        <v>7914</v>
      </c>
      <c r="F317">
        <v>0.16691938337123999</v>
      </c>
      <c r="G317">
        <v>0.149586407588501</v>
      </c>
      <c r="H317">
        <v>6.7879560420771702E-3</v>
      </c>
      <c r="I317">
        <v>2.5534896919330898</v>
      </c>
      <c r="J317">
        <v>10.38</v>
      </c>
      <c r="L317">
        <v>0.15637436363057816</v>
      </c>
      <c r="M317">
        <v>0.14279845154642384</v>
      </c>
      <c r="N317">
        <v>0.16316231967265535</v>
      </c>
      <c r="O317">
        <v>0.13601049550434666</v>
      </c>
    </row>
    <row r="318" spans="1:15">
      <c r="A318" s="19">
        <v>43388</v>
      </c>
      <c r="B318">
        <v>1303</v>
      </c>
      <c r="C318">
        <v>1297</v>
      </c>
      <c r="D318">
        <v>7888</v>
      </c>
      <c r="E318">
        <v>7832</v>
      </c>
      <c r="F318">
        <v>0.16560265577119501</v>
      </c>
      <c r="G318">
        <v>0.149251736645065</v>
      </c>
      <c r="H318">
        <v>6.5393427729239098E-3</v>
      </c>
      <c r="I318">
        <v>2.5003918121298199</v>
      </c>
      <c r="J318">
        <v>9.8699999999999992</v>
      </c>
      <c r="L318">
        <v>0.15579107941798892</v>
      </c>
      <c r="M318">
        <v>0.14271239387214107</v>
      </c>
      <c r="N318">
        <v>0.16233042219091282</v>
      </c>
      <c r="O318">
        <v>0.13617305109921718</v>
      </c>
    </row>
    <row r="319" spans="1:15">
      <c r="A319" s="19">
        <v>43385</v>
      </c>
      <c r="B319">
        <v>1271</v>
      </c>
      <c r="C319">
        <v>1303</v>
      </c>
      <c r="D319">
        <v>7800</v>
      </c>
      <c r="E319">
        <v>7947</v>
      </c>
      <c r="F319">
        <v>0.16396124323644101</v>
      </c>
      <c r="G319">
        <v>0.148970221265568</v>
      </c>
      <c r="H319">
        <v>6.2786543744712403E-3</v>
      </c>
      <c r="I319">
        <v>2.3876170078457699</v>
      </c>
      <c r="J319">
        <v>9.14</v>
      </c>
      <c r="L319">
        <v>0.15524887564003925</v>
      </c>
      <c r="M319">
        <v>0.14269156689109674</v>
      </c>
      <c r="N319">
        <v>0.16152753001451048</v>
      </c>
      <c r="O319">
        <v>0.13641291251662552</v>
      </c>
    </row>
    <row r="320" spans="1:15">
      <c r="A320" s="19">
        <v>43384</v>
      </c>
      <c r="B320">
        <v>1300</v>
      </c>
      <c r="C320">
        <v>1300</v>
      </c>
      <c r="D320">
        <v>8100</v>
      </c>
      <c r="E320">
        <v>7953</v>
      </c>
      <c r="F320">
        <v>0.16346032943543301</v>
      </c>
      <c r="G320">
        <v>0.14868002886294601</v>
      </c>
      <c r="H320">
        <v>6.0788650295117699E-3</v>
      </c>
      <c r="I320">
        <v>2.43142436963661</v>
      </c>
      <c r="J320">
        <v>9.0399999999999991</v>
      </c>
      <c r="L320">
        <v>0.15475889389245778</v>
      </c>
      <c r="M320">
        <v>0.14260116383343424</v>
      </c>
      <c r="N320">
        <v>0.16083775892196955</v>
      </c>
      <c r="O320">
        <v>0.13652229880392247</v>
      </c>
    </row>
    <row r="321" spans="1:15">
      <c r="A321" s="19">
        <v>43383</v>
      </c>
      <c r="B321">
        <v>1345</v>
      </c>
      <c r="C321">
        <v>1338</v>
      </c>
      <c r="D321">
        <v>8440</v>
      </c>
      <c r="E321">
        <v>8428</v>
      </c>
      <c r="F321">
        <v>0.15875652586615999</v>
      </c>
      <c r="G321">
        <v>0.148393363211822</v>
      </c>
      <c r="H321">
        <v>5.8787501683366201E-3</v>
      </c>
      <c r="I321">
        <v>1.7628173264028799</v>
      </c>
      <c r="J321">
        <v>6.53</v>
      </c>
      <c r="L321">
        <v>0.15427211338015862</v>
      </c>
      <c r="M321">
        <v>0.14251461304348539</v>
      </c>
      <c r="N321">
        <v>0.16015086354849525</v>
      </c>
      <c r="O321">
        <v>0.13663586287514876</v>
      </c>
    </row>
    <row r="322" spans="1:15">
      <c r="A322" s="19">
        <v>43382</v>
      </c>
      <c r="B322">
        <v>1328</v>
      </c>
      <c r="C322">
        <v>1343</v>
      </c>
      <c r="D322">
        <v>8555</v>
      </c>
      <c r="E322">
        <v>8398</v>
      </c>
      <c r="F322">
        <v>0.15991902834008001</v>
      </c>
      <c r="G322">
        <v>0.14821465046218399</v>
      </c>
      <c r="H322">
        <v>5.7635991554990402E-3</v>
      </c>
      <c r="I322">
        <v>2.0307411327745299</v>
      </c>
      <c r="J322">
        <v>7.32</v>
      </c>
      <c r="L322">
        <v>0.15397824961768303</v>
      </c>
      <c r="M322">
        <v>0.14245105130668495</v>
      </c>
      <c r="N322">
        <v>0.15974184877318207</v>
      </c>
      <c r="O322">
        <v>0.13668745215118591</v>
      </c>
    </row>
    <row r="323" spans="1:15">
      <c r="A323" s="19">
        <v>43378</v>
      </c>
      <c r="B323">
        <v>1358</v>
      </c>
      <c r="C323">
        <v>1352</v>
      </c>
      <c r="D323">
        <v>8681</v>
      </c>
      <c r="E323">
        <v>8652</v>
      </c>
      <c r="F323">
        <v>0.156264447526583</v>
      </c>
      <c r="G323">
        <v>0.14797900994171401</v>
      </c>
      <c r="H323">
        <v>5.64021112167687E-3</v>
      </c>
      <c r="I323">
        <v>1.4689942284298401</v>
      </c>
      <c r="J323">
        <v>5.3</v>
      </c>
      <c r="L323">
        <v>0.15361922106339088</v>
      </c>
      <c r="M323">
        <v>0.14233879882003714</v>
      </c>
      <c r="N323">
        <v>0.15925943218506775</v>
      </c>
      <c r="O323">
        <v>0.13669858769836027</v>
      </c>
    </row>
    <row r="324" spans="1:15">
      <c r="A324" s="19">
        <v>43377</v>
      </c>
      <c r="B324">
        <v>1353</v>
      </c>
      <c r="C324">
        <v>1355</v>
      </c>
      <c r="D324">
        <v>8819</v>
      </c>
      <c r="E324">
        <v>8763</v>
      </c>
      <c r="F324">
        <v>0.154627410704096</v>
      </c>
      <c r="G324">
        <v>0.147759300099052</v>
      </c>
      <c r="H324">
        <v>5.63412422901792E-3</v>
      </c>
      <c r="I324">
        <v>1.2190200865063101</v>
      </c>
      <c r="J324">
        <v>4.4400000000000004</v>
      </c>
      <c r="L324">
        <v>0.15339342432806991</v>
      </c>
      <c r="M324">
        <v>0.14212517587003409</v>
      </c>
      <c r="N324">
        <v>0.15902754855708784</v>
      </c>
      <c r="O324">
        <v>0.13649105164101616</v>
      </c>
    </row>
    <row r="325" spans="1:15">
      <c r="A325" s="19">
        <v>43376</v>
      </c>
      <c r="B325">
        <v>1370</v>
      </c>
      <c r="C325">
        <v>1361</v>
      </c>
      <c r="D325">
        <v>8750</v>
      </c>
      <c r="E325">
        <v>8727</v>
      </c>
      <c r="F325">
        <v>0.15595279019135999</v>
      </c>
      <c r="G325">
        <v>0.147595078788022</v>
      </c>
      <c r="H325">
        <v>5.61099410604032E-3</v>
      </c>
      <c r="I325">
        <v>1.48952418152438</v>
      </c>
      <c r="J325">
        <v>5.36</v>
      </c>
      <c r="L325">
        <v>0.15320607289406232</v>
      </c>
      <c r="M325">
        <v>0.14198408468198168</v>
      </c>
      <c r="N325">
        <v>0.15881706700010265</v>
      </c>
      <c r="O325">
        <v>0.13637309057594135</v>
      </c>
    </row>
    <row r="326" spans="1:15">
      <c r="A326" s="19">
        <v>43375</v>
      </c>
      <c r="B326">
        <v>1350</v>
      </c>
      <c r="C326">
        <v>1370</v>
      </c>
      <c r="D326">
        <v>8760</v>
      </c>
      <c r="E326">
        <v>8743</v>
      </c>
      <c r="F326">
        <v>0.15669678600022799</v>
      </c>
      <c r="G326">
        <v>0.14743315981810701</v>
      </c>
      <c r="H326">
        <v>5.5422761140189597E-3</v>
      </c>
      <c r="I326">
        <v>1.67144797399925</v>
      </c>
      <c r="J326">
        <v>5.91</v>
      </c>
      <c r="L326">
        <v>0.15297543593212598</v>
      </c>
      <c r="M326">
        <v>0.14189088370408803</v>
      </c>
      <c r="N326">
        <v>0.15851771204614493</v>
      </c>
      <c r="O326">
        <v>0.13634860759006909</v>
      </c>
    </row>
    <row r="327" spans="1:15">
      <c r="A327" s="19">
        <v>43374</v>
      </c>
      <c r="B327">
        <v>1368</v>
      </c>
      <c r="C327">
        <v>1353</v>
      </c>
      <c r="D327">
        <v>8580</v>
      </c>
      <c r="E327">
        <v>8657</v>
      </c>
      <c r="F327">
        <v>0.15628970775095299</v>
      </c>
      <c r="G327">
        <v>0.14728668711282</v>
      </c>
      <c r="H327">
        <v>5.4397336791301796E-3</v>
      </c>
      <c r="I327">
        <v>1.65504805367098</v>
      </c>
      <c r="J327">
        <v>5.76</v>
      </c>
      <c r="L327">
        <v>0.15272642079195017</v>
      </c>
      <c r="M327">
        <v>0.14184695343368983</v>
      </c>
      <c r="N327">
        <v>0.15816615447108037</v>
      </c>
      <c r="O327">
        <v>0.13640721975455963</v>
      </c>
    </row>
    <row r="328" spans="1:15">
      <c r="A328" s="19">
        <v>43371</v>
      </c>
      <c r="B328">
        <v>1349</v>
      </c>
      <c r="C328">
        <v>1353</v>
      </c>
      <c r="D328">
        <v>8458</v>
      </c>
      <c r="E328">
        <v>8516</v>
      </c>
      <c r="F328">
        <v>0.15887740723344199</v>
      </c>
      <c r="G328">
        <v>0.14718239894159399</v>
      </c>
      <c r="H328">
        <v>5.3401976612115001E-3</v>
      </c>
      <c r="I328">
        <v>2.1899953960122902</v>
      </c>
      <c r="J328">
        <v>7.36</v>
      </c>
      <c r="L328">
        <v>0.15252259660280548</v>
      </c>
      <c r="M328">
        <v>0.1418422012803825</v>
      </c>
      <c r="N328">
        <v>0.157862794264017</v>
      </c>
      <c r="O328">
        <v>0.13650200361917098</v>
      </c>
    </row>
    <row r="329" spans="1:15">
      <c r="A329" s="19">
        <v>43370</v>
      </c>
      <c r="B329">
        <v>1312</v>
      </c>
      <c r="C329">
        <v>1331</v>
      </c>
      <c r="D329">
        <v>8506</v>
      </c>
      <c r="E329">
        <v>8308</v>
      </c>
      <c r="F329">
        <v>0.16020702936928199</v>
      </c>
      <c r="G329">
        <v>0.147025848991407</v>
      </c>
      <c r="H329">
        <v>5.1642607177233898E-3</v>
      </c>
      <c r="I329">
        <v>2.5523847648972802</v>
      </c>
      <c r="J329">
        <v>8.23</v>
      </c>
      <c r="L329">
        <v>0.15219010970913038</v>
      </c>
      <c r="M329">
        <v>0.14186158827368361</v>
      </c>
      <c r="N329">
        <v>0.15735437042685377</v>
      </c>
      <c r="O329">
        <v>0.13669732755596023</v>
      </c>
    </row>
    <row r="330" spans="1:15">
      <c r="A330" s="19">
        <v>43369</v>
      </c>
      <c r="B330">
        <v>1318</v>
      </c>
      <c r="C330">
        <v>1328</v>
      </c>
      <c r="D330">
        <v>8550</v>
      </c>
      <c r="E330">
        <v>8600</v>
      </c>
      <c r="F330">
        <v>0.154418604651162</v>
      </c>
      <c r="G330">
        <v>0.14688625530452701</v>
      </c>
      <c r="H330">
        <v>4.9428294565664298E-3</v>
      </c>
      <c r="I330">
        <v>1.5238942417139301</v>
      </c>
      <c r="J330">
        <v>4.88</v>
      </c>
      <c r="L330">
        <v>0.15182908476109344</v>
      </c>
      <c r="M330">
        <v>0.14194342584796057</v>
      </c>
      <c r="N330">
        <v>0.15677191421765987</v>
      </c>
      <c r="O330">
        <v>0.13700059639139414</v>
      </c>
    </row>
    <row r="331" spans="1:15">
      <c r="A331" s="19">
        <v>43368</v>
      </c>
      <c r="B331">
        <v>1341</v>
      </c>
      <c r="C331">
        <v>1340</v>
      </c>
      <c r="D331">
        <v>8509</v>
      </c>
      <c r="E331">
        <v>8590</v>
      </c>
      <c r="F331">
        <v>0.155995343422584</v>
      </c>
      <c r="G331">
        <v>0.146784023560565</v>
      </c>
      <c r="H331">
        <v>4.8646552804968097E-3</v>
      </c>
      <c r="I331">
        <v>1.8935195467906301</v>
      </c>
      <c r="J331">
        <v>5.9</v>
      </c>
      <c r="L331">
        <v>0.15164867884106181</v>
      </c>
      <c r="M331">
        <v>0.14191936828006818</v>
      </c>
      <c r="N331">
        <v>0.15651333412155863</v>
      </c>
      <c r="O331">
        <v>0.13705471299957137</v>
      </c>
    </row>
    <row r="332" spans="1:15">
      <c r="A332" s="19">
        <v>43364</v>
      </c>
      <c r="B332">
        <v>1334</v>
      </c>
      <c r="C332">
        <v>1345</v>
      </c>
      <c r="D332">
        <v>8579</v>
      </c>
      <c r="E332">
        <v>8479</v>
      </c>
      <c r="F332">
        <v>0.15862719660337299</v>
      </c>
      <c r="G332">
        <v>0.14666233540682599</v>
      </c>
      <c r="H332">
        <v>4.7454026681956699E-3</v>
      </c>
      <c r="I332">
        <v>2.5213584669509999</v>
      </c>
      <c r="J332">
        <v>7.54</v>
      </c>
      <c r="L332">
        <v>0.15140773807502167</v>
      </c>
      <c r="M332">
        <v>0.14191693273863032</v>
      </c>
      <c r="N332">
        <v>0.15615314074321734</v>
      </c>
      <c r="O332">
        <v>0.13717153007043464</v>
      </c>
    </row>
    <row r="333" spans="1:15">
      <c r="A333" s="19">
        <v>43363</v>
      </c>
      <c r="B333">
        <v>1325</v>
      </c>
      <c r="C333">
        <v>1317</v>
      </c>
      <c r="D333">
        <v>8571</v>
      </c>
      <c r="E333">
        <v>8446</v>
      </c>
      <c r="F333">
        <v>0.15593180203646601</v>
      </c>
      <c r="G333">
        <v>0.14654618315415399</v>
      </c>
      <c r="H333">
        <v>4.5538681261983903E-3</v>
      </c>
      <c r="I333">
        <v>2.0610212290332002</v>
      </c>
      <c r="J333">
        <v>6.02</v>
      </c>
      <c r="L333">
        <v>0.15110005128035239</v>
      </c>
      <c r="M333">
        <v>0.14199231502795559</v>
      </c>
      <c r="N333">
        <v>0.15565391940655077</v>
      </c>
      <c r="O333">
        <v>0.13743844690175722</v>
      </c>
    </row>
    <row r="334" spans="1:15">
      <c r="A334" s="19">
        <v>43362</v>
      </c>
      <c r="B334">
        <v>1322</v>
      </c>
      <c r="C334">
        <v>1318</v>
      </c>
      <c r="D334">
        <v>8501</v>
      </c>
      <c r="E334">
        <v>8516</v>
      </c>
      <c r="F334">
        <v>0.15476749647721899</v>
      </c>
      <c r="G334">
        <v>0.14645968754616401</v>
      </c>
      <c r="H334">
        <v>4.4348298234031204E-3</v>
      </c>
      <c r="I334">
        <v>1.87330952074271</v>
      </c>
      <c r="J334">
        <v>5.37</v>
      </c>
      <c r="L334">
        <v>0.15089451736956713</v>
      </c>
      <c r="M334">
        <v>0.14202485772276088</v>
      </c>
      <c r="N334">
        <v>0.15532934719297026</v>
      </c>
      <c r="O334">
        <v>0.13759002789935776</v>
      </c>
    </row>
    <row r="335" spans="1:15">
      <c r="A335" s="19">
        <v>43361</v>
      </c>
      <c r="B335">
        <v>1273</v>
      </c>
      <c r="C335">
        <v>1303</v>
      </c>
      <c r="D335">
        <v>8154</v>
      </c>
      <c r="E335">
        <v>8351</v>
      </c>
      <c r="F335">
        <v>0.156029218057717</v>
      </c>
      <c r="G335">
        <v>0.14639237139515901</v>
      </c>
      <c r="H335">
        <v>4.3456351056287597E-3</v>
      </c>
      <c r="I335">
        <v>2.2175922341191399</v>
      </c>
      <c r="J335">
        <v>6.18</v>
      </c>
      <c r="L335">
        <v>0.15073800650078778</v>
      </c>
      <c r="M335">
        <v>0.14204673628953024</v>
      </c>
      <c r="N335">
        <v>0.15508364160641652</v>
      </c>
      <c r="O335">
        <v>0.1377011011839015</v>
      </c>
    </row>
    <row r="336" spans="1:15">
      <c r="A336" s="19">
        <v>43357</v>
      </c>
      <c r="B336">
        <v>1268</v>
      </c>
      <c r="C336">
        <v>1269</v>
      </c>
      <c r="D336">
        <v>7967</v>
      </c>
      <c r="E336">
        <v>8177</v>
      </c>
      <c r="F336">
        <v>0.15519139048550801</v>
      </c>
      <c r="G336">
        <v>0.14632874993866299</v>
      </c>
      <c r="H336">
        <v>4.2376707127432696E-3</v>
      </c>
      <c r="I336">
        <v>2.0913943408093498</v>
      </c>
      <c r="J336">
        <v>5.71</v>
      </c>
      <c r="L336">
        <v>0.15056642065140627</v>
      </c>
      <c r="M336">
        <v>0.14209107922591971</v>
      </c>
      <c r="N336">
        <v>0.15480409136414952</v>
      </c>
      <c r="O336">
        <v>0.13785340851317646</v>
      </c>
    </row>
    <row r="337" spans="1:15">
      <c r="A337" s="19">
        <v>43356</v>
      </c>
      <c r="B337">
        <v>1251</v>
      </c>
      <c r="C337">
        <v>1251</v>
      </c>
      <c r="D337">
        <v>8036</v>
      </c>
      <c r="E337">
        <v>7868</v>
      </c>
      <c r="F337">
        <v>0.158998474834773</v>
      </c>
      <c r="G337">
        <v>0.146315846388925</v>
      </c>
      <c r="H337">
        <v>4.2120606763820902E-3</v>
      </c>
      <c r="I337" s="20">
        <v>3.0110270056085402</v>
      </c>
      <c r="J337">
        <v>7.98</v>
      </c>
      <c r="L337">
        <v>0.15052790706530708</v>
      </c>
      <c r="M337">
        <v>0.14210378571254292</v>
      </c>
      <c r="N337">
        <v>0.15473996774168919</v>
      </c>
      <c r="O337">
        <v>0.13789172503616082</v>
      </c>
    </row>
    <row r="338" spans="1:15">
      <c r="A338" s="19">
        <v>43355</v>
      </c>
      <c r="B338">
        <v>1251</v>
      </c>
      <c r="C338">
        <v>1237</v>
      </c>
      <c r="D338">
        <v>8096</v>
      </c>
      <c r="E338">
        <v>8015</v>
      </c>
      <c r="F338">
        <v>0.15433562071116599</v>
      </c>
      <c r="G338">
        <v>0.14626779121155101</v>
      </c>
      <c r="H338">
        <v>4.0857571425397601E-3</v>
      </c>
      <c r="I338">
        <v>1.9746228711479701</v>
      </c>
      <c r="J338">
        <v>5.23</v>
      </c>
      <c r="L338">
        <v>0.15035354835409076</v>
      </c>
      <c r="M338">
        <v>0.14218203406901125</v>
      </c>
      <c r="N338">
        <v>0.15443930549663054</v>
      </c>
      <c r="O338">
        <v>0.13809627692647147</v>
      </c>
    </row>
    <row r="339" spans="1:15">
      <c r="A339" s="19">
        <v>43354</v>
      </c>
      <c r="B339">
        <v>1238</v>
      </c>
      <c r="C339">
        <v>1248</v>
      </c>
      <c r="D339">
        <v>7985</v>
      </c>
      <c r="E339">
        <v>8021</v>
      </c>
      <c r="F339">
        <v>0.15559157212317601</v>
      </c>
      <c r="G339">
        <v>0.146304199885328</v>
      </c>
      <c r="H339">
        <v>4.1688107591293603E-3</v>
      </c>
      <c r="I339">
        <v>2.22782293907435</v>
      </c>
      <c r="J339">
        <v>5.97</v>
      </c>
      <c r="L339">
        <v>0.15047301064445737</v>
      </c>
      <c r="M339">
        <v>0.14213538912619864</v>
      </c>
      <c r="N339">
        <v>0.15464182140358673</v>
      </c>
      <c r="O339">
        <v>0.13796657836706927</v>
      </c>
    </row>
    <row r="340" spans="1:15">
      <c r="A340" s="19">
        <v>43353</v>
      </c>
      <c r="B340">
        <v>1215</v>
      </c>
      <c r="C340">
        <v>1234</v>
      </c>
      <c r="D340">
        <v>8084</v>
      </c>
      <c r="E340">
        <v>8006</v>
      </c>
      <c r="F340">
        <v>0.15413439920059899</v>
      </c>
      <c r="G340">
        <v>0.14633783701172701</v>
      </c>
      <c r="H340">
        <v>4.2529415628900502E-3</v>
      </c>
      <c r="I340">
        <v>1.8332163923676501</v>
      </c>
      <c r="J340">
        <v>5.0599999999999996</v>
      </c>
      <c r="L340">
        <v>0.15059077857461706</v>
      </c>
      <c r="M340">
        <v>0.14208489544883696</v>
      </c>
      <c r="N340">
        <v>0.15484372013750711</v>
      </c>
      <c r="O340">
        <v>0.13783195388594691</v>
      </c>
    </row>
    <row r="341" spans="1:15">
      <c r="A341" s="19">
        <v>43350</v>
      </c>
      <c r="B341">
        <v>1228</v>
      </c>
      <c r="C341">
        <v>1220</v>
      </c>
      <c r="D341">
        <v>8250</v>
      </c>
      <c r="E341">
        <v>8084</v>
      </c>
      <c r="F341">
        <v>0.15091538842157301</v>
      </c>
      <c r="G341">
        <v>0.14643717384351501</v>
      </c>
      <c r="H341">
        <v>4.51294816785876E-3</v>
      </c>
      <c r="I341">
        <v>0.99230356997053104</v>
      </c>
      <c r="J341">
        <v>2.97</v>
      </c>
      <c r="L341">
        <v>0.15095012201137378</v>
      </c>
      <c r="M341">
        <v>0.14192422567565624</v>
      </c>
      <c r="N341">
        <v>0.15546307017923253</v>
      </c>
      <c r="O341">
        <v>0.1374112775077975</v>
      </c>
    </row>
    <row r="342" spans="1:15">
      <c r="A342" s="19">
        <v>43349</v>
      </c>
      <c r="B342">
        <v>1230</v>
      </c>
      <c r="C342">
        <v>1233</v>
      </c>
      <c r="D342">
        <v>8294</v>
      </c>
      <c r="E342">
        <v>8299</v>
      </c>
      <c r="F342">
        <v>0.14857211712254401</v>
      </c>
      <c r="G342">
        <v>0.146641161500076</v>
      </c>
      <c r="H342">
        <v>5.0272172718781897E-3</v>
      </c>
      <c r="I342">
        <v>0.38410029207805402</v>
      </c>
      <c r="J342">
        <v>1.3</v>
      </c>
      <c r="L342">
        <v>0.15166837877195419</v>
      </c>
      <c r="M342">
        <v>0.14161394422819781</v>
      </c>
      <c r="N342">
        <v>0.15669559604383237</v>
      </c>
      <c r="O342">
        <v>0.13658672695631963</v>
      </c>
    </row>
    <row r="343" spans="1:15">
      <c r="A343" s="19">
        <v>43348</v>
      </c>
      <c r="B343">
        <v>1236</v>
      </c>
      <c r="C343">
        <v>1238</v>
      </c>
      <c r="D343">
        <v>8343</v>
      </c>
      <c r="E343">
        <v>8290</v>
      </c>
      <c r="F343">
        <v>0.14933655006031299</v>
      </c>
      <c r="G343">
        <v>0.14687807338919201</v>
      </c>
      <c r="H343">
        <v>5.5082903141037698E-3</v>
      </c>
      <c r="I343">
        <v>0.44632300240709699</v>
      </c>
      <c r="J343">
        <v>1.65</v>
      </c>
      <c r="L343">
        <v>0.15238636370329578</v>
      </c>
      <c r="M343">
        <v>0.14136978307508824</v>
      </c>
      <c r="N343">
        <v>0.15789465401739955</v>
      </c>
      <c r="O343">
        <v>0.13586149276098447</v>
      </c>
    </row>
    <row r="344" spans="1:15">
      <c r="A344" s="19">
        <v>43347</v>
      </c>
      <c r="B344">
        <v>1236</v>
      </c>
      <c r="C344">
        <v>1234</v>
      </c>
      <c r="D344">
        <v>8400</v>
      </c>
      <c r="E344">
        <v>8338</v>
      </c>
      <c r="F344">
        <v>0.14799712161189699</v>
      </c>
      <c r="G344">
        <v>0.147123984938032</v>
      </c>
      <c r="H344">
        <v>6.0021131316807599E-3</v>
      </c>
      <c r="I344">
        <v>0.145471545555617</v>
      </c>
      <c r="J344">
        <v>0.59</v>
      </c>
      <c r="L344">
        <v>0.15312609806971275</v>
      </c>
      <c r="M344">
        <v>0.14112187180635125</v>
      </c>
      <c r="N344">
        <v>0.15912821120139353</v>
      </c>
      <c r="O344">
        <v>0.13511975867467046</v>
      </c>
    </row>
    <row r="345" spans="1:15">
      <c r="A345" s="19">
        <v>43346</v>
      </c>
      <c r="B345">
        <v>1243</v>
      </c>
      <c r="C345">
        <v>1230</v>
      </c>
      <c r="D345">
        <v>8637</v>
      </c>
      <c r="E345">
        <v>8444</v>
      </c>
      <c r="F345">
        <v>0.14566556134533301</v>
      </c>
      <c r="G345">
        <v>0.14744194763420501</v>
      </c>
      <c r="H345">
        <v>6.6379237915999796E-3</v>
      </c>
      <c r="I345">
        <v>-0.26761173292163198</v>
      </c>
      <c r="J345">
        <v>-1.22</v>
      </c>
      <c r="L345">
        <v>0.15407987142580498</v>
      </c>
      <c r="M345">
        <v>0.14080402384260504</v>
      </c>
      <c r="N345">
        <v>0.16071779521740498</v>
      </c>
      <c r="O345">
        <v>0.13416610005100504</v>
      </c>
    </row>
    <row r="346" spans="1:15">
      <c r="A346" s="19">
        <v>43343</v>
      </c>
      <c r="B346">
        <v>1235</v>
      </c>
      <c r="C346">
        <v>1247</v>
      </c>
      <c r="D346">
        <v>8612</v>
      </c>
      <c r="E346">
        <v>8628</v>
      </c>
      <c r="F346">
        <v>0.14452943903569701</v>
      </c>
      <c r="G346">
        <v>0.147823509189629</v>
      </c>
      <c r="H346">
        <v>7.3130043863649102E-3</v>
      </c>
      <c r="I346">
        <v>-0.45044006264698699</v>
      </c>
      <c r="J346">
        <v>-2.2799999999999998</v>
      </c>
      <c r="L346">
        <v>0.1551365135759939</v>
      </c>
      <c r="M346">
        <v>0.1405105048032641</v>
      </c>
      <c r="N346">
        <v>0.16244951796235882</v>
      </c>
      <c r="O346">
        <v>0.13319750041689918</v>
      </c>
    </row>
    <row r="347" spans="1:15">
      <c r="A347" s="19">
        <v>43342</v>
      </c>
      <c r="B347">
        <v>1238</v>
      </c>
      <c r="C347">
        <v>1239</v>
      </c>
      <c r="D347">
        <v>8740</v>
      </c>
      <c r="E347">
        <v>8709</v>
      </c>
      <c r="F347">
        <v>0.142266620737168</v>
      </c>
      <c r="G347">
        <v>0.148208908074386</v>
      </c>
      <c r="H347">
        <v>7.8697116500685803E-3</v>
      </c>
      <c r="I347">
        <v>-0.75508323575820802</v>
      </c>
      <c r="J347">
        <v>-4.18</v>
      </c>
      <c r="L347">
        <v>0.15607861972445458</v>
      </c>
      <c r="M347">
        <v>0.14033919642431741</v>
      </c>
      <c r="N347">
        <v>0.16394833137452317</v>
      </c>
      <c r="O347">
        <v>0.13246948477424883</v>
      </c>
    </row>
    <row r="348" spans="1:15">
      <c r="A348" s="19">
        <v>43341</v>
      </c>
      <c r="B348">
        <v>1176</v>
      </c>
      <c r="C348">
        <v>1212</v>
      </c>
      <c r="D348">
        <v>8516</v>
      </c>
      <c r="E348">
        <v>8649</v>
      </c>
      <c r="F348">
        <v>0.14013180714533399</v>
      </c>
      <c r="G348">
        <v>0.14862119739965601</v>
      </c>
      <c r="H348">
        <v>8.3433316051628303E-3</v>
      </c>
      <c r="I348">
        <v>-1.01750603428829</v>
      </c>
      <c r="J348">
        <v>-6.06</v>
      </c>
      <c r="L348">
        <v>0.15696452900481883</v>
      </c>
      <c r="M348">
        <v>0.1402778657944932</v>
      </c>
      <c r="N348">
        <v>0.16530786060998168</v>
      </c>
      <c r="O348">
        <v>0.13193453418933035</v>
      </c>
    </row>
    <row r="349" spans="1:15">
      <c r="A349" s="19">
        <v>43340</v>
      </c>
      <c r="B349">
        <v>1194</v>
      </c>
      <c r="C349">
        <v>1185</v>
      </c>
      <c r="D349">
        <v>8475</v>
      </c>
      <c r="E349">
        <v>8469</v>
      </c>
      <c r="F349">
        <v>0.13992206872121801</v>
      </c>
      <c r="G349">
        <v>0.14905809116473701</v>
      </c>
      <c r="H349">
        <v>8.7360228317210301E-3</v>
      </c>
      <c r="I349">
        <v>-1.0457873816841901</v>
      </c>
      <c r="J349">
        <v>-6.53</v>
      </c>
      <c r="L349">
        <v>0.15779411399645804</v>
      </c>
      <c r="M349">
        <v>0.14032206833301597</v>
      </c>
      <c r="N349">
        <v>0.16653013682817908</v>
      </c>
      <c r="O349">
        <v>0.13158604550129493</v>
      </c>
    </row>
    <row r="350" spans="1:15">
      <c r="A350" s="19">
        <v>43339</v>
      </c>
      <c r="B350">
        <v>1170</v>
      </c>
      <c r="C350">
        <v>1192</v>
      </c>
      <c r="D350">
        <v>8344</v>
      </c>
      <c r="E350">
        <v>8366</v>
      </c>
      <c r="F350">
        <v>0.14248147262730099</v>
      </c>
      <c r="G350">
        <v>0.14948616987549401</v>
      </c>
      <c r="H350">
        <v>9.0585221648374105E-3</v>
      </c>
      <c r="I350">
        <v>-0.77327152494955398</v>
      </c>
      <c r="J350">
        <v>-4.92</v>
      </c>
      <c r="L350">
        <v>0.15854469204033142</v>
      </c>
      <c r="M350">
        <v>0.14042764771065661</v>
      </c>
      <c r="N350">
        <v>0.16760321420516883</v>
      </c>
      <c r="O350">
        <v>0.1313691255458192</v>
      </c>
    </row>
    <row r="351" spans="1:15">
      <c r="A351" s="19">
        <v>43336</v>
      </c>
      <c r="B351">
        <v>1185</v>
      </c>
      <c r="C351">
        <v>1185</v>
      </c>
      <c r="D351">
        <v>8325</v>
      </c>
      <c r="E351">
        <v>8307</v>
      </c>
      <c r="F351">
        <v>0.142650776453593</v>
      </c>
      <c r="G351">
        <v>0.149950707422292</v>
      </c>
      <c r="H351">
        <v>9.5664922440718697E-3</v>
      </c>
      <c r="I351">
        <v>-0.76307289886976803</v>
      </c>
      <c r="J351">
        <v>-5.12</v>
      </c>
      <c r="L351">
        <v>0.15951719966636385</v>
      </c>
      <c r="M351">
        <v>0.14038421517822014</v>
      </c>
      <c r="N351">
        <v>0.16908369191043573</v>
      </c>
      <c r="O351">
        <v>0.13081772293414826</v>
      </c>
    </row>
    <row r="352" spans="1:15">
      <c r="A352" s="19">
        <v>43335</v>
      </c>
      <c r="B352">
        <v>1204</v>
      </c>
      <c r="C352">
        <v>1189</v>
      </c>
      <c r="D352">
        <v>8314</v>
      </c>
      <c r="E352">
        <v>8268</v>
      </c>
      <c r="F352">
        <v>0.143807450411224</v>
      </c>
      <c r="G352">
        <v>0.150399766822222</v>
      </c>
      <c r="H352">
        <v>9.9941978227601393E-3</v>
      </c>
      <c r="I352">
        <v>-0.65961436104311399</v>
      </c>
      <c r="J352">
        <v>-4.58</v>
      </c>
      <c r="L352">
        <v>0.16039396464498215</v>
      </c>
      <c r="M352">
        <v>0.14040556899946185</v>
      </c>
      <c r="N352">
        <v>0.17038816246774227</v>
      </c>
      <c r="O352">
        <v>0.13041137117670173</v>
      </c>
    </row>
    <row r="353" spans="1:15">
      <c r="A353" s="19">
        <v>43334</v>
      </c>
      <c r="B353">
        <v>1200</v>
      </c>
      <c r="C353">
        <v>1211</v>
      </c>
      <c r="D353">
        <v>8407</v>
      </c>
      <c r="E353">
        <v>8325</v>
      </c>
      <c r="F353">
        <v>0.14546546546546499</v>
      </c>
      <c r="G353">
        <v>0.151063553553722</v>
      </c>
      <c r="H353">
        <v>1.1123738348110999E-2</v>
      </c>
      <c r="I353">
        <v>-0.50325600199030296</v>
      </c>
      <c r="J353">
        <v>-3.85</v>
      </c>
      <c r="L353">
        <v>0.16218729190183301</v>
      </c>
      <c r="M353">
        <v>0.139939815205611</v>
      </c>
      <c r="N353">
        <v>0.17331103024994399</v>
      </c>
      <c r="O353">
        <v>0.12881607685750002</v>
      </c>
    </row>
    <row r="354" spans="1:15">
      <c r="A354" s="19">
        <v>43333</v>
      </c>
      <c r="B354">
        <v>1196</v>
      </c>
      <c r="C354">
        <v>1194</v>
      </c>
      <c r="D354">
        <v>8301</v>
      </c>
      <c r="E354">
        <v>8312</v>
      </c>
      <c r="F354">
        <v>0.14364773820981699</v>
      </c>
      <c r="G354">
        <v>0.151620769176424</v>
      </c>
      <c r="H354">
        <v>1.18522181498122E-2</v>
      </c>
      <c r="I354">
        <v>-0.67270369696440002</v>
      </c>
      <c r="J354">
        <v>-5.55</v>
      </c>
      <c r="L354">
        <v>0.16347298732623619</v>
      </c>
      <c r="M354">
        <v>0.13976855102661181</v>
      </c>
      <c r="N354">
        <v>0.17532520547604841</v>
      </c>
      <c r="O354">
        <v>0.1279163328767996</v>
      </c>
    </row>
    <row r="355" spans="1:15">
      <c r="A355" s="19">
        <v>43332</v>
      </c>
      <c r="B355">
        <v>1198</v>
      </c>
      <c r="C355">
        <v>1194</v>
      </c>
      <c r="D355">
        <v>8355</v>
      </c>
      <c r="E355">
        <v>8392</v>
      </c>
      <c r="F355">
        <v>0.142278360343183</v>
      </c>
      <c r="G355">
        <v>0.15219248818056699</v>
      </c>
      <c r="H355">
        <v>1.24718179220167E-2</v>
      </c>
      <c r="I355">
        <v>-0.79492243226880699</v>
      </c>
      <c r="J355">
        <v>-6.97</v>
      </c>
      <c r="L355">
        <v>0.1646643061025837</v>
      </c>
      <c r="M355">
        <v>0.13972067025855028</v>
      </c>
      <c r="N355">
        <v>0.17713612402460038</v>
      </c>
      <c r="O355">
        <v>0.1272488523365336</v>
      </c>
    </row>
    <row r="356" spans="1:15">
      <c r="A356" s="19">
        <v>43329</v>
      </c>
      <c r="B356">
        <v>1184</v>
      </c>
      <c r="C356">
        <v>1195</v>
      </c>
      <c r="D356">
        <v>8372</v>
      </c>
      <c r="E356">
        <v>8355</v>
      </c>
      <c r="F356">
        <v>0.143028126870137</v>
      </c>
      <c r="G356">
        <v>0.15273819146759399</v>
      </c>
      <c r="H356">
        <v>1.2913656016603299E-2</v>
      </c>
      <c r="I356">
        <v>-0.75192219654700698</v>
      </c>
      <c r="J356">
        <v>-6.79</v>
      </c>
      <c r="L356">
        <v>0.16565184748419728</v>
      </c>
      <c r="M356">
        <v>0.13982453545099069</v>
      </c>
      <c r="N356">
        <v>0.17856550350080058</v>
      </c>
      <c r="O356">
        <v>0.12691087943438739</v>
      </c>
    </row>
    <row r="357" spans="1:15">
      <c r="A357" s="19">
        <v>43328</v>
      </c>
      <c r="B357">
        <v>1158</v>
      </c>
      <c r="C357">
        <v>1183</v>
      </c>
      <c r="D357">
        <v>8202</v>
      </c>
      <c r="E357">
        <v>8325</v>
      </c>
      <c r="F357">
        <v>0.142102102102102</v>
      </c>
      <c r="G357">
        <v>0.15336982940337199</v>
      </c>
      <c r="H357">
        <v>1.35653802401385E-2</v>
      </c>
      <c r="I357">
        <v>-0.83062377182248104</v>
      </c>
      <c r="J357">
        <v>-7.93</v>
      </c>
      <c r="L357">
        <v>0.1669352096435105</v>
      </c>
      <c r="M357">
        <v>0.13980444916323348</v>
      </c>
      <c r="N357">
        <v>0.18050058988364898</v>
      </c>
      <c r="O357">
        <v>0.126239068923095</v>
      </c>
    </row>
    <row r="358" spans="1:15">
      <c r="A358" s="19">
        <v>43327</v>
      </c>
      <c r="B358">
        <v>1183</v>
      </c>
      <c r="C358">
        <v>1184</v>
      </c>
      <c r="D358">
        <v>8536</v>
      </c>
      <c r="E358">
        <v>8338</v>
      </c>
      <c r="F358">
        <v>0.14200047973134999</v>
      </c>
      <c r="G358">
        <v>0.15400601405427999</v>
      </c>
      <c r="H358">
        <v>1.4129151357529599E-2</v>
      </c>
      <c r="I358">
        <v>-0.849699604678121</v>
      </c>
      <c r="J358">
        <v>-8.4499999999999993</v>
      </c>
      <c r="L358">
        <v>0.16813516541180959</v>
      </c>
      <c r="M358">
        <v>0.1398768626967504</v>
      </c>
      <c r="N358">
        <v>0.18226431676933919</v>
      </c>
      <c r="O358">
        <v>0.1257477113392208</v>
      </c>
    </row>
    <row r="359" spans="1:15">
      <c r="A359" s="19">
        <v>43326</v>
      </c>
      <c r="B359">
        <v>1168</v>
      </c>
      <c r="C359">
        <v>1198</v>
      </c>
      <c r="D359">
        <v>8270</v>
      </c>
      <c r="E359">
        <v>8419</v>
      </c>
      <c r="F359">
        <v>0.14229718493882801</v>
      </c>
      <c r="G359">
        <v>0.15453213205977601</v>
      </c>
      <c r="H359">
        <v>1.4404286655732399E-2</v>
      </c>
      <c r="I359">
        <v>-0.84939625358529203</v>
      </c>
      <c r="J359">
        <v>-8.6</v>
      </c>
      <c r="L359">
        <v>0.16893641871550841</v>
      </c>
      <c r="M359">
        <v>0.14012784540404361</v>
      </c>
      <c r="N359">
        <v>0.18334070537124081</v>
      </c>
      <c r="O359">
        <v>0.1257235587483112</v>
      </c>
    </row>
    <row r="360" spans="1:15">
      <c r="A360" s="19">
        <v>43325</v>
      </c>
      <c r="B360">
        <v>1199</v>
      </c>
      <c r="C360">
        <v>1168</v>
      </c>
      <c r="D360">
        <v>8345</v>
      </c>
      <c r="E360">
        <v>8210</v>
      </c>
      <c r="F360">
        <v>0.142265529841656</v>
      </c>
      <c r="G360">
        <v>0.155067820994334</v>
      </c>
      <c r="H360">
        <v>1.4683679969486101E-2</v>
      </c>
      <c r="I360">
        <v>-0.87187211783979901</v>
      </c>
      <c r="J360">
        <v>-9</v>
      </c>
      <c r="L360">
        <v>0.16975150096382011</v>
      </c>
      <c r="M360">
        <v>0.14038414102484789</v>
      </c>
      <c r="N360">
        <v>0.18443518093330619</v>
      </c>
      <c r="O360">
        <v>0.12570046105536181</v>
      </c>
    </row>
    <row r="361" spans="1:15">
      <c r="A361" s="19">
        <v>43322</v>
      </c>
      <c r="B361">
        <v>1228</v>
      </c>
      <c r="C361">
        <v>1214</v>
      </c>
      <c r="D361">
        <v>8593</v>
      </c>
      <c r="E361">
        <v>8434</v>
      </c>
      <c r="F361">
        <v>0.143941190419729</v>
      </c>
      <c r="G361">
        <v>0.15558033738128099</v>
      </c>
      <c r="H361">
        <v>1.48971639886149E-2</v>
      </c>
      <c r="I361">
        <v>-0.78129951247413099</v>
      </c>
      <c r="J361">
        <v>-8.09</v>
      </c>
      <c r="L361">
        <v>0.1704775013698959</v>
      </c>
      <c r="M361">
        <v>0.14068317339266609</v>
      </c>
      <c r="N361">
        <v>0.1853746653585108</v>
      </c>
      <c r="O361">
        <v>0.12578600940405119</v>
      </c>
    </row>
    <row r="362" spans="1:15">
      <c r="A362" s="19">
        <v>43321</v>
      </c>
      <c r="B362">
        <v>1232</v>
      </c>
      <c r="C362">
        <v>1225</v>
      </c>
      <c r="D362">
        <v>8634</v>
      </c>
      <c r="E362">
        <v>8609</v>
      </c>
      <c r="F362">
        <v>0.14229294923916799</v>
      </c>
      <c r="G362">
        <v>0.15605043207195299</v>
      </c>
      <c r="H362">
        <v>1.50776549857454E-2</v>
      </c>
      <c r="I362">
        <v>-0.912441811793122</v>
      </c>
      <c r="J362">
        <v>-9.67</v>
      </c>
      <c r="L362">
        <v>0.17112808705769839</v>
      </c>
      <c r="M362">
        <v>0.14097277708620759</v>
      </c>
      <c r="N362">
        <v>0.18620574204344378</v>
      </c>
      <c r="O362">
        <v>0.12589512210046219</v>
      </c>
    </row>
    <row r="363" spans="1:15">
      <c r="A363" s="19">
        <v>43320</v>
      </c>
      <c r="B363">
        <v>1236</v>
      </c>
      <c r="C363">
        <v>1235</v>
      </c>
      <c r="D363">
        <v>8522</v>
      </c>
      <c r="E363">
        <v>8675</v>
      </c>
      <c r="F363">
        <v>0.14236311239193</v>
      </c>
      <c r="G363">
        <v>0.15654973284319701</v>
      </c>
      <c r="H363">
        <v>1.5233047283581E-2</v>
      </c>
      <c r="I363">
        <v>-0.93130548255817702</v>
      </c>
      <c r="J363">
        <v>-9.9700000000000006</v>
      </c>
      <c r="L363">
        <v>0.171782780126778</v>
      </c>
      <c r="M363">
        <v>0.14131668555961602</v>
      </c>
      <c r="N363">
        <v>0.18701582741035902</v>
      </c>
      <c r="O363">
        <v>0.126083638276035</v>
      </c>
    </row>
    <row r="364" spans="1:15">
      <c r="A364" s="19">
        <v>43319</v>
      </c>
      <c r="B364">
        <v>1255</v>
      </c>
      <c r="C364">
        <v>1246</v>
      </c>
      <c r="D364">
        <v>8378</v>
      </c>
      <c r="E364">
        <v>8507</v>
      </c>
      <c r="F364">
        <v>0.146467614905372</v>
      </c>
      <c r="G364">
        <v>0.156972140468256</v>
      </c>
      <c r="H364">
        <v>1.52729939162345E-2</v>
      </c>
      <c r="I364">
        <v>-0.68778430872802299</v>
      </c>
      <c r="J364">
        <v>-7.17</v>
      </c>
      <c r="L364">
        <v>0.17224513438449049</v>
      </c>
      <c r="M364">
        <v>0.14169914655202151</v>
      </c>
      <c r="N364">
        <v>0.18751812830072501</v>
      </c>
      <c r="O364">
        <v>0.12642615263578699</v>
      </c>
    </row>
    <row r="365" spans="1:15">
      <c r="A365" s="19">
        <v>43318</v>
      </c>
      <c r="B365">
        <v>1247</v>
      </c>
      <c r="C365">
        <v>1245</v>
      </c>
      <c r="D365">
        <v>8500</v>
      </c>
      <c r="E365">
        <v>8395</v>
      </c>
      <c r="F365">
        <v>0.14830256104824299</v>
      </c>
      <c r="G365">
        <v>0.157351316776737</v>
      </c>
      <c r="H365">
        <v>1.5360258282670699E-2</v>
      </c>
      <c r="I365">
        <v>-0.58910179516338101</v>
      </c>
      <c r="J365">
        <v>-6.1</v>
      </c>
      <c r="L365">
        <v>0.17271157505940771</v>
      </c>
      <c r="M365">
        <v>0.14199105849406629</v>
      </c>
      <c r="N365">
        <v>0.18807183334207839</v>
      </c>
      <c r="O365">
        <v>0.12663080021139561</v>
      </c>
    </row>
    <row r="366" spans="1:15">
      <c r="A366" s="19">
        <v>43315</v>
      </c>
      <c r="B366">
        <v>1245</v>
      </c>
      <c r="C366">
        <v>1243</v>
      </c>
      <c r="D366">
        <v>8605</v>
      </c>
      <c r="E366">
        <v>8533</v>
      </c>
      <c r="F366">
        <v>0.145669752724715</v>
      </c>
      <c r="G366">
        <v>0.157671545754032</v>
      </c>
      <c r="H366">
        <v>1.5418515984667499E-2</v>
      </c>
      <c r="I366">
        <v>-0.77840130926032802</v>
      </c>
      <c r="J366">
        <v>-8.24</v>
      </c>
      <c r="L366">
        <v>0.17309006173869951</v>
      </c>
      <c r="M366">
        <v>0.14225302976936449</v>
      </c>
      <c r="N366">
        <v>0.18850857772336699</v>
      </c>
      <c r="O366">
        <v>0.12683451378469701</v>
      </c>
    </row>
    <row r="367" spans="1:15">
      <c r="A367" s="19">
        <v>43314</v>
      </c>
      <c r="B367">
        <v>1257</v>
      </c>
      <c r="C367">
        <v>1242</v>
      </c>
      <c r="D367">
        <v>8698</v>
      </c>
      <c r="E367">
        <v>8682</v>
      </c>
      <c r="F367">
        <v>0.14305459571527299</v>
      </c>
      <c r="G367">
        <v>0.15803466687828999</v>
      </c>
      <c r="H367">
        <v>1.5452243862265E-2</v>
      </c>
      <c r="I367">
        <v>-0.96944309813794005</v>
      </c>
      <c r="J367">
        <v>-10.47</v>
      </c>
      <c r="L367">
        <v>0.173486910740555</v>
      </c>
      <c r="M367">
        <v>0.14258242301602497</v>
      </c>
      <c r="N367">
        <v>0.18893915460281999</v>
      </c>
      <c r="O367">
        <v>0.12713017915375999</v>
      </c>
    </row>
    <row r="368" spans="1:15">
      <c r="A368" s="19">
        <v>43313</v>
      </c>
      <c r="B368">
        <v>1237</v>
      </c>
      <c r="C368">
        <v>1256</v>
      </c>
      <c r="D368">
        <v>8532</v>
      </c>
      <c r="E368">
        <v>8727</v>
      </c>
      <c r="F368">
        <v>0.14392116420304801</v>
      </c>
      <c r="G368">
        <v>0.15846521574439901</v>
      </c>
      <c r="H368">
        <v>1.54786978523374E-2</v>
      </c>
      <c r="I368">
        <v>-0.93961725205168001</v>
      </c>
      <c r="J368">
        <v>-10.11</v>
      </c>
      <c r="L368">
        <v>0.17394391359673642</v>
      </c>
      <c r="M368">
        <v>0.1429865178920616</v>
      </c>
      <c r="N368">
        <v>0.1894226114490738</v>
      </c>
      <c r="O368">
        <v>0.12750782003972422</v>
      </c>
    </row>
    <row r="369" spans="1:15">
      <c r="A369" s="19">
        <v>43312</v>
      </c>
      <c r="B369">
        <v>1216</v>
      </c>
      <c r="C369">
        <v>1226</v>
      </c>
      <c r="D369">
        <v>8063</v>
      </c>
      <c r="E369">
        <v>8082</v>
      </c>
      <c r="F369">
        <v>0.15169512496906701</v>
      </c>
      <c r="G369">
        <v>0.15886496647083001</v>
      </c>
      <c r="H369">
        <v>1.5485068436046001E-2</v>
      </c>
      <c r="I369">
        <v>-0.46301645558594201</v>
      </c>
      <c r="J369">
        <v>-4.7300000000000004</v>
      </c>
      <c r="L369">
        <v>0.17435003490687601</v>
      </c>
      <c r="M369">
        <v>0.14337989803478401</v>
      </c>
      <c r="N369">
        <v>0.189835103342922</v>
      </c>
      <c r="O369">
        <v>0.12789482959873802</v>
      </c>
    </row>
    <row r="370" spans="1:15">
      <c r="A370" s="19">
        <v>43311</v>
      </c>
      <c r="B370">
        <v>1223</v>
      </c>
      <c r="C370">
        <v>1236</v>
      </c>
      <c r="D370">
        <v>8085</v>
      </c>
      <c r="E370">
        <v>8073</v>
      </c>
      <c r="F370">
        <v>0.153102935711631</v>
      </c>
      <c r="G370">
        <v>0.15917736135644001</v>
      </c>
      <c r="H370">
        <v>1.55733555348404E-2</v>
      </c>
      <c r="I370">
        <v>-0.39005246051306802</v>
      </c>
      <c r="J370">
        <v>-3.97</v>
      </c>
      <c r="L370">
        <v>0.17475071689128041</v>
      </c>
      <c r="M370">
        <v>0.1436040058215996</v>
      </c>
      <c r="N370">
        <v>0.19032407242612082</v>
      </c>
      <c r="O370">
        <v>0.1280306502867592</v>
      </c>
    </row>
    <row r="371" spans="1:15">
      <c r="A371" s="19">
        <v>43308</v>
      </c>
      <c r="B371">
        <v>1220</v>
      </c>
      <c r="C371">
        <v>1220</v>
      </c>
      <c r="D371">
        <v>8165</v>
      </c>
      <c r="E371">
        <v>8100</v>
      </c>
      <c r="F371">
        <v>0.15061728395061699</v>
      </c>
      <c r="G371">
        <v>0.159467183133019</v>
      </c>
      <c r="H371">
        <v>1.56596345408083E-2</v>
      </c>
      <c r="I371">
        <v>-0.56514085046749896</v>
      </c>
      <c r="J371">
        <v>-5.88</v>
      </c>
      <c r="L371">
        <v>0.17512681767382729</v>
      </c>
      <c r="M371">
        <v>0.1438075485922107</v>
      </c>
      <c r="N371">
        <v>0.19078645221463558</v>
      </c>
      <c r="O371">
        <v>0.12814791405140241</v>
      </c>
    </row>
    <row r="372" spans="1:15">
      <c r="A372" s="19">
        <v>43307</v>
      </c>
      <c r="B372">
        <v>1223</v>
      </c>
      <c r="C372">
        <v>1217</v>
      </c>
      <c r="D372">
        <v>8204</v>
      </c>
      <c r="E372">
        <v>8132</v>
      </c>
      <c r="F372">
        <v>0.14965568125922199</v>
      </c>
      <c r="G372">
        <v>0.15980002063749399</v>
      </c>
      <c r="H372">
        <v>1.5733110841747399E-2</v>
      </c>
      <c r="I372">
        <v>-0.64477645141568896</v>
      </c>
      <c r="J372">
        <v>-6.78</v>
      </c>
      <c r="L372">
        <v>0.17553313147924138</v>
      </c>
      <c r="M372">
        <v>0.1440669097957466</v>
      </c>
      <c r="N372">
        <v>0.19126624232098879</v>
      </c>
      <c r="O372">
        <v>0.12833379895399918</v>
      </c>
    </row>
    <row r="373" spans="1:15">
      <c r="A373" s="19">
        <v>43306</v>
      </c>
      <c r="B373">
        <v>1205</v>
      </c>
      <c r="C373">
        <v>1215</v>
      </c>
      <c r="D373">
        <v>8076</v>
      </c>
      <c r="E373">
        <v>8129</v>
      </c>
      <c r="F373">
        <v>0.14946487882888401</v>
      </c>
      <c r="G373">
        <v>0.16014054679543699</v>
      </c>
      <c r="H373">
        <v>1.5786160004447401E-2</v>
      </c>
      <c r="I373">
        <v>-0.67626756371058405</v>
      </c>
      <c r="J373">
        <v>-7.14</v>
      </c>
      <c r="L373">
        <v>0.1759267067998844</v>
      </c>
      <c r="M373">
        <v>0.14435438679098958</v>
      </c>
      <c r="N373">
        <v>0.19171286680433181</v>
      </c>
      <c r="O373">
        <v>0.12856822678654217</v>
      </c>
    </row>
    <row r="374" spans="1:15">
      <c r="A374" s="19">
        <v>43305</v>
      </c>
      <c r="B374">
        <v>1205</v>
      </c>
      <c r="C374">
        <v>1204</v>
      </c>
      <c r="D374">
        <v>7967</v>
      </c>
      <c r="E374">
        <v>7970</v>
      </c>
      <c r="F374">
        <v>0.15106649937264699</v>
      </c>
      <c r="G374">
        <v>0.160463149830369</v>
      </c>
      <c r="H374">
        <v>1.5811901310628498E-2</v>
      </c>
      <c r="I374">
        <v>-0.59427707478834702</v>
      </c>
      <c r="J374">
        <v>-6.22</v>
      </c>
      <c r="L374">
        <v>0.17627505114099751</v>
      </c>
      <c r="M374">
        <v>0.14465124851974048</v>
      </c>
      <c r="N374">
        <v>0.19208695245162599</v>
      </c>
      <c r="O374">
        <v>0.128839347209112</v>
      </c>
    </row>
    <row r="375" spans="1:15">
      <c r="A375" s="19">
        <v>43304</v>
      </c>
      <c r="B375">
        <v>1182</v>
      </c>
      <c r="C375">
        <v>1192</v>
      </c>
      <c r="D375">
        <v>7907</v>
      </c>
      <c r="E375">
        <v>7886</v>
      </c>
      <c r="F375">
        <v>0.151153943697692</v>
      </c>
      <c r="G375">
        <v>0.16081580375490401</v>
      </c>
      <c r="H375">
        <v>1.5893133304370598E-2</v>
      </c>
      <c r="I375">
        <v>-0.60792669841604396</v>
      </c>
      <c r="J375">
        <v>-6.39</v>
      </c>
      <c r="L375">
        <v>0.1767089370592746</v>
      </c>
      <c r="M375">
        <v>0.14492267045053342</v>
      </c>
      <c r="N375">
        <v>0.19260207036364521</v>
      </c>
      <c r="O375">
        <v>0.1290295371461628</v>
      </c>
    </row>
    <row r="376" spans="1:15">
      <c r="A376" s="19">
        <v>43301</v>
      </c>
      <c r="B376">
        <v>1206</v>
      </c>
      <c r="C376">
        <v>1194</v>
      </c>
      <c r="D376">
        <v>8067</v>
      </c>
      <c r="E376">
        <v>7945</v>
      </c>
      <c r="F376">
        <v>0.15028319697923201</v>
      </c>
      <c r="G376">
        <v>0.161155945211583</v>
      </c>
      <c r="H376">
        <v>1.5955576063030399E-2</v>
      </c>
      <c r="I376">
        <v>-0.68143877660072105</v>
      </c>
      <c r="J376">
        <v>-7.23</v>
      </c>
      <c r="L376">
        <v>0.17711152127461338</v>
      </c>
      <c r="M376">
        <v>0.14520036914855261</v>
      </c>
      <c r="N376">
        <v>0.19306709733764379</v>
      </c>
      <c r="O376">
        <v>0.1292447930855222</v>
      </c>
    </row>
    <row r="377" spans="1:15">
      <c r="A377" s="19">
        <v>43300</v>
      </c>
      <c r="B377">
        <v>1207</v>
      </c>
      <c r="C377">
        <v>1205</v>
      </c>
      <c r="D377">
        <v>8004</v>
      </c>
      <c r="E377">
        <v>8080</v>
      </c>
      <c r="F377">
        <v>0.14913366336633599</v>
      </c>
      <c r="G377">
        <v>0.16151835696717801</v>
      </c>
      <c r="H377">
        <v>1.6013085671319101E-2</v>
      </c>
      <c r="I377">
        <v>-0.77341081257211197</v>
      </c>
      <c r="J377">
        <v>-8.3000000000000007</v>
      </c>
      <c r="L377">
        <v>0.1775314426384971</v>
      </c>
      <c r="M377">
        <v>0.14550527129585891</v>
      </c>
      <c r="N377">
        <v>0.19354452830981622</v>
      </c>
      <c r="O377">
        <v>0.12949218562453979</v>
      </c>
    </row>
    <row r="378" spans="1:15">
      <c r="A378" s="19">
        <v>43299</v>
      </c>
      <c r="B378">
        <v>1207</v>
      </c>
      <c r="C378">
        <v>1198</v>
      </c>
      <c r="D378">
        <v>8071</v>
      </c>
      <c r="E378">
        <v>8015</v>
      </c>
      <c r="F378">
        <v>0.14946974422956899</v>
      </c>
      <c r="G378">
        <v>0.16192148495859299</v>
      </c>
      <c r="H378">
        <v>1.60766781561998E-2</v>
      </c>
      <c r="I378">
        <v>-0.77452198818960005</v>
      </c>
      <c r="J378">
        <v>-8.33</v>
      </c>
      <c r="L378">
        <v>0.17799816311479277</v>
      </c>
      <c r="M378">
        <v>0.1458448068023932</v>
      </c>
      <c r="N378">
        <v>0.19407484127099259</v>
      </c>
      <c r="O378">
        <v>0.12976812864619339</v>
      </c>
    </row>
    <row r="379" spans="1:15">
      <c r="A379" s="19">
        <v>43298</v>
      </c>
      <c r="B379">
        <v>1183</v>
      </c>
      <c r="C379">
        <v>1196</v>
      </c>
      <c r="D379">
        <v>7928</v>
      </c>
      <c r="E379">
        <v>7960</v>
      </c>
      <c r="F379">
        <v>0.15025125628140701</v>
      </c>
      <c r="G379">
        <v>0.16231648897553899</v>
      </c>
      <c r="H379">
        <v>1.6129745508160199E-2</v>
      </c>
      <c r="I379">
        <v>-0.74801134884791398</v>
      </c>
      <c r="J379">
        <v>-8.0299999999999994</v>
      </c>
      <c r="L379">
        <v>0.1784462344836992</v>
      </c>
      <c r="M379">
        <v>0.14618674346737878</v>
      </c>
      <c r="N379">
        <v>0.19457597999185938</v>
      </c>
      <c r="O379">
        <v>0.1300569979592186</v>
      </c>
    </row>
    <row r="380" spans="1:15">
      <c r="A380" s="19">
        <v>43294</v>
      </c>
      <c r="B380">
        <v>1173</v>
      </c>
      <c r="C380">
        <v>1178</v>
      </c>
      <c r="D380">
        <v>7988</v>
      </c>
      <c r="E380">
        <v>7999</v>
      </c>
      <c r="F380">
        <v>0.14726840855106799</v>
      </c>
      <c r="G380">
        <v>0.162733814429146</v>
      </c>
      <c r="H380">
        <v>1.62168527241573E-2</v>
      </c>
      <c r="I380">
        <v>-0.95366259662948805</v>
      </c>
      <c r="J380">
        <v>-10.5</v>
      </c>
      <c r="L380">
        <v>0.17895066715330329</v>
      </c>
      <c r="M380">
        <v>0.14651696170498871</v>
      </c>
      <c r="N380">
        <v>0.19516751987746062</v>
      </c>
      <c r="O380">
        <v>0.13030010898083139</v>
      </c>
    </row>
    <row r="381" spans="1:15">
      <c r="A381" s="19">
        <v>43293</v>
      </c>
      <c r="B381">
        <v>1169</v>
      </c>
      <c r="C381">
        <v>1163</v>
      </c>
      <c r="D381">
        <v>7909</v>
      </c>
      <c r="E381">
        <v>7941</v>
      </c>
      <c r="F381">
        <v>0.146455106409772</v>
      </c>
      <c r="G381">
        <v>0.163224139973387</v>
      </c>
      <c r="H381">
        <v>1.62975814610524E-2</v>
      </c>
      <c r="I381">
        <v>-1.02892773407449</v>
      </c>
      <c r="J381">
        <v>-11.45</v>
      </c>
      <c r="L381">
        <v>0.1795217214344394</v>
      </c>
      <c r="M381">
        <v>0.1469265585123346</v>
      </c>
      <c r="N381">
        <v>0.19581930289549179</v>
      </c>
      <c r="O381">
        <v>0.13062897705128221</v>
      </c>
    </row>
    <row r="382" spans="1:15">
      <c r="A382" s="19">
        <v>43292</v>
      </c>
      <c r="B382">
        <v>1189</v>
      </c>
      <c r="C382">
        <v>1162</v>
      </c>
      <c r="D382">
        <v>7983</v>
      </c>
      <c r="E382">
        <v>7872</v>
      </c>
      <c r="F382">
        <v>0.14761178861788599</v>
      </c>
      <c r="G382">
        <v>0.16367082125457699</v>
      </c>
      <c r="H382">
        <v>1.6290952183407401E-2</v>
      </c>
      <c r="I382">
        <v>-0.98576390476718201</v>
      </c>
      <c r="J382">
        <v>-10.88</v>
      </c>
      <c r="L382">
        <v>0.17996177343798439</v>
      </c>
      <c r="M382">
        <v>0.14737986907116959</v>
      </c>
      <c r="N382">
        <v>0.19625272562139179</v>
      </c>
      <c r="O382">
        <v>0.1310889168877622</v>
      </c>
    </row>
    <row r="383" spans="1:15">
      <c r="A383" s="19">
        <v>43291</v>
      </c>
      <c r="B383">
        <v>1196</v>
      </c>
      <c r="C383">
        <v>1205</v>
      </c>
      <c r="D383">
        <v>8097</v>
      </c>
      <c r="E383">
        <v>8086</v>
      </c>
      <c r="F383">
        <v>0.149023002720751</v>
      </c>
      <c r="G383">
        <v>0.16412389993027199</v>
      </c>
      <c r="H383">
        <v>1.6310544250682599E-2</v>
      </c>
      <c r="I383">
        <v>-0.92583650045207899</v>
      </c>
      <c r="J383">
        <v>-10.130000000000001</v>
      </c>
      <c r="L383">
        <v>0.18043444418095458</v>
      </c>
      <c r="M383">
        <v>0.14781335567958939</v>
      </c>
      <c r="N383">
        <v>0.19674498843163718</v>
      </c>
      <c r="O383">
        <v>0.1315028114289068</v>
      </c>
    </row>
    <row r="384" spans="1:15">
      <c r="A384" s="19">
        <v>43290</v>
      </c>
      <c r="B384">
        <v>1189</v>
      </c>
      <c r="C384">
        <v>1191</v>
      </c>
      <c r="D384">
        <v>8050</v>
      </c>
      <c r="E384">
        <v>8095</v>
      </c>
      <c r="F384">
        <v>0.147127856701667</v>
      </c>
      <c r="G384">
        <v>0.16456655619029201</v>
      </c>
      <c r="H384">
        <v>1.6345174767056402E-2</v>
      </c>
      <c r="I384">
        <v>-1.0669019901685</v>
      </c>
      <c r="J384">
        <v>-11.85</v>
      </c>
      <c r="L384">
        <v>0.18091173095734842</v>
      </c>
      <c r="M384">
        <v>0.1482213814232356</v>
      </c>
      <c r="N384">
        <v>0.1972569057244048</v>
      </c>
      <c r="O384">
        <v>0.13187620665617922</v>
      </c>
    </row>
    <row r="385" spans="1:15">
      <c r="A385" s="19">
        <v>43287</v>
      </c>
      <c r="B385">
        <v>1146</v>
      </c>
      <c r="C385">
        <v>1168</v>
      </c>
      <c r="D385">
        <v>8060</v>
      </c>
      <c r="E385">
        <v>8058</v>
      </c>
      <c r="F385">
        <v>0.144949118888061</v>
      </c>
      <c r="G385">
        <v>0.16501665492915901</v>
      </c>
      <c r="H385">
        <v>1.6323542556718501E-2</v>
      </c>
      <c r="I385">
        <v>-1.22936157830755</v>
      </c>
      <c r="J385">
        <v>-13.84</v>
      </c>
      <c r="L385">
        <v>0.18134019748587751</v>
      </c>
      <c r="M385">
        <v>0.14869311237244051</v>
      </c>
      <c r="N385">
        <v>0.19766374004259601</v>
      </c>
      <c r="O385">
        <v>0.13236956981572201</v>
      </c>
    </row>
    <row r="386" spans="1:15">
      <c r="A386" s="19">
        <v>43286</v>
      </c>
      <c r="B386">
        <v>1144</v>
      </c>
      <c r="C386">
        <v>1131</v>
      </c>
      <c r="D386">
        <v>8095</v>
      </c>
      <c r="E386">
        <v>8030</v>
      </c>
      <c r="F386">
        <v>0.14084682440846799</v>
      </c>
      <c r="G386">
        <v>0.16543835725667999</v>
      </c>
      <c r="H386">
        <v>1.6207795020094899E-2</v>
      </c>
      <c r="I386">
        <v>-1.5172657858593599</v>
      </c>
      <c r="J386">
        <v>-17.46</v>
      </c>
      <c r="L386">
        <v>0.18164615227677489</v>
      </c>
      <c r="M386">
        <v>0.1492305622365851</v>
      </c>
      <c r="N386">
        <v>0.19785394729686978</v>
      </c>
      <c r="O386">
        <v>0.1330227672164902</v>
      </c>
    </row>
    <row r="387" spans="1:15">
      <c r="A387" s="19">
        <v>43285</v>
      </c>
      <c r="B387">
        <v>1134</v>
      </c>
      <c r="C387">
        <v>1143</v>
      </c>
      <c r="D387">
        <v>8112</v>
      </c>
      <c r="E387">
        <v>8119</v>
      </c>
      <c r="F387">
        <v>0.14078088434536201</v>
      </c>
      <c r="G387">
        <v>0.165913340774371</v>
      </c>
      <c r="H387">
        <v>1.6000830140085898E-2</v>
      </c>
      <c r="I387">
        <v>-1.57069703315239</v>
      </c>
      <c r="J387">
        <v>-17.850000000000001</v>
      </c>
      <c r="L387">
        <v>0.18191417091445691</v>
      </c>
      <c r="M387">
        <v>0.1499125106342851</v>
      </c>
      <c r="N387">
        <v>0.19791500105454279</v>
      </c>
      <c r="O387">
        <v>0.13391168049419921</v>
      </c>
    </row>
    <row r="388" spans="1:15">
      <c r="A388" s="19">
        <v>43284</v>
      </c>
      <c r="B388">
        <v>1171</v>
      </c>
      <c r="C388">
        <v>1147</v>
      </c>
      <c r="D388">
        <v>8082</v>
      </c>
      <c r="E388">
        <v>8017</v>
      </c>
      <c r="F388">
        <v>0.143070974179867</v>
      </c>
      <c r="G388">
        <v>0.16638583694907</v>
      </c>
      <c r="H388">
        <v>1.5773309136724398E-2</v>
      </c>
      <c r="I388">
        <v>-1.4781212088793201</v>
      </c>
      <c r="J388">
        <v>-16.3</v>
      </c>
      <c r="L388">
        <v>0.18215914608579439</v>
      </c>
      <c r="M388">
        <v>0.1506125278123456</v>
      </c>
      <c r="N388">
        <v>0.19793245522251879</v>
      </c>
      <c r="O388">
        <v>0.13483921867562121</v>
      </c>
    </row>
    <row r="389" spans="1:15">
      <c r="A389" s="19">
        <v>43283</v>
      </c>
      <c r="B389">
        <v>1191</v>
      </c>
      <c r="C389">
        <v>1164</v>
      </c>
      <c r="D389">
        <v>8324</v>
      </c>
      <c r="E389">
        <v>8103</v>
      </c>
      <c r="F389">
        <v>0.14365049981488301</v>
      </c>
      <c r="G389">
        <v>0.166843565353479</v>
      </c>
      <c r="H389">
        <v>1.55870992451119E-2</v>
      </c>
      <c r="I389">
        <v>-1.4879654754151601</v>
      </c>
      <c r="J389">
        <v>-16.149999999999999</v>
      </c>
      <c r="L389">
        <v>0.18243066459859089</v>
      </c>
      <c r="M389">
        <v>0.1512564661083671</v>
      </c>
      <c r="N389">
        <v>0.19801776384370279</v>
      </c>
      <c r="O389">
        <v>0.1356693668632552</v>
      </c>
    </row>
    <row r="390" spans="1:15">
      <c r="A390" s="19">
        <v>43280</v>
      </c>
      <c r="B390">
        <v>1188</v>
      </c>
      <c r="C390">
        <v>1190</v>
      </c>
      <c r="D390">
        <v>8337</v>
      </c>
      <c r="E390">
        <v>8383</v>
      </c>
      <c r="F390">
        <v>0.14195395443158701</v>
      </c>
      <c r="G390">
        <v>0.16725929111558499</v>
      </c>
      <c r="H390">
        <v>1.53773540789813E-2</v>
      </c>
      <c r="I390">
        <v>-1.6456235938916299</v>
      </c>
      <c r="J390">
        <v>-17.829999999999998</v>
      </c>
      <c r="L390">
        <v>0.18263664519456629</v>
      </c>
      <c r="M390">
        <v>0.15188193703660369</v>
      </c>
      <c r="N390">
        <v>0.1980139992735476</v>
      </c>
      <c r="O390">
        <v>0.13650458295762238</v>
      </c>
    </row>
    <row r="391" spans="1:15">
      <c r="A391" s="19">
        <v>43279</v>
      </c>
      <c r="B391">
        <v>1172</v>
      </c>
      <c r="C391">
        <v>1179</v>
      </c>
      <c r="D391">
        <v>8200</v>
      </c>
      <c r="E391">
        <v>8337</v>
      </c>
      <c r="F391">
        <v>0.141417776178481</v>
      </c>
      <c r="G391">
        <v>0.16772131529817599</v>
      </c>
      <c r="H391">
        <v>1.5128654038917499E-2</v>
      </c>
      <c r="I391">
        <v>-1.738656925595</v>
      </c>
      <c r="J391">
        <v>-18.600000000000001</v>
      </c>
      <c r="L391">
        <v>0.18284996933709349</v>
      </c>
      <c r="M391">
        <v>0.15259266125925849</v>
      </c>
      <c r="N391">
        <v>0.19797862337601099</v>
      </c>
      <c r="O391">
        <v>0.13746400722034099</v>
      </c>
    </row>
    <row r="392" spans="1:15">
      <c r="A392" s="19">
        <v>43278</v>
      </c>
      <c r="B392">
        <v>1180</v>
      </c>
      <c r="C392">
        <v>1171</v>
      </c>
      <c r="D392">
        <v>8139</v>
      </c>
      <c r="E392">
        <v>8257</v>
      </c>
      <c r="F392">
        <v>0.14181906261353999</v>
      </c>
      <c r="G392">
        <v>0.168159563313793</v>
      </c>
      <c r="H392">
        <v>1.4833535091125701E-2</v>
      </c>
      <c r="I392">
        <v>-1.7757399391606501</v>
      </c>
      <c r="J392">
        <v>-18.57</v>
      </c>
      <c r="L392">
        <v>0.1829930984049187</v>
      </c>
      <c r="M392">
        <v>0.1533260282226673</v>
      </c>
      <c r="N392">
        <v>0.1978266334960444</v>
      </c>
      <c r="O392">
        <v>0.13849249313154161</v>
      </c>
    </row>
    <row r="393" spans="1:15">
      <c r="A393" s="19">
        <v>43277</v>
      </c>
      <c r="B393">
        <v>1160</v>
      </c>
      <c r="C393">
        <v>1189</v>
      </c>
      <c r="D393">
        <v>8069</v>
      </c>
      <c r="E393">
        <v>8229</v>
      </c>
      <c r="F393">
        <v>0.14448900230890699</v>
      </c>
      <c r="G393">
        <v>0.168597521037923</v>
      </c>
      <c r="H393">
        <v>1.4531188095357601E-2</v>
      </c>
      <c r="I393">
        <v>-1.6590879266587699</v>
      </c>
      <c r="J393">
        <v>-16.690000000000001</v>
      </c>
      <c r="L393">
        <v>0.18312870913328061</v>
      </c>
      <c r="M393">
        <v>0.15406633294256539</v>
      </c>
      <c r="N393">
        <v>0.19765989722863819</v>
      </c>
      <c r="O393">
        <v>0.1395351448472078</v>
      </c>
    </row>
    <row r="394" spans="1:15">
      <c r="A394" s="19">
        <v>43276</v>
      </c>
      <c r="B394">
        <v>1189</v>
      </c>
      <c r="C394">
        <v>1169</v>
      </c>
      <c r="D394">
        <v>8335</v>
      </c>
      <c r="E394">
        <v>8221</v>
      </c>
      <c r="F394">
        <v>0.14219681303977599</v>
      </c>
      <c r="G394">
        <v>0.169033112735022</v>
      </c>
      <c r="H394">
        <v>1.4289620556693401E-2</v>
      </c>
      <c r="I394">
        <v>-1.8780274527776599</v>
      </c>
      <c r="J394">
        <v>-18.87</v>
      </c>
      <c r="L394">
        <v>0.18332273329171539</v>
      </c>
      <c r="M394">
        <v>0.15474349217832861</v>
      </c>
      <c r="N394">
        <v>0.19761235384840881</v>
      </c>
      <c r="O394">
        <v>0.1404538716216352</v>
      </c>
    </row>
    <row r="395" spans="1:15">
      <c r="A395" s="19">
        <v>43273</v>
      </c>
      <c r="B395">
        <v>1173</v>
      </c>
      <c r="C395">
        <v>1176</v>
      </c>
      <c r="D395">
        <v>8178</v>
      </c>
      <c r="E395">
        <v>8284</v>
      </c>
      <c r="F395">
        <v>0.141960405601158</v>
      </c>
      <c r="G395">
        <v>0.16945820563019701</v>
      </c>
      <c r="H395">
        <v>1.3955268135471001E-2</v>
      </c>
      <c r="I395">
        <v>-1.9704243416968401</v>
      </c>
      <c r="J395">
        <v>-19.37</v>
      </c>
      <c r="L395">
        <v>0.18341347376566799</v>
      </c>
      <c r="M395">
        <v>0.15550293749472602</v>
      </c>
      <c r="N395">
        <v>0.19736874190113901</v>
      </c>
      <c r="O395">
        <v>0.141547669359255</v>
      </c>
    </row>
    <row r="396" spans="1:15">
      <c r="A396" s="19">
        <v>43272</v>
      </c>
      <c r="B396">
        <v>1200</v>
      </c>
      <c r="C396">
        <v>1198</v>
      </c>
      <c r="D396">
        <v>8288</v>
      </c>
      <c r="E396">
        <v>8242</v>
      </c>
      <c r="F396">
        <v>0.14535306964329001</v>
      </c>
      <c r="G396">
        <v>0.16994876166119199</v>
      </c>
      <c r="H396">
        <v>1.3622732166955E-2</v>
      </c>
      <c r="I396">
        <v>-1.8054889222269499</v>
      </c>
      <c r="J396">
        <v>-16.920000000000002</v>
      </c>
      <c r="L396">
        <v>0.183571493828147</v>
      </c>
      <c r="M396">
        <v>0.15632602949423699</v>
      </c>
      <c r="N396">
        <v>0.197194225995102</v>
      </c>
      <c r="O396">
        <v>0.14270329732728199</v>
      </c>
    </row>
    <row r="397" spans="1:15">
      <c r="A397" s="19">
        <v>43271</v>
      </c>
      <c r="B397">
        <v>1190</v>
      </c>
      <c r="C397">
        <v>1197</v>
      </c>
      <c r="D397">
        <v>8451</v>
      </c>
      <c r="E397">
        <v>8415</v>
      </c>
      <c r="F397">
        <v>0.142245989304812</v>
      </c>
      <c r="G397">
        <v>0.17040460668205601</v>
      </c>
      <c r="H397">
        <v>1.33615863862008E-2</v>
      </c>
      <c r="I397">
        <v>-2.1074307019655101</v>
      </c>
      <c r="J397">
        <v>-19.8</v>
      </c>
      <c r="L397">
        <v>0.18376619306825681</v>
      </c>
      <c r="M397">
        <v>0.15704302029585521</v>
      </c>
      <c r="N397">
        <v>0.19712777945445761</v>
      </c>
      <c r="O397">
        <v>0.1436814339096544</v>
      </c>
    </row>
    <row r="398" spans="1:15">
      <c r="A398" s="19">
        <v>43270</v>
      </c>
      <c r="B398">
        <v>1215</v>
      </c>
      <c r="C398">
        <v>1190</v>
      </c>
      <c r="D398">
        <v>8600</v>
      </c>
      <c r="E398">
        <v>8513</v>
      </c>
      <c r="F398">
        <v>0.13978620932691099</v>
      </c>
      <c r="G398">
        <v>0.17090173969654701</v>
      </c>
      <c r="H398">
        <v>1.2993201506856501E-2</v>
      </c>
      <c r="I398">
        <v>-2.39475469946465</v>
      </c>
      <c r="J398">
        <v>-22.26</v>
      </c>
      <c r="L398">
        <v>0.18389494120340352</v>
      </c>
      <c r="M398">
        <v>0.1579085381896905</v>
      </c>
      <c r="N398">
        <v>0.19688814271026001</v>
      </c>
      <c r="O398">
        <v>0.14491533668283402</v>
      </c>
    </row>
    <row r="399" spans="1:15">
      <c r="A399" s="19">
        <v>43269</v>
      </c>
      <c r="B399">
        <v>1249</v>
      </c>
      <c r="C399">
        <v>1228</v>
      </c>
      <c r="D399">
        <v>8706</v>
      </c>
      <c r="E399">
        <v>8629</v>
      </c>
      <c r="F399">
        <v>0.14231081237686799</v>
      </c>
      <c r="G399">
        <v>0.17148503877680099</v>
      </c>
      <c r="H399">
        <v>1.25579283070572E-2</v>
      </c>
      <c r="I399">
        <v>-2.3231719186943902</v>
      </c>
      <c r="J399">
        <v>-20.5</v>
      </c>
      <c r="L399">
        <v>0.1840429670838582</v>
      </c>
      <c r="M399">
        <v>0.15892711046974378</v>
      </c>
      <c r="N399">
        <v>0.19660089539091538</v>
      </c>
      <c r="O399">
        <v>0.1463691821626866</v>
      </c>
    </row>
    <row r="400" spans="1:15">
      <c r="A400" s="19">
        <v>43266</v>
      </c>
      <c r="B400">
        <v>1282</v>
      </c>
      <c r="C400">
        <v>1252</v>
      </c>
      <c r="D400">
        <v>8798</v>
      </c>
      <c r="E400">
        <v>8706</v>
      </c>
      <c r="F400">
        <v>0.14380886744773699</v>
      </c>
      <c r="G400">
        <v>0.172024056872015</v>
      </c>
      <c r="H400">
        <v>1.2155274122534299E-2</v>
      </c>
      <c r="I400">
        <v>-2.3212302034365799</v>
      </c>
      <c r="J400">
        <v>-19.62</v>
      </c>
      <c r="L400">
        <v>0.18417933099454931</v>
      </c>
      <c r="M400">
        <v>0.15986878274948069</v>
      </c>
      <c r="N400">
        <v>0.19633460511708359</v>
      </c>
      <c r="O400">
        <v>0.1477135086269464</v>
      </c>
    </row>
    <row r="401" spans="1:15">
      <c r="A401" s="19">
        <v>43265</v>
      </c>
      <c r="B401">
        <v>1280</v>
      </c>
      <c r="C401">
        <v>1269</v>
      </c>
      <c r="D401">
        <v>8719</v>
      </c>
      <c r="E401">
        <v>8709</v>
      </c>
      <c r="F401">
        <v>0.145711333103685</v>
      </c>
      <c r="G401">
        <v>0.17256400979452299</v>
      </c>
      <c r="H401">
        <v>1.1783699705411E-2</v>
      </c>
      <c r="I401">
        <v>-2.2787984556757901</v>
      </c>
      <c r="J401">
        <v>-18.43</v>
      </c>
      <c r="L401">
        <v>0.18434770949993398</v>
      </c>
      <c r="M401">
        <v>0.16078031008911201</v>
      </c>
      <c r="N401">
        <v>0.196131409205345</v>
      </c>
      <c r="O401">
        <v>0.14899661038370099</v>
      </c>
    </row>
    <row r="402" spans="1:15">
      <c r="A402" s="19">
        <v>43264</v>
      </c>
      <c r="B402">
        <v>1274</v>
      </c>
      <c r="C402">
        <v>1289</v>
      </c>
      <c r="D402">
        <v>8670</v>
      </c>
      <c r="E402">
        <v>8682</v>
      </c>
      <c r="F402">
        <v>0.148468094909007</v>
      </c>
      <c r="G402">
        <v>0.17312349616727299</v>
      </c>
      <c r="H402">
        <v>1.14879073587055E-2</v>
      </c>
      <c r="I402">
        <v>-2.1462047428144002</v>
      </c>
      <c r="J402">
        <v>-16.61</v>
      </c>
      <c r="L402">
        <v>0.18461140352597849</v>
      </c>
      <c r="M402">
        <v>0.16163558880856749</v>
      </c>
      <c r="N402">
        <v>0.19609931088468399</v>
      </c>
      <c r="O402">
        <v>0.15014768144986199</v>
      </c>
    </row>
    <row r="403" spans="1:15">
      <c r="A403" s="19">
        <v>43263</v>
      </c>
      <c r="B403">
        <v>1313</v>
      </c>
      <c r="C403">
        <v>1287</v>
      </c>
      <c r="D403">
        <v>8899</v>
      </c>
      <c r="E403">
        <v>8747</v>
      </c>
      <c r="F403">
        <v>0.14713616096947499</v>
      </c>
      <c r="G403">
        <v>0.173695410329225</v>
      </c>
      <c r="H403">
        <v>1.13125955918719E-2</v>
      </c>
      <c r="I403">
        <v>-2.3477591101049402</v>
      </c>
      <c r="J403">
        <v>-18.05</v>
      </c>
      <c r="L403">
        <v>0.1850080059210969</v>
      </c>
      <c r="M403">
        <v>0.16238281473735311</v>
      </c>
      <c r="N403">
        <v>0.19632060151296882</v>
      </c>
      <c r="O403">
        <v>0.15107021914548119</v>
      </c>
    </row>
    <row r="404" spans="1:15">
      <c r="A404" s="19">
        <v>43262</v>
      </c>
      <c r="B404">
        <v>1314</v>
      </c>
      <c r="C404">
        <v>1312</v>
      </c>
      <c r="D404">
        <v>8932</v>
      </c>
      <c r="E404">
        <v>8762</v>
      </c>
      <c r="F404">
        <v>0.14973750285322901</v>
      </c>
      <c r="G404">
        <v>0.17427798050512899</v>
      </c>
      <c r="H404">
        <v>1.1051890273232201E-2</v>
      </c>
      <c r="I404">
        <v>-2.22047785900814</v>
      </c>
      <c r="J404">
        <v>-16.39</v>
      </c>
      <c r="L404">
        <v>0.18532987077836119</v>
      </c>
      <c r="M404">
        <v>0.1632260902318968</v>
      </c>
      <c r="N404">
        <v>0.19638176105159338</v>
      </c>
      <c r="O404">
        <v>0.1521741999586646</v>
      </c>
    </row>
    <row r="405" spans="1:15">
      <c r="A405" s="19">
        <v>43259</v>
      </c>
      <c r="B405">
        <v>1321</v>
      </c>
      <c r="C405">
        <v>1319</v>
      </c>
      <c r="D405">
        <v>9058</v>
      </c>
      <c r="E405">
        <v>8988</v>
      </c>
      <c r="F405">
        <v>0.146751223854027</v>
      </c>
      <c r="G405">
        <v>0.174826920549813</v>
      </c>
      <c r="H405">
        <v>1.0839768428828301E-2</v>
      </c>
      <c r="I405">
        <v>-2.5900642509224099</v>
      </c>
      <c r="J405">
        <v>-19.13</v>
      </c>
      <c r="L405">
        <v>0.1856666889786413</v>
      </c>
      <c r="M405">
        <v>0.16398715212098469</v>
      </c>
      <c r="N405">
        <v>0.19650645740746961</v>
      </c>
      <c r="O405">
        <v>0.15314738369215639</v>
      </c>
    </row>
    <row r="406" spans="1:15">
      <c r="A406" s="19">
        <v>43258</v>
      </c>
      <c r="B406">
        <v>1324</v>
      </c>
      <c r="C406">
        <v>1318</v>
      </c>
      <c r="D406">
        <v>8970</v>
      </c>
      <c r="E406">
        <v>8974</v>
      </c>
      <c r="F406">
        <v>0.14686873189213201</v>
      </c>
      <c r="G406">
        <v>0.175408492810399</v>
      </c>
      <c r="H406">
        <v>1.0482043339816701E-2</v>
      </c>
      <c r="I406">
        <v>-2.7227287650926399</v>
      </c>
      <c r="J406">
        <v>-19.43</v>
      </c>
      <c r="L406">
        <v>0.1858905361502157</v>
      </c>
      <c r="M406">
        <v>0.1649264494705823</v>
      </c>
      <c r="N406">
        <v>0.1963725794900324</v>
      </c>
      <c r="O406">
        <v>0.1544444061307656</v>
      </c>
    </row>
    <row r="407" spans="1:15">
      <c r="A407" s="19">
        <v>43257</v>
      </c>
      <c r="B407">
        <v>1336</v>
      </c>
      <c r="C407">
        <v>1335</v>
      </c>
      <c r="D407">
        <v>8920</v>
      </c>
      <c r="E407">
        <v>8905</v>
      </c>
      <c r="F407">
        <v>0.14991577765300301</v>
      </c>
      <c r="G407">
        <v>0.176049503224464</v>
      </c>
      <c r="H407">
        <v>1.01828702545136E-2</v>
      </c>
      <c r="I407">
        <v>-2.5664400034829602</v>
      </c>
      <c r="J407">
        <v>-17.43</v>
      </c>
      <c r="L407">
        <v>0.18623237347897759</v>
      </c>
      <c r="M407">
        <v>0.16586663296995041</v>
      </c>
      <c r="N407">
        <v>0.1964152437334912</v>
      </c>
      <c r="O407">
        <v>0.1556837627154368</v>
      </c>
    </row>
    <row r="408" spans="1:15">
      <c r="A408" s="19">
        <v>43256</v>
      </c>
      <c r="B408">
        <v>1342</v>
      </c>
      <c r="C408">
        <v>1332</v>
      </c>
      <c r="D408">
        <v>8968</v>
      </c>
      <c r="E408">
        <v>8913</v>
      </c>
      <c r="F408">
        <v>0.149444631437226</v>
      </c>
      <c r="G408">
        <v>0.176620631903843</v>
      </c>
      <c r="H408">
        <v>9.8983491520945304E-3</v>
      </c>
      <c r="I408">
        <v>-2.7455083720567801</v>
      </c>
      <c r="J408">
        <v>-18.18</v>
      </c>
      <c r="L408">
        <v>0.18651898105593753</v>
      </c>
      <c r="M408">
        <v>0.16672228275174847</v>
      </c>
      <c r="N408">
        <v>0.19641733020803206</v>
      </c>
      <c r="O408">
        <v>0.15682393359965394</v>
      </c>
    </row>
    <row r="409" spans="1:15">
      <c r="A409" s="19">
        <v>43255</v>
      </c>
      <c r="B409">
        <v>1309</v>
      </c>
      <c r="C409">
        <v>1331</v>
      </c>
      <c r="D409">
        <v>8809</v>
      </c>
      <c r="E409">
        <v>8890</v>
      </c>
      <c r="F409">
        <v>0.14971878515185599</v>
      </c>
      <c r="G409">
        <v>0.17716637015134601</v>
      </c>
      <c r="H409">
        <v>9.5055135354955404E-3</v>
      </c>
      <c r="I409">
        <v>-2.8875436237080598</v>
      </c>
      <c r="J409">
        <v>-18.329999999999998</v>
      </c>
      <c r="L409">
        <v>0.18667188368684154</v>
      </c>
      <c r="M409">
        <v>0.16766085661585048</v>
      </c>
      <c r="N409">
        <v>0.1961773972223371</v>
      </c>
      <c r="O409">
        <v>0.15815534308035492</v>
      </c>
    </row>
    <row r="410" spans="1:15">
      <c r="A410" s="19">
        <v>43252</v>
      </c>
      <c r="B410">
        <v>1313</v>
      </c>
      <c r="C410">
        <v>1317</v>
      </c>
      <c r="D410">
        <v>8556</v>
      </c>
      <c r="E410">
        <v>8707</v>
      </c>
      <c r="F410">
        <v>0.151257608820489</v>
      </c>
      <c r="G410">
        <v>0.177609611654857</v>
      </c>
      <c r="H410">
        <v>8.9755910189699296E-3</v>
      </c>
      <c r="I410">
        <v>-2.9359629665248099</v>
      </c>
      <c r="J410">
        <v>-17.420000000000002</v>
      </c>
      <c r="L410">
        <v>0.18658520267382694</v>
      </c>
      <c r="M410">
        <v>0.16863402063588706</v>
      </c>
      <c r="N410">
        <v>0.19556079369279686</v>
      </c>
      <c r="O410">
        <v>0.15965842961691715</v>
      </c>
    </row>
    <row r="411" spans="1:15">
      <c r="A411" s="19">
        <v>43251</v>
      </c>
      <c r="B411">
        <v>1338</v>
      </c>
      <c r="C411">
        <v>1320</v>
      </c>
      <c r="D411">
        <v>8589</v>
      </c>
      <c r="E411">
        <v>8559</v>
      </c>
      <c r="F411">
        <v>0.15422362425517</v>
      </c>
      <c r="G411">
        <v>0.17790996960689101</v>
      </c>
      <c r="H411">
        <v>8.4502703794063494E-3</v>
      </c>
      <c r="I411">
        <v>-2.8030281030350999</v>
      </c>
      <c r="J411">
        <v>-15.36</v>
      </c>
      <c r="L411">
        <v>0.18636023998629736</v>
      </c>
      <c r="M411">
        <v>0.16945969922748466</v>
      </c>
      <c r="N411">
        <v>0.19481051036570371</v>
      </c>
      <c r="O411">
        <v>0.16100942884807831</v>
      </c>
    </row>
    <row r="412" spans="1:15">
      <c r="A412" s="19">
        <v>43250</v>
      </c>
      <c r="B412">
        <v>1335</v>
      </c>
      <c r="C412">
        <v>1328</v>
      </c>
      <c r="D412">
        <v>8707</v>
      </c>
      <c r="E412">
        <v>8546</v>
      </c>
      <c r="F412">
        <v>0.15539433653171</v>
      </c>
      <c r="G412">
        <v>0.17812703809832001</v>
      </c>
      <c r="H412">
        <v>8.0380804298669593E-3</v>
      </c>
      <c r="I412">
        <v>-2.8281256656928</v>
      </c>
      <c r="J412">
        <v>-14.63</v>
      </c>
      <c r="L412">
        <v>0.18616511852818696</v>
      </c>
      <c r="M412">
        <v>0.17008895766845306</v>
      </c>
      <c r="N412">
        <v>0.19420319895805394</v>
      </c>
      <c r="O412">
        <v>0.16205087723858608</v>
      </c>
    </row>
    <row r="413" spans="1:15">
      <c r="A413" s="19">
        <v>43249</v>
      </c>
      <c r="B413">
        <v>1391</v>
      </c>
      <c r="C413">
        <v>1377</v>
      </c>
      <c r="D413">
        <v>8955</v>
      </c>
      <c r="E413">
        <v>8767</v>
      </c>
      <c r="F413">
        <v>0.157066271244439</v>
      </c>
      <c r="G413">
        <v>0.17827450825167801</v>
      </c>
      <c r="H413">
        <v>7.7146132785902996E-3</v>
      </c>
      <c r="I413">
        <v>-2.7490991759880399</v>
      </c>
      <c r="J413">
        <v>-13.5</v>
      </c>
      <c r="L413">
        <v>0.18598912153026831</v>
      </c>
      <c r="M413">
        <v>0.17055989497308771</v>
      </c>
      <c r="N413">
        <v>0.19370373480885861</v>
      </c>
      <c r="O413">
        <v>0.16284528169449741</v>
      </c>
    </row>
    <row r="414" spans="1:15">
      <c r="A414" s="19">
        <v>43248</v>
      </c>
      <c r="B414">
        <v>1409</v>
      </c>
      <c r="C414">
        <v>1402</v>
      </c>
      <c r="D414">
        <v>8747</v>
      </c>
      <c r="E414">
        <v>8867</v>
      </c>
      <c r="F414">
        <v>0.158114356603135</v>
      </c>
      <c r="G414">
        <v>0.17836839547552699</v>
      </c>
      <c r="H414">
        <v>7.4956780244938501E-3</v>
      </c>
      <c r="I414">
        <v>-2.70209563513896</v>
      </c>
      <c r="J414">
        <v>-12.81</v>
      </c>
      <c r="L414">
        <v>0.18586407350002085</v>
      </c>
      <c r="M414">
        <v>0.17087271745103313</v>
      </c>
      <c r="N414">
        <v>0.19335975152451468</v>
      </c>
      <c r="O414">
        <v>0.16337703942653931</v>
      </c>
    </row>
    <row r="415" spans="1:15">
      <c r="A415" s="19">
        <v>43245</v>
      </c>
      <c r="B415">
        <v>1396</v>
      </c>
      <c r="C415">
        <v>1399</v>
      </c>
      <c r="D415">
        <v>8490</v>
      </c>
      <c r="E415">
        <v>8658</v>
      </c>
      <c r="F415">
        <v>0.161584661584661</v>
      </c>
      <c r="G415">
        <v>0.17846437117219599</v>
      </c>
      <c r="H415">
        <v>7.27866998884962E-3</v>
      </c>
      <c r="I415">
        <v>-2.3190651057670002</v>
      </c>
      <c r="J415">
        <v>-10.45</v>
      </c>
      <c r="L415">
        <v>0.18574304116104562</v>
      </c>
      <c r="M415">
        <v>0.17118570118334636</v>
      </c>
      <c r="N415">
        <v>0.19302171114989522</v>
      </c>
      <c r="O415">
        <v>0.16390703119449676</v>
      </c>
    </row>
    <row r="416" spans="1:15">
      <c r="A416" s="19">
        <v>43244</v>
      </c>
      <c r="B416">
        <v>1436</v>
      </c>
      <c r="C416">
        <v>1409</v>
      </c>
      <c r="D416">
        <v>8644</v>
      </c>
      <c r="E416">
        <v>8477</v>
      </c>
      <c r="F416">
        <v>0.16621446266367801</v>
      </c>
      <c r="G416">
        <v>0.17848989431648399</v>
      </c>
      <c r="H416">
        <v>7.2225754524317901E-3</v>
      </c>
      <c r="I416">
        <v>-1.6995920269234699</v>
      </c>
      <c r="J416">
        <v>-7.39</v>
      </c>
      <c r="L416">
        <v>0.18571246976891578</v>
      </c>
      <c r="M416">
        <v>0.17126731886405219</v>
      </c>
      <c r="N416">
        <v>0.19293504522134758</v>
      </c>
      <c r="O416">
        <v>0.1640447434116204</v>
      </c>
    </row>
    <row r="417" spans="1:15">
      <c r="A417" s="19">
        <v>43243</v>
      </c>
      <c r="B417">
        <v>1466</v>
      </c>
      <c r="C417">
        <v>1445</v>
      </c>
      <c r="D417">
        <v>8833</v>
      </c>
      <c r="E417">
        <v>8687</v>
      </c>
      <c r="F417">
        <v>0.166340508806262</v>
      </c>
      <c r="G417">
        <v>0.17845766876956401</v>
      </c>
      <c r="H417">
        <v>7.2824178071675101E-3</v>
      </c>
      <c r="I417">
        <v>-1.66389244398697</v>
      </c>
      <c r="J417">
        <v>-7.28</v>
      </c>
      <c r="L417">
        <v>0.18574008657673152</v>
      </c>
      <c r="M417">
        <v>0.1711752509623965</v>
      </c>
      <c r="N417">
        <v>0.19302250438389904</v>
      </c>
      <c r="O417">
        <v>0.16389283315522898</v>
      </c>
    </row>
    <row r="418" spans="1:15">
      <c r="A418" s="19">
        <v>43242</v>
      </c>
      <c r="B418">
        <v>1491</v>
      </c>
      <c r="C418">
        <v>1482</v>
      </c>
      <c r="D418">
        <v>8751</v>
      </c>
      <c r="E418">
        <v>8833</v>
      </c>
      <c r="F418">
        <v>0.167779916223253</v>
      </c>
      <c r="G418">
        <v>0.17830917570782501</v>
      </c>
      <c r="H418">
        <v>7.63308269951689E-3</v>
      </c>
      <c r="I418">
        <v>-1.3794242639659</v>
      </c>
      <c r="J418">
        <v>-6.28</v>
      </c>
      <c r="L418">
        <v>0.18594225840734191</v>
      </c>
      <c r="M418">
        <v>0.17067609300830811</v>
      </c>
      <c r="N418">
        <v>0.19357534110685878</v>
      </c>
      <c r="O418">
        <v>0.16304301030879123</v>
      </c>
    </row>
    <row r="419" spans="1:15">
      <c r="A419" s="19">
        <v>43241</v>
      </c>
      <c r="B419">
        <v>1475</v>
      </c>
      <c r="C419">
        <v>1488</v>
      </c>
      <c r="D419">
        <v>8468</v>
      </c>
      <c r="E419">
        <v>8659</v>
      </c>
      <c r="F419">
        <v>0.17184432382492201</v>
      </c>
      <c r="G419">
        <v>0.178180067190879</v>
      </c>
      <c r="H419">
        <v>7.8877304928490297E-3</v>
      </c>
      <c r="I419">
        <v>-0.80324034545819301</v>
      </c>
      <c r="J419">
        <v>-3.69</v>
      </c>
      <c r="L419">
        <v>0.18606779768372803</v>
      </c>
      <c r="M419">
        <v>0.17029233669802998</v>
      </c>
      <c r="N419">
        <v>0.19395552817657707</v>
      </c>
      <c r="O419">
        <v>0.16240460620518093</v>
      </c>
    </row>
    <row r="420" spans="1:15">
      <c r="A420" s="19">
        <v>43238</v>
      </c>
      <c r="B420">
        <v>1473</v>
      </c>
      <c r="C420">
        <v>1476</v>
      </c>
      <c r="D420">
        <v>8472</v>
      </c>
      <c r="E420">
        <v>8469</v>
      </c>
      <c r="F420">
        <v>0.17428267800212499</v>
      </c>
      <c r="G420">
        <v>0.17798072923458699</v>
      </c>
      <c r="H420">
        <v>8.2269457599230093E-3</v>
      </c>
      <c r="I420">
        <v>-0.44950475430102199</v>
      </c>
      <c r="J420">
        <v>-2.12</v>
      </c>
      <c r="L420">
        <v>0.18620767499450999</v>
      </c>
      <c r="M420">
        <v>0.16975378347466399</v>
      </c>
      <c r="N420">
        <v>0.19443462075443302</v>
      </c>
      <c r="O420">
        <v>0.16152683771474097</v>
      </c>
    </row>
    <row r="421" spans="1:15">
      <c r="A421" s="19">
        <v>43237</v>
      </c>
      <c r="B421">
        <v>1466</v>
      </c>
      <c r="C421">
        <v>1465</v>
      </c>
      <c r="D421">
        <v>8538</v>
      </c>
      <c r="E421">
        <v>8447</v>
      </c>
      <c r="F421">
        <v>0.173434355392447</v>
      </c>
      <c r="G421">
        <v>0.17773693364735399</v>
      </c>
      <c r="H421">
        <v>8.5955836927218508E-3</v>
      </c>
      <c r="I421">
        <v>-0.50055684508673204</v>
      </c>
      <c r="J421">
        <v>-2.48</v>
      </c>
      <c r="L421">
        <v>0.18633251734007583</v>
      </c>
      <c r="M421">
        <v>0.16914134995463215</v>
      </c>
      <c r="N421">
        <v>0.1949281010327977</v>
      </c>
      <c r="O421">
        <v>0.16054576626191028</v>
      </c>
    </row>
    <row r="422" spans="1:15">
      <c r="A422" s="19">
        <v>43236</v>
      </c>
      <c r="B422">
        <v>1473</v>
      </c>
      <c r="C422">
        <v>1465</v>
      </c>
      <c r="D422">
        <v>8451</v>
      </c>
      <c r="E422">
        <v>8459</v>
      </c>
      <c r="F422">
        <v>0.17318832013240301</v>
      </c>
      <c r="G422">
        <v>0.17752179381344099</v>
      </c>
      <c r="H422">
        <v>8.8972170886748199E-3</v>
      </c>
      <c r="I422">
        <v>-0.48705945216889901</v>
      </c>
      <c r="J422">
        <v>-2.5</v>
      </c>
      <c r="L422">
        <v>0.18641901090211582</v>
      </c>
      <c r="M422">
        <v>0.16862457672476616</v>
      </c>
      <c r="N422">
        <v>0.19531622799079063</v>
      </c>
      <c r="O422">
        <v>0.15972735963609136</v>
      </c>
    </row>
    <row r="423" spans="1:15">
      <c r="A423" s="19">
        <v>43235</v>
      </c>
      <c r="B423">
        <v>1484</v>
      </c>
      <c r="C423">
        <v>1475</v>
      </c>
      <c r="D423">
        <v>8580</v>
      </c>
      <c r="E423">
        <v>8531</v>
      </c>
      <c r="F423">
        <v>0.17289883952643301</v>
      </c>
      <c r="G423">
        <v>0.17730908562987499</v>
      </c>
      <c r="H423">
        <v>9.1843407838437495E-3</v>
      </c>
      <c r="I423">
        <v>-0.48019190568371101</v>
      </c>
      <c r="J423">
        <v>-2.5499999999999998</v>
      </c>
      <c r="L423">
        <v>0.18649342641371874</v>
      </c>
      <c r="M423">
        <v>0.16812474484603124</v>
      </c>
      <c r="N423">
        <v>0.1956777671975625</v>
      </c>
      <c r="O423">
        <v>0.15894040406218748</v>
      </c>
    </row>
    <row r="424" spans="1:15">
      <c r="A424" s="19">
        <v>43234</v>
      </c>
      <c r="B424">
        <v>1491</v>
      </c>
      <c r="C424">
        <v>1476</v>
      </c>
      <c r="D424">
        <v>8439</v>
      </c>
      <c r="E424">
        <v>8580</v>
      </c>
      <c r="F424">
        <v>0.17202797202797199</v>
      </c>
      <c r="G424">
        <v>0.17709844232573599</v>
      </c>
      <c r="H424">
        <v>9.4601013616767999E-3</v>
      </c>
      <c r="I424">
        <v>-0.53598477478315298</v>
      </c>
      <c r="J424">
        <v>-2.95</v>
      </c>
      <c r="L424">
        <v>0.18655854368741279</v>
      </c>
      <c r="M424">
        <v>0.16763834096405919</v>
      </c>
      <c r="N424">
        <v>0.19601864504908958</v>
      </c>
      <c r="O424">
        <v>0.15817823960238239</v>
      </c>
    </row>
    <row r="425" spans="1:15">
      <c r="A425" s="19">
        <v>43231</v>
      </c>
      <c r="B425">
        <v>1493</v>
      </c>
      <c r="C425">
        <v>1495</v>
      </c>
      <c r="D425">
        <v>8387</v>
      </c>
      <c r="E425">
        <v>8431</v>
      </c>
      <c r="F425">
        <v>0.17732178863717199</v>
      </c>
      <c r="G425">
        <v>0.176876736032029</v>
      </c>
      <c r="H425">
        <v>9.7662275468490996E-3</v>
      </c>
      <c r="I425">
        <v>4.5570575025776501E-2</v>
      </c>
      <c r="J425">
        <v>0.25</v>
      </c>
      <c r="L425">
        <v>0.18664296357887811</v>
      </c>
      <c r="M425">
        <v>0.16711050848517989</v>
      </c>
      <c r="N425">
        <v>0.19640919112572719</v>
      </c>
      <c r="O425">
        <v>0.1573442809383308</v>
      </c>
    </row>
    <row r="426" spans="1:15">
      <c r="A426" s="19">
        <v>43230</v>
      </c>
      <c r="B426">
        <v>1593</v>
      </c>
      <c r="C426">
        <v>1478</v>
      </c>
      <c r="D426">
        <v>8307</v>
      </c>
      <c r="E426">
        <v>8382</v>
      </c>
      <c r="F426">
        <v>0.17633023144834101</v>
      </c>
      <c r="G426">
        <v>0.17658814272802201</v>
      </c>
      <c r="H426">
        <v>1.00640694121209E-2</v>
      </c>
      <c r="I426">
        <v>-2.5626937684931499E-2</v>
      </c>
      <c r="J426">
        <v>-0.15</v>
      </c>
      <c r="L426">
        <v>0.18665221214014291</v>
      </c>
      <c r="M426">
        <v>0.16652407331590111</v>
      </c>
      <c r="N426">
        <v>0.19671628155226381</v>
      </c>
      <c r="O426">
        <v>0.1564600039037802</v>
      </c>
    </row>
    <row r="427" spans="1:15">
      <c r="A427" s="19">
        <v>43229</v>
      </c>
      <c r="B427">
        <v>1591</v>
      </c>
      <c r="C427">
        <v>1595</v>
      </c>
      <c r="D427">
        <v>8447</v>
      </c>
      <c r="E427">
        <v>8239</v>
      </c>
      <c r="F427">
        <v>0.193591455273698</v>
      </c>
      <c r="G427">
        <v>0.176310123320886</v>
      </c>
      <c r="H427">
        <v>1.03512664118557E-2</v>
      </c>
      <c r="I427">
        <v>1.66948963201434</v>
      </c>
      <c r="J427">
        <v>8.93</v>
      </c>
      <c r="L427">
        <v>0.18666138973274171</v>
      </c>
      <c r="M427">
        <v>0.16595885690903028</v>
      </c>
      <c r="N427">
        <v>0.1970126561445974</v>
      </c>
      <c r="O427">
        <v>0.1556075904971746</v>
      </c>
    </row>
    <row r="428" spans="1:15">
      <c r="A428" s="19">
        <v>43228</v>
      </c>
      <c r="B428">
        <v>1590</v>
      </c>
      <c r="C428">
        <v>1587</v>
      </c>
      <c r="D428">
        <v>8362</v>
      </c>
      <c r="E428">
        <v>8475</v>
      </c>
      <c r="F428">
        <v>0.187256637168141</v>
      </c>
      <c r="G428">
        <v>0.17578478435908201</v>
      </c>
      <c r="H428">
        <v>1.04601241957377E-2</v>
      </c>
      <c r="I428">
        <v>1.0967224283754899</v>
      </c>
      <c r="J428">
        <v>6.13</v>
      </c>
      <c r="L428">
        <v>0.1862449085548197</v>
      </c>
      <c r="M428">
        <v>0.16532466016334432</v>
      </c>
      <c r="N428">
        <v>0.19670503275055742</v>
      </c>
      <c r="O428">
        <v>0.1548645359676066</v>
      </c>
    </row>
    <row r="429" spans="1:15">
      <c r="A429" s="19">
        <v>43227</v>
      </c>
      <c r="B429">
        <v>1557</v>
      </c>
      <c r="C429">
        <v>1581</v>
      </c>
      <c r="D429">
        <v>8780</v>
      </c>
      <c r="E429">
        <v>8476</v>
      </c>
      <c r="F429">
        <v>0.18652666352052799</v>
      </c>
      <c r="G429">
        <v>0.175341698773303</v>
      </c>
      <c r="H429">
        <v>1.0666593215950799E-2</v>
      </c>
      <c r="I429">
        <v>1.0485976657006599</v>
      </c>
      <c r="J429">
        <v>6</v>
      </c>
      <c r="L429">
        <v>0.18600829198925378</v>
      </c>
      <c r="M429">
        <v>0.16467510555735221</v>
      </c>
      <c r="N429">
        <v>0.1966748852052046</v>
      </c>
      <c r="O429">
        <v>0.15400851234140139</v>
      </c>
    </row>
    <row r="430" spans="1:15">
      <c r="A430" s="19">
        <v>43222</v>
      </c>
      <c r="B430">
        <v>1577</v>
      </c>
      <c r="C430">
        <v>1584</v>
      </c>
      <c r="D430">
        <v>8364</v>
      </c>
      <c r="E430">
        <v>8646</v>
      </c>
      <c r="F430">
        <v>0.18320610687022901</v>
      </c>
      <c r="G430">
        <v>0.174951598662447</v>
      </c>
      <c r="H430">
        <v>1.07847521065258E-2</v>
      </c>
      <c r="I430">
        <v>0.76538692092763705</v>
      </c>
      <c r="J430">
        <v>4.51</v>
      </c>
      <c r="L430">
        <v>0.1857363507689728</v>
      </c>
      <c r="M430">
        <v>0.1641668465559212</v>
      </c>
      <c r="N430">
        <v>0.19652110287549859</v>
      </c>
      <c r="O430">
        <v>0.15338209444939541</v>
      </c>
    </row>
    <row r="431" spans="1:15">
      <c r="A431" s="19">
        <v>43221</v>
      </c>
      <c r="B431">
        <v>1543</v>
      </c>
      <c r="C431">
        <v>1567</v>
      </c>
      <c r="D431">
        <v>7975</v>
      </c>
      <c r="E431">
        <v>8230</v>
      </c>
      <c r="F431">
        <v>0.19040097205346199</v>
      </c>
      <c r="G431">
        <v>0.17460997968228201</v>
      </c>
      <c r="H431">
        <v>1.09227810419715E-2</v>
      </c>
      <c r="I431">
        <v>1.44569339168314</v>
      </c>
      <c r="J431">
        <v>8.2899999999999991</v>
      </c>
      <c r="L431">
        <v>0.18553276072425351</v>
      </c>
      <c r="M431">
        <v>0.16368719864031051</v>
      </c>
      <c r="N431">
        <v>0.19645554176622501</v>
      </c>
      <c r="O431">
        <v>0.152764417598339</v>
      </c>
    </row>
    <row r="432" spans="1:15">
      <c r="A432" s="19">
        <v>43217</v>
      </c>
      <c r="B432">
        <v>1530</v>
      </c>
      <c r="C432">
        <v>1547</v>
      </c>
      <c r="D432">
        <v>8384</v>
      </c>
      <c r="E432">
        <v>8150</v>
      </c>
      <c r="F432">
        <v>0.189815950920245</v>
      </c>
      <c r="G432">
        <v>0.174141661500686</v>
      </c>
      <c r="H432">
        <v>1.09884735084962E-2</v>
      </c>
      <c r="I432">
        <v>1.4264301049130901</v>
      </c>
      <c r="J432">
        <v>8.26</v>
      </c>
      <c r="L432">
        <v>0.18513013500918218</v>
      </c>
      <c r="M432">
        <v>0.16315318799218981</v>
      </c>
      <c r="N432">
        <v>0.1961186085176784</v>
      </c>
      <c r="O432">
        <v>0.15216471448369359</v>
      </c>
    </row>
    <row r="433" spans="1:15">
      <c r="A433" s="19">
        <v>43216</v>
      </c>
      <c r="B433">
        <v>1519</v>
      </c>
      <c r="C433">
        <v>1517</v>
      </c>
      <c r="D433">
        <v>8337</v>
      </c>
      <c r="E433">
        <v>8360</v>
      </c>
      <c r="F433">
        <v>0.18145933014353999</v>
      </c>
      <c r="G433">
        <v>0.173644210095795</v>
      </c>
      <c r="H433">
        <v>1.1111437354317501E-2</v>
      </c>
      <c r="I433">
        <v>0.70334015290183605</v>
      </c>
      <c r="J433">
        <v>4.3099999999999996</v>
      </c>
      <c r="L433">
        <v>0.1847556474501125</v>
      </c>
      <c r="M433">
        <v>0.16253277274147751</v>
      </c>
      <c r="N433">
        <v>0.19586708480442999</v>
      </c>
      <c r="O433">
        <v>0.15142133538716002</v>
      </c>
    </row>
    <row r="434" spans="1:15">
      <c r="A434" s="19">
        <v>43215</v>
      </c>
      <c r="B434">
        <v>1515</v>
      </c>
      <c r="C434">
        <v>1518</v>
      </c>
      <c r="D434">
        <v>8335</v>
      </c>
      <c r="E434">
        <v>8319</v>
      </c>
      <c r="F434">
        <v>0.182473855030652</v>
      </c>
      <c r="G434">
        <v>0.173277984299712</v>
      </c>
      <c r="H434">
        <v>1.1298885858881899E-2</v>
      </c>
      <c r="I434">
        <v>0.81387411518206099</v>
      </c>
      <c r="J434">
        <v>5.04</v>
      </c>
      <c r="L434">
        <v>0.18457687015859389</v>
      </c>
      <c r="M434">
        <v>0.16197909844083011</v>
      </c>
      <c r="N434">
        <v>0.19587575601747581</v>
      </c>
      <c r="O434">
        <v>0.15068021258194819</v>
      </c>
    </row>
    <row r="435" spans="1:15">
      <c r="A435" s="19">
        <v>43214</v>
      </c>
      <c r="B435">
        <v>1521</v>
      </c>
      <c r="C435">
        <v>1519</v>
      </c>
      <c r="D435">
        <v>8400</v>
      </c>
      <c r="E435">
        <v>8406</v>
      </c>
      <c r="F435">
        <v>0.18070425886271699</v>
      </c>
      <c r="G435">
        <v>0.172901743899461</v>
      </c>
      <c r="H435">
        <v>1.14551434540506E-2</v>
      </c>
      <c r="I435">
        <v>0.68113638162219803</v>
      </c>
      <c r="J435">
        <v>4.32</v>
      </c>
      <c r="L435">
        <v>0.18435688735351161</v>
      </c>
      <c r="M435">
        <v>0.1614466004454104</v>
      </c>
      <c r="N435">
        <v>0.19581203080756221</v>
      </c>
      <c r="O435">
        <v>0.1499914569913598</v>
      </c>
    </row>
    <row r="436" spans="1:15">
      <c r="A436" s="19">
        <v>43213</v>
      </c>
      <c r="B436">
        <v>1513</v>
      </c>
      <c r="C436">
        <v>1511</v>
      </c>
      <c r="D436">
        <v>8380</v>
      </c>
      <c r="E436">
        <v>8432</v>
      </c>
      <c r="F436">
        <v>0.17919829222011299</v>
      </c>
      <c r="G436">
        <v>0.172521478441237</v>
      </c>
      <c r="H436">
        <v>1.16613374997222E-2</v>
      </c>
      <c r="I436">
        <v>0.57255986108240098</v>
      </c>
      <c r="J436">
        <v>3.73</v>
      </c>
      <c r="L436">
        <v>0.1841828159409592</v>
      </c>
      <c r="M436">
        <v>0.1608601409415148</v>
      </c>
      <c r="N436">
        <v>0.1958441534406814</v>
      </c>
      <c r="O436">
        <v>0.14919880344179259</v>
      </c>
    </row>
    <row r="437" spans="1:15">
      <c r="A437" s="19">
        <v>43210</v>
      </c>
      <c r="B437">
        <v>1509</v>
      </c>
      <c r="C437">
        <v>1510</v>
      </c>
      <c r="D437">
        <v>8600</v>
      </c>
      <c r="E437">
        <v>8401</v>
      </c>
      <c r="F437">
        <v>0.17974050708249001</v>
      </c>
      <c r="G437">
        <v>0.17216613391226901</v>
      </c>
      <c r="H437">
        <v>1.1856880454981801E-2</v>
      </c>
      <c r="I437">
        <v>0.63881669373149497</v>
      </c>
      <c r="J437">
        <v>4.21</v>
      </c>
      <c r="L437">
        <v>0.1840230143672508</v>
      </c>
      <c r="M437">
        <v>0.16030925345728722</v>
      </c>
      <c r="N437">
        <v>0.19587989482223261</v>
      </c>
      <c r="O437">
        <v>0.1484523730023054</v>
      </c>
    </row>
    <row r="438" spans="1:15">
      <c r="A438" s="19">
        <v>43209</v>
      </c>
      <c r="B438">
        <v>1492</v>
      </c>
      <c r="C438">
        <v>1506</v>
      </c>
      <c r="D438">
        <v>8567</v>
      </c>
      <c r="E438">
        <v>8653</v>
      </c>
      <c r="F438">
        <v>0.17404368427135</v>
      </c>
      <c r="G438">
        <v>0.17178252270893399</v>
      </c>
      <c r="H438">
        <v>1.2069136025623799E-2</v>
      </c>
      <c r="I438">
        <v>0.187350739739408</v>
      </c>
      <c r="J438">
        <v>1.3</v>
      </c>
      <c r="L438">
        <v>0.18385165873455778</v>
      </c>
      <c r="M438">
        <v>0.1597133866833102</v>
      </c>
      <c r="N438">
        <v>0.19592079476018159</v>
      </c>
      <c r="O438">
        <v>0.14764425065768638</v>
      </c>
    </row>
    <row r="439" spans="1:15">
      <c r="A439" s="19">
        <v>43208</v>
      </c>
      <c r="B439">
        <v>1458</v>
      </c>
      <c r="C439">
        <v>1486</v>
      </c>
      <c r="D439">
        <v>8450</v>
      </c>
      <c r="E439">
        <v>8496</v>
      </c>
      <c r="F439">
        <v>0.17490583804143101</v>
      </c>
      <c r="G439">
        <v>0.17146690303113901</v>
      </c>
      <c r="H439">
        <v>1.23129313338584E-2</v>
      </c>
      <c r="I439">
        <v>0.27929458201679203</v>
      </c>
      <c r="J439">
        <v>1.97</v>
      </c>
      <c r="L439">
        <v>0.18377983436499742</v>
      </c>
      <c r="M439">
        <v>0.1591539716972806</v>
      </c>
      <c r="N439">
        <v>0.19609276569885581</v>
      </c>
      <c r="O439">
        <v>0.14684104036342221</v>
      </c>
    </row>
    <row r="440" spans="1:15">
      <c r="A440" s="19">
        <v>43207</v>
      </c>
      <c r="B440">
        <v>1457</v>
      </c>
      <c r="C440">
        <v>1453</v>
      </c>
      <c r="D440">
        <v>8444</v>
      </c>
      <c r="E440">
        <v>8432</v>
      </c>
      <c r="F440">
        <v>0.172319734345351</v>
      </c>
      <c r="G440">
        <v>0.171093504221008</v>
      </c>
      <c r="H440">
        <v>1.2623694516049199E-2</v>
      </c>
      <c r="I440">
        <v>9.7137183000060495E-2</v>
      </c>
      <c r="J440">
        <v>0.71</v>
      </c>
      <c r="L440">
        <v>0.18371719873705719</v>
      </c>
      <c r="M440">
        <v>0.1584698097049588</v>
      </c>
      <c r="N440">
        <v>0.19634089325310639</v>
      </c>
      <c r="O440">
        <v>0.14584611518890961</v>
      </c>
    </row>
    <row r="441" spans="1:15">
      <c r="A441" s="19">
        <v>43206</v>
      </c>
      <c r="B441">
        <v>1463</v>
      </c>
      <c r="C441">
        <v>1460</v>
      </c>
      <c r="D441">
        <v>8319</v>
      </c>
      <c r="E441">
        <v>8444</v>
      </c>
      <c r="F441">
        <v>0.17290383704405399</v>
      </c>
      <c r="G441">
        <v>0.170748959406263</v>
      </c>
      <c r="H441">
        <v>1.29343459187433E-2</v>
      </c>
      <c r="I441">
        <v>0.16660120668870401</v>
      </c>
      <c r="J441">
        <v>1.25</v>
      </c>
      <c r="L441">
        <v>0.18368330532500629</v>
      </c>
      <c r="M441">
        <v>0.15781461348751971</v>
      </c>
      <c r="N441">
        <v>0.19661765124374961</v>
      </c>
      <c r="O441">
        <v>0.14488026756877639</v>
      </c>
    </row>
    <row r="442" spans="1:15">
      <c r="A442" s="19">
        <v>43203</v>
      </c>
      <c r="B442">
        <v>1443</v>
      </c>
      <c r="C442">
        <v>1458</v>
      </c>
      <c r="D442">
        <v>8255</v>
      </c>
      <c r="E442">
        <v>8315</v>
      </c>
      <c r="F442">
        <v>0.17534576067348101</v>
      </c>
      <c r="G442">
        <v>0.17041589212452199</v>
      </c>
      <c r="H442">
        <v>1.31935957236601E-2</v>
      </c>
      <c r="I442">
        <v>0.37365617775584797</v>
      </c>
      <c r="J442">
        <v>2.81</v>
      </c>
      <c r="L442">
        <v>0.1836094878481821</v>
      </c>
      <c r="M442">
        <v>0.15722229640086188</v>
      </c>
      <c r="N442">
        <v>0.19680308357184217</v>
      </c>
      <c r="O442">
        <v>0.1440287006772018</v>
      </c>
    </row>
    <row r="443" spans="1:15">
      <c r="A443" s="19">
        <v>43202</v>
      </c>
      <c r="B443">
        <v>1434</v>
      </c>
      <c r="C443">
        <v>1430</v>
      </c>
      <c r="D443">
        <v>8217</v>
      </c>
      <c r="E443">
        <v>8223</v>
      </c>
      <c r="F443">
        <v>0.173902468685394</v>
      </c>
      <c r="G443">
        <v>0.17001792310609201</v>
      </c>
      <c r="H443">
        <v>1.34858136334892E-2</v>
      </c>
      <c r="I443">
        <v>0.288046808659424</v>
      </c>
      <c r="J443">
        <v>2.23</v>
      </c>
      <c r="L443">
        <v>0.1835037367395812</v>
      </c>
      <c r="M443">
        <v>0.15653210947260282</v>
      </c>
      <c r="N443">
        <v>0.19698955037307042</v>
      </c>
      <c r="O443">
        <v>0.1430462958391136</v>
      </c>
    </row>
    <row r="444" spans="1:15">
      <c r="A444" s="19">
        <v>43201</v>
      </c>
      <c r="B444">
        <v>1450</v>
      </c>
      <c r="C444">
        <v>1439</v>
      </c>
      <c r="D444">
        <v>8319</v>
      </c>
      <c r="E444">
        <v>8217</v>
      </c>
      <c r="F444">
        <v>0.175124741389801</v>
      </c>
      <c r="G444">
        <v>0.16966548858386099</v>
      </c>
      <c r="H444">
        <v>1.3722996038351301E-2</v>
      </c>
      <c r="I444">
        <v>0.39781785192413199</v>
      </c>
      <c r="J444">
        <v>3.12</v>
      </c>
      <c r="L444">
        <v>0.1833884846222123</v>
      </c>
      <c r="M444">
        <v>0.15594249254550968</v>
      </c>
      <c r="N444">
        <v>0.19711148066056358</v>
      </c>
      <c r="O444">
        <v>0.1422194965071584</v>
      </c>
    </row>
    <row r="445" spans="1:15">
      <c r="A445" s="19">
        <v>43200</v>
      </c>
      <c r="B445">
        <v>1413</v>
      </c>
      <c r="C445">
        <v>1444</v>
      </c>
      <c r="D445">
        <v>8074</v>
      </c>
      <c r="E445">
        <v>8259</v>
      </c>
      <c r="F445">
        <v>0.17483956895507899</v>
      </c>
      <c r="G445">
        <v>0.16932464977299</v>
      </c>
      <c r="H445">
        <v>1.3899490308247201E-2</v>
      </c>
      <c r="I445">
        <v>0.396771324687821</v>
      </c>
      <c r="J445">
        <v>3.15</v>
      </c>
      <c r="L445">
        <v>0.18322414008123719</v>
      </c>
      <c r="M445">
        <v>0.15542515946474281</v>
      </c>
      <c r="N445">
        <v>0.19712363038948441</v>
      </c>
      <c r="O445">
        <v>0.14152566915649559</v>
      </c>
    </row>
    <row r="446" spans="1:15">
      <c r="A446" s="19">
        <v>43199</v>
      </c>
      <c r="B446">
        <v>1406</v>
      </c>
      <c r="C446">
        <v>1415</v>
      </c>
      <c r="D446">
        <v>8053</v>
      </c>
      <c r="E446">
        <v>8059</v>
      </c>
      <c r="F446">
        <v>0.17558009678620101</v>
      </c>
      <c r="G446">
        <v>0.16896558430449399</v>
      </c>
      <c r="H446">
        <v>1.4098796740810699E-2</v>
      </c>
      <c r="I446">
        <v>0.46915439688273303</v>
      </c>
      <c r="J446">
        <v>3.77</v>
      </c>
      <c r="L446">
        <v>0.18306438104530467</v>
      </c>
      <c r="M446">
        <v>0.1548667875636833</v>
      </c>
      <c r="N446">
        <v>0.19716317778611539</v>
      </c>
      <c r="O446">
        <v>0.14076799082287259</v>
      </c>
    </row>
    <row r="447" spans="1:15">
      <c r="A447" s="19">
        <v>43196</v>
      </c>
      <c r="B447">
        <v>1412</v>
      </c>
      <c r="C447">
        <v>1414</v>
      </c>
      <c r="D447">
        <v>8063</v>
      </c>
      <c r="E447">
        <v>8071</v>
      </c>
      <c r="F447">
        <v>0.175195143104943</v>
      </c>
      <c r="G447">
        <v>0.16862846891651501</v>
      </c>
      <c r="H447">
        <v>1.4238195943717301E-2</v>
      </c>
      <c r="I447">
        <v>0.46120127959933899</v>
      </c>
      <c r="J447">
        <v>3.75</v>
      </c>
      <c r="L447">
        <v>0.18286666486023231</v>
      </c>
      <c r="M447">
        <v>0.1543902729727977</v>
      </c>
      <c r="N447">
        <v>0.19710486080394962</v>
      </c>
      <c r="O447">
        <v>0.14015207702908039</v>
      </c>
    </row>
    <row r="448" spans="1:15">
      <c r="A448" s="19">
        <v>43195</v>
      </c>
      <c r="B448">
        <v>1423</v>
      </c>
      <c r="C448">
        <v>1403</v>
      </c>
      <c r="D448">
        <v>8070</v>
      </c>
      <c r="E448">
        <v>8079</v>
      </c>
      <c r="F448">
        <v>0.17366010644881699</v>
      </c>
      <c r="G448">
        <v>0.168325094109254</v>
      </c>
      <c r="H448">
        <v>1.43371050408201E-2</v>
      </c>
      <c r="I448">
        <v>0.37211224472257998</v>
      </c>
      <c r="J448">
        <v>3.07</v>
      </c>
      <c r="L448">
        <v>0.18266219915007409</v>
      </c>
      <c r="M448">
        <v>0.15398798906843392</v>
      </c>
      <c r="N448">
        <v>0.1969993041908942</v>
      </c>
      <c r="O448">
        <v>0.1396508840276138</v>
      </c>
    </row>
    <row r="449" spans="1:15">
      <c r="A449" s="19">
        <v>43194</v>
      </c>
      <c r="B449">
        <v>1407</v>
      </c>
      <c r="C449">
        <v>1399</v>
      </c>
      <c r="D449">
        <v>7935</v>
      </c>
      <c r="E449">
        <v>7881</v>
      </c>
      <c r="F449">
        <v>0.17751554371272599</v>
      </c>
      <c r="G449">
        <v>0.16805743478821</v>
      </c>
      <c r="H449">
        <v>1.4422139969119001E-2</v>
      </c>
      <c r="I449">
        <v>0.65580482125175299</v>
      </c>
      <c r="J449">
        <v>5.33</v>
      </c>
      <c r="L449">
        <v>0.18247957475732901</v>
      </c>
      <c r="M449">
        <v>0.153635294819091</v>
      </c>
      <c r="N449">
        <v>0.19690171472644802</v>
      </c>
      <c r="O449">
        <v>0.13921315484997199</v>
      </c>
    </row>
    <row r="450" spans="1:15">
      <c r="A450" s="19">
        <v>43193</v>
      </c>
      <c r="B450">
        <v>1385</v>
      </c>
      <c r="C450">
        <v>1393</v>
      </c>
      <c r="D450">
        <v>7830</v>
      </c>
      <c r="E450">
        <v>7885</v>
      </c>
      <c r="F450">
        <v>0.17666455294863601</v>
      </c>
      <c r="G450">
        <v>0.167721129977732</v>
      </c>
      <c r="H450">
        <v>1.4491582892180801E-2</v>
      </c>
      <c r="I450">
        <v>0.61714603832062198</v>
      </c>
      <c r="J450">
        <v>5.0599999999999996</v>
      </c>
      <c r="L450">
        <v>0.18221271286991281</v>
      </c>
      <c r="M450">
        <v>0.1532295470855512</v>
      </c>
      <c r="N450">
        <v>0.19670429576209361</v>
      </c>
      <c r="O450">
        <v>0.13873796419337039</v>
      </c>
    </row>
    <row r="451" spans="1:15">
      <c r="A451" s="19">
        <v>43192</v>
      </c>
      <c r="B451">
        <v>1429</v>
      </c>
      <c r="C451">
        <v>1408</v>
      </c>
      <c r="D451">
        <v>7974</v>
      </c>
      <c r="E451">
        <v>7934</v>
      </c>
      <c r="F451">
        <v>0.177464078648853</v>
      </c>
      <c r="G451">
        <v>0.16735914265676299</v>
      </c>
      <c r="H451">
        <v>1.4602319678667999E-2</v>
      </c>
      <c r="I451">
        <v>0.69200895573129295</v>
      </c>
      <c r="J451">
        <v>5.69</v>
      </c>
      <c r="L451">
        <v>0.18196146233543098</v>
      </c>
      <c r="M451">
        <v>0.15275682297809501</v>
      </c>
      <c r="N451">
        <v>0.19656378201409899</v>
      </c>
      <c r="O451">
        <v>0.138154503299427</v>
      </c>
    </row>
    <row r="452" spans="1:15">
      <c r="A452" s="19">
        <v>43189</v>
      </c>
      <c r="B452">
        <v>1441</v>
      </c>
      <c r="C452">
        <v>1431</v>
      </c>
      <c r="D452">
        <v>8019</v>
      </c>
      <c r="E452">
        <v>7978</v>
      </c>
      <c r="F452">
        <v>0.17936826272248599</v>
      </c>
      <c r="G452">
        <v>0.166941081742598</v>
      </c>
      <c r="H452">
        <v>1.4755071233635101E-2</v>
      </c>
      <c r="I452">
        <v>0.84223117483568199</v>
      </c>
      <c r="J452">
        <v>6.93</v>
      </c>
      <c r="L452">
        <v>0.18169615297623309</v>
      </c>
      <c r="M452">
        <v>0.15218601050896291</v>
      </c>
      <c r="N452">
        <v>0.19645122420986821</v>
      </c>
      <c r="O452">
        <v>0.13743093927532779</v>
      </c>
    </row>
    <row r="453" spans="1:15">
      <c r="A453" s="19">
        <v>43188</v>
      </c>
      <c r="B453">
        <v>1443</v>
      </c>
      <c r="C453">
        <v>1417</v>
      </c>
      <c r="D453">
        <v>7964</v>
      </c>
      <c r="E453">
        <v>7912</v>
      </c>
      <c r="F453">
        <v>0.17909504550050501</v>
      </c>
      <c r="G453">
        <v>0.166548515297193</v>
      </c>
      <c r="H453">
        <v>1.48107785488322E-2</v>
      </c>
      <c r="I453">
        <v>0.84712158526608305</v>
      </c>
      <c r="J453">
        <v>7.01</v>
      </c>
      <c r="L453">
        <v>0.1813592938460252</v>
      </c>
      <c r="M453">
        <v>0.1517377367483608</v>
      </c>
      <c r="N453">
        <v>0.1961700723948574</v>
      </c>
      <c r="O453">
        <v>0.1369269581995286</v>
      </c>
    </row>
    <row r="454" spans="1:15">
      <c r="A454" s="19">
        <v>43187</v>
      </c>
      <c r="B454">
        <v>1410</v>
      </c>
      <c r="C454">
        <v>1419</v>
      </c>
      <c r="D454">
        <v>7651</v>
      </c>
      <c r="E454">
        <v>7816</v>
      </c>
      <c r="F454">
        <v>0.181550665301944</v>
      </c>
      <c r="G454">
        <v>0.166170591367197</v>
      </c>
      <c r="H454">
        <v>1.4847392161116401E-2</v>
      </c>
      <c r="I454">
        <v>1.03587712696281</v>
      </c>
      <c r="J454">
        <v>8.4700000000000006</v>
      </c>
      <c r="L454">
        <v>0.18101798352831341</v>
      </c>
      <c r="M454">
        <v>0.15132319920608059</v>
      </c>
      <c r="N454">
        <v>0.1958653756894298</v>
      </c>
      <c r="O454">
        <v>0.1364758070449642</v>
      </c>
    </row>
    <row r="455" spans="1:15">
      <c r="A455" s="19">
        <v>43186</v>
      </c>
      <c r="B455">
        <v>1412</v>
      </c>
      <c r="C455">
        <v>1444</v>
      </c>
      <c r="D455">
        <v>7800</v>
      </c>
      <c r="E455">
        <v>7846</v>
      </c>
      <c r="F455">
        <v>0.18404282436910499</v>
      </c>
      <c r="G455">
        <v>0.16570172690371601</v>
      </c>
      <c r="H455">
        <v>1.4909407139690601E-2</v>
      </c>
      <c r="I455">
        <v>1.2301694690838501</v>
      </c>
      <c r="J455">
        <v>9.9700000000000006</v>
      </c>
      <c r="L455">
        <v>0.18061113404340662</v>
      </c>
      <c r="M455">
        <v>0.15079231976402541</v>
      </c>
      <c r="N455">
        <v>0.19552054118309722</v>
      </c>
      <c r="O455">
        <v>0.1358829126243348</v>
      </c>
    </row>
    <row r="456" spans="1:15">
      <c r="A456" s="19">
        <v>43185</v>
      </c>
      <c r="B456">
        <v>1391</v>
      </c>
      <c r="C456">
        <v>1397</v>
      </c>
      <c r="D456">
        <v>7510</v>
      </c>
      <c r="E456">
        <v>7763</v>
      </c>
      <c r="F456">
        <v>0.17995620249903299</v>
      </c>
      <c r="G456">
        <v>0.16512902581593</v>
      </c>
      <c r="H456">
        <v>1.50184384001206E-2</v>
      </c>
      <c r="I456">
        <v>0.98726487322302603</v>
      </c>
      <c r="J456">
        <v>8.24</v>
      </c>
      <c r="L456">
        <v>0.1801474642160506</v>
      </c>
      <c r="M456">
        <v>0.1501105874158094</v>
      </c>
      <c r="N456">
        <v>0.1951659026161712</v>
      </c>
      <c r="O456">
        <v>0.13509214901568881</v>
      </c>
    </row>
    <row r="457" spans="1:15">
      <c r="A457" s="19">
        <v>43182</v>
      </c>
      <c r="B457">
        <v>1416</v>
      </c>
      <c r="C457">
        <v>1391</v>
      </c>
      <c r="D457">
        <v>7897</v>
      </c>
      <c r="E457">
        <v>7660</v>
      </c>
      <c r="F457">
        <v>0.18159268929503899</v>
      </c>
      <c r="G457">
        <v>0.16458845101662101</v>
      </c>
      <c r="H457">
        <v>1.52035344005477E-2</v>
      </c>
      <c r="I457">
        <v>1.1184398200069501</v>
      </c>
      <c r="J457">
        <v>9.36</v>
      </c>
      <c r="L457">
        <v>0.1797919854171687</v>
      </c>
      <c r="M457">
        <v>0.14938491661607331</v>
      </c>
      <c r="N457">
        <v>0.1949955198177164</v>
      </c>
      <c r="O457">
        <v>0.13418138221552561</v>
      </c>
    </row>
    <row r="458" spans="1:15">
      <c r="A458" s="19">
        <v>43181</v>
      </c>
      <c r="B458">
        <v>1464</v>
      </c>
      <c r="C458">
        <v>1476</v>
      </c>
      <c r="D458">
        <v>8070</v>
      </c>
      <c r="E458">
        <v>8100</v>
      </c>
      <c r="F458">
        <v>0.18222222222222201</v>
      </c>
      <c r="G458">
        <v>0.16406748714484701</v>
      </c>
      <c r="H458">
        <v>1.52811687697555E-2</v>
      </c>
      <c r="I458">
        <v>1.1880462385381101</v>
      </c>
      <c r="J458">
        <v>9.9600000000000009</v>
      </c>
      <c r="L458">
        <v>0.1793486559146025</v>
      </c>
      <c r="M458">
        <v>0.14878631837509151</v>
      </c>
      <c r="N458">
        <v>0.19462982468435802</v>
      </c>
      <c r="O458">
        <v>0.13350514960533599</v>
      </c>
    </row>
    <row r="459" spans="1:15">
      <c r="A459" s="19">
        <v>43179</v>
      </c>
      <c r="B459">
        <v>1437</v>
      </c>
      <c r="C459">
        <v>1463</v>
      </c>
      <c r="D459">
        <v>8088</v>
      </c>
      <c r="E459">
        <v>8088</v>
      </c>
      <c r="F459">
        <v>0.18088526211671599</v>
      </c>
      <c r="G459">
        <v>0.163323667299478</v>
      </c>
      <c r="H459">
        <v>1.5730487713635801E-2</v>
      </c>
      <c r="I459">
        <v>1.11640497973972</v>
      </c>
      <c r="J459">
        <v>9.7100000000000009</v>
      </c>
      <c r="L459">
        <v>0.17905415501311381</v>
      </c>
      <c r="M459">
        <v>0.1475931795858422</v>
      </c>
      <c r="N459">
        <v>0.19478464272674961</v>
      </c>
      <c r="O459">
        <v>0.13186269187220639</v>
      </c>
    </row>
    <row r="460" spans="1:15">
      <c r="A460" s="19">
        <v>43178</v>
      </c>
      <c r="B460">
        <v>1483</v>
      </c>
      <c r="C460">
        <v>1467</v>
      </c>
      <c r="D460">
        <v>8400</v>
      </c>
      <c r="E460">
        <v>8308</v>
      </c>
      <c r="F460">
        <v>0.17657679345209401</v>
      </c>
      <c r="G460">
        <v>0.162628912626925</v>
      </c>
      <c r="H460">
        <v>1.6086169950235499E-2</v>
      </c>
      <c r="I460">
        <v>0.86707282518575202</v>
      </c>
      <c r="J460">
        <v>7.9</v>
      </c>
      <c r="L460">
        <v>0.17871508257716051</v>
      </c>
      <c r="M460">
        <v>0.14654274267668949</v>
      </c>
      <c r="N460">
        <v>0.194801252527396</v>
      </c>
      <c r="O460">
        <v>0.130456572726454</v>
      </c>
    </row>
    <row r="461" spans="1:15">
      <c r="A461" s="19">
        <v>43175</v>
      </c>
      <c r="B461">
        <v>1520</v>
      </c>
      <c r="C461">
        <v>1500</v>
      </c>
      <c r="D461">
        <v>8697</v>
      </c>
      <c r="E461">
        <v>8500</v>
      </c>
      <c r="F461">
        <v>0.17647058823529399</v>
      </c>
      <c r="G461">
        <v>0.16198570711764301</v>
      </c>
      <c r="H461">
        <v>1.64753434652932E-2</v>
      </c>
      <c r="I461">
        <v>0.879185380757876</v>
      </c>
      <c r="J461">
        <v>8.2100000000000009</v>
      </c>
      <c r="L461">
        <v>0.17846105058293621</v>
      </c>
      <c r="M461">
        <v>0.14551036365234982</v>
      </c>
      <c r="N461">
        <v>0.19493639404822941</v>
      </c>
      <c r="O461">
        <v>0.12903502018705662</v>
      </c>
    </row>
    <row r="462" spans="1:15">
      <c r="A462" s="19">
        <v>43174</v>
      </c>
      <c r="B462">
        <v>1520</v>
      </c>
      <c r="C462">
        <v>1519</v>
      </c>
      <c r="D462">
        <v>8563</v>
      </c>
      <c r="E462">
        <v>8620</v>
      </c>
      <c r="F462">
        <v>0.17621809744779501</v>
      </c>
      <c r="G462">
        <v>0.161341080343717</v>
      </c>
      <c r="H462">
        <v>1.6837829137844901E-2</v>
      </c>
      <c r="I462">
        <v>0.883547218723154</v>
      </c>
      <c r="J462">
        <v>8.44</v>
      </c>
      <c r="L462">
        <v>0.1781789094815619</v>
      </c>
      <c r="M462">
        <v>0.1445032512058721</v>
      </c>
      <c r="N462">
        <v>0.1950167386194068</v>
      </c>
      <c r="O462">
        <v>0.1276654220680272</v>
      </c>
    </row>
    <row r="463" spans="1:15">
      <c r="A463" s="19">
        <v>43173</v>
      </c>
      <c r="B463">
        <v>1520</v>
      </c>
      <c r="C463">
        <v>1526</v>
      </c>
      <c r="D463">
        <v>8684</v>
      </c>
      <c r="E463">
        <v>8602</v>
      </c>
      <c r="F463">
        <v>0.17740060451057801</v>
      </c>
      <c r="G463">
        <v>0.16070501678202401</v>
      </c>
      <c r="H463">
        <v>1.7161751668640399E-2</v>
      </c>
      <c r="I463">
        <v>0.97283704198227905</v>
      </c>
      <c r="J463">
        <v>9.41</v>
      </c>
      <c r="L463">
        <v>0.1778667684506644</v>
      </c>
      <c r="M463">
        <v>0.14354326511338361</v>
      </c>
      <c r="N463">
        <v>0.1950285201193048</v>
      </c>
      <c r="O463">
        <v>0.12638151344474322</v>
      </c>
    </row>
    <row r="464" spans="1:15">
      <c r="A464" s="19">
        <v>43172</v>
      </c>
      <c r="B464">
        <v>1526</v>
      </c>
      <c r="C464">
        <v>1542</v>
      </c>
      <c r="D464">
        <v>8630</v>
      </c>
      <c r="E464">
        <v>8820</v>
      </c>
      <c r="F464">
        <v>0.17482993197278901</v>
      </c>
      <c r="G464">
        <v>0.159994308360872</v>
      </c>
      <c r="H464">
        <v>1.75548343421085E-2</v>
      </c>
      <c r="I464">
        <v>0.845101886056006</v>
      </c>
      <c r="J464">
        <v>8.49</v>
      </c>
      <c r="L464">
        <v>0.1775491427029805</v>
      </c>
      <c r="M464">
        <v>0.1424394740187635</v>
      </c>
      <c r="N464">
        <v>0.195103977045089</v>
      </c>
      <c r="O464">
        <v>0.124884639676655</v>
      </c>
    </row>
    <row r="465" spans="1:15">
      <c r="A465" s="19">
        <v>43171</v>
      </c>
      <c r="B465">
        <v>1540</v>
      </c>
      <c r="C465">
        <v>1537</v>
      </c>
      <c r="D465">
        <v>8863</v>
      </c>
      <c r="E465">
        <v>8703</v>
      </c>
      <c r="F465">
        <v>0.17660576812593301</v>
      </c>
      <c r="G465">
        <v>0.15930191477501501</v>
      </c>
      <c r="H465">
        <v>1.79751017930131E-2</v>
      </c>
      <c r="I465">
        <v>0.96265676546233803</v>
      </c>
      <c r="J465">
        <v>9.8000000000000007</v>
      </c>
      <c r="L465">
        <v>0.17727701656802811</v>
      </c>
      <c r="M465">
        <v>0.14132681298200192</v>
      </c>
      <c r="N465">
        <v>0.19525211836104123</v>
      </c>
      <c r="O465">
        <v>0.12335171118898881</v>
      </c>
    </row>
    <row r="466" spans="1:15">
      <c r="A466" s="19">
        <v>43168</v>
      </c>
      <c r="B466">
        <v>1516</v>
      </c>
      <c r="C466">
        <v>1502</v>
      </c>
      <c r="D466">
        <v>8712</v>
      </c>
      <c r="E466">
        <v>8618</v>
      </c>
      <c r="F466">
        <v>0.17428637734973301</v>
      </c>
      <c r="G466">
        <v>0.15856851423471499</v>
      </c>
      <c r="H466">
        <v>1.8371875891193101E-2</v>
      </c>
      <c r="I466">
        <v>0.85553936942019904</v>
      </c>
      <c r="J466">
        <v>9.02</v>
      </c>
      <c r="L466">
        <v>0.17694039012590809</v>
      </c>
      <c r="M466">
        <v>0.14019663834352189</v>
      </c>
      <c r="N466">
        <v>0.19531226601710119</v>
      </c>
      <c r="O466">
        <v>0.12182476245232879</v>
      </c>
    </row>
    <row r="467" spans="1:15">
      <c r="A467" s="19">
        <v>43167</v>
      </c>
      <c r="B467">
        <v>1517</v>
      </c>
      <c r="C467">
        <v>1503</v>
      </c>
      <c r="D467">
        <v>8549</v>
      </c>
      <c r="E467">
        <v>8605</v>
      </c>
      <c r="F467">
        <v>0.17466589192330001</v>
      </c>
      <c r="G467">
        <v>0.15785168803400601</v>
      </c>
      <c r="H467">
        <v>1.8788720470300401E-2</v>
      </c>
      <c r="I467">
        <v>0.89490947059817605</v>
      </c>
      <c r="J467">
        <v>9.6300000000000008</v>
      </c>
      <c r="L467">
        <v>0.1766404085043064</v>
      </c>
      <c r="M467">
        <v>0.13906296756370562</v>
      </c>
      <c r="N467">
        <v>0.19542912897460682</v>
      </c>
      <c r="O467">
        <v>0.1202742470934052</v>
      </c>
    </row>
    <row r="468" spans="1:15">
      <c r="A468" s="19">
        <v>43166</v>
      </c>
      <c r="B468">
        <v>1505</v>
      </c>
      <c r="C468">
        <v>1500</v>
      </c>
      <c r="D468">
        <v>8484</v>
      </c>
      <c r="E468">
        <v>8467</v>
      </c>
      <c r="F468">
        <v>0.177158379591354</v>
      </c>
      <c r="G468">
        <v>0.157095985732392</v>
      </c>
      <c r="H468">
        <v>1.9231830735382802E-2</v>
      </c>
      <c r="I468">
        <v>1.0431868985853501</v>
      </c>
      <c r="J468">
        <v>11.32</v>
      </c>
      <c r="L468">
        <v>0.17632781646777479</v>
      </c>
      <c r="M468">
        <v>0.13786415499700921</v>
      </c>
      <c r="N468">
        <v>0.1955596472031576</v>
      </c>
      <c r="O468">
        <v>0.1186323242616264</v>
      </c>
    </row>
    <row r="469" spans="1:15">
      <c r="A469" s="19">
        <v>43165</v>
      </c>
      <c r="B469">
        <v>1520</v>
      </c>
      <c r="C469">
        <v>1507</v>
      </c>
      <c r="D469">
        <v>8518</v>
      </c>
      <c r="E469">
        <v>8657</v>
      </c>
      <c r="F469">
        <v>0.17407878017789</v>
      </c>
      <c r="G469">
        <v>0.15628316977915499</v>
      </c>
      <c r="H469">
        <v>1.9650414985972399E-2</v>
      </c>
      <c r="I469">
        <v>0.90560990245950201</v>
      </c>
      <c r="J469">
        <v>10.220000000000001</v>
      </c>
      <c r="L469">
        <v>0.17593358476512738</v>
      </c>
      <c r="M469">
        <v>0.1366327547931826</v>
      </c>
      <c r="N469">
        <v>0.1955839997510998</v>
      </c>
      <c r="O469">
        <v>0.11698233980721019</v>
      </c>
    </row>
    <row r="470" spans="1:15">
      <c r="A470" s="19">
        <v>43164</v>
      </c>
      <c r="B470">
        <v>1520</v>
      </c>
      <c r="C470">
        <v>1484</v>
      </c>
      <c r="D470">
        <v>8366</v>
      </c>
      <c r="E470">
        <v>8302</v>
      </c>
      <c r="F470">
        <v>0.17875210792580101</v>
      </c>
      <c r="G470">
        <v>0.15553976835880101</v>
      </c>
      <c r="H470">
        <v>2.00143954377838E-2</v>
      </c>
      <c r="I470">
        <v>1.15978219972501</v>
      </c>
      <c r="J470">
        <v>12.99</v>
      </c>
      <c r="L470">
        <v>0.17555416379658481</v>
      </c>
      <c r="M470">
        <v>0.13552537292101721</v>
      </c>
      <c r="N470">
        <v>0.19556855923436861</v>
      </c>
      <c r="O470">
        <v>0.11551097748323341</v>
      </c>
    </row>
    <row r="471" spans="1:15">
      <c r="A471" s="19">
        <v>43161</v>
      </c>
      <c r="B471">
        <v>1540</v>
      </c>
      <c r="C471">
        <v>1527</v>
      </c>
      <c r="D471">
        <v>8564</v>
      </c>
      <c r="E471">
        <v>8505</v>
      </c>
      <c r="F471">
        <v>0.17954144620811199</v>
      </c>
      <c r="G471">
        <v>0.15474007314260499</v>
      </c>
      <c r="H471">
        <v>2.0267568956212699E-2</v>
      </c>
      <c r="I471">
        <v>1.22369748039788</v>
      </c>
      <c r="J471">
        <v>13.81</v>
      </c>
      <c r="L471">
        <v>0.1750076420988177</v>
      </c>
      <c r="M471">
        <v>0.13447250418639228</v>
      </c>
      <c r="N471">
        <v>0.19527521105503037</v>
      </c>
      <c r="O471">
        <v>0.11420493523017959</v>
      </c>
    </row>
    <row r="472" spans="1:15">
      <c r="A472" s="19">
        <v>43160</v>
      </c>
      <c r="B472">
        <v>1612</v>
      </c>
      <c r="C472">
        <v>1577</v>
      </c>
      <c r="D472">
        <v>8809</v>
      </c>
      <c r="E472">
        <v>8784</v>
      </c>
      <c r="F472">
        <v>0.179530965391621</v>
      </c>
      <c r="G472">
        <v>0.15393429388315</v>
      </c>
      <c r="H472">
        <v>2.04658794889945E-2</v>
      </c>
      <c r="I472">
        <v>1.2506998060960499</v>
      </c>
      <c r="J472">
        <v>14.26</v>
      </c>
      <c r="L472">
        <v>0.1744001733721445</v>
      </c>
      <c r="M472">
        <v>0.13346841439415549</v>
      </c>
      <c r="N472">
        <v>0.19486605286113901</v>
      </c>
      <c r="O472">
        <v>0.11300253490516099</v>
      </c>
    </row>
    <row r="473" spans="1:15">
      <c r="A473" s="19">
        <v>43159</v>
      </c>
      <c r="B473">
        <v>1643</v>
      </c>
      <c r="C473">
        <v>1634</v>
      </c>
      <c r="D473">
        <v>8972</v>
      </c>
      <c r="E473">
        <v>8903</v>
      </c>
      <c r="F473">
        <v>0.18353364034594999</v>
      </c>
      <c r="G473">
        <v>0.153166992024864</v>
      </c>
      <c r="H473">
        <v>2.05703459989671E-2</v>
      </c>
      <c r="I473">
        <v>1.47623420250738</v>
      </c>
      <c r="J473">
        <v>16.55</v>
      </c>
      <c r="L473">
        <v>0.17373733802383109</v>
      </c>
      <c r="M473">
        <v>0.13259664602589691</v>
      </c>
      <c r="N473">
        <v>0.19430768402279819</v>
      </c>
      <c r="O473">
        <v>0.1120263000269298</v>
      </c>
    </row>
    <row r="474" spans="1:15">
      <c r="A474" s="19">
        <v>43158</v>
      </c>
      <c r="B474">
        <v>1648</v>
      </c>
      <c r="C474">
        <v>1645</v>
      </c>
      <c r="D474">
        <v>8980</v>
      </c>
      <c r="E474">
        <v>9002</v>
      </c>
      <c r="F474">
        <v>0.18273716951788399</v>
      </c>
      <c r="G474">
        <v>0.15230139158276701</v>
      </c>
      <c r="H474">
        <v>2.0640104441844598E-2</v>
      </c>
      <c r="I474">
        <v>1.4745941824505999</v>
      </c>
      <c r="J474">
        <v>16.66</v>
      </c>
      <c r="L474">
        <v>0.17294149602461162</v>
      </c>
      <c r="M474">
        <v>0.1316612871409224</v>
      </c>
      <c r="N474">
        <v>0.1935816004664562</v>
      </c>
      <c r="O474">
        <v>0.11102118269907782</v>
      </c>
    </row>
    <row r="475" spans="1:15">
      <c r="A475" s="19">
        <v>43157</v>
      </c>
      <c r="B475">
        <v>1651</v>
      </c>
      <c r="C475">
        <v>1637</v>
      </c>
      <c r="D475">
        <v>8827</v>
      </c>
      <c r="E475">
        <v>8882</v>
      </c>
      <c r="F475">
        <v>0.18430533663589199</v>
      </c>
      <c r="G475">
        <v>0.151474314679409</v>
      </c>
      <c r="H475">
        <v>2.0646757918365601E-2</v>
      </c>
      <c r="I475">
        <v>1.5901296506837701</v>
      </c>
      <c r="J475">
        <v>17.809999999999999</v>
      </c>
      <c r="L475">
        <v>0.17212107259777459</v>
      </c>
      <c r="M475">
        <v>0.13082755676104341</v>
      </c>
      <c r="N475">
        <v>0.19276783051614022</v>
      </c>
      <c r="O475">
        <v>0.1101807988426778</v>
      </c>
    </row>
    <row r="476" spans="1:15">
      <c r="A476" s="19">
        <v>43154</v>
      </c>
      <c r="B476">
        <v>1636</v>
      </c>
      <c r="C476">
        <v>1629</v>
      </c>
      <c r="D476">
        <v>8518</v>
      </c>
      <c r="E476">
        <v>8680</v>
      </c>
      <c r="F476">
        <v>0.18767281105990699</v>
      </c>
      <c r="G476">
        <v>0.15064594958889399</v>
      </c>
      <c r="H476">
        <v>2.0559047475645201E-2</v>
      </c>
      <c r="I476">
        <v>1.8010008252997101</v>
      </c>
      <c r="J476">
        <v>19.73</v>
      </c>
      <c r="L476">
        <v>0.17120499706453918</v>
      </c>
      <c r="M476">
        <v>0.1300869021132488</v>
      </c>
      <c r="N476">
        <v>0.19176404454018439</v>
      </c>
      <c r="O476">
        <v>0.10952785463760359</v>
      </c>
    </row>
    <row r="477" spans="1:15">
      <c r="A477" s="19">
        <v>43153</v>
      </c>
      <c r="B477">
        <v>1623</v>
      </c>
      <c r="C477">
        <v>1626</v>
      </c>
      <c r="D477">
        <v>8499</v>
      </c>
      <c r="E477">
        <v>8497</v>
      </c>
      <c r="F477">
        <v>0.19136165705543101</v>
      </c>
      <c r="G477">
        <v>0.14976538002868101</v>
      </c>
      <c r="H477">
        <v>2.03677387647801E-2</v>
      </c>
      <c r="I477">
        <v>2.0422628897164699</v>
      </c>
      <c r="J477">
        <v>21.74</v>
      </c>
      <c r="L477">
        <v>0.1701331187934611</v>
      </c>
      <c r="M477">
        <v>0.12939764126390091</v>
      </c>
      <c r="N477">
        <v>0.1905008575582412</v>
      </c>
      <c r="O477">
        <v>0.10902990249912081</v>
      </c>
    </row>
    <row r="478" spans="1:15">
      <c r="A478" s="19">
        <v>43152</v>
      </c>
      <c r="B478">
        <v>1600</v>
      </c>
      <c r="C478">
        <v>1623</v>
      </c>
      <c r="D478">
        <v>8449</v>
      </c>
      <c r="E478">
        <v>8505</v>
      </c>
      <c r="F478">
        <v>0.190828924162257</v>
      </c>
      <c r="G478">
        <v>0.14893243799172401</v>
      </c>
      <c r="H478">
        <v>1.9922119548134502E-2</v>
      </c>
      <c r="I478">
        <v>2.1030134905728999</v>
      </c>
      <c r="J478">
        <v>21.95</v>
      </c>
      <c r="L478">
        <v>0.16885455753985851</v>
      </c>
      <c r="M478">
        <v>0.12901031844358951</v>
      </c>
      <c r="N478">
        <v>0.18877667708799301</v>
      </c>
      <c r="O478">
        <v>0.10908819889545501</v>
      </c>
    </row>
    <row r="479" spans="1:15">
      <c r="A479" s="19">
        <v>43151</v>
      </c>
      <c r="B479">
        <v>1609</v>
      </c>
      <c r="C479">
        <v>1600</v>
      </c>
      <c r="D479">
        <v>8452</v>
      </c>
      <c r="E479">
        <v>8381</v>
      </c>
      <c r="F479">
        <v>0.19090800620451001</v>
      </c>
      <c r="G479">
        <v>0.148181609206707</v>
      </c>
      <c r="H479">
        <v>1.93828201673725E-2</v>
      </c>
      <c r="I479">
        <v>2.2043436728430699</v>
      </c>
      <c r="J479">
        <v>22.38</v>
      </c>
      <c r="L479">
        <v>0.1675644293740795</v>
      </c>
      <c r="M479">
        <v>0.1287987890393345</v>
      </c>
      <c r="N479">
        <v>0.186947249541452</v>
      </c>
      <c r="O479">
        <v>0.109415968871962</v>
      </c>
    </row>
    <row r="480" spans="1:15">
      <c r="A480" s="19">
        <v>43150</v>
      </c>
      <c r="B480">
        <v>1586</v>
      </c>
      <c r="C480">
        <v>1609</v>
      </c>
      <c r="D480">
        <v>8260</v>
      </c>
      <c r="E480">
        <v>8452</v>
      </c>
      <c r="F480">
        <v>0.190369143398012</v>
      </c>
      <c r="G480">
        <v>0.14742529813511299</v>
      </c>
      <c r="H480">
        <v>1.87987579319044E-2</v>
      </c>
      <c r="I480">
        <v>2.28439801280786</v>
      </c>
      <c r="J480">
        <v>22.56</v>
      </c>
      <c r="L480">
        <v>0.1662240560670174</v>
      </c>
      <c r="M480">
        <v>0.12862654020320857</v>
      </c>
      <c r="N480">
        <v>0.18502281399892179</v>
      </c>
      <c r="O480">
        <v>0.10982778227130419</v>
      </c>
    </row>
    <row r="481" spans="1:15">
      <c r="A481" s="19">
        <v>43147</v>
      </c>
      <c r="B481">
        <v>1587</v>
      </c>
      <c r="C481">
        <v>1581</v>
      </c>
      <c r="D481">
        <v>8200</v>
      </c>
      <c r="E481">
        <v>8110</v>
      </c>
      <c r="F481">
        <v>0.19494451294697901</v>
      </c>
      <c r="G481">
        <v>0.146694817910485</v>
      </c>
      <c r="H481">
        <v>1.81697699723651E-2</v>
      </c>
      <c r="I481">
        <v>2.6554928934091202</v>
      </c>
      <c r="J481">
        <v>24.75</v>
      </c>
      <c r="L481">
        <v>0.16486458788285011</v>
      </c>
      <c r="M481">
        <v>0.12852504793811989</v>
      </c>
      <c r="N481">
        <v>0.18303435785521521</v>
      </c>
      <c r="O481">
        <v>0.1103552779657548</v>
      </c>
    </row>
    <row r="482" spans="1:15">
      <c r="A482" s="19">
        <v>43146</v>
      </c>
      <c r="B482">
        <v>1554</v>
      </c>
      <c r="C482">
        <v>1574</v>
      </c>
      <c r="D482">
        <v>8165</v>
      </c>
      <c r="E482">
        <v>8166</v>
      </c>
      <c r="F482">
        <v>0.192750428606416</v>
      </c>
      <c r="G482">
        <v>0.14589671571966101</v>
      </c>
      <c r="H482">
        <v>1.7328004274470499E-2</v>
      </c>
      <c r="I482">
        <v>2.7039301320917102</v>
      </c>
      <c r="J482">
        <v>24.31</v>
      </c>
      <c r="L482">
        <v>0.16322471999413152</v>
      </c>
      <c r="M482">
        <v>0.1285687114451905</v>
      </c>
      <c r="N482">
        <v>0.180552724268602</v>
      </c>
      <c r="O482">
        <v>0.11124070717072002</v>
      </c>
    </row>
    <row r="483" spans="1:15">
      <c r="A483" s="19">
        <v>43145</v>
      </c>
      <c r="B483">
        <v>1525</v>
      </c>
      <c r="C483">
        <v>1523</v>
      </c>
      <c r="D483">
        <v>8200</v>
      </c>
      <c r="E483">
        <v>8000</v>
      </c>
      <c r="F483">
        <v>0.19037499999999999</v>
      </c>
      <c r="G483">
        <v>0.145141802458682</v>
      </c>
      <c r="H483">
        <v>1.64830492356841E-2</v>
      </c>
      <c r="I483">
        <v>2.7442251063226699</v>
      </c>
      <c r="J483">
        <v>23.76</v>
      </c>
      <c r="L483">
        <v>0.16162485169436611</v>
      </c>
      <c r="M483">
        <v>0.12865875322299788</v>
      </c>
      <c r="N483">
        <v>0.17810790093005019</v>
      </c>
      <c r="O483">
        <v>0.1121757039873138</v>
      </c>
    </row>
    <row r="484" spans="1:15">
      <c r="A484" s="19">
        <v>43144</v>
      </c>
      <c r="B484">
        <v>1505</v>
      </c>
      <c r="C484">
        <v>1527</v>
      </c>
      <c r="D484">
        <v>8591</v>
      </c>
      <c r="E484">
        <v>8346</v>
      </c>
      <c r="F484">
        <v>0.18296189791516801</v>
      </c>
      <c r="G484">
        <v>0.144403999878817</v>
      </c>
      <c r="H484">
        <v>1.5659714821485E-2</v>
      </c>
      <c r="I484">
        <v>2.4622350072077901</v>
      </c>
      <c r="J484">
        <v>21.07</v>
      </c>
      <c r="L484">
        <v>0.16006371470030201</v>
      </c>
      <c r="M484">
        <v>0.12874428505733199</v>
      </c>
      <c r="N484">
        <v>0.17572342952178699</v>
      </c>
      <c r="O484">
        <v>0.113084570235847</v>
      </c>
    </row>
    <row r="485" spans="1:15">
      <c r="A485" s="19">
        <v>43140</v>
      </c>
      <c r="B485">
        <v>1434</v>
      </c>
      <c r="C485">
        <v>1469</v>
      </c>
      <c r="D485">
        <v>8451</v>
      </c>
      <c r="E485">
        <v>8453</v>
      </c>
      <c r="F485">
        <v>0.17378445522299699</v>
      </c>
      <c r="G485">
        <v>0.14375982774078799</v>
      </c>
      <c r="H485">
        <v>1.50418647138855E-2</v>
      </c>
      <c r="I485">
        <v>1.9960708365162201</v>
      </c>
      <c r="J485">
        <v>17.28</v>
      </c>
      <c r="L485">
        <v>0.15880169245467349</v>
      </c>
      <c r="M485">
        <v>0.1287179630269025</v>
      </c>
      <c r="N485">
        <v>0.17384355716855898</v>
      </c>
      <c r="O485">
        <v>0.11367609831301699</v>
      </c>
    </row>
    <row r="486" spans="1:15">
      <c r="A486" s="19">
        <v>43139</v>
      </c>
      <c r="B486">
        <v>1450</v>
      </c>
      <c r="C486">
        <v>1496</v>
      </c>
      <c r="D486">
        <v>8640</v>
      </c>
      <c r="E486">
        <v>8774</v>
      </c>
      <c r="F486">
        <v>0.170503761112377</v>
      </c>
      <c r="G486">
        <v>0.14325338428612</v>
      </c>
      <c r="H486">
        <v>1.46569447676465E-2</v>
      </c>
      <c r="I486">
        <v>1.85921262979778</v>
      </c>
      <c r="J486">
        <v>15.98</v>
      </c>
      <c r="L486">
        <v>0.15791032905376651</v>
      </c>
      <c r="M486">
        <v>0.12859643951847349</v>
      </c>
      <c r="N486">
        <v>0.17256727382141301</v>
      </c>
      <c r="O486">
        <v>0.113939494750827</v>
      </c>
    </row>
    <row r="487" spans="1:15">
      <c r="A487" s="19">
        <v>43138</v>
      </c>
      <c r="B487">
        <v>1480</v>
      </c>
      <c r="C487">
        <v>1439</v>
      </c>
      <c r="D487">
        <v>9044</v>
      </c>
      <c r="E487">
        <v>8645</v>
      </c>
      <c r="F487">
        <v>0.16645459803354501</v>
      </c>
      <c r="G487">
        <v>0.14281888969351</v>
      </c>
      <c r="H487">
        <v>1.43218671248267E-2</v>
      </c>
      <c r="I487">
        <v>1.65032311318279</v>
      </c>
      <c r="J487">
        <v>14.2</v>
      </c>
      <c r="L487">
        <v>0.1571407568183367</v>
      </c>
      <c r="M487">
        <v>0.12849702256868331</v>
      </c>
      <c r="N487">
        <v>0.17146262394316342</v>
      </c>
      <c r="O487">
        <v>0.1141751554438566</v>
      </c>
    </row>
    <row r="488" spans="1:15">
      <c r="A488" s="19">
        <v>43137</v>
      </c>
      <c r="B488">
        <v>1456</v>
      </c>
      <c r="C488">
        <v>1443</v>
      </c>
      <c r="D488">
        <v>8871</v>
      </c>
      <c r="E488">
        <v>8793</v>
      </c>
      <c r="F488">
        <v>0.16410781303309399</v>
      </c>
      <c r="G488">
        <v>0.14242858154985599</v>
      </c>
      <c r="H488">
        <v>1.40690672088484E-2</v>
      </c>
      <c r="I488">
        <v>1.5409146293368201</v>
      </c>
      <c r="J488">
        <v>13.21</v>
      </c>
      <c r="L488">
        <v>0.15649764875870439</v>
      </c>
      <c r="M488">
        <v>0.12835951434100759</v>
      </c>
      <c r="N488">
        <v>0.1705667159675528</v>
      </c>
      <c r="O488">
        <v>0.11429044713215919</v>
      </c>
    </row>
    <row r="489" spans="1:15">
      <c r="A489" s="19">
        <v>43136</v>
      </c>
      <c r="B489">
        <v>1526</v>
      </c>
      <c r="C489">
        <v>1526</v>
      </c>
      <c r="D489">
        <v>9399</v>
      </c>
      <c r="E489">
        <v>9231</v>
      </c>
      <c r="F489">
        <v>0.16531253385332001</v>
      </c>
      <c r="G489">
        <v>0.14210045428381801</v>
      </c>
      <c r="H489">
        <v>1.38448168429705E-2</v>
      </c>
      <c r="I489">
        <v>1.6765898626739599</v>
      </c>
      <c r="J489">
        <v>14.04</v>
      </c>
      <c r="L489">
        <v>0.15594527112678852</v>
      </c>
      <c r="M489">
        <v>0.1282556374408475</v>
      </c>
      <c r="N489">
        <v>0.169790087969759</v>
      </c>
      <c r="O489">
        <v>0.11441082059787701</v>
      </c>
    </row>
    <row r="490" spans="1:15">
      <c r="A490" s="19">
        <v>43133</v>
      </c>
      <c r="B490">
        <v>1573</v>
      </c>
      <c r="C490">
        <v>1557</v>
      </c>
      <c r="D490">
        <v>9730</v>
      </c>
      <c r="E490">
        <v>9523</v>
      </c>
      <c r="F490">
        <v>0.16349889740627899</v>
      </c>
      <c r="G490">
        <v>0.14175730756677099</v>
      </c>
      <c r="H490">
        <v>1.35816836641218E-2</v>
      </c>
      <c r="I490">
        <v>1.6008022552418999</v>
      </c>
      <c r="J490">
        <v>13.3</v>
      </c>
      <c r="L490">
        <v>0.15533899123089279</v>
      </c>
      <c r="M490">
        <v>0.12817562390264919</v>
      </c>
      <c r="N490">
        <v>0.16892067489501458</v>
      </c>
      <c r="O490">
        <v>0.1145939402385274</v>
      </c>
    </row>
    <row r="491" spans="1:15">
      <c r="A491" s="19">
        <v>43132</v>
      </c>
      <c r="B491">
        <v>1565</v>
      </c>
      <c r="C491">
        <v>1589</v>
      </c>
      <c r="D491">
        <v>10150</v>
      </c>
      <c r="E491">
        <v>9701</v>
      </c>
      <c r="F491">
        <v>0.163797546644675</v>
      </c>
      <c r="G491">
        <v>0.14145468042592399</v>
      </c>
      <c r="H491">
        <v>1.3344665473626199E-2</v>
      </c>
      <c r="I491">
        <v>1.6742919680458399</v>
      </c>
      <c r="J491">
        <v>13.64</v>
      </c>
      <c r="L491">
        <v>0.15479934589955019</v>
      </c>
      <c r="M491">
        <v>0.12811001495229779</v>
      </c>
      <c r="N491">
        <v>0.16814401137317639</v>
      </c>
      <c r="O491">
        <v>0.11476534947867159</v>
      </c>
    </row>
    <row r="492" spans="1:15">
      <c r="A492" s="19">
        <v>43131</v>
      </c>
      <c r="B492">
        <v>1563</v>
      </c>
      <c r="C492">
        <v>1548</v>
      </c>
      <c r="D492">
        <v>9883</v>
      </c>
      <c r="E492">
        <v>9974</v>
      </c>
      <c r="F492">
        <v>0.155203529175857</v>
      </c>
      <c r="G492">
        <v>0.14114245143020801</v>
      </c>
      <c r="H492">
        <v>1.30897650562516E-2</v>
      </c>
      <c r="I492">
        <v>1.07420398190669</v>
      </c>
      <c r="J492">
        <v>9.06</v>
      </c>
      <c r="L492">
        <v>0.1542322164864596</v>
      </c>
      <c r="M492">
        <v>0.12805268637395642</v>
      </c>
      <c r="N492">
        <v>0.16732198154271122</v>
      </c>
      <c r="O492">
        <v>0.1149629213177048</v>
      </c>
    </row>
    <row r="493" spans="1:15">
      <c r="A493" s="19">
        <v>43130</v>
      </c>
      <c r="B493">
        <v>1576</v>
      </c>
      <c r="C493">
        <v>1565</v>
      </c>
      <c r="D493">
        <v>10000</v>
      </c>
      <c r="E493">
        <v>9899</v>
      </c>
      <c r="F493">
        <v>0.158096777452267</v>
      </c>
      <c r="G493">
        <v>0.14092245272801099</v>
      </c>
      <c r="H493">
        <v>1.29898679462287E-2</v>
      </c>
      <c r="I493">
        <v>1.3221323569530901</v>
      </c>
      <c r="J493">
        <v>10.86</v>
      </c>
      <c r="L493">
        <v>0.15391232067423968</v>
      </c>
      <c r="M493">
        <v>0.12793258478178229</v>
      </c>
      <c r="N493">
        <v>0.16690218862046838</v>
      </c>
      <c r="O493">
        <v>0.11494271683555358</v>
      </c>
    </row>
    <row r="494" spans="1:15">
      <c r="A494" s="19">
        <v>43129</v>
      </c>
      <c r="B494">
        <v>1569</v>
      </c>
      <c r="C494">
        <v>1576</v>
      </c>
      <c r="D494">
        <v>10060</v>
      </c>
      <c r="E494">
        <v>10045</v>
      </c>
      <c r="F494">
        <v>0.15689397710303599</v>
      </c>
      <c r="G494">
        <v>0.140691299637587</v>
      </c>
      <c r="H494">
        <v>1.2835529688262799E-2</v>
      </c>
      <c r="I494">
        <v>1.2623302550781801</v>
      </c>
      <c r="J494">
        <v>10.33</v>
      </c>
      <c r="L494">
        <v>0.1535268293258498</v>
      </c>
      <c r="M494">
        <v>0.12785576994932421</v>
      </c>
      <c r="N494">
        <v>0.16636235901411262</v>
      </c>
      <c r="O494">
        <v>0.1150202402610614</v>
      </c>
    </row>
    <row r="495" spans="1:15">
      <c r="A495" s="19">
        <v>43126</v>
      </c>
      <c r="B495">
        <v>1575</v>
      </c>
      <c r="C495">
        <v>1567</v>
      </c>
      <c r="D495">
        <v>10065</v>
      </c>
      <c r="E495">
        <v>10045</v>
      </c>
      <c r="F495">
        <v>0.15599800895968099</v>
      </c>
      <c r="G495">
        <v>0.14048385063865801</v>
      </c>
      <c r="H495">
        <v>1.26969665821216E-2</v>
      </c>
      <c r="I495">
        <v>1.2218791174002299</v>
      </c>
      <c r="J495">
        <v>9.9499999999999993</v>
      </c>
      <c r="L495">
        <v>0.15318081722077961</v>
      </c>
      <c r="M495">
        <v>0.1277868840565364</v>
      </c>
      <c r="N495">
        <v>0.16587778380290122</v>
      </c>
      <c r="O495">
        <v>0.11508991747441481</v>
      </c>
    </row>
    <row r="496" spans="1:15">
      <c r="A496" s="19">
        <v>43125</v>
      </c>
      <c r="B496">
        <v>1562</v>
      </c>
      <c r="C496">
        <v>1570</v>
      </c>
      <c r="D496">
        <v>10000</v>
      </c>
      <c r="E496">
        <v>9981</v>
      </c>
      <c r="F496">
        <v>0.15729886784891201</v>
      </c>
      <c r="G496">
        <v>0.14029800804797901</v>
      </c>
      <c r="H496">
        <v>1.25698985798657E-2</v>
      </c>
      <c r="I496">
        <v>1.3525057257156099</v>
      </c>
      <c r="J496">
        <v>10.81</v>
      </c>
      <c r="L496">
        <v>0.15286790662784472</v>
      </c>
      <c r="M496">
        <v>0.1277281094681133</v>
      </c>
      <c r="N496">
        <v>0.1654378052077104</v>
      </c>
      <c r="O496">
        <v>0.11515821088824761</v>
      </c>
    </row>
    <row r="497" spans="1:15">
      <c r="A497" s="19">
        <v>43124</v>
      </c>
      <c r="B497">
        <v>1594</v>
      </c>
      <c r="C497">
        <v>1581</v>
      </c>
      <c r="D497">
        <v>10130</v>
      </c>
      <c r="E497">
        <v>10055</v>
      </c>
      <c r="F497">
        <v>0.157235206364992</v>
      </c>
      <c r="G497">
        <v>0.14007791587326701</v>
      </c>
      <c r="H497">
        <v>1.2413840652043401E-2</v>
      </c>
      <c r="I497">
        <v>1.3821097734890899</v>
      </c>
      <c r="J497">
        <v>10.91</v>
      </c>
      <c r="L497">
        <v>0.15249175652531041</v>
      </c>
      <c r="M497">
        <v>0.12766407522122361</v>
      </c>
      <c r="N497">
        <v>0.16490559717735381</v>
      </c>
      <c r="O497">
        <v>0.11525023456918021</v>
      </c>
    </row>
    <row r="498" spans="1:15">
      <c r="A498" s="19">
        <v>43123</v>
      </c>
      <c r="B498">
        <v>1564</v>
      </c>
      <c r="C498">
        <v>1593</v>
      </c>
      <c r="D498">
        <v>10105</v>
      </c>
      <c r="E498">
        <v>10140</v>
      </c>
      <c r="F498">
        <v>0.15710059171597601</v>
      </c>
      <c r="G498">
        <v>0.13986979149301801</v>
      </c>
      <c r="H498">
        <v>1.2254268843959699E-2</v>
      </c>
      <c r="I498">
        <v>1.4061059409065499</v>
      </c>
      <c r="J498">
        <v>10.97</v>
      </c>
      <c r="L498">
        <v>0.1521240603369777</v>
      </c>
      <c r="M498">
        <v>0.12761552264905832</v>
      </c>
      <c r="N498">
        <v>0.16437832918093742</v>
      </c>
      <c r="O498">
        <v>0.11536125380509861</v>
      </c>
    </row>
    <row r="499" spans="1:15">
      <c r="A499" s="19">
        <v>43122</v>
      </c>
      <c r="B499">
        <v>1551</v>
      </c>
      <c r="C499">
        <v>1554</v>
      </c>
      <c r="D499">
        <v>10000</v>
      </c>
      <c r="E499">
        <v>10000</v>
      </c>
      <c r="F499">
        <v>0.15540000000000001</v>
      </c>
      <c r="G499">
        <v>0.139666682345744</v>
      </c>
      <c r="H499">
        <v>1.2092162119407999E-2</v>
      </c>
      <c r="I499">
        <v>1.3011169961907201</v>
      </c>
      <c r="J499">
        <v>10.119999999999999</v>
      </c>
      <c r="L499">
        <v>0.151758844465152</v>
      </c>
      <c r="M499">
        <v>0.127574520226336</v>
      </c>
      <c r="N499">
        <v>0.16385100658456</v>
      </c>
      <c r="O499">
        <v>0.115482358106928</v>
      </c>
    </row>
    <row r="500" spans="1:15">
      <c r="A500" s="19">
        <v>43119</v>
      </c>
      <c r="B500">
        <v>1575</v>
      </c>
      <c r="C500">
        <v>1563</v>
      </c>
      <c r="D500">
        <v>10120</v>
      </c>
      <c r="E500">
        <v>10040</v>
      </c>
      <c r="F500">
        <v>0.15567729083665299</v>
      </c>
      <c r="G500">
        <v>0.13946560175064601</v>
      </c>
      <c r="H500">
        <v>1.1953456696375601E-2</v>
      </c>
      <c r="I500">
        <v>1.3562343929285501</v>
      </c>
      <c r="J500">
        <v>10.41</v>
      </c>
      <c r="L500">
        <v>0.15141905844702161</v>
      </c>
      <c r="M500">
        <v>0.12751214505427041</v>
      </c>
      <c r="N500">
        <v>0.16337251514339721</v>
      </c>
      <c r="O500">
        <v>0.11555868835789482</v>
      </c>
    </row>
    <row r="501" spans="1:15">
      <c r="A501" s="19">
        <v>43118</v>
      </c>
      <c r="B501">
        <v>1598</v>
      </c>
      <c r="C501">
        <v>1575</v>
      </c>
      <c r="D501">
        <v>10320</v>
      </c>
      <c r="E501">
        <v>10130</v>
      </c>
      <c r="F501">
        <v>0.155478775913129</v>
      </c>
      <c r="G501">
        <v>0.139243767345126</v>
      </c>
      <c r="H501">
        <v>1.18039859127053E-2</v>
      </c>
      <c r="I501">
        <v>1.37538359398818</v>
      </c>
      <c r="J501">
        <v>10.44</v>
      </c>
      <c r="L501">
        <v>0.15104775325783129</v>
      </c>
      <c r="M501">
        <v>0.12743978143242071</v>
      </c>
      <c r="N501">
        <v>0.16285173917053661</v>
      </c>
      <c r="O501">
        <v>0.1156357955197154</v>
      </c>
    </row>
    <row r="502" spans="1:15">
      <c r="A502" s="19">
        <v>43117</v>
      </c>
      <c r="B502">
        <v>1575</v>
      </c>
      <c r="C502">
        <v>1582</v>
      </c>
      <c r="D502">
        <v>10245</v>
      </c>
      <c r="E502">
        <v>10260</v>
      </c>
      <c r="F502">
        <v>0.15419103313840099</v>
      </c>
      <c r="G502">
        <v>0.13908550396703601</v>
      </c>
      <c r="H502">
        <v>1.1663994547120299E-2</v>
      </c>
      <c r="I502">
        <v>1.2950562614155201</v>
      </c>
      <c r="J502">
        <v>9.8000000000000007</v>
      </c>
      <c r="L502">
        <v>0.15074949851415631</v>
      </c>
      <c r="M502">
        <v>0.1274215094199157</v>
      </c>
      <c r="N502">
        <v>0.16241349306127661</v>
      </c>
      <c r="O502">
        <v>0.11575751487279541</v>
      </c>
    </row>
    <row r="503" spans="1:15">
      <c r="A503" s="19">
        <v>43116</v>
      </c>
      <c r="B503">
        <v>1601</v>
      </c>
      <c r="C503">
        <v>1588</v>
      </c>
      <c r="D503">
        <v>10150</v>
      </c>
      <c r="E503">
        <v>10310</v>
      </c>
      <c r="F503">
        <v>0.15402521823472301</v>
      </c>
      <c r="G503">
        <v>0.138902890156751</v>
      </c>
      <c r="H503">
        <v>1.1532543075698801E-2</v>
      </c>
      <c r="I503">
        <v>1.3112743632267101</v>
      </c>
      <c r="J503">
        <v>9.82</v>
      </c>
      <c r="L503">
        <v>0.15043543323244979</v>
      </c>
      <c r="M503">
        <v>0.12737034708105222</v>
      </c>
      <c r="N503">
        <v>0.1619679763081486</v>
      </c>
      <c r="O503">
        <v>0.1158378040053534</v>
      </c>
    </row>
    <row r="504" spans="1:15">
      <c r="A504" s="19">
        <v>43115</v>
      </c>
      <c r="B504">
        <v>1615</v>
      </c>
      <c r="C504">
        <v>1601</v>
      </c>
      <c r="D504">
        <v>10185</v>
      </c>
      <c r="E504">
        <v>10180</v>
      </c>
      <c r="F504">
        <v>0.15726915520628601</v>
      </c>
      <c r="G504">
        <v>0.13874654828774299</v>
      </c>
      <c r="H504">
        <v>1.1405253589564899E-2</v>
      </c>
      <c r="I504">
        <v>1.62404165528512</v>
      </c>
      <c r="J504">
        <v>11.78</v>
      </c>
      <c r="L504">
        <v>0.15015180187730789</v>
      </c>
      <c r="M504">
        <v>0.12734129469817809</v>
      </c>
      <c r="N504">
        <v>0.1615570554668728</v>
      </c>
      <c r="O504">
        <v>0.11593604110861319</v>
      </c>
    </row>
    <row r="505" spans="1:15">
      <c r="A505" s="19">
        <v>43112</v>
      </c>
      <c r="B505">
        <v>1611</v>
      </c>
      <c r="C505">
        <v>1605</v>
      </c>
      <c r="D505">
        <v>10310</v>
      </c>
      <c r="E505">
        <v>10185</v>
      </c>
      <c r="F505">
        <v>0.15758468335787901</v>
      </c>
      <c r="G505">
        <v>0.1385138109822</v>
      </c>
      <c r="H505">
        <v>1.12011757660319E-2</v>
      </c>
      <c r="I505">
        <v>1.70257772701968</v>
      </c>
      <c r="J505">
        <v>12.1</v>
      </c>
      <c r="L505">
        <v>0.14971498674823192</v>
      </c>
      <c r="M505">
        <v>0.12731263521616809</v>
      </c>
      <c r="N505">
        <v>0.1609161625142638</v>
      </c>
      <c r="O505">
        <v>0.11611145945013621</v>
      </c>
    </row>
    <row r="506" spans="1:15">
      <c r="A506" s="19">
        <v>43111</v>
      </c>
      <c r="B506">
        <v>1604</v>
      </c>
      <c r="C506">
        <v>1611</v>
      </c>
      <c r="D506">
        <v>10400</v>
      </c>
      <c r="E506">
        <v>10375</v>
      </c>
      <c r="F506">
        <v>0.15527710843373399</v>
      </c>
      <c r="G506">
        <v>0.138237031157076</v>
      </c>
      <c r="H506">
        <v>1.09808194774988E-2</v>
      </c>
      <c r="I506">
        <v>1.5518037894690899</v>
      </c>
      <c r="J506">
        <v>10.97</v>
      </c>
      <c r="L506">
        <v>0.14921785063457479</v>
      </c>
      <c r="M506">
        <v>0.12725621167957721</v>
      </c>
      <c r="N506">
        <v>0.16019867011207362</v>
      </c>
      <c r="O506">
        <v>0.1162753922020784</v>
      </c>
    </row>
    <row r="507" spans="1:15">
      <c r="A507" s="19">
        <v>43110</v>
      </c>
      <c r="B507">
        <v>1620</v>
      </c>
      <c r="C507">
        <v>1612</v>
      </c>
      <c r="D507">
        <v>10590</v>
      </c>
      <c r="E507">
        <v>10570</v>
      </c>
      <c r="F507">
        <v>0.15250709555345299</v>
      </c>
      <c r="G507">
        <v>0.13797858300707699</v>
      </c>
      <c r="H507">
        <v>1.08033932874369E-2</v>
      </c>
      <c r="I507">
        <v>1.3448101128809899</v>
      </c>
      <c r="J507">
        <v>9.5299999999999994</v>
      </c>
      <c r="L507">
        <v>0.1487819762945139</v>
      </c>
      <c r="M507">
        <v>0.12717518971964009</v>
      </c>
      <c r="N507">
        <v>0.1595853695819508</v>
      </c>
      <c r="O507">
        <v>0.11637179643220319</v>
      </c>
    </row>
    <row r="508" spans="1:15">
      <c r="A508" s="19">
        <v>43109</v>
      </c>
      <c r="B508">
        <v>1631</v>
      </c>
      <c r="C508">
        <v>1620</v>
      </c>
      <c r="D508">
        <v>10680</v>
      </c>
      <c r="E508">
        <v>10520</v>
      </c>
      <c r="F508">
        <v>0.15399239543726201</v>
      </c>
      <c r="G508">
        <v>0.137829243879587</v>
      </c>
      <c r="H508">
        <v>1.06782169250391E-2</v>
      </c>
      <c r="I508">
        <v>1.5136564157799</v>
      </c>
      <c r="J508">
        <v>10.5</v>
      </c>
      <c r="L508">
        <v>0.1485074608046261</v>
      </c>
      <c r="M508">
        <v>0.12715102695454791</v>
      </c>
      <c r="N508">
        <v>0.15918567772966521</v>
      </c>
      <c r="O508">
        <v>0.11647281002950881</v>
      </c>
    </row>
    <row r="509" spans="1:15">
      <c r="A509" s="19">
        <v>43105</v>
      </c>
      <c r="B509">
        <v>1599</v>
      </c>
      <c r="C509">
        <v>1622</v>
      </c>
      <c r="D509">
        <v>10500</v>
      </c>
      <c r="E509">
        <v>10515</v>
      </c>
      <c r="F509">
        <v>0.154255825011887</v>
      </c>
      <c r="G509">
        <v>0.137647801399293</v>
      </c>
      <c r="H509">
        <v>1.05164220974957E-2</v>
      </c>
      <c r="I509">
        <v>1.57924657822063</v>
      </c>
      <c r="J509">
        <v>10.77</v>
      </c>
      <c r="L509">
        <v>0.14816422349678871</v>
      </c>
      <c r="M509">
        <v>0.1271313793017973</v>
      </c>
      <c r="N509">
        <v>0.15868064559428441</v>
      </c>
      <c r="O509">
        <v>0.11661495720430159</v>
      </c>
    </row>
    <row r="510" spans="1:15">
      <c r="A510" s="19">
        <v>43104</v>
      </c>
      <c r="B510">
        <v>1547</v>
      </c>
      <c r="C510">
        <v>1585</v>
      </c>
      <c r="D510">
        <v>10250</v>
      </c>
      <c r="E510">
        <v>10415</v>
      </c>
      <c r="F510">
        <v>0.152184349495919</v>
      </c>
      <c r="G510">
        <v>0.13766625667186499</v>
      </c>
      <c r="H510">
        <v>1.0546722198026401E-2</v>
      </c>
      <c r="I510">
        <v>1.37655022588633</v>
      </c>
      <c r="J510">
        <v>9.5399999999999991</v>
      </c>
      <c r="L510">
        <v>0.1482129788698914</v>
      </c>
      <c r="M510">
        <v>0.12711953447383859</v>
      </c>
      <c r="N510">
        <v>0.15875970106791779</v>
      </c>
      <c r="O510">
        <v>0.11657281227581219</v>
      </c>
    </row>
    <row r="511" spans="1:15">
      <c r="A511" s="19">
        <v>43098</v>
      </c>
      <c r="B511">
        <v>1523</v>
      </c>
      <c r="C511">
        <v>1527</v>
      </c>
      <c r="D511">
        <v>10070</v>
      </c>
      <c r="E511">
        <v>10010</v>
      </c>
      <c r="F511">
        <v>0.152547452547452</v>
      </c>
      <c r="G511">
        <v>0.13727916813671401</v>
      </c>
      <c r="H511">
        <v>1.0539532820424E-2</v>
      </c>
      <c r="I511">
        <v>1.4486680454327101</v>
      </c>
      <c r="J511">
        <v>10.01</v>
      </c>
      <c r="L511">
        <v>0.14781870095713801</v>
      </c>
      <c r="M511">
        <v>0.12673963531629001</v>
      </c>
      <c r="N511">
        <v>0.158358233777562</v>
      </c>
      <c r="O511">
        <v>0.11620010249586601</v>
      </c>
    </row>
    <row r="512" spans="1:15">
      <c r="A512" s="19">
        <v>43097</v>
      </c>
      <c r="B512">
        <v>1520</v>
      </c>
      <c r="C512">
        <v>1518</v>
      </c>
      <c r="D512">
        <v>10095</v>
      </c>
      <c r="E512">
        <v>10055</v>
      </c>
      <c r="F512">
        <v>0.150969666832421</v>
      </c>
      <c r="G512">
        <v>0.136873239748485</v>
      </c>
      <c r="H512">
        <v>1.05299408013745E-2</v>
      </c>
      <c r="I512">
        <v>1.33869955680053</v>
      </c>
      <c r="J512">
        <v>9.34</v>
      </c>
      <c r="L512">
        <v>0.14740318054985951</v>
      </c>
      <c r="M512">
        <v>0.12634329894711049</v>
      </c>
      <c r="N512">
        <v>0.157933121351234</v>
      </c>
      <c r="O512">
        <v>0.11581335814573601</v>
      </c>
    </row>
    <row r="513" spans="1:15">
      <c r="A513" s="19">
        <v>43096</v>
      </c>
      <c r="B513">
        <v>1513</v>
      </c>
      <c r="C513">
        <v>1515</v>
      </c>
      <c r="D513">
        <v>10245</v>
      </c>
      <c r="E513">
        <v>10075</v>
      </c>
      <c r="F513">
        <v>0.150372208436724</v>
      </c>
      <c r="G513">
        <v>0.13649549070582201</v>
      </c>
      <c r="H513">
        <v>1.05256453821996E-2</v>
      </c>
      <c r="I513">
        <v>1.3183721498321701</v>
      </c>
      <c r="J513">
        <v>9.23</v>
      </c>
      <c r="L513">
        <v>0.14702113608802161</v>
      </c>
      <c r="M513">
        <v>0.1259698453236224</v>
      </c>
      <c r="N513">
        <v>0.15754678147022122</v>
      </c>
      <c r="O513">
        <v>0.11544419994142281</v>
      </c>
    </row>
    <row r="514" spans="1:15">
      <c r="A514" s="19">
        <v>43095</v>
      </c>
      <c r="B514">
        <v>1502</v>
      </c>
      <c r="C514">
        <v>1505</v>
      </c>
      <c r="D514">
        <v>10275</v>
      </c>
      <c r="E514">
        <v>10245</v>
      </c>
      <c r="F514">
        <v>0.14690092728160001</v>
      </c>
      <c r="G514">
        <v>0.13612223447246599</v>
      </c>
      <c r="H514">
        <v>1.0523296246584201E-2</v>
      </c>
      <c r="I514">
        <v>1.02426963534673</v>
      </c>
      <c r="J514">
        <v>7.34</v>
      </c>
      <c r="L514">
        <v>0.1466455307190502</v>
      </c>
      <c r="M514">
        <v>0.12559893822588178</v>
      </c>
      <c r="N514">
        <v>0.15716882696563439</v>
      </c>
      <c r="O514">
        <v>0.11507564197929759</v>
      </c>
    </row>
    <row r="515" spans="1:15">
      <c r="A515" s="19">
        <v>43094</v>
      </c>
      <c r="B515">
        <v>1515</v>
      </c>
      <c r="C515">
        <v>1508</v>
      </c>
      <c r="D515">
        <v>10300</v>
      </c>
      <c r="E515">
        <v>10295</v>
      </c>
      <c r="F515">
        <v>0.14647887323943601</v>
      </c>
      <c r="G515">
        <v>0.135789812721028</v>
      </c>
      <c r="H515">
        <v>1.05712313545335E-2</v>
      </c>
      <c r="I515">
        <v>1.01114620992796</v>
      </c>
      <c r="J515">
        <v>7.3</v>
      </c>
      <c r="L515">
        <v>0.1463610440755615</v>
      </c>
      <c r="M515">
        <v>0.1252185813664945</v>
      </c>
      <c r="N515">
        <v>0.156932275430095</v>
      </c>
      <c r="O515">
        <v>0.114647350011961</v>
      </c>
    </row>
    <row r="516" spans="1:15">
      <c r="A516" s="19">
        <v>43091</v>
      </c>
      <c r="B516">
        <v>1511</v>
      </c>
      <c r="C516">
        <v>1514</v>
      </c>
      <c r="D516">
        <v>10380</v>
      </c>
      <c r="E516">
        <v>10235</v>
      </c>
      <c r="F516">
        <v>0.147923790913532</v>
      </c>
      <c r="G516">
        <v>0.135483044178973</v>
      </c>
      <c r="H516">
        <v>1.05904065441284E-2</v>
      </c>
      <c r="I516">
        <v>1.17471852310103</v>
      </c>
      <c r="J516">
        <v>8.41</v>
      </c>
      <c r="L516">
        <v>0.14607345072310141</v>
      </c>
      <c r="M516">
        <v>0.12489263763484459</v>
      </c>
      <c r="N516">
        <v>0.15666385726722981</v>
      </c>
      <c r="O516">
        <v>0.1143022310907162</v>
      </c>
    </row>
    <row r="517" spans="1:15">
      <c r="A517" s="19">
        <v>43090</v>
      </c>
      <c r="B517">
        <v>1525</v>
      </c>
      <c r="C517">
        <v>1519</v>
      </c>
      <c r="D517">
        <v>10390</v>
      </c>
      <c r="E517">
        <v>10440</v>
      </c>
      <c r="F517">
        <v>0.14549808429118699</v>
      </c>
      <c r="G517">
        <v>0.13513708371826699</v>
      </c>
      <c r="H517">
        <v>1.06021534234234E-2</v>
      </c>
      <c r="I517">
        <v>0.97725435193468801</v>
      </c>
      <c r="J517">
        <v>7.12</v>
      </c>
      <c r="L517">
        <v>0.1457392371416904</v>
      </c>
      <c r="M517">
        <v>0.1245349302948436</v>
      </c>
      <c r="N517">
        <v>0.15634139056511379</v>
      </c>
      <c r="O517">
        <v>0.1139327768714202</v>
      </c>
    </row>
    <row r="518" spans="1:15">
      <c r="A518" s="19">
        <v>43089</v>
      </c>
      <c r="B518">
        <v>1532</v>
      </c>
      <c r="C518">
        <v>1530</v>
      </c>
      <c r="D518">
        <v>10280</v>
      </c>
      <c r="E518">
        <v>10375</v>
      </c>
      <c r="F518">
        <v>0.147469879518072</v>
      </c>
      <c r="G518">
        <v>0.134811569567101</v>
      </c>
      <c r="H518">
        <v>1.06537013677627E-2</v>
      </c>
      <c r="I518">
        <v>1.18816076347644</v>
      </c>
      <c r="J518">
        <v>8.58</v>
      </c>
      <c r="L518">
        <v>0.14546527093486369</v>
      </c>
      <c r="M518">
        <v>0.1241578681993383</v>
      </c>
      <c r="N518">
        <v>0.15611897230262639</v>
      </c>
      <c r="O518">
        <v>0.1135041668315756</v>
      </c>
    </row>
    <row r="519" spans="1:15">
      <c r="A519" s="19">
        <v>43088</v>
      </c>
      <c r="B519">
        <v>1536</v>
      </c>
      <c r="C519">
        <v>1536</v>
      </c>
      <c r="D519">
        <v>10365</v>
      </c>
      <c r="E519">
        <v>10270</v>
      </c>
      <c r="F519">
        <v>0.14956183057448799</v>
      </c>
      <c r="G519">
        <v>0.134448384179645</v>
      </c>
      <c r="H519">
        <v>1.06802431959327E-2</v>
      </c>
      <c r="I519">
        <v>1.4150844805293501</v>
      </c>
      <c r="J519">
        <v>10.11</v>
      </c>
      <c r="L519">
        <v>0.14512862737557769</v>
      </c>
      <c r="M519">
        <v>0.1237681409837123</v>
      </c>
      <c r="N519">
        <v>0.15580887057151038</v>
      </c>
      <c r="O519">
        <v>0.1130878977877796</v>
      </c>
    </row>
    <row r="520" spans="1:15">
      <c r="A520" s="19">
        <v>43087</v>
      </c>
      <c r="B520">
        <v>1526</v>
      </c>
      <c r="C520">
        <v>1539</v>
      </c>
      <c r="D520">
        <v>10255</v>
      </c>
      <c r="E520">
        <v>10405</v>
      </c>
      <c r="F520">
        <v>0.14790965881787599</v>
      </c>
      <c r="G520">
        <v>0.13408240756340001</v>
      </c>
      <c r="H520">
        <v>1.06262286899308E-2</v>
      </c>
      <c r="I520">
        <v>1.3012378763857999</v>
      </c>
      <c r="J520">
        <v>9.35</v>
      </c>
      <c r="L520">
        <v>0.1447086362533308</v>
      </c>
      <c r="M520">
        <v>0.12345617887346921</v>
      </c>
      <c r="N520">
        <v>0.1553348649432616</v>
      </c>
      <c r="O520">
        <v>0.1128299501835384</v>
      </c>
    </row>
    <row r="521" spans="1:15">
      <c r="A521" s="19">
        <v>43084</v>
      </c>
      <c r="B521">
        <v>1549</v>
      </c>
      <c r="C521">
        <v>1521</v>
      </c>
      <c r="D521">
        <v>10050</v>
      </c>
      <c r="E521">
        <v>10120</v>
      </c>
      <c r="F521">
        <v>0.150296442687747</v>
      </c>
      <c r="G521">
        <v>0.13372669331576401</v>
      </c>
      <c r="H521">
        <v>1.0603916726326299E-2</v>
      </c>
      <c r="I521">
        <v>1.56260651602863</v>
      </c>
      <c r="J521">
        <v>11.02</v>
      </c>
      <c r="L521">
        <v>0.1443306100420903</v>
      </c>
      <c r="M521">
        <v>0.12312277658943771</v>
      </c>
      <c r="N521">
        <v>0.1549345267684166</v>
      </c>
      <c r="O521">
        <v>0.11251885986311141</v>
      </c>
    </row>
    <row r="522" spans="1:15">
      <c r="A522" s="19">
        <v>43083</v>
      </c>
      <c r="B522">
        <v>1540</v>
      </c>
      <c r="C522">
        <v>1545</v>
      </c>
      <c r="D522">
        <v>10015</v>
      </c>
      <c r="E522">
        <v>10135</v>
      </c>
      <c r="F522">
        <v>0.15244203256043401</v>
      </c>
      <c r="G522">
        <v>0.13334471953289201</v>
      </c>
      <c r="H522">
        <v>1.05157750109281E-2</v>
      </c>
      <c r="I522">
        <v>1.8160632961142</v>
      </c>
      <c r="J522">
        <v>12.53</v>
      </c>
      <c r="L522">
        <v>0.14386049454382011</v>
      </c>
      <c r="M522">
        <v>0.12282894452196391</v>
      </c>
      <c r="N522">
        <v>0.1543762695547482</v>
      </c>
      <c r="O522">
        <v>0.11231316951103582</v>
      </c>
    </row>
    <row r="523" spans="1:15">
      <c r="A523" s="19">
        <v>43082</v>
      </c>
      <c r="B523">
        <v>1561</v>
      </c>
      <c r="C523">
        <v>1542</v>
      </c>
      <c r="D523">
        <v>10250</v>
      </c>
      <c r="E523">
        <v>10040</v>
      </c>
      <c r="F523">
        <v>0.15358565737051699</v>
      </c>
      <c r="G523">
        <v>0.132912656662762</v>
      </c>
      <c r="H523">
        <v>1.03871670960217E-2</v>
      </c>
      <c r="I523">
        <v>1.9902443579320599</v>
      </c>
      <c r="J523">
        <v>13.46</v>
      </c>
      <c r="L523">
        <v>0.1432998237587837</v>
      </c>
      <c r="M523">
        <v>0.12252548956674031</v>
      </c>
      <c r="N523">
        <v>0.15368699085480542</v>
      </c>
      <c r="O523">
        <v>0.1121383224707186</v>
      </c>
    </row>
    <row r="524" spans="1:15">
      <c r="A524" s="19">
        <v>43081</v>
      </c>
      <c r="B524">
        <v>1548</v>
      </c>
      <c r="C524">
        <v>1561</v>
      </c>
      <c r="D524">
        <v>10325</v>
      </c>
      <c r="E524">
        <v>10250</v>
      </c>
      <c r="F524">
        <v>0.15229268292682899</v>
      </c>
      <c r="G524">
        <v>0.132478568690795</v>
      </c>
      <c r="H524">
        <v>1.01926166201499E-2</v>
      </c>
      <c r="I524">
        <v>1.9439673809434499</v>
      </c>
      <c r="J524">
        <v>13.01</v>
      </c>
      <c r="L524">
        <v>0.14267118531094489</v>
      </c>
      <c r="M524">
        <v>0.12228595207064509</v>
      </c>
      <c r="N524">
        <v>0.15286380193109481</v>
      </c>
      <c r="O524">
        <v>0.1120933354504952</v>
      </c>
    </row>
    <row r="525" spans="1:15">
      <c r="A525" s="19">
        <v>43080</v>
      </c>
      <c r="B525">
        <v>1525</v>
      </c>
      <c r="C525">
        <v>1543</v>
      </c>
      <c r="D525">
        <v>10430</v>
      </c>
      <c r="E525">
        <v>10320</v>
      </c>
      <c r="F525">
        <v>0.14951550387596799</v>
      </c>
      <c r="G525">
        <v>0.13208059588603599</v>
      </c>
      <c r="H525">
        <v>9.99193527195592E-3</v>
      </c>
      <c r="I525">
        <v>1.7448980117862301</v>
      </c>
      <c r="J525">
        <v>11.66</v>
      </c>
      <c r="L525">
        <v>0.1420725311579919</v>
      </c>
      <c r="M525">
        <v>0.12208866061408007</v>
      </c>
      <c r="N525">
        <v>0.15206446642994784</v>
      </c>
      <c r="O525">
        <v>0.11209672534212414</v>
      </c>
    </row>
    <row r="526" spans="1:15">
      <c r="A526" s="19">
        <v>43077</v>
      </c>
      <c r="B526">
        <v>1531</v>
      </c>
      <c r="C526">
        <v>1521</v>
      </c>
      <c r="D526">
        <v>10225</v>
      </c>
      <c r="E526">
        <v>10410</v>
      </c>
      <c r="F526">
        <v>0.14610951008645501</v>
      </c>
      <c r="G526">
        <v>0.13169851881847</v>
      </c>
      <c r="H526">
        <v>9.8650163190045909E-3</v>
      </c>
      <c r="I526">
        <v>1.4608177829592099</v>
      </c>
      <c r="J526">
        <v>9.86</v>
      </c>
      <c r="L526">
        <v>0.14156353513747461</v>
      </c>
      <c r="M526">
        <v>0.12183350249946541</v>
      </c>
      <c r="N526">
        <v>0.15142855145647918</v>
      </c>
      <c r="O526">
        <v>0.11196848618046082</v>
      </c>
    </row>
    <row r="527" spans="1:15">
      <c r="A527" s="19">
        <v>43076</v>
      </c>
      <c r="B527">
        <v>1520</v>
      </c>
      <c r="C527">
        <v>1515</v>
      </c>
      <c r="D527">
        <v>10060</v>
      </c>
      <c r="E527">
        <v>10105</v>
      </c>
      <c r="F527">
        <v>0.14992577931716899</v>
      </c>
      <c r="G527">
        <v>0.13136011423954</v>
      </c>
      <c r="H527">
        <v>9.7999674937850594E-3</v>
      </c>
      <c r="I527">
        <v>1.8944619040219799</v>
      </c>
      <c r="J527">
        <v>12.38</v>
      </c>
      <c r="L527">
        <v>0.14116008173332506</v>
      </c>
      <c r="M527">
        <v>0.12156014674575494</v>
      </c>
      <c r="N527">
        <v>0.15096004922711012</v>
      </c>
      <c r="O527">
        <v>0.11176017925196988</v>
      </c>
    </row>
    <row r="528" spans="1:15">
      <c r="A528" s="19">
        <v>43075</v>
      </c>
      <c r="B528">
        <v>1521</v>
      </c>
      <c r="C528">
        <v>1506</v>
      </c>
      <c r="D528">
        <v>10305</v>
      </c>
      <c r="E528">
        <v>9990</v>
      </c>
      <c r="F528">
        <v>0.15075075075075001</v>
      </c>
      <c r="G528">
        <v>0.13093346999717601</v>
      </c>
      <c r="H528">
        <v>9.6781903041483208E-3</v>
      </c>
      <c r="I528">
        <v>2.0476225545058901</v>
      </c>
      <c r="J528">
        <v>13.15</v>
      </c>
      <c r="L528">
        <v>0.14061166030132433</v>
      </c>
      <c r="M528">
        <v>0.12125527969302768</v>
      </c>
      <c r="N528">
        <v>0.15028985060547265</v>
      </c>
      <c r="O528">
        <v>0.11157708938887936</v>
      </c>
    </row>
    <row r="529" spans="1:15">
      <c r="A529" s="19">
        <v>43074</v>
      </c>
      <c r="B529">
        <v>1537</v>
      </c>
      <c r="C529">
        <v>1529</v>
      </c>
      <c r="D529">
        <v>10660</v>
      </c>
      <c r="E529">
        <v>10445</v>
      </c>
      <c r="F529">
        <v>0.14638583054092799</v>
      </c>
      <c r="G529">
        <v>0.13047795851970301</v>
      </c>
      <c r="H529">
        <v>9.5376979478437405E-3</v>
      </c>
      <c r="I529">
        <v>1.66789429778718</v>
      </c>
      <c r="J529">
        <v>10.87</v>
      </c>
      <c r="L529">
        <v>0.14001565646754674</v>
      </c>
      <c r="M529">
        <v>0.12094026057185926</v>
      </c>
      <c r="N529">
        <v>0.1495533544153905</v>
      </c>
      <c r="O529">
        <v>0.11140256262401553</v>
      </c>
    </row>
    <row r="530" spans="1:15">
      <c r="A530" s="19"/>
    </row>
    <row r="531" spans="1:15">
      <c r="A531" s="19"/>
    </row>
    <row r="532" spans="1:15">
      <c r="A532" s="19"/>
    </row>
    <row r="533" spans="1:15">
      <c r="A533" s="19"/>
    </row>
    <row r="534" spans="1:15">
      <c r="A534" s="19"/>
    </row>
    <row r="535" spans="1:15">
      <c r="A535" s="19"/>
    </row>
    <row r="536" spans="1:15">
      <c r="A536" s="19"/>
    </row>
    <row r="537" spans="1:15">
      <c r="A537" s="19"/>
    </row>
    <row r="538" spans="1:15">
      <c r="A538" s="19"/>
    </row>
    <row r="539" spans="1:15">
      <c r="A539" s="19"/>
    </row>
    <row r="540" spans="1:15">
      <c r="A540" s="19"/>
    </row>
    <row r="541" spans="1:15">
      <c r="A541" s="19"/>
    </row>
    <row r="542" spans="1:15">
      <c r="A542" s="19"/>
    </row>
    <row r="543" spans="1:15">
      <c r="A543" s="19"/>
    </row>
    <row r="544" spans="1:15">
      <c r="A544" s="19"/>
    </row>
    <row r="545" spans="1:1">
      <c r="A545" s="19"/>
    </row>
    <row r="546" spans="1:1">
      <c r="A546" s="19"/>
    </row>
    <row r="547" spans="1:1">
      <c r="A547" s="19"/>
    </row>
    <row r="548" spans="1:1">
      <c r="A548" s="19"/>
    </row>
    <row r="549" spans="1:1">
      <c r="A549" s="19"/>
    </row>
    <row r="550" spans="1:1">
      <c r="A550" s="19"/>
    </row>
    <row r="551" spans="1:1">
      <c r="A551" s="19"/>
    </row>
    <row r="552" spans="1:1">
      <c r="A552" s="19"/>
    </row>
    <row r="553" spans="1:1">
      <c r="A553" s="19"/>
    </row>
    <row r="554" spans="1:1">
      <c r="A554" s="19"/>
    </row>
    <row r="555" spans="1:1">
      <c r="A555" s="19"/>
    </row>
    <row r="556" spans="1:1">
      <c r="A556" s="19"/>
    </row>
    <row r="557" spans="1:1">
      <c r="A557" s="19"/>
    </row>
    <row r="558" spans="1:1">
      <c r="A558" s="19"/>
    </row>
    <row r="559" spans="1:1">
      <c r="A559" s="19"/>
    </row>
    <row r="560" spans="1:1">
      <c r="A560" s="19"/>
    </row>
    <row r="561" spans="1:1">
      <c r="A561" s="19"/>
    </row>
    <row r="562" spans="1:1">
      <c r="A562" s="19"/>
    </row>
    <row r="563" spans="1:1">
      <c r="A563" s="19"/>
    </row>
    <row r="564" spans="1:1">
      <c r="A564" s="19"/>
    </row>
    <row r="565" spans="1:1">
      <c r="A565" s="19"/>
    </row>
    <row r="566" spans="1:1">
      <c r="A566" s="19"/>
    </row>
    <row r="567" spans="1:1">
      <c r="A567" s="19"/>
    </row>
    <row r="568" spans="1:1">
      <c r="A568" s="19"/>
    </row>
    <row r="569" spans="1:1">
      <c r="A569" s="19"/>
    </row>
    <row r="570" spans="1:1">
      <c r="A570" s="19"/>
    </row>
    <row r="571" spans="1:1">
      <c r="A571" s="19"/>
    </row>
    <row r="572" spans="1:1">
      <c r="A572" s="19"/>
    </row>
    <row r="573" spans="1:1">
      <c r="A573" s="19"/>
    </row>
    <row r="574" spans="1:1">
      <c r="A574" s="19"/>
    </row>
    <row r="575" spans="1:1">
      <c r="A575" s="19"/>
    </row>
    <row r="576" spans="1:1">
      <c r="A576" s="19"/>
    </row>
    <row r="577" spans="1:1">
      <c r="A577" s="19"/>
    </row>
    <row r="578" spans="1:1">
      <c r="A578" s="19"/>
    </row>
    <row r="579" spans="1:1">
      <c r="A579" s="19"/>
    </row>
    <row r="580" spans="1:1">
      <c r="A580" s="19"/>
    </row>
    <row r="581" spans="1:1">
      <c r="A581" s="19"/>
    </row>
    <row r="582" spans="1:1">
      <c r="A582" s="19"/>
    </row>
    <row r="583" spans="1:1">
      <c r="A583" s="19"/>
    </row>
    <row r="584" spans="1:1">
      <c r="A584" s="19"/>
    </row>
    <row r="585" spans="1:1">
      <c r="A585" s="19"/>
    </row>
    <row r="586" spans="1:1">
      <c r="A586" s="19"/>
    </row>
    <row r="587" spans="1:1">
      <c r="A587" s="19"/>
    </row>
    <row r="588" spans="1:1">
      <c r="A588" s="19"/>
    </row>
    <row r="589" spans="1:1">
      <c r="A589" s="19"/>
    </row>
    <row r="590" spans="1:1">
      <c r="A590" s="19"/>
    </row>
    <row r="591" spans="1:1">
      <c r="A591" s="19"/>
    </row>
    <row r="592" spans="1:1">
      <c r="A592" s="19"/>
    </row>
    <row r="593" spans="1:1">
      <c r="A593" s="19"/>
    </row>
    <row r="594" spans="1:1">
      <c r="A594" s="19"/>
    </row>
    <row r="595" spans="1:1">
      <c r="A595" s="19"/>
    </row>
    <row r="596" spans="1:1">
      <c r="A596" s="19"/>
    </row>
    <row r="597" spans="1:1">
      <c r="A597" s="19"/>
    </row>
    <row r="598" spans="1:1">
      <c r="A598" s="19"/>
    </row>
    <row r="599" spans="1:1">
      <c r="A599" s="19"/>
    </row>
    <row r="600" spans="1:1">
      <c r="A600" s="19"/>
    </row>
    <row r="601" spans="1:1">
      <c r="A601" s="19"/>
    </row>
    <row r="602" spans="1:1">
      <c r="A602" s="19"/>
    </row>
    <row r="603" spans="1:1">
      <c r="A603" s="19"/>
    </row>
    <row r="604" spans="1:1">
      <c r="A604" s="19"/>
    </row>
    <row r="605" spans="1:1">
      <c r="A605" s="19"/>
    </row>
    <row r="606" spans="1:1">
      <c r="A606" s="19"/>
    </row>
    <row r="607" spans="1:1">
      <c r="A607" s="19"/>
    </row>
    <row r="608" spans="1:1">
      <c r="A608" s="19"/>
    </row>
    <row r="609" spans="1:1">
      <c r="A609" s="19"/>
    </row>
    <row r="610" spans="1:1">
      <c r="A610" s="19"/>
    </row>
    <row r="611" spans="1:1">
      <c r="A611" s="19"/>
    </row>
    <row r="612" spans="1:1">
      <c r="A612" s="19"/>
    </row>
    <row r="613" spans="1:1">
      <c r="A613" s="19"/>
    </row>
    <row r="614" spans="1:1">
      <c r="A614" s="19"/>
    </row>
    <row r="615" spans="1:1">
      <c r="A615" s="19"/>
    </row>
    <row r="616" spans="1:1">
      <c r="A616" s="19"/>
    </row>
    <row r="617" spans="1:1">
      <c r="A617" s="19"/>
    </row>
    <row r="618" spans="1:1">
      <c r="A618" s="19"/>
    </row>
    <row r="619" spans="1:1">
      <c r="A619" s="19"/>
    </row>
    <row r="620" spans="1:1">
      <c r="A620" s="19"/>
    </row>
    <row r="621" spans="1:1">
      <c r="A621" s="19"/>
    </row>
    <row r="622" spans="1:1">
      <c r="A622" s="19"/>
    </row>
    <row r="623" spans="1:1">
      <c r="A623" s="19"/>
    </row>
    <row r="624" spans="1:1">
      <c r="A624" s="19"/>
    </row>
    <row r="625" spans="1:1">
      <c r="A625" s="19"/>
    </row>
    <row r="626" spans="1:1">
      <c r="A626" s="19"/>
    </row>
    <row r="627" spans="1:1">
      <c r="A627" s="19"/>
    </row>
    <row r="628" spans="1:1">
      <c r="A628" s="19"/>
    </row>
    <row r="629" spans="1:1">
      <c r="A629" s="19"/>
    </row>
    <row r="630" spans="1:1">
      <c r="A630" s="19"/>
    </row>
    <row r="631" spans="1:1">
      <c r="A631" s="19"/>
    </row>
    <row r="632" spans="1:1">
      <c r="A632" s="19"/>
    </row>
    <row r="633" spans="1:1">
      <c r="A633" s="19"/>
    </row>
    <row r="634" spans="1:1">
      <c r="A634" s="19"/>
    </row>
    <row r="635" spans="1:1">
      <c r="A635" s="19"/>
    </row>
    <row r="636" spans="1:1">
      <c r="A636" s="19"/>
    </row>
    <row r="637" spans="1:1">
      <c r="A637" s="19"/>
    </row>
    <row r="638" spans="1:1">
      <c r="A638" s="19"/>
    </row>
    <row r="639" spans="1:1">
      <c r="A639" s="19"/>
    </row>
    <row r="640" spans="1:1">
      <c r="A640" s="19"/>
    </row>
    <row r="641" spans="1:1">
      <c r="A641" s="19"/>
    </row>
    <row r="642" spans="1:1">
      <c r="A642" s="19"/>
    </row>
    <row r="643" spans="1:1">
      <c r="A643" s="19"/>
    </row>
    <row r="644" spans="1:1">
      <c r="A644" s="19"/>
    </row>
    <row r="645" spans="1:1">
      <c r="A645" s="19"/>
    </row>
    <row r="646" spans="1:1">
      <c r="A646" s="19"/>
    </row>
    <row r="647" spans="1:1">
      <c r="A647" s="19"/>
    </row>
    <row r="648" spans="1:1">
      <c r="A648" s="19"/>
    </row>
    <row r="649" spans="1:1">
      <c r="A649" s="19"/>
    </row>
    <row r="650" spans="1:1">
      <c r="A650" s="19"/>
    </row>
    <row r="651" spans="1:1">
      <c r="A651" s="19"/>
    </row>
    <row r="652" spans="1:1">
      <c r="A652" s="19"/>
    </row>
    <row r="653" spans="1:1">
      <c r="A653" s="19"/>
    </row>
    <row r="654" spans="1:1">
      <c r="A654" s="19"/>
    </row>
    <row r="655" spans="1:1">
      <c r="A655" s="19"/>
    </row>
    <row r="656" spans="1:1">
      <c r="A656" s="19"/>
    </row>
    <row r="657" spans="1:1">
      <c r="A657" s="19"/>
    </row>
    <row r="658" spans="1:1">
      <c r="A658" s="19"/>
    </row>
    <row r="659" spans="1:1">
      <c r="A659" s="19"/>
    </row>
    <row r="660" spans="1:1">
      <c r="A660" s="19"/>
    </row>
    <row r="661" spans="1:1">
      <c r="A661" s="19"/>
    </row>
    <row r="662" spans="1:1">
      <c r="A662" s="19"/>
    </row>
    <row r="663" spans="1:1">
      <c r="A663" s="19"/>
    </row>
    <row r="664" spans="1:1">
      <c r="A664" s="19"/>
    </row>
    <row r="665" spans="1:1">
      <c r="A665" s="19"/>
    </row>
    <row r="666" spans="1:1">
      <c r="A666" s="19"/>
    </row>
    <row r="667" spans="1:1">
      <c r="A667" s="19"/>
    </row>
    <row r="668" spans="1:1">
      <c r="A668" s="19"/>
    </row>
    <row r="669" spans="1:1">
      <c r="A669" s="19"/>
    </row>
    <row r="670" spans="1:1">
      <c r="A670" s="19"/>
    </row>
    <row r="671" spans="1:1">
      <c r="A671" s="19"/>
    </row>
    <row r="672" spans="1:1">
      <c r="A672" s="19"/>
    </row>
    <row r="673" spans="1:1">
      <c r="A673" s="19"/>
    </row>
    <row r="674" spans="1:1">
      <c r="A674" s="19"/>
    </row>
    <row r="675" spans="1:1">
      <c r="A675" s="19"/>
    </row>
    <row r="676" spans="1:1">
      <c r="A676" s="19"/>
    </row>
    <row r="677" spans="1:1">
      <c r="A677" s="19"/>
    </row>
    <row r="678" spans="1:1">
      <c r="A678" s="19"/>
    </row>
    <row r="679" spans="1:1">
      <c r="A679" s="19"/>
    </row>
    <row r="680" spans="1:1">
      <c r="A680" s="19"/>
    </row>
    <row r="681" spans="1:1">
      <c r="A681" s="19"/>
    </row>
    <row r="682" spans="1:1">
      <c r="A682" s="19"/>
    </row>
    <row r="683" spans="1:1">
      <c r="A683" s="19"/>
    </row>
    <row r="684" spans="1:1">
      <c r="A684" s="19"/>
    </row>
    <row r="685" spans="1:1">
      <c r="A685" s="19"/>
    </row>
    <row r="686" spans="1:1">
      <c r="A686" s="19"/>
    </row>
    <row r="687" spans="1:1">
      <c r="A687" s="19"/>
    </row>
    <row r="688" spans="1:1">
      <c r="A688" s="19"/>
    </row>
    <row r="689" spans="1:1">
      <c r="A689" s="19"/>
    </row>
    <row r="690" spans="1:1">
      <c r="A690" s="19"/>
    </row>
    <row r="691" spans="1:1">
      <c r="A691" s="19"/>
    </row>
    <row r="692" spans="1:1">
      <c r="A692" s="19"/>
    </row>
    <row r="693" spans="1:1">
      <c r="A693" s="19"/>
    </row>
    <row r="694" spans="1:1">
      <c r="A694" s="19"/>
    </row>
    <row r="695" spans="1:1">
      <c r="A695" s="19"/>
    </row>
    <row r="696" spans="1:1">
      <c r="A696" s="19"/>
    </row>
    <row r="697" spans="1:1">
      <c r="A697" s="19"/>
    </row>
    <row r="698" spans="1:1">
      <c r="A698" s="19"/>
    </row>
    <row r="699" spans="1:1">
      <c r="A699" s="19"/>
    </row>
    <row r="700" spans="1:1">
      <c r="A700" s="19"/>
    </row>
    <row r="701" spans="1:1">
      <c r="A701" s="19"/>
    </row>
    <row r="702" spans="1:1">
      <c r="A702" s="19"/>
    </row>
    <row r="703" spans="1:1">
      <c r="A703" s="19"/>
    </row>
    <row r="704" spans="1:1">
      <c r="A704" s="19"/>
    </row>
    <row r="705" spans="1:1">
      <c r="A705" s="19"/>
    </row>
    <row r="706" spans="1:1">
      <c r="A706" s="19"/>
    </row>
    <row r="707" spans="1:1">
      <c r="A707" s="19"/>
    </row>
    <row r="708" spans="1:1">
      <c r="A708" s="19"/>
    </row>
    <row r="709" spans="1:1">
      <c r="A709" s="19"/>
    </row>
    <row r="710" spans="1:1">
      <c r="A710" s="19"/>
    </row>
    <row r="711" spans="1:1">
      <c r="A711" s="19"/>
    </row>
    <row r="712" spans="1:1">
      <c r="A712" s="19"/>
    </row>
    <row r="713" spans="1:1">
      <c r="A713" s="19"/>
    </row>
    <row r="714" spans="1:1">
      <c r="A714" s="19"/>
    </row>
    <row r="715" spans="1:1">
      <c r="A715" s="19"/>
    </row>
    <row r="716" spans="1:1">
      <c r="A716" s="19"/>
    </row>
    <row r="717" spans="1:1">
      <c r="A717" s="19"/>
    </row>
    <row r="718" spans="1:1">
      <c r="A718" s="19"/>
    </row>
    <row r="719" spans="1:1">
      <c r="A719" s="19"/>
    </row>
    <row r="720" spans="1:1">
      <c r="A720" s="19"/>
    </row>
    <row r="721" spans="1:1">
      <c r="A721" s="19"/>
    </row>
    <row r="722" spans="1:1">
      <c r="A722" s="19"/>
    </row>
    <row r="723" spans="1:1">
      <c r="A723" s="19"/>
    </row>
    <row r="724" spans="1:1">
      <c r="A724" s="19"/>
    </row>
    <row r="725" spans="1:1">
      <c r="A725" s="19"/>
    </row>
    <row r="726" spans="1:1">
      <c r="A726" s="19"/>
    </row>
    <row r="727" spans="1:1">
      <c r="A727" s="19"/>
    </row>
    <row r="728" spans="1:1">
      <c r="A728" s="19"/>
    </row>
    <row r="729" spans="1:1">
      <c r="A729" s="19"/>
    </row>
    <row r="730" spans="1:1">
      <c r="A730" s="19"/>
    </row>
    <row r="731" spans="1:1">
      <c r="A731" s="19"/>
    </row>
    <row r="732" spans="1:1">
      <c r="A732" s="19"/>
    </row>
    <row r="733" spans="1:1">
      <c r="A733" s="19"/>
    </row>
    <row r="734" spans="1:1">
      <c r="A734" s="19"/>
    </row>
    <row r="735" spans="1:1">
      <c r="A735" s="19"/>
    </row>
    <row r="736" spans="1:1">
      <c r="A736" s="19"/>
    </row>
    <row r="737" spans="1:1">
      <c r="A737" s="19"/>
    </row>
    <row r="738" spans="1:1">
      <c r="A738" s="19"/>
    </row>
    <row r="739" spans="1:1">
      <c r="A739" s="19"/>
    </row>
    <row r="740" spans="1:1">
      <c r="A740" s="19"/>
    </row>
    <row r="741" spans="1:1">
      <c r="A741" s="19"/>
    </row>
    <row r="742" spans="1:1">
      <c r="A742" s="19"/>
    </row>
    <row r="743" spans="1:1">
      <c r="A743" s="19"/>
    </row>
    <row r="744" spans="1:1">
      <c r="A744" s="19"/>
    </row>
    <row r="745" spans="1:1">
      <c r="A745" s="19"/>
    </row>
    <row r="746" spans="1:1">
      <c r="A746" s="19"/>
    </row>
    <row r="747" spans="1:1">
      <c r="A747" s="19"/>
    </row>
    <row r="748" spans="1:1">
      <c r="A748" s="19"/>
    </row>
    <row r="749" spans="1:1">
      <c r="A749" s="19"/>
    </row>
    <row r="750" spans="1:1">
      <c r="A750" s="19"/>
    </row>
    <row r="751" spans="1:1">
      <c r="A751" s="19"/>
    </row>
    <row r="752" spans="1:1">
      <c r="A752" s="19"/>
    </row>
    <row r="753" spans="1:1">
      <c r="A753" s="19"/>
    </row>
    <row r="754" spans="1:1">
      <c r="A754" s="19"/>
    </row>
    <row r="755" spans="1:1">
      <c r="A755" s="19"/>
    </row>
    <row r="756" spans="1:1">
      <c r="A756" s="19"/>
    </row>
    <row r="757" spans="1:1">
      <c r="A757" s="19"/>
    </row>
    <row r="758" spans="1:1">
      <c r="A758" s="19"/>
    </row>
    <row r="759" spans="1:1">
      <c r="A759" s="19"/>
    </row>
    <row r="760" spans="1:1">
      <c r="A760" s="19"/>
    </row>
    <row r="761" spans="1:1">
      <c r="A761" s="19"/>
    </row>
    <row r="762" spans="1:1">
      <c r="A762" s="19"/>
    </row>
    <row r="763" spans="1:1">
      <c r="A763" s="19"/>
    </row>
    <row r="764" spans="1:1">
      <c r="A764" s="19"/>
    </row>
    <row r="765" spans="1:1">
      <c r="A765" s="19"/>
    </row>
    <row r="766" spans="1:1">
      <c r="A766" s="19"/>
    </row>
    <row r="767" spans="1:1">
      <c r="A767" s="19"/>
    </row>
    <row r="768" spans="1:1">
      <c r="A768" s="19"/>
    </row>
    <row r="769" spans="1:1">
      <c r="A769" s="19"/>
    </row>
    <row r="770" spans="1:1">
      <c r="A770" s="19"/>
    </row>
    <row r="771" spans="1:1">
      <c r="A771" s="19"/>
    </row>
    <row r="772" spans="1:1">
      <c r="A772" s="19"/>
    </row>
    <row r="773" spans="1:1">
      <c r="A773" s="19"/>
    </row>
    <row r="774" spans="1:1">
      <c r="A774" s="19"/>
    </row>
    <row r="775" spans="1:1">
      <c r="A775" s="19"/>
    </row>
    <row r="776" spans="1:1">
      <c r="A776" s="19"/>
    </row>
    <row r="777" spans="1:1">
      <c r="A777" s="19"/>
    </row>
  </sheetData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F1" workbookViewId="0">
      <selection activeCell="F27" sqref="A27:XFD27"/>
    </sheetView>
  </sheetViews>
  <sheetFormatPr defaultRowHeight="14.25"/>
  <cols>
    <col min="1" max="1" width="9" style="110"/>
    <col min="4" max="4" width="9.875" customWidth="1"/>
    <col min="22" max="22" width="11.25" customWidth="1"/>
  </cols>
  <sheetData>
    <row r="1" spans="1:34">
      <c r="B1" s="114" t="s">
        <v>350</v>
      </c>
      <c r="C1" s="114" t="s">
        <v>58</v>
      </c>
      <c r="D1" s="114" t="s">
        <v>59</v>
      </c>
      <c r="E1" s="114" t="s">
        <v>60</v>
      </c>
      <c r="F1" s="114" t="s">
        <v>61</v>
      </c>
      <c r="G1" s="114" t="s">
        <v>62</v>
      </c>
      <c r="H1" s="114" t="s">
        <v>63</v>
      </c>
      <c r="I1" s="114" t="s">
        <v>64</v>
      </c>
      <c r="J1" s="114" t="s">
        <v>49</v>
      </c>
      <c r="K1" s="114" t="s">
        <v>65</v>
      </c>
      <c r="L1" s="114" t="s">
        <v>66</v>
      </c>
      <c r="M1" s="114" t="s">
        <v>67</v>
      </c>
      <c r="N1" s="114" t="s">
        <v>68</v>
      </c>
      <c r="O1" s="114" t="s">
        <v>69</v>
      </c>
      <c r="P1" s="114" t="s">
        <v>70</v>
      </c>
      <c r="Q1" s="114" t="s">
        <v>71</v>
      </c>
      <c r="R1" s="114" t="s">
        <v>72</v>
      </c>
      <c r="S1" s="114" t="s">
        <v>73</v>
      </c>
      <c r="T1" s="114" t="s">
        <v>99</v>
      </c>
      <c r="U1" s="114" t="s">
        <v>74</v>
      </c>
      <c r="V1" s="114" t="s">
        <v>75</v>
      </c>
      <c r="W1" s="114" t="s">
        <v>76</v>
      </c>
      <c r="X1" s="114" t="s">
        <v>77</v>
      </c>
      <c r="Y1" s="114" t="s">
        <v>78</v>
      </c>
      <c r="Z1" s="114" t="s">
        <v>79</v>
      </c>
      <c r="AA1" s="114" t="s">
        <v>80</v>
      </c>
      <c r="AB1" s="114" t="s">
        <v>81</v>
      </c>
      <c r="AC1" s="114" t="s">
        <v>82</v>
      </c>
      <c r="AD1" s="114" t="s">
        <v>83</v>
      </c>
      <c r="AE1" s="114" t="s">
        <v>84</v>
      </c>
      <c r="AF1" s="114" t="s">
        <v>100</v>
      </c>
      <c r="AG1" s="114" t="s">
        <v>101</v>
      </c>
      <c r="AH1" s="114" t="s">
        <v>102</v>
      </c>
    </row>
    <row r="2" spans="1:34">
      <c r="A2" s="110">
        <v>104</v>
      </c>
      <c r="B2">
        <v>4626</v>
      </c>
      <c r="C2" s="114" t="s">
        <v>1004</v>
      </c>
      <c r="D2" s="114" t="s">
        <v>86</v>
      </c>
      <c r="E2">
        <v>4215</v>
      </c>
      <c r="F2">
        <v>4185</v>
      </c>
      <c r="G2">
        <v>200</v>
      </c>
      <c r="H2" s="114" t="s">
        <v>85</v>
      </c>
      <c r="I2">
        <v>6134</v>
      </c>
      <c r="J2" s="114" t="s">
        <v>1005</v>
      </c>
      <c r="K2" s="114" t="s">
        <v>126</v>
      </c>
      <c r="L2">
        <v>1934</v>
      </c>
      <c r="M2">
        <v>1952</v>
      </c>
      <c r="N2">
        <v>400</v>
      </c>
      <c r="O2" s="114" t="s">
        <v>87</v>
      </c>
      <c r="P2">
        <v>0.94334334952554499</v>
      </c>
      <c r="Q2">
        <v>0.91465857218457203</v>
      </c>
      <c r="R2" s="20">
        <v>3.0833335908677002E-2</v>
      </c>
      <c r="S2">
        <v>0.12771168375789699</v>
      </c>
      <c r="T2">
        <v>-1.29303613585616</v>
      </c>
      <c r="U2">
        <v>1.29303613585616</v>
      </c>
      <c r="V2">
        <v>-4.49</v>
      </c>
      <c r="W2">
        <v>6.71</v>
      </c>
      <c r="X2">
        <v>550688</v>
      </c>
      <c r="Y2">
        <v>32393</v>
      </c>
      <c r="Z2">
        <v>1.85</v>
      </c>
      <c r="AA2">
        <v>17</v>
      </c>
      <c r="AB2">
        <v>13</v>
      </c>
      <c r="AC2">
        <v>4</v>
      </c>
      <c r="AD2">
        <v>76.47</v>
      </c>
      <c r="AE2">
        <v>12</v>
      </c>
      <c r="AF2">
        <v>9</v>
      </c>
      <c r="AG2">
        <v>2</v>
      </c>
      <c r="AH2">
        <v>6</v>
      </c>
    </row>
    <row r="3" spans="1:34">
      <c r="A3" s="110">
        <v>20</v>
      </c>
      <c r="B3">
        <v>4202</v>
      </c>
      <c r="C3" s="114" t="s">
        <v>116</v>
      </c>
      <c r="D3" s="114" t="s">
        <v>86</v>
      </c>
      <c r="E3">
        <v>1074</v>
      </c>
      <c r="F3">
        <v>1071</v>
      </c>
      <c r="G3">
        <v>1000</v>
      </c>
      <c r="H3" s="114" t="s">
        <v>85</v>
      </c>
      <c r="I3">
        <v>5991</v>
      </c>
      <c r="J3" s="114" t="s">
        <v>142</v>
      </c>
      <c r="K3" s="114" t="s">
        <v>143</v>
      </c>
      <c r="L3">
        <v>994</v>
      </c>
      <c r="M3">
        <v>1004</v>
      </c>
      <c r="N3">
        <v>1100</v>
      </c>
      <c r="O3" s="114" t="s">
        <v>87</v>
      </c>
      <c r="P3">
        <v>0.95200824684956697</v>
      </c>
      <c r="Q3">
        <v>0.94555230533916701</v>
      </c>
      <c r="R3" s="20">
        <v>7.2317811968582696E-2</v>
      </c>
      <c r="S3" s="114">
        <v>1.9389882618023501E-2</v>
      </c>
      <c r="T3">
        <v>-1.36970713007126</v>
      </c>
      <c r="U3">
        <v>1.36970713007126</v>
      </c>
      <c r="V3">
        <v>-4.22</v>
      </c>
      <c r="W3">
        <v>3.12</v>
      </c>
      <c r="X3">
        <v>542623</v>
      </c>
      <c r="Y3">
        <v>27131</v>
      </c>
      <c r="Z3">
        <v>1.27</v>
      </c>
      <c r="AA3">
        <v>20</v>
      </c>
      <c r="AB3">
        <v>14</v>
      </c>
      <c r="AC3">
        <v>6</v>
      </c>
      <c r="AD3">
        <v>70</v>
      </c>
      <c r="AE3">
        <v>13</v>
      </c>
      <c r="AF3">
        <v>7</v>
      </c>
      <c r="AG3">
        <v>1</v>
      </c>
      <c r="AH3">
        <v>12</v>
      </c>
    </row>
    <row r="4" spans="1:34">
      <c r="A4" s="110">
        <v>34</v>
      </c>
      <c r="B4">
        <v>3635</v>
      </c>
      <c r="C4" s="114" t="s">
        <v>111</v>
      </c>
      <c r="D4" s="114" t="s">
        <v>105</v>
      </c>
      <c r="E4">
        <v>2649</v>
      </c>
      <c r="F4">
        <v>2646</v>
      </c>
      <c r="G4">
        <v>400</v>
      </c>
      <c r="H4" s="114" t="s">
        <v>87</v>
      </c>
      <c r="I4">
        <v>6845</v>
      </c>
      <c r="J4" s="114" t="s">
        <v>351</v>
      </c>
      <c r="K4" s="114" t="s">
        <v>113</v>
      </c>
      <c r="L4">
        <v>3145</v>
      </c>
      <c r="M4">
        <v>3130</v>
      </c>
      <c r="N4">
        <v>300</v>
      </c>
      <c r="O4" s="114" t="s">
        <v>85</v>
      </c>
      <c r="P4">
        <v>0.91295340945974401</v>
      </c>
      <c r="Q4">
        <v>0.93821816849023298</v>
      </c>
      <c r="R4">
        <v>6.5245107727489995E-2</v>
      </c>
      <c r="S4">
        <v>3.5234550109403399E-2</v>
      </c>
      <c r="T4">
        <v>2.2297984523073802</v>
      </c>
      <c r="U4">
        <v>2.2297984523073802</v>
      </c>
      <c r="V4">
        <v>4.67</v>
      </c>
      <c r="W4">
        <v>12.72</v>
      </c>
      <c r="X4">
        <v>542091</v>
      </c>
      <c r="Y4">
        <v>31888</v>
      </c>
      <c r="Z4">
        <v>1.61</v>
      </c>
      <c r="AA4">
        <v>17</v>
      </c>
      <c r="AB4">
        <v>14</v>
      </c>
      <c r="AC4">
        <v>3</v>
      </c>
      <c r="AD4">
        <v>82.35</v>
      </c>
      <c r="AE4">
        <v>12</v>
      </c>
      <c r="AF4">
        <v>8</v>
      </c>
      <c r="AG4">
        <v>2</v>
      </c>
      <c r="AH4">
        <v>7</v>
      </c>
    </row>
    <row r="5" spans="1:34">
      <c r="A5" s="110">
        <v>24</v>
      </c>
      <c r="B5">
        <v>2914</v>
      </c>
      <c r="C5" s="114" t="s">
        <v>123</v>
      </c>
      <c r="D5" s="114" t="s">
        <v>124</v>
      </c>
      <c r="E5">
        <v>2520</v>
      </c>
      <c r="F5">
        <v>2497</v>
      </c>
      <c r="G5">
        <v>400</v>
      </c>
      <c r="H5" s="114" t="s">
        <v>85</v>
      </c>
      <c r="I5">
        <v>7189</v>
      </c>
      <c r="J5" s="114" t="s">
        <v>107</v>
      </c>
      <c r="K5" s="114" t="s">
        <v>108</v>
      </c>
      <c r="L5">
        <v>854</v>
      </c>
      <c r="M5">
        <v>862</v>
      </c>
      <c r="N5">
        <v>1200</v>
      </c>
      <c r="O5" s="114" t="s">
        <v>87</v>
      </c>
      <c r="P5">
        <v>0.92893161147651504</v>
      </c>
      <c r="Q5">
        <v>0.94233813545018097</v>
      </c>
      <c r="R5">
        <v>0.21100520806992801</v>
      </c>
      <c r="S5">
        <v>6.5543242599577306E-2</v>
      </c>
      <c r="T5">
        <v>-1.1160312133252299</v>
      </c>
      <c r="U5">
        <v>1.1160312133252299</v>
      </c>
      <c r="V5">
        <v>-7.77</v>
      </c>
      <c r="W5">
        <v>3.56</v>
      </c>
      <c r="X5">
        <v>526842</v>
      </c>
      <c r="Y5">
        <v>23947</v>
      </c>
      <c r="Z5">
        <v>1.21</v>
      </c>
      <c r="AA5">
        <v>22</v>
      </c>
      <c r="AB5">
        <v>16</v>
      </c>
      <c r="AC5">
        <v>6</v>
      </c>
      <c r="AD5">
        <v>72.73</v>
      </c>
      <c r="AE5">
        <v>14</v>
      </c>
      <c r="AF5">
        <v>12</v>
      </c>
      <c r="AG5">
        <v>3</v>
      </c>
      <c r="AH5">
        <v>7</v>
      </c>
    </row>
    <row r="6" spans="1:34">
      <c r="A6" s="110">
        <v>2</v>
      </c>
      <c r="B6">
        <v>3635</v>
      </c>
      <c r="C6" s="114" t="s">
        <v>111</v>
      </c>
      <c r="D6" s="114" t="s">
        <v>105</v>
      </c>
      <c r="E6">
        <v>2649</v>
      </c>
      <c r="F6">
        <v>2646</v>
      </c>
      <c r="G6">
        <v>400</v>
      </c>
      <c r="H6" s="114" t="s">
        <v>85</v>
      </c>
      <c r="I6">
        <v>6920</v>
      </c>
      <c r="J6" s="114" t="s">
        <v>112</v>
      </c>
      <c r="K6" s="114" t="s">
        <v>113</v>
      </c>
      <c r="L6">
        <v>9850</v>
      </c>
      <c r="M6">
        <v>9850</v>
      </c>
      <c r="N6">
        <v>100</v>
      </c>
      <c r="O6" s="114" t="s">
        <v>87</v>
      </c>
      <c r="P6">
        <v>0.93276155419833495</v>
      </c>
      <c r="Q6">
        <v>0.963853654443107</v>
      </c>
      <c r="R6">
        <v>5.8051652317866902E-2</v>
      </c>
      <c r="S6">
        <v>7.5302560110970796E-4</v>
      </c>
      <c r="T6">
        <v>-1.94018691157657</v>
      </c>
      <c r="U6">
        <v>1.94018691157657</v>
      </c>
      <c r="V6">
        <v>-20.05</v>
      </c>
      <c r="W6">
        <v>7.45</v>
      </c>
      <c r="X6">
        <v>518439</v>
      </c>
      <c r="Y6">
        <v>25922</v>
      </c>
      <c r="Z6">
        <v>1.37</v>
      </c>
      <c r="AA6">
        <v>20</v>
      </c>
      <c r="AB6">
        <v>13</v>
      </c>
      <c r="AC6">
        <v>7</v>
      </c>
      <c r="AD6">
        <v>65</v>
      </c>
      <c r="AE6">
        <v>10</v>
      </c>
      <c r="AF6">
        <v>10</v>
      </c>
      <c r="AG6">
        <v>6</v>
      </c>
      <c r="AH6">
        <v>4</v>
      </c>
    </row>
    <row r="7" spans="1:34">
      <c r="A7" s="110">
        <v>14</v>
      </c>
      <c r="B7">
        <v>1928</v>
      </c>
      <c r="C7" s="114" t="s">
        <v>346</v>
      </c>
      <c r="D7" s="114" t="s">
        <v>103</v>
      </c>
      <c r="E7">
        <v>2410</v>
      </c>
      <c r="F7">
        <v>2399.5</v>
      </c>
      <c r="G7">
        <v>400</v>
      </c>
      <c r="H7" s="114" t="s">
        <v>85</v>
      </c>
      <c r="I7">
        <v>4062</v>
      </c>
      <c r="J7" s="114" t="s">
        <v>374</v>
      </c>
      <c r="K7" s="114" t="s">
        <v>113</v>
      </c>
      <c r="L7">
        <v>2551</v>
      </c>
      <c r="M7">
        <v>2556</v>
      </c>
      <c r="N7">
        <v>400</v>
      </c>
      <c r="O7" s="114" t="s">
        <v>87</v>
      </c>
      <c r="P7">
        <v>0.937305081616706</v>
      </c>
      <c r="Q7">
        <v>0.948392580259101</v>
      </c>
      <c r="R7">
        <v>0.192699495015763</v>
      </c>
      <c r="S7">
        <v>5.9718556349535198E-2</v>
      </c>
      <c r="T7">
        <v>-0.201236026684736</v>
      </c>
      <c r="U7">
        <v>0.201236026684736</v>
      </c>
      <c r="V7">
        <v>-0.62</v>
      </c>
      <c r="W7">
        <v>6.12</v>
      </c>
      <c r="X7">
        <v>454397</v>
      </c>
      <c r="Y7">
        <v>28400</v>
      </c>
      <c r="Z7">
        <v>1.52</v>
      </c>
      <c r="AA7">
        <v>16</v>
      </c>
      <c r="AB7">
        <v>13</v>
      </c>
      <c r="AC7">
        <v>3</v>
      </c>
      <c r="AD7">
        <v>81.25</v>
      </c>
      <c r="AE7">
        <v>11</v>
      </c>
      <c r="AF7">
        <v>9</v>
      </c>
      <c r="AG7">
        <v>2</v>
      </c>
      <c r="AH7">
        <v>5</v>
      </c>
    </row>
    <row r="8" spans="1:34">
      <c r="A8" s="110">
        <v>33</v>
      </c>
      <c r="B8">
        <v>6923</v>
      </c>
      <c r="C8" s="114" t="s">
        <v>139</v>
      </c>
      <c r="D8" s="114" t="s">
        <v>113</v>
      </c>
      <c r="E8">
        <v>3115</v>
      </c>
      <c r="F8">
        <v>3115</v>
      </c>
      <c r="G8">
        <v>300</v>
      </c>
      <c r="H8" s="114" t="s">
        <v>85</v>
      </c>
      <c r="I8">
        <v>7272</v>
      </c>
      <c r="J8" s="114" t="s">
        <v>341</v>
      </c>
      <c r="K8" s="114" t="s">
        <v>110</v>
      </c>
      <c r="L8">
        <v>2280</v>
      </c>
      <c r="M8">
        <v>2295</v>
      </c>
      <c r="N8">
        <v>400</v>
      </c>
      <c r="O8" s="114" t="s">
        <v>87</v>
      </c>
      <c r="P8">
        <v>0.90347641703807802</v>
      </c>
      <c r="Q8">
        <v>0.93848655539231596</v>
      </c>
      <c r="R8">
        <v>0.14797059336042001</v>
      </c>
      <c r="S8" s="20">
        <v>0.15704617419164699</v>
      </c>
      <c r="T8">
        <v>-1.0360349758303</v>
      </c>
      <c r="U8">
        <v>1.0360349758303</v>
      </c>
      <c r="V8">
        <v>-4.8</v>
      </c>
      <c r="W8">
        <v>1.77</v>
      </c>
      <c r="X8">
        <v>442542</v>
      </c>
      <c r="Y8">
        <v>44254</v>
      </c>
      <c r="Z8">
        <v>2.38</v>
      </c>
      <c r="AA8">
        <v>10</v>
      </c>
      <c r="AB8">
        <v>8</v>
      </c>
      <c r="AC8">
        <v>2</v>
      </c>
      <c r="AD8">
        <v>80</v>
      </c>
      <c r="AE8">
        <v>14</v>
      </c>
      <c r="AF8">
        <v>6</v>
      </c>
      <c r="AG8">
        <v>0</v>
      </c>
      <c r="AH8">
        <v>4</v>
      </c>
    </row>
    <row r="9" spans="1:34">
      <c r="A9" s="110">
        <v>10</v>
      </c>
      <c r="B9">
        <v>5991</v>
      </c>
      <c r="C9" s="114" t="s">
        <v>142</v>
      </c>
      <c r="D9" s="114" t="s">
        <v>143</v>
      </c>
      <c r="E9">
        <v>994</v>
      </c>
      <c r="F9">
        <v>1004</v>
      </c>
      <c r="G9">
        <v>1000</v>
      </c>
      <c r="H9" s="114" t="s">
        <v>87</v>
      </c>
      <c r="I9">
        <v>7278</v>
      </c>
      <c r="J9" s="114" t="s">
        <v>109</v>
      </c>
      <c r="K9" s="114" t="s">
        <v>110</v>
      </c>
      <c r="L9">
        <v>2493</v>
      </c>
      <c r="M9">
        <v>2536</v>
      </c>
      <c r="N9">
        <v>400</v>
      </c>
      <c r="O9" s="114" t="s">
        <v>85</v>
      </c>
      <c r="P9">
        <v>0.93315336991259701</v>
      </c>
      <c r="Q9">
        <v>0.950990205262361</v>
      </c>
      <c r="R9">
        <v>0.18057737797972001</v>
      </c>
      <c r="S9" s="20">
        <v>1.44156631648708E-2</v>
      </c>
      <c r="T9">
        <v>0.89754674272638602</v>
      </c>
      <c r="U9">
        <v>0.89754674272638602</v>
      </c>
      <c r="V9">
        <v>2.37</v>
      </c>
      <c r="W9">
        <v>1.03</v>
      </c>
      <c r="X9">
        <v>437615</v>
      </c>
      <c r="Y9">
        <v>24312</v>
      </c>
      <c r="Z9">
        <v>1.1399999999999999</v>
      </c>
      <c r="AA9">
        <v>18</v>
      </c>
      <c r="AB9">
        <v>13</v>
      </c>
      <c r="AC9">
        <v>5</v>
      </c>
      <c r="AD9">
        <v>72.22</v>
      </c>
      <c r="AE9">
        <v>13</v>
      </c>
      <c r="AF9">
        <v>8</v>
      </c>
      <c r="AG9">
        <v>1</v>
      </c>
      <c r="AH9">
        <v>9</v>
      </c>
    </row>
    <row r="10" spans="1:34">
      <c r="A10" s="110">
        <v>44</v>
      </c>
      <c r="B10">
        <v>1973</v>
      </c>
      <c r="C10" s="114" t="s">
        <v>354</v>
      </c>
      <c r="D10" s="114" t="s">
        <v>105</v>
      </c>
      <c r="E10">
        <v>3560</v>
      </c>
      <c r="F10">
        <v>3570</v>
      </c>
      <c r="G10">
        <v>300</v>
      </c>
      <c r="H10" s="114" t="s">
        <v>87</v>
      </c>
      <c r="I10">
        <v>3635</v>
      </c>
      <c r="J10" s="114" t="s">
        <v>111</v>
      </c>
      <c r="K10" s="114" t="s">
        <v>105</v>
      </c>
      <c r="L10">
        <v>2649</v>
      </c>
      <c r="M10">
        <v>2646</v>
      </c>
      <c r="N10">
        <v>400</v>
      </c>
      <c r="O10" s="114" t="s">
        <v>85</v>
      </c>
      <c r="P10">
        <v>0.95029060567700296</v>
      </c>
      <c r="Q10">
        <v>0.93503301520767301</v>
      </c>
      <c r="R10">
        <v>2.6703848229844299E-2</v>
      </c>
      <c r="S10">
        <v>1.6481960634037899E-2</v>
      </c>
      <c r="T10">
        <v>1.2800196461989499</v>
      </c>
      <c r="U10">
        <v>1.2800196461989499</v>
      </c>
      <c r="V10">
        <v>3.53</v>
      </c>
      <c r="W10">
        <v>1.18</v>
      </c>
      <c r="X10">
        <v>416117</v>
      </c>
      <c r="Y10">
        <v>26007</v>
      </c>
      <c r="Z10">
        <v>1.37</v>
      </c>
      <c r="AA10">
        <v>16</v>
      </c>
      <c r="AB10">
        <v>12</v>
      </c>
      <c r="AC10">
        <v>4</v>
      </c>
      <c r="AD10">
        <v>75</v>
      </c>
      <c r="AE10">
        <v>13</v>
      </c>
      <c r="AF10">
        <v>8</v>
      </c>
      <c r="AG10">
        <v>1</v>
      </c>
      <c r="AH10">
        <v>7</v>
      </c>
    </row>
    <row r="11" spans="1:34">
      <c r="A11" s="110">
        <v>154</v>
      </c>
      <c r="B11">
        <v>6371</v>
      </c>
      <c r="C11" s="114" t="s">
        <v>135</v>
      </c>
      <c r="D11" s="114" t="s">
        <v>126</v>
      </c>
      <c r="E11">
        <v>3865</v>
      </c>
      <c r="F11">
        <v>3875</v>
      </c>
      <c r="G11">
        <v>200</v>
      </c>
      <c r="H11" s="114" t="s">
        <v>85</v>
      </c>
      <c r="I11">
        <v>7278</v>
      </c>
      <c r="J11" s="114" t="s">
        <v>109</v>
      </c>
      <c r="K11" s="114" t="s">
        <v>110</v>
      </c>
      <c r="L11">
        <v>2493</v>
      </c>
      <c r="M11">
        <v>2536</v>
      </c>
      <c r="N11">
        <v>300</v>
      </c>
      <c r="O11" s="114" t="s">
        <v>87</v>
      </c>
      <c r="P11">
        <v>0.95285792280437298</v>
      </c>
      <c r="Q11">
        <v>0.90151630440157304</v>
      </c>
      <c r="R11">
        <v>6.8520107206579103E-4</v>
      </c>
      <c r="S11">
        <v>1.8783342202417098E-2</v>
      </c>
      <c r="T11">
        <v>-1.6083010098257999</v>
      </c>
      <c r="U11">
        <v>1.6083010098257999</v>
      </c>
      <c r="V11">
        <v>-4.59</v>
      </c>
      <c r="W11">
        <v>1.83</v>
      </c>
      <c r="X11">
        <v>415459</v>
      </c>
      <c r="Y11">
        <v>41546</v>
      </c>
      <c r="Z11">
        <v>2.39</v>
      </c>
      <c r="AA11">
        <v>10</v>
      </c>
      <c r="AB11">
        <v>8</v>
      </c>
      <c r="AC11">
        <v>2</v>
      </c>
      <c r="AD11">
        <v>80</v>
      </c>
      <c r="AE11">
        <v>10</v>
      </c>
      <c r="AF11">
        <v>6</v>
      </c>
      <c r="AG11">
        <v>0</v>
      </c>
      <c r="AH11">
        <v>4</v>
      </c>
    </row>
    <row r="12" spans="1:34">
      <c r="A12" s="110">
        <v>42</v>
      </c>
      <c r="B12">
        <v>4062</v>
      </c>
      <c r="C12" s="114" t="s">
        <v>374</v>
      </c>
      <c r="D12" s="114" t="s">
        <v>113</v>
      </c>
      <c r="E12">
        <v>2551</v>
      </c>
      <c r="F12">
        <v>2556</v>
      </c>
      <c r="G12">
        <v>300</v>
      </c>
      <c r="H12" s="114" t="s">
        <v>85</v>
      </c>
      <c r="I12">
        <v>8036</v>
      </c>
      <c r="J12" s="114" t="s">
        <v>366</v>
      </c>
      <c r="K12" s="114" t="s">
        <v>128</v>
      </c>
      <c r="L12">
        <v>7380</v>
      </c>
      <c r="M12">
        <v>7290</v>
      </c>
      <c r="N12">
        <v>100</v>
      </c>
      <c r="O12" s="114" t="s">
        <v>87</v>
      </c>
      <c r="P12">
        <v>0.93244862701158904</v>
      </c>
      <c r="Q12">
        <v>0.93521697722224295</v>
      </c>
      <c r="R12">
        <v>7.5055513899508999E-2</v>
      </c>
      <c r="S12" s="20">
        <v>0.17467206421870601</v>
      </c>
      <c r="T12">
        <v>-1.0006098061200701</v>
      </c>
      <c r="U12">
        <v>1.0006098061200701</v>
      </c>
      <c r="V12">
        <v>-2.62</v>
      </c>
      <c r="W12">
        <v>5.19</v>
      </c>
      <c r="X12">
        <v>409387</v>
      </c>
      <c r="Y12">
        <v>29242</v>
      </c>
      <c r="Z12">
        <v>1.62</v>
      </c>
      <c r="AA12">
        <v>14</v>
      </c>
      <c r="AB12">
        <v>10</v>
      </c>
      <c r="AC12">
        <v>4</v>
      </c>
      <c r="AD12">
        <v>71.430000000000007</v>
      </c>
      <c r="AE12">
        <v>11</v>
      </c>
      <c r="AF12">
        <v>7</v>
      </c>
      <c r="AG12">
        <v>2</v>
      </c>
      <c r="AH12">
        <v>5</v>
      </c>
    </row>
    <row r="13" spans="1:34">
      <c r="A13" s="110">
        <v>143</v>
      </c>
      <c r="B13">
        <v>3861</v>
      </c>
      <c r="C13" s="114" t="s">
        <v>89</v>
      </c>
      <c r="D13" s="114" t="s">
        <v>106</v>
      </c>
      <c r="E13">
        <v>621</v>
      </c>
      <c r="F13">
        <v>623</v>
      </c>
      <c r="G13">
        <v>1700</v>
      </c>
      <c r="H13" s="114" t="s">
        <v>87</v>
      </c>
      <c r="I13">
        <v>4183</v>
      </c>
      <c r="J13" s="114" t="s">
        <v>344</v>
      </c>
      <c r="K13" s="114" t="s">
        <v>86</v>
      </c>
      <c r="L13">
        <v>2649</v>
      </c>
      <c r="M13">
        <v>2638</v>
      </c>
      <c r="N13">
        <v>400</v>
      </c>
      <c r="O13" s="114" t="s">
        <v>85</v>
      </c>
      <c r="P13">
        <v>0.91098251357309301</v>
      </c>
      <c r="Q13">
        <v>0.90559305268623902</v>
      </c>
      <c r="R13">
        <v>9.6573390136345402E-2</v>
      </c>
      <c r="S13">
        <v>0.128134471362254</v>
      </c>
      <c r="T13">
        <v>1.77211695927131</v>
      </c>
      <c r="U13">
        <v>1.77211695927131</v>
      </c>
      <c r="V13">
        <v>7.12</v>
      </c>
      <c r="W13">
        <v>0.37</v>
      </c>
      <c r="X13">
        <v>408613</v>
      </c>
      <c r="Y13">
        <v>17766</v>
      </c>
      <c r="Z13">
        <v>0.95</v>
      </c>
      <c r="AA13">
        <v>23</v>
      </c>
      <c r="AB13">
        <v>15</v>
      </c>
      <c r="AC13">
        <v>8</v>
      </c>
      <c r="AD13">
        <v>65.22</v>
      </c>
      <c r="AE13">
        <v>13</v>
      </c>
      <c r="AF13">
        <v>10</v>
      </c>
      <c r="AG13">
        <v>4</v>
      </c>
      <c r="AH13">
        <v>9</v>
      </c>
    </row>
    <row r="14" spans="1:34">
      <c r="A14" s="110">
        <v>136</v>
      </c>
      <c r="B14">
        <v>3105</v>
      </c>
      <c r="C14" s="114" t="s">
        <v>117</v>
      </c>
      <c r="D14" s="114" t="s">
        <v>113</v>
      </c>
      <c r="E14">
        <v>1027</v>
      </c>
      <c r="F14">
        <v>1033</v>
      </c>
      <c r="G14">
        <v>1000</v>
      </c>
      <c r="H14" s="114" t="s">
        <v>87</v>
      </c>
      <c r="I14">
        <v>6471</v>
      </c>
      <c r="J14" s="114" t="s">
        <v>167</v>
      </c>
      <c r="K14" s="114" t="s">
        <v>126</v>
      </c>
      <c r="L14">
        <v>1061</v>
      </c>
      <c r="M14">
        <v>1065</v>
      </c>
      <c r="N14">
        <v>1000</v>
      </c>
      <c r="O14" s="114" t="s">
        <v>85</v>
      </c>
      <c r="P14">
        <v>0.91062990157089496</v>
      </c>
      <c r="Q14">
        <v>0.90753069751786297</v>
      </c>
      <c r="R14">
        <v>0.13729692805167901</v>
      </c>
      <c r="S14">
        <v>0.101256154177574</v>
      </c>
      <c r="T14">
        <v>2.11885555417066</v>
      </c>
      <c r="U14">
        <v>2.11885555417066</v>
      </c>
      <c r="V14">
        <v>6</v>
      </c>
      <c r="W14">
        <v>3</v>
      </c>
      <c r="X14">
        <v>378866</v>
      </c>
      <c r="Y14">
        <v>25258</v>
      </c>
      <c r="Z14">
        <v>1.1299999999999999</v>
      </c>
      <c r="AA14">
        <v>15</v>
      </c>
      <c r="AB14">
        <v>8</v>
      </c>
      <c r="AC14">
        <v>7</v>
      </c>
      <c r="AD14">
        <v>53.33</v>
      </c>
      <c r="AE14">
        <v>13</v>
      </c>
      <c r="AF14">
        <v>6</v>
      </c>
      <c r="AG14">
        <v>1</v>
      </c>
      <c r="AH14">
        <v>8</v>
      </c>
    </row>
    <row r="15" spans="1:34">
      <c r="A15" s="110">
        <v>110</v>
      </c>
      <c r="B15">
        <v>8593</v>
      </c>
      <c r="C15" s="114" t="s">
        <v>355</v>
      </c>
      <c r="D15" s="114" t="s">
        <v>340</v>
      </c>
      <c r="E15">
        <v>696</v>
      </c>
      <c r="F15">
        <v>702</v>
      </c>
      <c r="G15">
        <v>1500</v>
      </c>
      <c r="H15" s="114" t="s">
        <v>85</v>
      </c>
      <c r="I15">
        <v>9934</v>
      </c>
      <c r="J15" s="114" t="s">
        <v>1006</v>
      </c>
      <c r="K15" s="114" t="s">
        <v>128</v>
      </c>
      <c r="L15">
        <v>2672</v>
      </c>
      <c r="M15">
        <v>2700</v>
      </c>
      <c r="N15">
        <v>400</v>
      </c>
      <c r="O15" s="114" t="s">
        <v>87</v>
      </c>
      <c r="P15">
        <v>0.90683766459028603</v>
      </c>
      <c r="Q15">
        <v>0.913348839282216</v>
      </c>
      <c r="R15" s="114">
        <v>9.6258820784433097E-2</v>
      </c>
      <c r="S15">
        <v>8.5099108565361396E-3</v>
      </c>
      <c r="T15">
        <v>-0.26432415716181301</v>
      </c>
      <c r="U15">
        <v>0.26432415716181301</v>
      </c>
      <c r="V15">
        <v>-0.95</v>
      </c>
      <c r="W15">
        <v>2.5</v>
      </c>
      <c r="X15">
        <v>371048</v>
      </c>
      <c r="Y15">
        <v>23190</v>
      </c>
      <c r="Z15">
        <v>1.22</v>
      </c>
      <c r="AA15">
        <v>16</v>
      </c>
      <c r="AB15">
        <v>14</v>
      </c>
      <c r="AC15">
        <v>2</v>
      </c>
      <c r="AD15">
        <v>87.5</v>
      </c>
      <c r="AE15">
        <v>14</v>
      </c>
      <c r="AF15">
        <v>7</v>
      </c>
      <c r="AG15">
        <v>1</v>
      </c>
      <c r="AH15">
        <v>8</v>
      </c>
    </row>
    <row r="16" spans="1:34">
      <c r="A16" s="110">
        <v>61</v>
      </c>
      <c r="B16">
        <v>1820</v>
      </c>
      <c r="C16" s="114" t="s">
        <v>149</v>
      </c>
      <c r="D16" s="114" t="s">
        <v>103</v>
      </c>
      <c r="E16">
        <v>2453</v>
      </c>
      <c r="F16">
        <v>2488</v>
      </c>
      <c r="G16">
        <v>400</v>
      </c>
      <c r="H16" s="114" t="s">
        <v>87</v>
      </c>
      <c r="I16">
        <v>7278</v>
      </c>
      <c r="J16" s="114" t="s">
        <v>109</v>
      </c>
      <c r="K16" s="114" t="s">
        <v>110</v>
      </c>
      <c r="L16">
        <v>2493</v>
      </c>
      <c r="M16">
        <v>2536</v>
      </c>
      <c r="N16">
        <v>400</v>
      </c>
      <c r="O16" s="114" t="s">
        <v>85</v>
      </c>
      <c r="P16">
        <v>0.93517274020697405</v>
      </c>
      <c r="Q16">
        <v>0.92680453732028001</v>
      </c>
      <c r="R16">
        <v>8.8949828960430799E-2</v>
      </c>
      <c r="S16">
        <v>2.7468046588891501E-2</v>
      </c>
      <c r="T16">
        <v>0.97338162485978896</v>
      </c>
      <c r="U16">
        <v>0.97338162485978896</v>
      </c>
      <c r="V16">
        <v>2.61</v>
      </c>
      <c r="W16">
        <v>1.89</v>
      </c>
      <c r="X16">
        <v>350930</v>
      </c>
      <c r="Y16">
        <v>25066</v>
      </c>
      <c r="Z16">
        <v>1.22</v>
      </c>
      <c r="AA16">
        <v>14</v>
      </c>
      <c r="AB16">
        <v>9</v>
      </c>
      <c r="AC16">
        <v>5</v>
      </c>
      <c r="AD16">
        <v>64.290000000000006</v>
      </c>
      <c r="AE16">
        <v>12</v>
      </c>
      <c r="AF16">
        <v>8</v>
      </c>
      <c r="AG16">
        <v>2</v>
      </c>
      <c r="AH16">
        <v>4</v>
      </c>
    </row>
    <row r="17" spans="1:34">
      <c r="A17" s="110">
        <v>65</v>
      </c>
      <c r="B17">
        <v>1963</v>
      </c>
      <c r="C17" s="114" t="s">
        <v>159</v>
      </c>
      <c r="D17" s="114" t="s">
        <v>103</v>
      </c>
      <c r="E17">
        <v>1623</v>
      </c>
      <c r="F17">
        <v>1653</v>
      </c>
      <c r="G17">
        <v>600</v>
      </c>
      <c r="H17" s="114" t="s">
        <v>85</v>
      </c>
      <c r="I17">
        <v>7272</v>
      </c>
      <c r="J17" s="114" t="s">
        <v>341</v>
      </c>
      <c r="K17" s="114" t="s">
        <v>110</v>
      </c>
      <c r="L17">
        <v>2280</v>
      </c>
      <c r="M17">
        <v>2295</v>
      </c>
      <c r="N17">
        <v>400</v>
      </c>
      <c r="O17" s="114" t="s">
        <v>87</v>
      </c>
      <c r="P17">
        <v>0.947482763059313</v>
      </c>
      <c r="Q17">
        <v>0.92603835355407504</v>
      </c>
      <c r="R17">
        <v>5.8080396692725501E-2</v>
      </c>
      <c r="S17" s="20">
        <v>3.2179744471234E-5</v>
      </c>
      <c r="T17">
        <v>-0.16378666564203301</v>
      </c>
      <c r="U17">
        <v>0.16378666564203301</v>
      </c>
      <c r="V17">
        <v>-0.4</v>
      </c>
      <c r="W17">
        <v>8.0399999999999991</v>
      </c>
      <c r="X17">
        <v>347406</v>
      </c>
      <c r="Y17">
        <v>16543</v>
      </c>
      <c r="Z17">
        <v>0.82</v>
      </c>
      <c r="AA17">
        <v>21</v>
      </c>
      <c r="AB17">
        <v>14</v>
      </c>
      <c r="AC17">
        <v>7</v>
      </c>
      <c r="AD17">
        <v>66.67</v>
      </c>
      <c r="AE17">
        <v>10</v>
      </c>
      <c r="AF17">
        <v>12</v>
      </c>
      <c r="AG17">
        <v>5</v>
      </c>
      <c r="AH17">
        <v>4</v>
      </c>
    </row>
    <row r="18" spans="1:34">
      <c r="A18" s="110">
        <v>41</v>
      </c>
      <c r="B18">
        <v>4182</v>
      </c>
      <c r="C18" s="114" t="s">
        <v>114</v>
      </c>
      <c r="D18" s="114" t="s">
        <v>86</v>
      </c>
      <c r="E18">
        <v>1681</v>
      </c>
      <c r="F18">
        <v>1674</v>
      </c>
      <c r="G18">
        <v>600</v>
      </c>
      <c r="H18" s="114" t="s">
        <v>85</v>
      </c>
      <c r="I18">
        <v>7278</v>
      </c>
      <c r="J18" s="114" t="s">
        <v>109</v>
      </c>
      <c r="K18" s="114" t="s">
        <v>110</v>
      </c>
      <c r="L18">
        <v>2493</v>
      </c>
      <c r="M18">
        <v>2536</v>
      </c>
      <c r="N18">
        <v>400</v>
      </c>
      <c r="O18" s="114" t="s">
        <v>87</v>
      </c>
      <c r="P18">
        <v>0.92811448274777797</v>
      </c>
      <c r="Q18">
        <v>0.93544798539682905</v>
      </c>
      <c r="R18" s="114">
        <v>3.0544549076331001E-2</v>
      </c>
      <c r="S18">
        <v>3.8419005642597398E-2</v>
      </c>
      <c r="T18">
        <v>-0.244455493345478</v>
      </c>
      <c r="U18">
        <v>0.244455493345478</v>
      </c>
      <c r="V18">
        <v>-0.81</v>
      </c>
      <c r="W18">
        <v>0.99</v>
      </c>
      <c r="X18">
        <v>344277</v>
      </c>
      <c r="Y18">
        <v>26483</v>
      </c>
      <c r="Z18">
        <v>1.33</v>
      </c>
      <c r="AA18">
        <v>13</v>
      </c>
      <c r="AB18">
        <v>8</v>
      </c>
      <c r="AC18">
        <v>5</v>
      </c>
      <c r="AD18">
        <v>61.54</v>
      </c>
      <c r="AE18">
        <v>10</v>
      </c>
      <c r="AF18">
        <v>7</v>
      </c>
      <c r="AG18">
        <v>3</v>
      </c>
      <c r="AH18">
        <v>3</v>
      </c>
    </row>
    <row r="19" spans="1:34">
      <c r="A19" s="110">
        <v>124</v>
      </c>
      <c r="B19">
        <v>5110</v>
      </c>
      <c r="C19" s="114" t="s">
        <v>157</v>
      </c>
      <c r="D19" s="114" t="s">
        <v>158</v>
      </c>
      <c r="E19">
        <v>1394</v>
      </c>
      <c r="F19">
        <v>1406</v>
      </c>
      <c r="G19">
        <v>700</v>
      </c>
      <c r="H19" s="114" t="s">
        <v>85</v>
      </c>
      <c r="I19">
        <v>6923</v>
      </c>
      <c r="J19" s="114" t="s">
        <v>139</v>
      </c>
      <c r="K19" s="114" t="s">
        <v>113</v>
      </c>
      <c r="L19">
        <v>3115</v>
      </c>
      <c r="M19">
        <v>3115</v>
      </c>
      <c r="N19">
        <v>300</v>
      </c>
      <c r="O19" s="114" t="s">
        <v>87</v>
      </c>
      <c r="P19">
        <v>0.92070280323145703</v>
      </c>
      <c r="Q19">
        <v>0.90934748486504802</v>
      </c>
      <c r="R19" s="20">
        <v>0.212410689021516</v>
      </c>
      <c r="S19">
        <v>0.11301218136584799</v>
      </c>
      <c r="T19">
        <v>-0.81612694811365205</v>
      </c>
      <c r="U19">
        <v>0.81612694811365205</v>
      </c>
      <c r="V19">
        <v>-1.51</v>
      </c>
      <c r="W19">
        <v>5.32</v>
      </c>
      <c r="X19">
        <v>336458</v>
      </c>
      <c r="Y19">
        <v>16823</v>
      </c>
      <c r="Z19">
        <v>1.01</v>
      </c>
      <c r="AA19">
        <v>20</v>
      </c>
      <c r="AB19">
        <v>12</v>
      </c>
      <c r="AC19">
        <v>8</v>
      </c>
      <c r="AD19">
        <v>60</v>
      </c>
      <c r="AE19">
        <v>14</v>
      </c>
      <c r="AF19">
        <v>8</v>
      </c>
      <c r="AG19">
        <v>0</v>
      </c>
      <c r="AH19">
        <v>12</v>
      </c>
    </row>
    <row r="20" spans="1:34">
      <c r="A20" s="110">
        <v>125</v>
      </c>
      <c r="B20">
        <v>6371</v>
      </c>
      <c r="C20" s="114" t="s">
        <v>135</v>
      </c>
      <c r="D20" s="114" t="s">
        <v>126</v>
      </c>
      <c r="E20">
        <v>3865</v>
      </c>
      <c r="F20">
        <v>3875</v>
      </c>
      <c r="G20">
        <v>200</v>
      </c>
      <c r="H20" s="114" t="s">
        <v>85</v>
      </c>
      <c r="I20">
        <v>7259</v>
      </c>
      <c r="J20" s="114" t="s">
        <v>53</v>
      </c>
      <c r="K20" s="114" t="s">
        <v>110</v>
      </c>
      <c r="L20">
        <v>4145</v>
      </c>
      <c r="M20">
        <v>4205</v>
      </c>
      <c r="N20">
        <v>200</v>
      </c>
      <c r="O20" s="114" t="s">
        <v>87</v>
      </c>
      <c r="P20">
        <v>0.96185163319496203</v>
      </c>
      <c r="Q20">
        <v>0.90904546707232403</v>
      </c>
      <c r="R20">
        <v>4.8246214863729604E-3</v>
      </c>
      <c r="S20">
        <v>9.3710006109767301E-3</v>
      </c>
      <c r="T20">
        <v>-0.86549369198498605</v>
      </c>
      <c r="U20">
        <v>0.86549369198498605</v>
      </c>
      <c r="V20">
        <v>-5.01</v>
      </c>
      <c r="W20">
        <v>7.85</v>
      </c>
      <c r="X20">
        <v>326064</v>
      </c>
      <c r="Y20">
        <v>36229</v>
      </c>
      <c r="Z20">
        <v>2.0699999999999998</v>
      </c>
      <c r="AA20">
        <v>9</v>
      </c>
      <c r="AB20">
        <v>7</v>
      </c>
      <c r="AC20">
        <v>2</v>
      </c>
      <c r="AD20">
        <v>77.78</v>
      </c>
      <c r="AE20">
        <v>11</v>
      </c>
      <c r="AF20">
        <v>6</v>
      </c>
      <c r="AG20">
        <v>0</v>
      </c>
      <c r="AH20">
        <v>3</v>
      </c>
    </row>
    <row r="21" spans="1:34">
      <c r="A21" s="110">
        <v>138</v>
      </c>
      <c r="B21">
        <v>4208</v>
      </c>
      <c r="C21" s="114" t="s">
        <v>125</v>
      </c>
      <c r="D21" s="114" t="s">
        <v>86</v>
      </c>
      <c r="E21">
        <v>2369</v>
      </c>
      <c r="F21">
        <v>2369</v>
      </c>
      <c r="G21">
        <v>400</v>
      </c>
      <c r="H21" s="114" t="s">
        <v>85</v>
      </c>
      <c r="I21">
        <v>7762</v>
      </c>
      <c r="J21" s="114" t="s">
        <v>134</v>
      </c>
      <c r="K21" s="114" t="s">
        <v>120</v>
      </c>
      <c r="L21">
        <v>602</v>
      </c>
      <c r="M21">
        <v>600</v>
      </c>
      <c r="N21">
        <v>1600</v>
      </c>
      <c r="O21" s="114" t="s">
        <v>87</v>
      </c>
      <c r="P21">
        <v>0.929211436147929</v>
      </c>
      <c r="Q21">
        <v>0.90690178449853198</v>
      </c>
      <c r="R21">
        <v>4.4692044340230198E-2</v>
      </c>
      <c r="S21" s="114">
        <v>1.0714622976550601E-2</v>
      </c>
      <c r="T21">
        <v>-0.88033740439112695</v>
      </c>
      <c r="U21">
        <v>0.88033740439112695</v>
      </c>
      <c r="V21">
        <v>-2.21</v>
      </c>
      <c r="W21">
        <v>1.31</v>
      </c>
      <c r="X21">
        <v>318939</v>
      </c>
      <c r="Y21">
        <v>22781</v>
      </c>
      <c r="Z21">
        <v>1.17</v>
      </c>
      <c r="AA21">
        <v>14</v>
      </c>
      <c r="AB21">
        <v>10</v>
      </c>
      <c r="AC21">
        <v>4</v>
      </c>
      <c r="AD21">
        <v>71.430000000000007</v>
      </c>
      <c r="AE21">
        <v>13</v>
      </c>
      <c r="AF21">
        <v>5</v>
      </c>
      <c r="AG21">
        <v>1</v>
      </c>
      <c r="AH21">
        <v>8</v>
      </c>
    </row>
    <row r="22" spans="1:34">
      <c r="A22" s="110">
        <v>88</v>
      </c>
      <c r="B22">
        <v>5802</v>
      </c>
      <c r="C22" s="114" t="s">
        <v>160</v>
      </c>
      <c r="D22" s="114" t="s">
        <v>161</v>
      </c>
      <c r="E22">
        <v>1658.5</v>
      </c>
      <c r="F22">
        <v>1662</v>
      </c>
      <c r="G22">
        <v>700</v>
      </c>
      <c r="H22" s="114" t="s">
        <v>87</v>
      </c>
      <c r="I22">
        <v>6995</v>
      </c>
      <c r="J22" s="114" t="s">
        <v>118</v>
      </c>
      <c r="K22" s="114" t="s">
        <v>110</v>
      </c>
      <c r="L22">
        <v>2160</v>
      </c>
      <c r="M22">
        <v>2175</v>
      </c>
      <c r="N22">
        <v>500</v>
      </c>
      <c r="O22" s="114" t="s">
        <v>85</v>
      </c>
      <c r="P22">
        <v>0.96005394224911</v>
      </c>
      <c r="Q22">
        <v>0.91868290582370205</v>
      </c>
      <c r="R22" s="20">
        <v>0.132736953884418</v>
      </c>
      <c r="S22" s="20">
        <v>0.19963691213069301</v>
      </c>
      <c r="T22">
        <v>1.5204024082824199</v>
      </c>
      <c r="U22">
        <v>1.5204024082824199</v>
      </c>
      <c r="V22">
        <v>2.52</v>
      </c>
      <c r="W22">
        <v>6.98</v>
      </c>
      <c r="X22">
        <v>306631</v>
      </c>
      <c r="Y22">
        <v>18037</v>
      </c>
      <c r="Z22">
        <v>0.89</v>
      </c>
      <c r="AA22">
        <v>17</v>
      </c>
      <c r="AB22">
        <v>11</v>
      </c>
      <c r="AC22">
        <v>6</v>
      </c>
      <c r="AD22">
        <v>64.709999999999994</v>
      </c>
      <c r="AE22">
        <v>15</v>
      </c>
      <c r="AF22">
        <v>6</v>
      </c>
      <c r="AG22">
        <v>0</v>
      </c>
      <c r="AH22">
        <v>11</v>
      </c>
    </row>
    <row r="23" spans="1:34">
      <c r="A23" s="110">
        <v>84</v>
      </c>
      <c r="B23">
        <v>4208</v>
      </c>
      <c r="C23" s="114" t="s">
        <v>125</v>
      </c>
      <c r="D23" s="114" t="s">
        <v>86</v>
      </c>
      <c r="E23">
        <v>2369</v>
      </c>
      <c r="F23">
        <v>2369</v>
      </c>
      <c r="G23">
        <v>400</v>
      </c>
      <c r="H23" s="114" t="s">
        <v>87</v>
      </c>
      <c r="I23">
        <v>6301</v>
      </c>
      <c r="J23" s="114" t="s">
        <v>136</v>
      </c>
      <c r="K23" s="114" t="s">
        <v>126</v>
      </c>
      <c r="L23">
        <v>2579</v>
      </c>
      <c r="M23">
        <v>2622.5</v>
      </c>
      <c r="N23">
        <v>400</v>
      </c>
      <c r="O23" s="114" t="s">
        <v>85</v>
      </c>
      <c r="P23">
        <v>0.90683776777082004</v>
      </c>
      <c r="Q23">
        <v>0.91904795935336803</v>
      </c>
      <c r="R23" s="114">
        <v>2.41013327707644E-3</v>
      </c>
      <c r="S23">
        <v>4.8689159574552597E-3</v>
      </c>
      <c r="T23">
        <v>0.31603920052114998</v>
      </c>
      <c r="U23">
        <v>0.31603920052114998</v>
      </c>
      <c r="V23">
        <v>0.46</v>
      </c>
      <c r="W23">
        <v>9.67</v>
      </c>
      <c r="X23">
        <v>306571</v>
      </c>
      <c r="Y23">
        <v>30657</v>
      </c>
      <c r="Z23">
        <v>1.56</v>
      </c>
      <c r="AA23">
        <v>10</v>
      </c>
      <c r="AB23">
        <v>7</v>
      </c>
      <c r="AC23">
        <v>3</v>
      </c>
      <c r="AD23">
        <v>70</v>
      </c>
      <c r="AE23">
        <v>12</v>
      </c>
      <c r="AF23">
        <v>6</v>
      </c>
      <c r="AG23">
        <v>0</v>
      </c>
      <c r="AH23">
        <v>4</v>
      </c>
    </row>
    <row r="24" spans="1:34">
      <c r="A24" s="110">
        <v>26</v>
      </c>
      <c r="B24">
        <v>4182</v>
      </c>
      <c r="C24" s="114" t="s">
        <v>114</v>
      </c>
      <c r="D24" s="114" t="s">
        <v>86</v>
      </c>
      <c r="E24">
        <v>1681</v>
      </c>
      <c r="F24">
        <v>1674</v>
      </c>
      <c r="G24">
        <v>500</v>
      </c>
      <c r="H24" s="114" t="s">
        <v>87</v>
      </c>
      <c r="I24">
        <v>7272</v>
      </c>
      <c r="J24" s="114" t="s">
        <v>341</v>
      </c>
      <c r="K24" s="114" t="s">
        <v>110</v>
      </c>
      <c r="L24">
        <v>2280</v>
      </c>
      <c r="M24">
        <v>2295</v>
      </c>
      <c r="N24">
        <v>400</v>
      </c>
      <c r="O24" s="114" t="s">
        <v>85</v>
      </c>
      <c r="P24">
        <v>0.93223506454609695</v>
      </c>
      <c r="Q24">
        <v>0.94190027366387696</v>
      </c>
      <c r="R24" s="114">
        <v>7.5976940026628503E-3</v>
      </c>
      <c r="S24">
        <v>2.2209356484438401E-3</v>
      </c>
      <c r="T24">
        <v>7.0242889676880402E-2</v>
      </c>
      <c r="U24">
        <v>7.0242889676880402E-2</v>
      </c>
      <c r="V24">
        <v>0.2</v>
      </c>
      <c r="W24">
        <v>8.82</v>
      </c>
      <c r="X24">
        <v>303536</v>
      </c>
      <c r="Y24">
        <v>23349</v>
      </c>
      <c r="Z24">
        <v>1.1599999999999999</v>
      </c>
      <c r="AA24">
        <v>13</v>
      </c>
      <c r="AB24">
        <v>9</v>
      </c>
      <c r="AC24">
        <v>4</v>
      </c>
      <c r="AD24">
        <v>69.23</v>
      </c>
      <c r="AE24">
        <v>12</v>
      </c>
      <c r="AF24">
        <v>6</v>
      </c>
      <c r="AG24">
        <v>1</v>
      </c>
      <c r="AH24">
        <v>6</v>
      </c>
    </row>
    <row r="25" spans="1:34">
      <c r="A25" s="110">
        <v>25</v>
      </c>
      <c r="B25">
        <v>6457</v>
      </c>
      <c r="C25" s="114" t="s">
        <v>358</v>
      </c>
      <c r="D25" s="114" t="s">
        <v>126</v>
      </c>
      <c r="E25">
        <v>3330</v>
      </c>
      <c r="F25">
        <v>3305</v>
      </c>
      <c r="G25">
        <v>300</v>
      </c>
      <c r="H25" s="114" t="s">
        <v>85</v>
      </c>
      <c r="I25">
        <v>8593</v>
      </c>
      <c r="J25" s="114" t="s">
        <v>355</v>
      </c>
      <c r="K25" s="114" t="s">
        <v>340</v>
      </c>
      <c r="L25">
        <v>696</v>
      </c>
      <c r="M25">
        <v>702</v>
      </c>
      <c r="N25">
        <v>1400</v>
      </c>
      <c r="O25" s="114" t="s">
        <v>87</v>
      </c>
      <c r="P25">
        <v>0.93450228107770505</v>
      </c>
      <c r="Q25">
        <v>0.94202630526237796</v>
      </c>
      <c r="R25">
        <v>1.2072302779540099E-2</v>
      </c>
      <c r="S25" s="114">
        <v>3.1576020755311801E-3</v>
      </c>
      <c r="T25">
        <v>-1.0264878775106601</v>
      </c>
      <c r="U25">
        <v>1.0264878775106601</v>
      </c>
      <c r="V25">
        <v>-2.37</v>
      </c>
      <c r="W25">
        <v>0.88</v>
      </c>
      <c r="X25">
        <v>302420</v>
      </c>
      <c r="Y25">
        <v>15917</v>
      </c>
      <c r="Z25">
        <v>0.96</v>
      </c>
      <c r="AA25">
        <v>19</v>
      </c>
      <c r="AB25">
        <v>12</v>
      </c>
      <c r="AC25">
        <v>7</v>
      </c>
      <c r="AD25">
        <v>63.16</v>
      </c>
      <c r="AE25">
        <v>12</v>
      </c>
      <c r="AF25">
        <v>9</v>
      </c>
      <c r="AG25">
        <v>3</v>
      </c>
      <c r="AH25">
        <v>7</v>
      </c>
    </row>
    <row r="26" spans="1:34">
      <c r="A26" s="110">
        <v>131</v>
      </c>
      <c r="B26">
        <v>4182</v>
      </c>
      <c r="C26" s="114" t="s">
        <v>114</v>
      </c>
      <c r="D26" s="114" t="s">
        <v>86</v>
      </c>
      <c r="E26">
        <v>1681</v>
      </c>
      <c r="F26">
        <v>1674</v>
      </c>
      <c r="G26">
        <v>600</v>
      </c>
      <c r="H26" s="114" t="s">
        <v>87</v>
      </c>
      <c r="I26">
        <v>4208</v>
      </c>
      <c r="J26" s="114" t="s">
        <v>125</v>
      </c>
      <c r="K26" s="114" t="s">
        <v>86</v>
      </c>
      <c r="L26">
        <v>2369</v>
      </c>
      <c r="M26">
        <v>2369</v>
      </c>
      <c r="N26">
        <v>400</v>
      </c>
      <c r="O26" s="114" t="s">
        <v>85</v>
      </c>
      <c r="P26">
        <v>0.92388421018102995</v>
      </c>
      <c r="Q26">
        <v>0.90820535576608297</v>
      </c>
      <c r="R26" s="20">
        <v>3.4846882455715801E-2</v>
      </c>
      <c r="S26">
        <v>0.16062413173883</v>
      </c>
      <c r="T26">
        <v>1.25714681267456</v>
      </c>
      <c r="U26">
        <v>1.25714681267456</v>
      </c>
      <c r="V26">
        <v>6.09</v>
      </c>
      <c r="W26">
        <v>5.99</v>
      </c>
      <c r="X26">
        <v>299666</v>
      </c>
      <c r="Y26">
        <v>15772</v>
      </c>
      <c r="Z26">
        <v>0.82</v>
      </c>
      <c r="AA26">
        <v>19</v>
      </c>
      <c r="AB26">
        <v>13</v>
      </c>
      <c r="AC26">
        <v>6</v>
      </c>
      <c r="AD26">
        <v>68.42</v>
      </c>
      <c r="AE26">
        <v>13</v>
      </c>
      <c r="AF26">
        <v>8</v>
      </c>
      <c r="AG26">
        <v>2</v>
      </c>
      <c r="AH26">
        <v>9</v>
      </c>
    </row>
    <row r="27" spans="1:34">
      <c r="A27" s="110">
        <v>6</v>
      </c>
      <c r="B27">
        <v>5991</v>
      </c>
      <c r="C27" s="114" t="s">
        <v>142</v>
      </c>
      <c r="D27" s="114" t="s">
        <v>143</v>
      </c>
      <c r="E27">
        <v>994</v>
      </c>
      <c r="F27">
        <v>1004</v>
      </c>
      <c r="G27">
        <v>800</v>
      </c>
      <c r="H27" s="114" t="s">
        <v>87</v>
      </c>
      <c r="I27">
        <v>6371</v>
      </c>
      <c r="J27" s="114" t="s">
        <v>135</v>
      </c>
      <c r="K27" s="114" t="s">
        <v>126</v>
      </c>
      <c r="L27">
        <v>3865</v>
      </c>
      <c r="M27">
        <v>3875</v>
      </c>
      <c r="N27">
        <v>200</v>
      </c>
      <c r="O27" s="114" t="s">
        <v>85</v>
      </c>
      <c r="P27">
        <v>0.95220631138400702</v>
      </c>
      <c r="Q27">
        <v>0.95617273273533299</v>
      </c>
      <c r="R27" s="114">
        <v>0.38741969002874999</v>
      </c>
      <c r="S27" s="114">
        <v>8.1151162439719205E-4</v>
      </c>
      <c r="T27">
        <v>1.9317381588838001</v>
      </c>
      <c r="U27">
        <v>1.9317381588838001</v>
      </c>
      <c r="V27">
        <v>6.59</v>
      </c>
      <c r="W27">
        <v>3.64</v>
      </c>
      <c r="X27">
        <v>286657</v>
      </c>
      <c r="Y27">
        <v>16862</v>
      </c>
      <c r="Z27">
        <v>0.8</v>
      </c>
      <c r="AA27">
        <v>17</v>
      </c>
      <c r="AB27">
        <v>10</v>
      </c>
      <c r="AC27">
        <v>7</v>
      </c>
      <c r="AD27">
        <v>58.82</v>
      </c>
      <c r="AE27">
        <v>13</v>
      </c>
      <c r="AF27">
        <v>7</v>
      </c>
      <c r="AG27">
        <v>1</v>
      </c>
      <c r="AH27">
        <v>9</v>
      </c>
    </row>
    <row r="28" spans="1:34">
      <c r="A28" s="110">
        <v>63</v>
      </c>
      <c r="B28">
        <v>5393</v>
      </c>
      <c r="C28" s="114" t="s">
        <v>385</v>
      </c>
      <c r="D28" s="114" t="s">
        <v>133</v>
      </c>
      <c r="E28">
        <v>2624</v>
      </c>
      <c r="F28">
        <v>2622</v>
      </c>
      <c r="G28">
        <v>300</v>
      </c>
      <c r="H28" s="114" t="s">
        <v>87</v>
      </c>
      <c r="I28">
        <v>5947</v>
      </c>
      <c r="J28" s="114" t="s">
        <v>373</v>
      </c>
      <c r="K28" s="114" t="s">
        <v>143</v>
      </c>
      <c r="L28">
        <v>8430</v>
      </c>
      <c r="M28">
        <v>8430</v>
      </c>
      <c r="N28">
        <v>100</v>
      </c>
      <c r="O28" s="114" t="s">
        <v>85</v>
      </c>
      <c r="P28">
        <v>0.96432677857126403</v>
      </c>
      <c r="Q28">
        <v>0.92671609078471795</v>
      </c>
      <c r="R28">
        <v>4.84734092952252E-2</v>
      </c>
      <c r="S28">
        <v>3.4233684406882403E-2</v>
      </c>
      <c r="T28">
        <v>1.8731532088057901</v>
      </c>
      <c r="U28">
        <v>1.8731532088057901</v>
      </c>
      <c r="V28">
        <v>11.58</v>
      </c>
      <c r="W28">
        <v>6.69</v>
      </c>
      <c r="X28">
        <v>284943</v>
      </c>
      <c r="Y28">
        <v>23745</v>
      </c>
      <c r="Z28">
        <v>1.3</v>
      </c>
      <c r="AA28">
        <v>12</v>
      </c>
      <c r="AB28">
        <v>8</v>
      </c>
      <c r="AC28">
        <v>4</v>
      </c>
      <c r="AD28">
        <v>66.67</v>
      </c>
      <c r="AE28">
        <v>11</v>
      </c>
      <c r="AF28">
        <v>6</v>
      </c>
      <c r="AG28">
        <v>3</v>
      </c>
      <c r="AH28">
        <v>3</v>
      </c>
    </row>
    <row r="29" spans="1:34">
      <c r="A29" s="110">
        <v>12</v>
      </c>
      <c r="B29">
        <v>6752</v>
      </c>
      <c r="C29" s="114" t="s">
        <v>132</v>
      </c>
      <c r="D29" s="114" t="s">
        <v>113</v>
      </c>
      <c r="E29">
        <v>1040</v>
      </c>
      <c r="F29">
        <v>1044.5</v>
      </c>
      <c r="G29">
        <v>1000</v>
      </c>
      <c r="H29" s="114" t="s">
        <v>85</v>
      </c>
      <c r="I29">
        <v>7278</v>
      </c>
      <c r="J29" s="114" t="s">
        <v>109</v>
      </c>
      <c r="K29" s="114" t="s">
        <v>110</v>
      </c>
      <c r="L29">
        <v>2493</v>
      </c>
      <c r="M29">
        <v>2536</v>
      </c>
      <c r="N29">
        <v>400</v>
      </c>
      <c r="O29" s="114" t="s">
        <v>87</v>
      </c>
      <c r="P29">
        <v>0.92731932809781403</v>
      </c>
      <c r="Q29">
        <v>0.94943569535042804</v>
      </c>
      <c r="R29" s="20">
        <v>9.4989974885820293E-3</v>
      </c>
      <c r="S29" s="20">
        <v>2.0554242130829301E-4</v>
      </c>
      <c r="T29">
        <v>-5.8832917893291703E-2</v>
      </c>
      <c r="U29">
        <v>5.8832917893291703E-2</v>
      </c>
      <c r="V29">
        <v>-0.15</v>
      </c>
      <c r="W29">
        <v>2.97</v>
      </c>
      <c r="X29">
        <v>283523</v>
      </c>
      <c r="Y29">
        <v>14922</v>
      </c>
      <c r="Z29">
        <v>0.75</v>
      </c>
      <c r="AA29">
        <v>19</v>
      </c>
      <c r="AB29">
        <v>11</v>
      </c>
      <c r="AC29">
        <v>8</v>
      </c>
      <c r="AD29">
        <v>57.89</v>
      </c>
      <c r="AE29">
        <v>11</v>
      </c>
      <c r="AF29">
        <v>8</v>
      </c>
      <c r="AG29">
        <v>2</v>
      </c>
      <c r="AH29">
        <v>9</v>
      </c>
    </row>
    <row r="30" spans="1:34">
      <c r="A30" s="110">
        <v>128</v>
      </c>
      <c r="B30">
        <v>6287</v>
      </c>
      <c r="C30" s="114" t="s">
        <v>1007</v>
      </c>
      <c r="D30" s="114" t="s">
        <v>126</v>
      </c>
      <c r="E30">
        <v>3375</v>
      </c>
      <c r="F30">
        <v>3390</v>
      </c>
      <c r="G30">
        <v>300</v>
      </c>
      <c r="H30" s="114" t="s">
        <v>87</v>
      </c>
      <c r="I30">
        <v>6465</v>
      </c>
      <c r="J30" s="114" t="s">
        <v>1008</v>
      </c>
      <c r="K30" s="114" t="s">
        <v>126</v>
      </c>
      <c r="L30">
        <v>9590</v>
      </c>
      <c r="M30">
        <v>9630</v>
      </c>
      <c r="N30">
        <v>100</v>
      </c>
      <c r="O30" s="114" t="s">
        <v>85</v>
      </c>
      <c r="P30">
        <v>0.96112032211361598</v>
      </c>
      <c r="Q30">
        <v>0.90868382220175903</v>
      </c>
      <c r="R30">
        <v>2.6150047186112399E-2</v>
      </c>
      <c r="S30" s="20">
        <v>1.0996790282450399E-2</v>
      </c>
      <c r="T30">
        <v>1.1297887010041401</v>
      </c>
      <c r="U30">
        <v>1.1297887010041401</v>
      </c>
      <c r="V30">
        <v>2.09</v>
      </c>
      <c r="W30">
        <v>5.61</v>
      </c>
      <c r="X30">
        <v>272271</v>
      </c>
      <c r="Y30">
        <v>22689</v>
      </c>
      <c r="Z30">
        <v>1.55</v>
      </c>
      <c r="AA30">
        <v>12</v>
      </c>
      <c r="AB30">
        <v>7</v>
      </c>
      <c r="AC30">
        <v>5</v>
      </c>
      <c r="AD30">
        <v>58.33</v>
      </c>
      <c r="AE30">
        <v>12</v>
      </c>
      <c r="AF30">
        <v>5</v>
      </c>
      <c r="AG30">
        <v>3</v>
      </c>
      <c r="AH30">
        <v>4</v>
      </c>
    </row>
    <row r="31" spans="1:34">
      <c r="A31" s="110">
        <v>9</v>
      </c>
      <c r="B31">
        <v>3635</v>
      </c>
      <c r="C31" s="114" t="s">
        <v>111</v>
      </c>
      <c r="D31" s="114" t="s">
        <v>105</v>
      </c>
      <c r="E31">
        <v>2649</v>
      </c>
      <c r="F31">
        <v>2646</v>
      </c>
      <c r="G31">
        <v>400</v>
      </c>
      <c r="H31" s="114" t="s">
        <v>87</v>
      </c>
      <c r="I31">
        <v>4062</v>
      </c>
      <c r="J31" s="114" t="s">
        <v>374</v>
      </c>
      <c r="K31" s="114" t="s">
        <v>113</v>
      </c>
      <c r="L31">
        <v>2551</v>
      </c>
      <c r="M31">
        <v>2556</v>
      </c>
      <c r="N31">
        <v>400</v>
      </c>
      <c r="O31" s="114" t="s">
        <v>85</v>
      </c>
      <c r="P31">
        <v>0.931137902961647</v>
      </c>
      <c r="Q31">
        <v>0.952142594523813</v>
      </c>
      <c r="R31">
        <v>1.68617840027467E-2</v>
      </c>
      <c r="S31">
        <v>0.132562998817745</v>
      </c>
      <c r="T31">
        <v>3.3539914999743098E-2</v>
      </c>
      <c r="U31">
        <v>3.3539914999743098E-2</v>
      </c>
      <c r="V31">
        <v>0.1</v>
      </c>
      <c r="W31">
        <v>3.4</v>
      </c>
      <c r="X31">
        <v>272145</v>
      </c>
      <c r="Y31">
        <v>20934</v>
      </c>
      <c r="Z31">
        <v>1.08</v>
      </c>
      <c r="AA31">
        <v>13</v>
      </c>
      <c r="AB31">
        <v>8</v>
      </c>
      <c r="AC31">
        <v>5</v>
      </c>
      <c r="AD31">
        <v>61.54</v>
      </c>
      <c r="AE31">
        <v>12</v>
      </c>
      <c r="AF31">
        <v>6</v>
      </c>
      <c r="AG31">
        <v>2</v>
      </c>
      <c r="AH31">
        <v>5</v>
      </c>
    </row>
    <row r="32" spans="1:34">
      <c r="A32" s="110">
        <v>89</v>
      </c>
      <c r="B32">
        <v>6474</v>
      </c>
      <c r="C32" s="114" t="s">
        <v>359</v>
      </c>
      <c r="D32" s="114" t="s">
        <v>126</v>
      </c>
      <c r="E32">
        <v>4985</v>
      </c>
      <c r="F32">
        <v>5030</v>
      </c>
      <c r="G32">
        <v>200</v>
      </c>
      <c r="H32" s="114" t="s">
        <v>85</v>
      </c>
      <c r="I32">
        <v>6503</v>
      </c>
      <c r="J32" s="114" t="s">
        <v>360</v>
      </c>
      <c r="K32" s="114" t="s">
        <v>113</v>
      </c>
      <c r="L32">
        <v>1535.5</v>
      </c>
      <c r="M32">
        <v>1531</v>
      </c>
      <c r="N32">
        <v>700</v>
      </c>
      <c r="O32" s="114" t="s">
        <v>87</v>
      </c>
      <c r="P32">
        <v>0.93377736978463599</v>
      </c>
      <c r="Q32">
        <v>0.91867240909002601</v>
      </c>
      <c r="R32">
        <v>4.8717830400629797E-2</v>
      </c>
      <c r="S32" s="114">
        <v>2.4059780351703801E-2</v>
      </c>
      <c r="T32">
        <v>-0.44776758454292398</v>
      </c>
      <c r="U32">
        <v>0.44776758454292398</v>
      </c>
      <c r="V32">
        <v>-0.87</v>
      </c>
      <c r="W32">
        <v>6.53</v>
      </c>
      <c r="X32">
        <v>266206</v>
      </c>
      <c r="Y32">
        <v>20477</v>
      </c>
      <c r="Z32">
        <v>1.38</v>
      </c>
      <c r="AA32">
        <v>13</v>
      </c>
      <c r="AB32">
        <v>10</v>
      </c>
      <c r="AC32">
        <v>3</v>
      </c>
      <c r="AD32">
        <v>76.92</v>
      </c>
      <c r="AE32">
        <v>11</v>
      </c>
      <c r="AF32">
        <v>8</v>
      </c>
      <c r="AG32">
        <v>1</v>
      </c>
      <c r="AH32">
        <v>4</v>
      </c>
    </row>
    <row r="33" spans="1:34">
      <c r="A33" s="110">
        <v>90</v>
      </c>
      <c r="B33">
        <v>7259</v>
      </c>
      <c r="C33" s="114" t="s">
        <v>53</v>
      </c>
      <c r="D33" s="114" t="s">
        <v>110</v>
      </c>
      <c r="E33">
        <v>4145</v>
      </c>
      <c r="F33">
        <v>4205</v>
      </c>
      <c r="G33">
        <v>200</v>
      </c>
      <c r="H33" s="114" t="s">
        <v>87</v>
      </c>
      <c r="I33">
        <v>7278</v>
      </c>
      <c r="J33" s="114" t="s">
        <v>109</v>
      </c>
      <c r="K33" s="114" t="s">
        <v>110</v>
      </c>
      <c r="L33">
        <v>2493</v>
      </c>
      <c r="M33">
        <v>2536</v>
      </c>
      <c r="N33">
        <v>300</v>
      </c>
      <c r="O33" s="114" t="s">
        <v>85</v>
      </c>
      <c r="P33">
        <v>0.97678999606629002</v>
      </c>
      <c r="Q33">
        <v>0.91840120039307305</v>
      </c>
      <c r="R33">
        <v>0.10400276505775199</v>
      </c>
      <c r="S33" s="114">
        <v>0.28552656602631199</v>
      </c>
      <c r="T33">
        <v>6.2706800888629996E-2</v>
      </c>
      <c r="U33">
        <v>6.2706800888629996E-2</v>
      </c>
      <c r="V33">
        <v>0.22</v>
      </c>
      <c r="W33">
        <v>9.5399999999999991</v>
      </c>
      <c r="X33">
        <v>265669</v>
      </c>
      <c r="Y33">
        <v>24152</v>
      </c>
      <c r="Z33">
        <v>1.6</v>
      </c>
      <c r="AA33">
        <v>11</v>
      </c>
      <c r="AB33">
        <v>9</v>
      </c>
      <c r="AC33">
        <v>2</v>
      </c>
      <c r="AD33">
        <v>81.819999999999993</v>
      </c>
      <c r="AE33">
        <v>14</v>
      </c>
      <c r="AF33">
        <v>3</v>
      </c>
      <c r="AG33">
        <v>1</v>
      </c>
      <c r="AH33">
        <v>7</v>
      </c>
    </row>
    <row r="34" spans="1:34">
      <c r="A34" s="110">
        <v>53</v>
      </c>
      <c r="B34">
        <v>6807</v>
      </c>
      <c r="C34" s="114" t="s">
        <v>388</v>
      </c>
      <c r="D34" s="114" t="s">
        <v>113</v>
      </c>
      <c r="E34">
        <v>2209</v>
      </c>
      <c r="F34">
        <v>2220</v>
      </c>
      <c r="G34">
        <v>400</v>
      </c>
      <c r="H34" s="114" t="s">
        <v>85</v>
      </c>
      <c r="I34">
        <v>7274</v>
      </c>
      <c r="J34" s="114" t="s">
        <v>389</v>
      </c>
      <c r="K34" s="114" t="s">
        <v>110</v>
      </c>
      <c r="L34">
        <v>2275</v>
      </c>
      <c r="M34">
        <v>2275</v>
      </c>
      <c r="N34">
        <v>400</v>
      </c>
      <c r="O34" s="114" t="s">
        <v>87</v>
      </c>
      <c r="P34">
        <v>0.98312266189281905</v>
      </c>
      <c r="Q34">
        <v>0.93063286202675399</v>
      </c>
      <c r="R34" s="20">
        <v>6.49485713901875E-5</v>
      </c>
      <c r="S34">
        <v>9.3835400490124898E-2</v>
      </c>
      <c r="T34">
        <v>-0.36822747462232303</v>
      </c>
      <c r="U34">
        <v>0.36822747462232303</v>
      </c>
      <c r="V34">
        <v>-2.31</v>
      </c>
      <c r="W34">
        <v>2.42</v>
      </c>
      <c r="X34">
        <v>261307</v>
      </c>
      <c r="Y34">
        <v>13753</v>
      </c>
      <c r="Z34">
        <v>0.61</v>
      </c>
      <c r="AA34">
        <v>19</v>
      </c>
      <c r="AB34">
        <v>12</v>
      </c>
      <c r="AC34">
        <v>7</v>
      </c>
      <c r="AD34">
        <v>63.16</v>
      </c>
      <c r="AE34">
        <v>11</v>
      </c>
      <c r="AF34">
        <v>10</v>
      </c>
      <c r="AG34">
        <v>4</v>
      </c>
      <c r="AH34">
        <v>5</v>
      </c>
    </row>
    <row r="35" spans="1:34">
      <c r="A35" s="110">
        <v>96</v>
      </c>
      <c r="B35">
        <v>1963</v>
      </c>
      <c r="C35" s="114" t="s">
        <v>159</v>
      </c>
      <c r="D35" s="114" t="s">
        <v>103</v>
      </c>
      <c r="E35">
        <v>1623</v>
      </c>
      <c r="F35">
        <v>1653</v>
      </c>
      <c r="G35">
        <v>600</v>
      </c>
      <c r="H35" s="114" t="s">
        <v>87</v>
      </c>
      <c r="I35">
        <v>7267</v>
      </c>
      <c r="J35" s="114" t="s">
        <v>145</v>
      </c>
      <c r="K35" s="114" t="s">
        <v>110</v>
      </c>
      <c r="L35">
        <v>3129</v>
      </c>
      <c r="M35">
        <v>3129</v>
      </c>
      <c r="N35">
        <v>300</v>
      </c>
      <c r="O35" s="114" t="s">
        <v>85</v>
      </c>
      <c r="P35">
        <v>0.91715924199660104</v>
      </c>
      <c r="Q35">
        <v>0.9174849960507</v>
      </c>
      <c r="R35" s="114">
        <v>0.105884411305684</v>
      </c>
      <c r="S35">
        <v>2.26875240202293E-4</v>
      </c>
      <c r="T35">
        <v>0.91693393942696</v>
      </c>
      <c r="U35">
        <v>0.91693393942696</v>
      </c>
      <c r="V35">
        <v>3.27</v>
      </c>
      <c r="W35">
        <v>5.66</v>
      </c>
      <c r="X35">
        <v>259201</v>
      </c>
      <c r="Y35">
        <v>12960</v>
      </c>
      <c r="Z35">
        <v>0.65</v>
      </c>
      <c r="AA35">
        <v>20</v>
      </c>
      <c r="AB35">
        <v>13</v>
      </c>
      <c r="AC35">
        <v>7</v>
      </c>
      <c r="AD35">
        <v>65</v>
      </c>
      <c r="AE35">
        <v>10</v>
      </c>
      <c r="AF35">
        <v>10</v>
      </c>
      <c r="AG35">
        <v>5</v>
      </c>
      <c r="AH35">
        <v>5</v>
      </c>
    </row>
    <row r="36" spans="1:34">
      <c r="A36" s="110">
        <v>48</v>
      </c>
      <c r="B36">
        <v>4061</v>
      </c>
      <c r="C36" s="114" t="s">
        <v>150</v>
      </c>
      <c r="D36" s="114" t="s">
        <v>86</v>
      </c>
      <c r="E36">
        <v>3225</v>
      </c>
      <c r="F36">
        <v>3225</v>
      </c>
      <c r="G36">
        <v>300</v>
      </c>
      <c r="H36" s="114" t="s">
        <v>85</v>
      </c>
      <c r="I36">
        <v>4401</v>
      </c>
      <c r="J36" s="114" t="s">
        <v>361</v>
      </c>
      <c r="K36" s="114" t="s">
        <v>86</v>
      </c>
      <c r="L36">
        <v>1644</v>
      </c>
      <c r="M36">
        <v>1648</v>
      </c>
      <c r="N36">
        <v>600</v>
      </c>
      <c r="O36" s="114" t="s">
        <v>87</v>
      </c>
      <c r="P36">
        <v>0.94600757094110299</v>
      </c>
      <c r="Q36">
        <v>0.93252292163135297</v>
      </c>
      <c r="R36">
        <v>4.0590930359769798E-3</v>
      </c>
      <c r="S36">
        <v>2.7659760083875202E-4</v>
      </c>
      <c r="T36">
        <v>-1.6124316905632901</v>
      </c>
      <c r="U36">
        <v>1.6124316905632901</v>
      </c>
      <c r="V36">
        <v>-7.23</v>
      </c>
      <c r="W36">
        <v>2.2000000000000002</v>
      </c>
      <c r="X36">
        <v>256424</v>
      </c>
      <c r="Y36">
        <v>17095</v>
      </c>
      <c r="Z36">
        <v>0.97</v>
      </c>
      <c r="AA36">
        <v>15</v>
      </c>
      <c r="AB36">
        <v>9</v>
      </c>
      <c r="AC36">
        <v>6</v>
      </c>
      <c r="AD36">
        <v>60</v>
      </c>
      <c r="AE36">
        <v>12</v>
      </c>
      <c r="AF36">
        <v>7</v>
      </c>
      <c r="AG36">
        <v>1</v>
      </c>
      <c r="AH36">
        <v>7</v>
      </c>
    </row>
    <row r="37" spans="1:34">
      <c r="A37" s="110">
        <v>117</v>
      </c>
      <c r="B37">
        <v>6752</v>
      </c>
      <c r="C37" s="114" t="s">
        <v>132</v>
      </c>
      <c r="D37" s="114" t="s">
        <v>113</v>
      </c>
      <c r="E37">
        <v>1040</v>
      </c>
      <c r="F37">
        <v>1044.5</v>
      </c>
      <c r="G37">
        <v>1000</v>
      </c>
      <c r="H37" s="114" t="s">
        <v>85</v>
      </c>
      <c r="I37">
        <v>7205</v>
      </c>
      <c r="J37" s="114" t="s">
        <v>144</v>
      </c>
      <c r="K37" s="114" t="s">
        <v>110</v>
      </c>
      <c r="L37">
        <v>1096</v>
      </c>
      <c r="M37">
        <v>1114</v>
      </c>
      <c r="N37">
        <v>900</v>
      </c>
      <c r="O37" s="114" t="s">
        <v>87</v>
      </c>
      <c r="P37">
        <v>0.94215972355882505</v>
      </c>
      <c r="Q37">
        <v>0.91147597309349704</v>
      </c>
      <c r="R37">
        <v>0.17199670612631701</v>
      </c>
      <c r="S37">
        <v>4.4659036961452597E-2</v>
      </c>
      <c r="T37">
        <v>-0.87724444250778699</v>
      </c>
      <c r="U37">
        <v>0.87724444250778699</v>
      </c>
      <c r="V37">
        <v>-2.61</v>
      </c>
      <c r="W37">
        <v>4.18</v>
      </c>
      <c r="X37">
        <v>255537</v>
      </c>
      <c r="Y37">
        <v>17036</v>
      </c>
      <c r="Z37">
        <v>0.81</v>
      </c>
      <c r="AA37">
        <v>15</v>
      </c>
      <c r="AB37">
        <v>10</v>
      </c>
      <c r="AC37">
        <v>5</v>
      </c>
      <c r="AD37">
        <v>66.67</v>
      </c>
      <c r="AE37">
        <v>13</v>
      </c>
      <c r="AF37">
        <v>6</v>
      </c>
      <c r="AG37">
        <v>1</v>
      </c>
      <c r="AH37">
        <v>8</v>
      </c>
    </row>
    <row r="38" spans="1:34">
      <c r="A38" s="110">
        <v>1</v>
      </c>
      <c r="B38">
        <v>6988</v>
      </c>
      <c r="C38" s="114" t="s">
        <v>168</v>
      </c>
      <c r="D38" s="114" t="s">
        <v>86</v>
      </c>
      <c r="E38">
        <v>6120</v>
      </c>
      <c r="F38">
        <v>6170</v>
      </c>
      <c r="G38">
        <v>100</v>
      </c>
      <c r="H38" s="114" t="s">
        <v>85</v>
      </c>
      <c r="I38">
        <v>7282</v>
      </c>
      <c r="J38" s="114" t="s">
        <v>1009</v>
      </c>
      <c r="K38" s="114" t="s">
        <v>110</v>
      </c>
      <c r="L38">
        <v>2623</v>
      </c>
      <c r="M38">
        <v>2620</v>
      </c>
      <c r="N38">
        <v>200</v>
      </c>
      <c r="O38" s="114" t="s">
        <v>87</v>
      </c>
      <c r="P38">
        <v>0.96357018411921103</v>
      </c>
      <c r="Q38">
        <v>0.96410735573264505</v>
      </c>
      <c r="R38">
        <v>9.74302084744204E-3</v>
      </c>
      <c r="S38" s="20">
        <v>2.1051314405780598E-6</v>
      </c>
      <c r="T38">
        <v>-1.63195956475367</v>
      </c>
      <c r="U38">
        <v>1.63195956475367</v>
      </c>
      <c r="V38">
        <v>-4.2699999999999996</v>
      </c>
      <c r="W38">
        <v>15.07</v>
      </c>
      <c r="X38">
        <v>241866</v>
      </c>
      <c r="Y38">
        <v>16124</v>
      </c>
      <c r="Z38">
        <v>0.86</v>
      </c>
      <c r="AA38">
        <v>15</v>
      </c>
      <c r="AB38">
        <v>11</v>
      </c>
      <c r="AC38">
        <v>4</v>
      </c>
      <c r="AD38">
        <v>73.33</v>
      </c>
      <c r="AE38">
        <v>11</v>
      </c>
      <c r="AF38">
        <v>9</v>
      </c>
      <c r="AG38">
        <v>3</v>
      </c>
      <c r="AH38">
        <v>3</v>
      </c>
    </row>
    <row r="39" spans="1:34">
      <c r="A39" s="110">
        <v>79</v>
      </c>
      <c r="B39">
        <v>6098</v>
      </c>
      <c r="C39" s="114" t="s">
        <v>392</v>
      </c>
      <c r="D39" s="114" t="s">
        <v>147</v>
      </c>
      <c r="E39">
        <v>3988</v>
      </c>
      <c r="F39">
        <v>3952</v>
      </c>
      <c r="G39">
        <v>200</v>
      </c>
      <c r="H39" s="114" t="s">
        <v>87</v>
      </c>
      <c r="I39">
        <v>9759</v>
      </c>
      <c r="J39" s="114" t="s">
        <v>1093</v>
      </c>
      <c r="K39" s="114" t="s">
        <v>105</v>
      </c>
      <c r="L39">
        <v>3630</v>
      </c>
      <c r="M39">
        <v>3620</v>
      </c>
      <c r="N39">
        <v>200</v>
      </c>
      <c r="O39" s="114" t="s">
        <v>85</v>
      </c>
      <c r="P39">
        <v>0.92714809779381302</v>
      </c>
      <c r="Q39">
        <v>0.92169943921967201</v>
      </c>
      <c r="R39">
        <v>0.26706928489378701</v>
      </c>
      <c r="S39" s="20">
        <v>1.5753121029113099E-2</v>
      </c>
      <c r="T39">
        <v>0.213471028133289</v>
      </c>
      <c r="U39">
        <v>0.213471028133289</v>
      </c>
      <c r="V39">
        <v>0.75</v>
      </c>
      <c r="W39">
        <v>8.4</v>
      </c>
      <c r="X39">
        <v>239165</v>
      </c>
      <c r="Y39">
        <v>18397</v>
      </c>
      <c r="Z39">
        <v>0.85</v>
      </c>
      <c r="AA39">
        <v>13</v>
      </c>
      <c r="AB39">
        <v>8</v>
      </c>
      <c r="AC39">
        <v>5</v>
      </c>
      <c r="AD39">
        <v>61.54</v>
      </c>
      <c r="AE39">
        <v>12</v>
      </c>
      <c r="AF39">
        <v>6</v>
      </c>
      <c r="AG39">
        <v>3</v>
      </c>
      <c r="AH39">
        <v>4</v>
      </c>
    </row>
    <row r="40" spans="1:34">
      <c r="A40" s="110">
        <v>13</v>
      </c>
      <c r="B40">
        <v>5471</v>
      </c>
      <c r="C40" s="114" t="s">
        <v>347</v>
      </c>
      <c r="D40" s="114" t="s">
        <v>119</v>
      </c>
      <c r="E40">
        <v>4900</v>
      </c>
      <c r="F40">
        <v>4945</v>
      </c>
      <c r="G40">
        <v>200</v>
      </c>
      <c r="H40" s="114" t="s">
        <v>85</v>
      </c>
      <c r="I40">
        <v>6995</v>
      </c>
      <c r="J40" s="114" t="s">
        <v>118</v>
      </c>
      <c r="K40" s="114" t="s">
        <v>110</v>
      </c>
      <c r="L40">
        <v>2160</v>
      </c>
      <c r="M40">
        <v>2175</v>
      </c>
      <c r="N40">
        <v>500</v>
      </c>
      <c r="O40" s="114" t="s">
        <v>87</v>
      </c>
      <c r="P40">
        <v>0.92007198707455295</v>
      </c>
      <c r="Q40">
        <v>0.94880406197688005</v>
      </c>
      <c r="R40">
        <v>0.24030278619745599</v>
      </c>
      <c r="S40" s="114">
        <v>3.0158226155538301E-2</v>
      </c>
      <c r="T40">
        <v>-1.3905841469928799</v>
      </c>
      <c r="U40">
        <v>1.3905841469928799</v>
      </c>
      <c r="V40">
        <v>-3.79</v>
      </c>
      <c r="W40">
        <v>9.9600000000000009</v>
      </c>
      <c r="X40">
        <v>238619</v>
      </c>
      <c r="Y40">
        <v>15908</v>
      </c>
      <c r="Z40">
        <v>0.93</v>
      </c>
      <c r="AA40">
        <v>15</v>
      </c>
      <c r="AB40">
        <v>8</v>
      </c>
      <c r="AC40">
        <v>7</v>
      </c>
      <c r="AD40">
        <v>53.33</v>
      </c>
      <c r="AE40">
        <v>12</v>
      </c>
      <c r="AF40">
        <v>6</v>
      </c>
      <c r="AG40">
        <v>2</v>
      </c>
      <c r="AH40">
        <v>7</v>
      </c>
    </row>
    <row r="41" spans="1:34">
      <c r="A41" s="110">
        <v>115</v>
      </c>
      <c r="B41">
        <v>4202</v>
      </c>
      <c r="C41" s="114" t="s">
        <v>116</v>
      </c>
      <c r="D41" s="114" t="s">
        <v>86</v>
      </c>
      <c r="E41">
        <v>1074</v>
      </c>
      <c r="F41">
        <v>1071</v>
      </c>
      <c r="G41">
        <v>900</v>
      </c>
      <c r="H41" s="114" t="s">
        <v>85</v>
      </c>
      <c r="I41">
        <v>7278</v>
      </c>
      <c r="J41" s="114" t="s">
        <v>109</v>
      </c>
      <c r="K41" s="114" t="s">
        <v>110</v>
      </c>
      <c r="L41">
        <v>2493</v>
      </c>
      <c r="M41">
        <v>2536</v>
      </c>
      <c r="N41">
        <v>400</v>
      </c>
      <c r="O41" s="114" t="s">
        <v>87</v>
      </c>
      <c r="P41">
        <v>0.92966829484546398</v>
      </c>
      <c r="Q41">
        <v>0.91208933091733801</v>
      </c>
      <c r="R41">
        <v>4.9138028826219399E-2</v>
      </c>
      <c r="S41">
        <v>0.32820734735698498</v>
      </c>
      <c r="T41">
        <v>-0.47885178140656198</v>
      </c>
      <c r="U41">
        <v>0.47885178140656198</v>
      </c>
      <c r="V41">
        <v>-1.73</v>
      </c>
      <c r="W41">
        <v>4.9800000000000004</v>
      </c>
      <c r="X41">
        <v>234049</v>
      </c>
      <c r="Y41">
        <v>11702</v>
      </c>
      <c r="Z41">
        <v>0.56999999999999995</v>
      </c>
      <c r="AA41">
        <v>20</v>
      </c>
      <c r="AB41">
        <v>12</v>
      </c>
      <c r="AC41">
        <v>8</v>
      </c>
      <c r="AD41">
        <v>60</v>
      </c>
      <c r="AE41">
        <v>12</v>
      </c>
      <c r="AF41">
        <v>7</v>
      </c>
      <c r="AG41">
        <v>5</v>
      </c>
      <c r="AH41">
        <v>8</v>
      </c>
    </row>
    <row r="42" spans="1:34">
      <c r="A42" s="110">
        <v>116</v>
      </c>
      <c r="B42">
        <v>7167</v>
      </c>
      <c r="C42" s="114" t="s">
        <v>127</v>
      </c>
      <c r="D42" s="114" t="s">
        <v>108</v>
      </c>
      <c r="E42">
        <v>281</v>
      </c>
      <c r="F42">
        <v>283</v>
      </c>
      <c r="G42">
        <v>3900</v>
      </c>
      <c r="H42" s="114" t="s">
        <v>85</v>
      </c>
      <c r="I42">
        <v>9505</v>
      </c>
      <c r="J42" s="114" t="s">
        <v>152</v>
      </c>
      <c r="K42" s="114" t="s">
        <v>153</v>
      </c>
      <c r="L42">
        <v>790</v>
      </c>
      <c r="M42">
        <v>785</v>
      </c>
      <c r="N42">
        <v>1400</v>
      </c>
      <c r="O42" s="114" t="s">
        <v>87</v>
      </c>
      <c r="P42">
        <v>0.906971825783212</v>
      </c>
      <c r="Q42">
        <v>0.91168880349202996</v>
      </c>
      <c r="R42">
        <v>0.16935535507091801</v>
      </c>
      <c r="S42" s="114">
        <v>1.49281281963292E-2</v>
      </c>
      <c r="T42">
        <v>-5.61317302730776E-2</v>
      </c>
      <c r="U42">
        <v>5.61317302730776E-2</v>
      </c>
      <c r="V42">
        <v>-0.11</v>
      </c>
      <c r="W42">
        <v>0.43</v>
      </c>
      <c r="X42">
        <v>224925</v>
      </c>
      <c r="Y42">
        <v>13231</v>
      </c>
      <c r="Z42">
        <v>0.62</v>
      </c>
      <c r="AA42">
        <v>17</v>
      </c>
      <c r="AB42">
        <v>8</v>
      </c>
      <c r="AC42">
        <v>9</v>
      </c>
      <c r="AD42">
        <v>47.06</v>
      </c>
      <c r="AE42">
        <v>14</v>
      </c>
      <c r="AF42">
        <v>5</v>
      </c>
      <c r="AG42">
        <v>2</v>
      </c>
      <c r="AH42">
        <v>10</v>
      </c>
    </row>
    <row r="43" spans="1:34">
      <c r="A43" s="110">
        <v>56</v>
      </c>
      <c r="B43">
        <v>4519</v>
      </c>
      <c r="C43" s="114" t="s">
        <v>1010</v>
      </c>
      <c r="D43" s="114" t="s">
        <v>165</v>
      </c>
      <c r="E43">
        <v>9800</v>
      </c>
      <c r="F43">
        <v>9857</v>
      </c>
      <c r="G43">
        <v>100</v>
      </c>
      <c r="H43" s="114" t="s">
        <v>85</v>
      </c>
      <c r="I43">
        <v>6588</v>
      </c>
      <c r="J43" s="114" t="s">
        <v>1011</v>
      </c>
      <c r="K43" s="114" t="s">
        <v>113</v>
      </c>
      <c r="L43">
        <v>4500</v>
      </c>
      <c r="M43">
        <v>4575</v>
      </c>
      <c r="N43">
        <v>200</v>
      </c>
      <c r="O43" s="114" t="s">
        <v>87</v>
      </c>
      <c r="P43">
        <v>0.94694686973115405</v>
      </c>
      <c r="Q43">
        <v>0.92932628935214001</v>
      </c>
      <c r="R43">
        <v>3.8177983503051897E-2</v>
      </c>
      <c r="S43">
        <v>0.119119153773251</v>
      </c>
      <c r="T43">
        <v>-1.5082350105953</v>
      </c>
      <c r="U43">
        <v>1.5082350105953</v>
      </c>
      <c r="V43">
        <v>-8.84</v>
      </c>
      <c r="W43">
        <v>7.17</v>
      </c>
      <c r="X43">
        <v>222279</v>
      </c>
      <c r="Y43">
        <v>13892</v>
      </c>
      <c r="Z43">
        <v>0.92</v>
      </c>
      <c r="AA43">
        <v>16</v>
      </c>
      <c r="AB43">
        <v>10</v>
      </c>
      <c r="AC43">
        <v>6</v>
      </c>
      <c r="AD43">
        <v>62.5</v>
      </c>
      <c r="AE43">
        <v>11</v>
      </c>
      <c r="AF43">
        <v>7</v>
      </c>
      <c r="AG43">
        <v>4</v>
      </c>
      <c r="AH43">
        <v>5</v>
      </c>
    </row>
    <row r="44" spans="1:34">
      <c r="A44" s="110">
        <v>97</v>
      </c>
      <c r="B44">
        <v>1333</v>
      </c>
      <c r="C44" s="114" t="s">
        <v>379</v>
      </c>
      <c r="D44" s="114" t="s">
        <v>380</v>
      </c>
      <c r="E44">
        <v>2866</v>
      </c>
      <c r="F44">
        <v>2866</v>
      </c>
      <c r="G44">
        <v>300</v>
      </c>
      <c r="H44" s="114" t="s">
        <v>85</v>
      </c>
      <c r="I44">
        <v>5901</v>
      </c>
      <c r="J44" s="114" t="s">
        <v>367</v>
      </c>
      <c r="K44" s="114" t="s">
        <v>143</v>
      </c>
      <c r="L44">
        <v>1905</v>
      </c>
      <c r="M44">
        <v>1932</v>
      </c>
      <c r="N44">
        <v>400</v>
      </c>
      <c r="O44" s="114" t="s">
        <v>87</v>
      </c>
      <c r="P44">
        <v>0.90084810697868301</v>
      </c>
      <c r="Q44">
        <v>0.91694877580677503</v>
      </c>
      <c r="R44" s="20">
        <v>3.7553352525700198E-5</v>
      </c>
      <c r="S44">
        <v>0.139851265005252</v>
      </c>
      <c r="T44">
        <v>-1.4334233226653199</v>
      </c>
      <c r="U44">
        <v>1.4334233226653199</v>
      </c>
      <c r="V44">
        <v>-8.76</v>
      </c>
      <c r="W44">
        <v>10.119999999999999</v>
      </c>
      <c r="X44">
        <v>219773</v>
      </c>
      <c r="Y44">
        <v>13736</v>
      </c>
      <c r="Z44">
        <v>0.77</v>
      </c>
      <c r="AA44">
        <v>16</v>
      </c>
      <c r="AB44">
        <v>11</v>
      </c>
      <c r="AC44">
        <v>5</v>
      </c>
      <c r="AD44">
        <v>68.75</v>
      </c>
      <c r="AE44">
        <v>12</v>
      </c>
      <c r="AF44">
        <v>5</v>
      </c>
      <c r="AG44">
        <v>3</v>
      </c>
      <c r="AH44">
        <v>8</v>
      </c>
    </row>
    <row r="45" spans="1:34">
      <c r="A45" s="110">
        <v>66</v>
      </c>
      <c r="B45">
        <v>3635</v>
      </c>
      <c r="C45" s="114" t="s">
        <v>111</v>
      </c>
      <c r="D45" s="114" t="s">
        <v>105</v>
      </c>
      <c r="E45">
        <v>2649</v>
      </c>
      <c r="F45">
        <v>2646</v>
      </c>
      <c r="G45">
        <v>400</v>
      </c>
      <c r="H45" s="114" t="s">
        <v>87</v>
      </c>
      <c r="I45">
        <v>8593</v>
      </c>
      <c r="J45" s="114" t="s">
        <v>355</v>
      </c>
      <c r="K45" s="114" t="s">
        <v>340</v>
      </c>
      <c r="L45">
        <v>696</v>
      </c>
      <c r="M45">
        <v>702</v>
      </c>
      <c r="N45">
        <v>1500</v>
      </c>
      <c r="O45" s="114" t="s">
        <v>85</v>
      </c>
      <c r="P45">
        <v>0.90694496858672302</v>
      </c>
      <c r="Q45">
        <v>0.92593074763779104</v>
      </c>
      <c r="R45" s="114">
        <v>9.9614598745813202E-2</v>
      </c>
      <c r="S45">
        <v>3.2738588452669901E-2</v>
      </c>
      <c r="T45">
        <v>0.97486745356983295</v>
      </c>
      <c r="U45">
        <v>0.97486745356983295</v>
      </c>
      <c r="V45">
        <v>2.4300000000000002</v>
      </c>
      <c r="W45">
        <v>0.51</v>
      </c>
      <c r="X45">
        <v>218633</v>
      </c>
      <c r="Y45">
        <v>12861</v>
      </c>
      <c r="Z45">
        <v>0.62</v>
      </c>
      <c r="AA45">
        <v>17</v>
      </c>
      <c r="AB45">
        <v>10</v>
      </c>
      <c r="AC45">
        <v>7</v>
      </c>
      <c r="AD45">
        <v>58.82</v>
      </c>
      <c r="AE45">
        <v>12</v>
      </c>
      <c r="AF45">
        <v>7</v>
      </c>
      <c r="AG45">
        <v>4</v>
      </c>
      <c r="AH45">
        <v>6</v>
      </c>
    </row>
    <row r="46" spans="1:34">
      <c r="A46" s="110">
        <v>101</v>
      </c>
      <c r="B46">
        <v>1860</v>
      </c>
      <c r="C46" s="114" t="s">
        <v>138</v>
      </c>
      <c r="D46" s="114" t="s">
        <v>103</v>
      </c>
      <c r="E46">
        <v>693</v>
      </c>
      <c r="F46">
        <v>707</v>
      </c>
      <c r="G46">
        <v>1300</v>
      </c>
      <c r="H46" s="114" t="s">
        <v>85</v>
      </c>
      <c r="I46">
        <v>7272</v>
      </c>
      <c r="J46" s="114" t="s">
        <v>341</v>
      </c>
      <c r="K46" s="114" t="s">
        <v>110</v>
      </c>
      <c r="L46">
        <v>2280</v>
      </c>
      <c r="M46">
        <v>2295</v>
      </c>
      <c r="N46">
        <v>400</v>
      </c>
      <c r="O46" s="114" t="s">
        <v>87</v>
      </c>
      <c r="P46">
        <v>0.91264289034715995</v>
      </c>
      <c r="Q46">
        <v>0.91590790600474103</v>
      </c>
      <c r="R46">
        <v>0.275894074637552</v>
      </c>
      <c r="S46" s="20">
        <v>2.3737026750197199E-3</v>
      </c>
      <c r="T46">
        <v>-0.66977218669221705</v>
      </c>
      <c r="U46">
        <v>0.66977218669221705</v>
      </c>
      <c r="V46">
        <v>-2.54</v>
      </c>
      <c r="W46">
        <v>0.12</v>
      </c>
      <c r="X46">
        <v>215662</v>
      </c>
      <c r="Y46">
        <v>11351</v>
      </c>
      <c r="Z46">
        <v>0.54</v>
      </c>
      <c r="AA46">
        <v>19</v>
      </c>
      <c r="AB46">
        <v>11</v>
      </c>
      <c r="AC46">
        <v>8</v>
      </c>
      <c r="AD46">
        <v>57.89</v>
      </c>
      <c r="AE46">
        <v>11</v>
      </c>
      <c r="AF46">
        <v>10</v>
      </c>
      <c r="AG46">
        <v>5</v>
      </c>
      <c r="AH46">
        <v>4</v>
      </c>
    </row>
    <row r="47" spans="1:34">
      <c r="A47" s="110">
        <v>158</v>
      </c>
      <c r="B47">
        <v>5463</v>
      </c>
      <c r="C47" s="114" t="s">
        <v>171</v>
      </c>
      <c r="D47" s="114" t="s">
        <v>119</v>
      </c>
      <c r="E47">
        <v>3160</v>
      </c>
      <c r="F47">
        <v>3160</v>
      </c>
      <c r="G47">
        <v>300</v>
      </c>
      <c r="H47" s="114" t="s">
        <v>85</v>
      </c>
      <c r="I47">
        <v>5991</v>
      </c>
      <c r="J47" s="114" t="s">
        <v>142</v>
      </c>
      <c r="K47" s="114" t="s">
        <v>143</v>
      </c>
      <c r="L47">
        <v>994</v>
      </c>
      <c r="M47">
        <v>1004</v>
      </c>
      <c r="N47">
        <v>900</v>
      </c>
      <c r="O47" s="114" t="s">
        <v>87</v>
      </c>
      <c r="P47">
        <v>0.93937757327573701</v>
      </c>
      <c r="Q47">
        <v>0.90082762029041696</v>
      </c>
      <c r="R47" s="20">
        <v>9.4079230553056302E-3</v>
      </c>
      <c r="S47">
        <v>0.23292743019620801</v>
      </c>
      <c r="T47">
        <v>-1.64220538984748</v>
      </c>
      <c r="U47">
        <v>1.64220538984748</v>
      </c>
      <c r="V47">
        <v>-7.24</v>
      </c>
      <c r="W47">
        <v>4.68</v>
      </c>
      <c r="X47">
        <v>212896</v>
      </c>
      <c r="Y47">
        <v>12523</v>
      </c>
      <c r="Z47">
        <v>0.62</v>
      </c>
      <c r="AA47">
        <v>17</v>
      </c>
      <c r="AB47">
        <v>11</v>
      </c>
      <c r="AC47">
        <v>6</v>
      </c>
      <c r="AD47">
        <v>64.709999999999994</v>
      </c>
      <c r="AE47">
        <v>11</v>
      </c>
      <c r="AF47">
        <v>6</v>
      </c>
      <c r="AG47">
        <v>3</v>
      </c>
      <c r="AH47">
        <v>8</v>
      </c>
    </row>
    <row r="48" spans="1:34">
      <c r="A48" s="110">
        <v>118</v>
      </c>
      <c r="B48">
        <v>3105</v>
      </c>
      <c r="C48" s="114" t="s">
        <v>117</v>
      </c>
      <c r="D48" s="114" t="s">
        <v>113</v>
      </c>
      <c r="E48">
        <v>1027</v>
      </c>
      <c r="F48">
        <v>1033</v>
      </c>
      <c r="G48">
        <v>1000</v>
      </c>
      <c r="H48" s="114" t="s">
        <v>85</v>
      </c>
      <c r="I48">
        <v>6770</v>
      </c>
      <c r="J48" s="114" t="s">
        <v>50</v>
      </c>
      <c r="K48" s="114" t="s">
        <v>113</v>
      </c>
      <c r="L48">
        <v>2485</v>
      </c>
      <c r="M48">
        <v>2527</v>
      </c>
      <c r="N48">
        <v>400</v>
      </c>
      <c r="O48" s="114" t="s">
        <v>87</v>
      </c>
      <c r="P48">
        <v>0.94369221393515801</v>
      </c>
      <c r="Q48">
        <v>0.91103354566843298</v>
      </c>
      <c r="R48">
        <v>0.112095382368851</v>
      </c>
      <c r="S48">
        <v>5.6313377852863902E-2</v>
      </c>
      <c r="T48">
        <v>-0.44281141137881003</v>
      </c>
      <c r="U48">
        <v>0.44281141137881003</v>
      </c>
      <c r="V48">
        <v>-1.88</v>
      </c>
      <c r="W48">
        <v>2.2000000000000002</v>
      </c>
      <c r="X48">
        <v>211945</v>
      </c>
      <c r="Y48">
        <v>10093</v>
      </c>
      <c r="Z48">
        <v>0.54</v>
      </c>
      <c r="AA48">
        <v>21</v>
      </c>
      <c r="AB48">
        <v>12</v>
      </c>
      <c r="AC48">
        <v>9</v>
      </c>
      <c r="AD48">
        <v>57.14</v>
      </c>
      <c r="AE48">
        <v>9</v>
      </c>
      <c r="AF48">
        <v>11</v>
      </c>
      <c r="AG48">
        <v>7</v>
      </c>
      <c r="AH48">
        <v>3</v>
      </c>
    </row>
    <row r="49" spans="1:34">
      <c r="A49" s="110">
        <v>93</v>
      </c>
      <c r="B49">
        <v>6674</v>
      </c>
      <c r="C49" s="114" t="s">
        <v>382</v>
      </c>
      <c r="D49" s="114" t="s">
        <v>113</v>
      </c>
      <c r="E49">
        <v>2300</v>
      </c>
      <c r="F49">
        <v>2330</v>
      </c>
      <c r="G49">
        <v>400</v>
      </c>
      <c r="H49" s="114" t="s">
        <v>87</v>
      </c>
      <c r="I49">
        <v>6752</v>
      </c>
      <c r="J49" s="114" t="s">
        <v>132</v>
      </c>
      <c r="K49" s="114" t="s">
        <v>113</v>
      </c>
      <c r="L49">
        <v>1040</v>
      </c>
      <c r="M49">
        <v>1044.5</v>
      </c>
      <c r="N49">
        <v>900</v>
      </c>
      <c r="O49" s="114" t="s">
        <v>85</v>
      </c>
      <c r="P49">
        <v>0.94895157464669699</v>
      </c>
      <c r="Q49">
        <v>0.91773145279514201</v>
      </c>
      <c r="R49">
        <v>0.199272598341972</v>
      </c>
      <c r="S49" s="20">
        <v>0.29465066641103299</v>
      </c>
      <c r="T49">
        <v>1.03880403351853</v>
      </c>
      <c r="U49">
        <v>1.03880403351853</v>
      </c>
      <c r="V49">
        <v>3.09</v>
      </c>
      <c r="W49">
        <v>0.86</v>
      </c>
      <c r="X49">
        <v>208764</v>
      </c>
      <c r="Y49">
        <v>13048</v>
      </c>
      <c r="Z49">
        <v>0.75</v>
      </c>
      <c r="AA49">
        <v>16</v>
      </c>
      <c r="AB49">
        <v>10</v>
      </c>
      <c r="AC49">
        <v>6</v>
      </c>
      <c r="AD49">
        <v>62.5</v>
      </c>
      <c r="AE49">
        <v>12</v>
      </c>
      <c r="AF49">
        <v>6</v>
      </c>
      <c r="AG49">
        <v>2</v>
      </c>
      <c r="AH49">
        <v>8</v>
      </c>
    </row>
    <row r="50" spans="1:34">
      <c r="A50" s="110">
        <v>112</v>
      </c>
      <c r="B50">
        <v>5333</v>
      </c>
      <c r="C50" s="114" t="s">
        <v>387</v>
      </c>
      <c r="D50" s="114" t="s">
        <v>133</v>
      </c>
      <c r="E50">
        <v>1874</v>
      </c>
      <c r="F50">
        <v>1892</v>
      </c>
      <c r="G50">
        <v>600</v>
      </c>
      <c r="H50" s="114" t="s">
        <v>87</v>
      </c>
      <c r="I50">
        <v>6995</v>
      </c>
      <c r="J50" s="114" t="s">
        <v>118</v>
      </c>
      <c r="K50" s="114" t="s">
        <v>110</v>
      </c>
      <c r="L50">
        <v>2160</v>
      </c>
      <c r="M50">
        <v>2175</v>
      </c>
      <c r="N50">
        <v>500</v>
      </c>
      <c r="O50" s="114" t="s">
        <v>85</v>
      </c>
      <c r="P50">
        <v>0.97004837186501602</v>
      </c>
      <c r="Q50">
        <v>0.91304359784665101</v>
      </c>
      <c r="R50">
        <v>5.20793051461357E-2</v>
      </c>
      <c r="S50">
        <v>2.7708204301335401E-2</v>
      </c>
      <c r="T50">
        <v>0.86107430351499104</v>
      </c>
      <c r="U50">
        <v>0.86107430351499104</v>
      </c>
      <c r="V50">
        <v>2.35</v>
      </c>
      <c r="W50">
        <v>4.3899999999999997</v>
      </c>
      <c r="X50">
        <v>207740</v>
      </c>
      <c r="Y50">
        <v>11541</v>
      </c>
      <c r="Z50">
        <v>0.59</v>
      </c>
      <c r="AA50">
        <v>18</v>
      </c>
      <c r="AB50">
        <v>12</v>
      </c>
      <c r="AC50">
        <v>6</v>
      </c>
      <c r="AD50">
        <v>66.67</v>
      </c>
      <c r="AE50">
        <v>15</v>
      </c>
      <c r="AF50">
        <v>4</v>
      </c>
      <c r="AG50">
        <v>2</v>
      </c>
      <c r="AH50">
        <v>12</v>
      </c>
    </row>
    <row r="51" spans="1:34">
      <c r="A51" s="110">
        <v>137</v>
      </c>
      <c r="B51">
        <v>4183</v>
      </c>
      <c r="C51" s="114" t="s">
        <v>344</v>
      </c>
      <c r="D51" s="114" t="s">
        <v>86</v>
      </c>
      <c r="E51">
        <v>2649</v>
      </c>
      <c r="F51">
        <v>2638</v>
      </c>
      <c r="G51">
        <v>400</v>
      </c>
      <c r="H51" s="114" t="s">
        <v>85</v>
      </c>
      <c r="I51">
        <v>4208</v>
      </c>
      <c r="J51" s="114" t="s">
        <v>125</v>
      </c>
      <c r="K51" s="114" t="s">
        <v>86</v>
      </c>
      <c r="L51">
        <v>2369</v>
      </c>
      <c r="M51">
        <v>2369</v>
      </c>
      <c r="N51">
        <v>400</v>
      </c>
      <c r="O51" s="114" t="s">
        <v>87</v>
      </c>
      <c r="P51">
        <v>0.94483659692940702</v>
      </c>
      <c r="Q51">
        <v>0.906909725038609</v>
      </c>
      <c r="R51">
        <v>4.28680594698098E-3</v>
      </c>
      <c r="S51" s="20">
        <v>4.93133147493365E-2</v>
      </c>
      <c r="T51">
        <v>-0.74528995454513403</v>
      </c>
      <c r="U51">
        <v>0.74528995454513403</v>
      </c>
      <c r="V51">
        <v>-1.1100000000000001</v>
      </c>
      <c r="W51">
        <v>10.199999999999999</v>
      </c>
      <c r="X51">
        <v>207621</v>
      </c>
      <c r="Y51">
        <v>20762</v>
      </c>
      <c r="Z51">
        <v>1.0900000000000001</v>
      </c>
      <c r="AA51">
        <v>10</v>
      </c>
      <c r="AB51">
        <v>9</v>
      </c>
      <c r="AC51">
        <v>1</v>
      </c>
      <c r="AD51">
        <v>90</v>
      </c>
      <c r="AE51">
        <v>14</v>
      </c>
      <c r="AF51">
        <v>3</v>
      </c>
      <c r="AG51">
        <v>0</v>
      </c>
      <c r="AH51">
        <v>7</v>
      </c>
    </row>
    <row r="52" spans="1:34">
      <c r="A52" s="110">
        <v>32</v>
      </c>
      <c r="B52">
        <v>3291</v>
      </c>
      <c r="C52" s="114" t="s">
        <v>140</v>
      </c>
      <c r="D52" s="114" t="s">
        <v>141</v>
      </c>
      <c r="E52">
        <v>1954</v>
      </c>
      <c r="F52">
        <v>1961</v>
      </c>
      <c r="G52">
        <v>500</v>
      </c>
      <c r="H52" s="114" t="s">
        <v>87</v>
      </c>
      <c r="I52">
        <v>8086</v>
      </c>
      <c r="J52" s="114" t="s">
        <v>342</v>
      </c>
      <c r="K52" s="114" t="s">
        <v>120</v>
      </c>
      <c r="L52">
        <v>1305</v>
      </c>
      <c r="M52">
        <v>1306</v>
      </c>
      <c r="N52">
        <v>800</v>
      </c>
      <c r="O52" s="114" t="s">
        <v>85</v>
      </c>
      <c r="P52">
        <v>0.90813552971810196</v>
      </c>
      <c r="Q52">
        <v>0.93884227418198496</v>
      </c>
      <c r="R52">
        <v>4.72108997151135E-3</v>
      </c>
      <c r="S52">
        <v>1.4809482290283401E-3</v>
      </c>
      <c r="T52">
        <v>1.69146140672363</v>
      </c>
      <c r="U52">
        <v>1.69146140672363</v>
      </c>
      <c r="V52">
        <v>3.56</v>
      </c>
      <c r="W52">
        <v>6.56</v>
      </c>
      <c r="X52">
        <v>204433</v>
      </c>
      <c r="Y52">
        <v>17036</v>
      </c>
      <c r="Z52">
        <v>0.89</v>
      </c>
      <c r="AA52">
        <v>12</v>
      </c>
      <c r="AB52">
        <v>8</v>
      </c>
      <c r="AC52">
        <v>4</v>
      </c>
      <c r="AD52">
        <v>66.67</v>
      </c>
      <c r="AE52">
        <v>10</v>
      </c>
      <c r="AF52">
        <v>6</v>
      </c>
      <c r="AG52">
        <v>3</v>
      </c>
      <c r="AH52">
        <v>3</v>
      </c>
    </row>
    <row r="53" spans="1:34">
      <c r="A53" s="110">
        <v>37</v>
      </c>
      <c r="B53">
        <v>4182</v>
      </c>
      <c r="C53" s="114" t="s">
        <v>114</v>
      </c>
      <c r="D53" s="114" t="s">
        <v>86</v>
      </c>
      <c r="E53">
        <v>1681</v>
      </c>
      <c r="F53">
        <v>1674</v>
      </c>
      <c r="G53">
        <v>600</v>
      </c>
      <c r="H53" s="114" t="s">
        <v>85</v>
      </c>
      <c r="I53">
        <v>5802</v>
      </c>
      <c r="J53" s="114" t="s">
        <v>160</v>
      </c>
      <c r="K53" s="114" t="s">
        <v>161</v>
      </c>
      <c r="L53">
        <v>1658.5</v>
      </c>
      <c r="M53">
        <v>1662</v>
      </c>
      <c r="N53">
        <v>600</v>
      </c>
      <c r="O53" s="114" t="s">
        <v>87</v>
      </c>
      <c r="P53">
        <v>0.966112826490924</v>
      </c>
      <c r="Q53">
        <v>0.93777845930612602</v>
      </c>
      <c r="R53" s="114">
        <v>0.12662943273421801</v>
      </c>
      <c r="S53">
        <v>7.7772226601899204E-3</v>
      </c>
      <c r="T53">
        <v>-1.3421692150127</v>
      </c>
      <c r="U53">
        <v>1.3421692150127</v>
      </c>
      <c r="V53">
        <v>-3.12</v>
      </c>
      <c r="W53">
        <v>0.72</v>
      </c>
      <c r="X53">
        <v>202282</v>
      </c>
      <c r="Y53">
        <v>11238</v>
      </c>
      <c r="Z53">
        <v>0.67</v>
      </c>
      <c r="AA53">
        <v>18</v>
      </c>
      <c r="AB53">
        <v>11</v>
      </c>
      <c r="AC53">
        <v>7</v>
      </c>
      <c r="AD53">
        <v>61.11</v>
      </c>
      <c r="AE53">
        <v>13</v>
      </c>
      <c r="AF53">
        <v>7</v>
      </c>
      <c r="AG53">
        <v>4</v>
      </c>
      <c r="AH53">
        <v>7</v>
      </c>
    </row>
    <row r="54" spans="1:34">
      <c r="A54" s="110">
        <v>152</v>
      </c>
      <c r="B54">
        <v>1820</v>
      </c>
      <c r="C54" s="114" t="s">
        <v>149</v>
      </c>
      <c r="D54" s="114" t="s">
        <v>103</v>
      </c>
      <c r="E54">
        <v>2453</v>
      </c>
      <c r="F54">
        <v>2488</v>
      </c>
      <c r="G54">
        <v>400</v>
      </c>
      <c r="H54" s="114" t="s">
        <v>87</v>
      </c>
      <c r="I54">
        <v>4202</v>
      </c>
      <c r="J54" s="114" t="s">
        <v>116</v>
      </c>
      <c r="K54" s="114" t="s">
        <v>86</v>
      </c>
      <c r="L54">
        <v>1074</v>
      </c>
      <c r="M54">
        <v>1071</v>
      </c>
      <c r="N54">
        <v>900</v>
      </c>
      <c r="O54" s="114" t="s">
        <v>85</v>
      </c>
      <c r="P54">
        <v>0.94540661571470597</v>
      </c>
      <c r="Q54">
        <v>0.90192790415781698</v>
      </c>
      <c r="R54" s="114">
        <v>8.5126523417440397E-2</v>
      </c>
      <c r="S54">
        <v>6.7762159423821897E-2</v>
      </c>
      <c r="T54">
        <v>1.31035292043388</v>
      </c>
      <c r="U54">
        <v>1.31035292043388</v>
      </c>
      <c r="V54">
        <v>4.1900000000000004</v>
      </c>
      <c r="W54">
        <v>3.15</v>
      </c>
      <c r="X54">
        <v>201090</v>
      </c>
      <c r="Y54">
        <v>10584</v>
      </c>
      <c r="Z54">
        <v>0.56999999999999995</v>
      </c>
      <c r="AA54">
        <v>19</v>
      </c>
      <c r="AB54">
        <v>12</v>
      </c>
      <c r="AC54">
        <v>7</v>
      </c>
      <c r="AD54">
        <v>63.16</v>
      </c>
      <c r="AE54">
        <v>12</v>
      </c>
      <c r="AF54">
        <v>7</v>
      </c>
      <c r="AG54">
        <v>3</v>
      </c>
      <c r="AH54">
        <v>9</v>
      </c>
    </row>
    <row r="55" spans="1:34">
      <c r="A55" s="110">
        <v>150</v>
      </c>
      <c r="B55">
        <v>6471</v>
      </c>
      <c r="C55" s="114" t="s">
        <v>167</v>
      </c>
      <c r="D55" s="114" t="s">
        <v>126</v>
      </c>
      <c r="E55">
        <v>1061</v>
      </c>
      <c r="F55">
        <v>1065</v>
      </c>
      <c r="G55">
        <v>800</v>
      </c>
      <c r="H55" s="114" t="s">
        <v>85</v>
      </c>
      <c r="I55">
        <v>7259</v>
      </c>
      <c r="J55" s="114" t="s">
        <v>53</v>
      </c>
      <c r="K55" s="114" t="s">
        <v>110</v>
      </c>
      <c r="L55">
        <v>4145</v>
      </c>
      <c r="M55">
        <v>4205</v>
      </c>
      <c r="N55">
        <v>200</v>
      </c>
      <c r="O55" s="114" t="s">
        <v>87</v>
      </c>
      <c r="P55">
        <v>0.93786637195355704</v>
      </c>
      <c r="Q55">
        <v>0.90297052016938295</v>
      </c>
      <c r="R55" s="114">
        <v>9.9760155592848801E-4</v>
      </c>
      <c r="S55">
        <v>2.2210258970977399E-2</v>
      </c>
      <c r="T55">
        <v>-1.06568325246827</v>
      </c>
      <c r="U55">
        <v>1.06568325246827</v>
      </c>
      <c r="V55">
        <v>-4.47</v>
      </c>
      <c r="W55">
        <v>1.31</v>
      </c>
      <c r="X55">
        <v>199833</v>
      </c>
      <c r="Y55">
        <v>9516</v>
      </c>
      <c r="Z55">
        <v>0.62</v>
      </c>
      <c r="AA55">
        <v>21</v>
      </c>
      <c r="AB55">
        <v>14</v>
      </c>
      <c r="AC55">
        <v>7</v>
      </c>
      <c r="AD55">
        <v>66.67</v>
      </c>
      <c r="AE55">
        <v>12</v>
      </c>
      <c r="AF55">
        <v>8</v>
      </c>
      <c r="AG55">
        <v>4</v>
      </c>
      <c r="AH55">
        <v>9</v>
      </c>
    </row>
    <row r="56" spans="1:34">
      <c r="A56" s="110">
        <v>75</v>
      </c>
      <c r="B56">
        <v>8279</v>
      </c>
      <c r="C56" s="114" t="s">
        <v>362</v>
      </c>
      <c r="D56" s="114" t="s">
        <v>122</v>
      </c>
      <c r="E56">
        <v>5240</v>
      </c>
      <c r="F56">
        <v>5290</v>
      </c>
      <c r="G56">
        <v>200</v>
      </c>
      <c r="H56" s="114" t="s">
        <v>85</v>
      </c>
      <c r="I56">
        <v>9505</v>
      </c>
      <c r="J56" s="114" t="s">
        <v>152</v>
      </c>
      <c r="K56" s="114" t="s">
        <v>153</v>
      </c>
      <c r="L56">
        <v>790</v>
      </c>
      <c r="M56">
        <v>785</v>
      </c>
      <c r="N56">
        <v>1300</v>
      </c>
      <c r="O56" s="114" t="s">
        <v>87</v>
      </c>
      <c r="P56">
        <v>0.90223971567678096</v>
      </c>
      <c r="Q56">
        <v>0.92313637054688502</v>
      </c>
      <c r="R56" s="20">
        <v>6.0642148213794298E-3</v>
      </c>
      <c r="S56">
        <v>6.5451663879150496E-2</v>
      </c>
      <c r="T56">
        <v>-5.2303903574018998E-2</v>
      </c>
      <c r="U56">
        <v>5.2303903574018998E-2</v>
      </c>
      <c r="V56">
        <v>-0.23</v>
      </c>
      <c r="W56">
        <v>3.54</v>
      </c>
      <c r="X56">
        <v>199119</v>
      </c>
      <c r="Y56">
        <v>8657</v>
      </c>
      <c r="Z56">
        <v>0.9</v>
      </c>
      <c r="AA56">
        <v>23</v>
      </c>
      <c r="AB56">
        <v>14</v>
      </c>
      <c r="AC56">
        <v>9</v>
      </c>
      <c r="AD56">
        <v>60.87</v>
      </c>
      <c r="AE56">
        <v>12</v>
      </c>
      <c r="AF56">
        <v>13</v>
      </c>
      <c r="AG56">
        <v>4</v>
      </c>
      <c r="AH56">
        <v>6</v>
      </c>
    </row>
    <row r="57" spans="1:34">
      <c r="A57" s="110">
        <v>30</v>
      </c>
      <c r="B57">
        <v>7846</v>
      </c>
      <c r="C57" s="114" t="s">
        <v>151</v>
      </c>
      <c r="D57" s="114" t="s">
        <v>115</v>
      </c>
      <c r="E57">
        <v>4335</v>
      </c>
      <c r="F57">
        <v>4400</v>
      </c>
      <c r="G57">
        <v>200</v>
      </c>
      <c r="H57" s="114" t="s">
        <v>87</v>
      </c>
      <c r="I57">
        <v>9505</v>
      </c>
      <c r="J57" s="114" t="s">
        <v>152</v>
      </c>
      <c r="K57" s="114" t="s">
        <v>153</v>
      </c>
      <c r="L57">
        <v>790</v>
      </c>
      <c r="M57">
        <v>785</v>
      </c>
      <c r="N57">
        <v>1100</v>
      </c>
      <c r="O57" s="114" t="s">
        <v>85</v>
      </c>
      <c r="P57">
        <v>0.92070676046693301</v>
      </c>
      <c r="Q57">
        <v>0.94061196718388795</v>
      </c>
      <c r="R57">
        <v>1.2169144971315301E-2</v>
      </c>
      <c r="S57" s="20">
        <v>2.3507982970698098E-2</v>
      </c>
      <c r="T57">
        <v>1.2917100089367199</v>
      </c>
      <c r="U57">
        <v>1.2917100089367199</v>
      </c>
      <c r="V57">
        <v>2.4</v>
      </c>
      <c r="W57">
        <v>1.88</v>
      </c>
      <c r="X57">
        <v>198192</v>
      </c>
      <c r="Y57">
        <v>9438</v>
      </c>
      <c r="Z57">
        <v>0.55000000000000004</v>
      </c>
      <c r="AA57">
        <v>21</v>
      </c>
      <c r="AB57">
        <v>11</v>
      </c>
      <c r="AC57">
        <v>10</v>
      </c>
      <c r="AD57">
        <v>52.38</v>
      </c>
      <c r="AE57">
        <v>11</v>
      </c>
      <c r="AF57">
        <v>8</v>
      </c>
      <c r="AG57">
        <v>4</v>
      </c>
      <c r="AH57">
        <v>9</v>
      </c>
    </row>
    <row r="58" spans="1:34">
      <c r="A58" s="110">
        <v>4</v>
      </c>
      <c r="B58">
        <v>4182</v>
      </c>
      <c r="C58" s="114" t="s">
        <v>114</v>
      </c>
      <c r="D58" s="114" t="s">
        <v>86</v>
      </c>
      <c r="E58">
        <v>1681</v>
      </c>
      <c r="F58">
        <v>1674</v>
      </c>
      <c r="G58">
        <v>600</v>
      </c>
      <c r="H58" s="114" t="s">
        <v>85</v>
      </c>
      <c r="I58">
        <v>5991</v>
      </c>
      <c r="J58" s="114" t="s">
        <v>142</v>
      </c>
      <c r="K58" s="114" t="s">
        <v>143</v>
      </c>
      <c r="L58">
        <v>994</v>
      </c>
      <c r="M58">
        <v>1004</v>
      </c>
      <c r="N58">
        <v>1000</v>
      </c>
      <c r="O58" s="114" t="s">
        <v>87</v>
      </c>
      <c r="P58">
        <v>0.96227896320817696</v>
      </c>
      <c r="Q58">
        <v>0.95896420803265103</v>
      </c>
      <c r="R58">
        <v>0.15147049552731301</v>
      </c>
      <c r="S58" s="20">
        <v>0.15202011118410499</v>
      </c>
      <c r="T58">
        <v>-1.56077445991168</v>
      </c>
      <c r="U58">
        <v>1.56077445991168</v>
      </c>
      <c r="V58">
        <v>-3.26</v>
      </c>
      <c r="W58">
        <v>0.04</v>
      </c>
      <c r="X58">
        <v>196981</v>
      </c>
      <c r="Y58">
        <v>10367</v>
      </c>
      <c r="Z58">
        <v>0.49</v>
      </c>
      <c r="AA58">
        <v>19</v>
      </c>
      <c r="AB58">
        <v>11</v>
      </c>
      <c r="AC58">
        <v>8</v>
      </c>
      <c r="AD58">
        <v>57.89</v>
      </c>
      <c r="AE58">
        <v>12</v>
      </c>
      <c r="AF58">
        <v>7</v>
      </c>
      <c r="AG58">
        <v>3</v>
      </c>
      <c r="AH58">
        <v>9</v>
      </c>
    </row>
    <row r="59" spans="1:34">
      <c r="A59" s="110">
        <v>11</v>
      </c>
      <c r="B59">
        <v>7181</v>
      </c>
      <c r="C59" s="114" t="s">
        <v>166</v>
      </c>
      <c r="D59" s="114" t="s">
        <v>137</v>
      </c>
      <c r="E59">
        <v>1921</v>
      </c>
      <c r="F59">
        <v>1938</v>
      </c>
      <c r="G59">
        <v>500</v>
      </c>
      <c r="H59" s="114" t="s">
        <v>87</v>
      </c>
      <c r="I59">
        <v>9956</v>
      </c>
      <c r="J59" s="114" t="s">
        <v>363</v>
      </c>
      <c r="K59" s="114" t="s">
        <v>122</v>
      </c>
      <c r="L59">
        <v>2040</v>
      </c>
      <c r="M59">
        <v>2042</v>
      </c>
      <c r="N59">
        <v>500</v>
      </c>
      <c r="O59" s="114" t="s">
        <v>85</v>
      </c>
      <c r="P59">
        <v>0.92637450934424503</v>
      </c>
      <c r="Q59">
        <v>0.94953852059482802</v>
      </c>
      <c r="R59">
        <v>1.55587726962039E-3</v>
      </c>
      <c r="S59" s="20">
        <v>0.22265582683134399</v>
      </c>
      <c r="T59">
        <v>2.2417069653342998</v>
      </c>
      <c r="U59">
        <v>2.2417069653342998</v>
      </c>
      <c r="V59">
        <v>5.56</v>
      </c>
      <c r="W59">
        <v>5.09</v>
      </c>
      <c r="X59">
        <v>196402</v>
      </c>
      <c r="Y59">
        <v>15108</v>
      </c>
      <c r="Z59">
        <v>0.7</v>
      </c>
      <c r="AA59">
        <v>13</v>
      </c>
      <c r="AB59">
        <v>9</v>
      </c>
      <c r="AC59">
        <v>4</v>
      </c>
      <c r="AD59">
        <v>69.23</v>
      </c>
      <c r="AE59">
        <v>14</v>
      </c>
      <c r="AF59">
        <v>3</v>
      </c>
      <c r="AG59">
        <v>1</v>
      </c>
      <c r="AH59">
        <v>9</v>
      </c>
    </row>
    <row r="60" spans="1:34">
      <c r="A60" s="110">
        <v>39</v>
      </c>
      <c r="B60">
        <v>2379</v>
      </c>
      <c r="C60" s="114" t="s">
        <v>1094</v>
      </c>
      <c r="D60" s="114" t="s">
        <v>147</v>
      </c>
      <c r="E60">
        <v>3135</v>
      </c>
      <c r="F60">
        <v>3120</v>
      </c>
      <c r="G60">
        <v>300</v>
      </c>
      <c r="H60" s="114" t="s">
        <v>87</v>
      </c>
      <c r="I60">
        <v>9437</v>
      </c>
      <c r="J60" s="114" t="s">
        <v>1095</v>
      </c>
      <c r="K60" s="114" t="s">
        <v>105</v>
      </c>
      <c r="L60">
        <v>3001</v>
      </c>
      <c r="M60">
        <v>2974</v>
      </c>
      <c r="N60">
        <v>300</v>
      </c>
      <c r="O60" s="114" t="s">
        <v>85</v>
      </c>
      <c r="P60">
        <v>0.90721745074139004</v>
      </c>
      <c r="Q60">
        <v>0.93587064925702801</v>
      </c>
      <c r="R60" s="20">
        <v>2.2594918823297099E-3</v>
      </c>
      <c r="S60" s="20">
        <v>3.3734690724050102E-2</v>
      </c>
      <c r="T60">
        <v>1.49474976117832</v>
      </c>
      <c r="U60">
        <v>1.49474976117832</v>
      </c>
      <c r="V60">
        <v>8.48</v>
      </c>
      <c r="W60">
        <v>4.68</v>
      </c>
      <c r="X60">
        <v>196308</v>
      </c>
      <c r="Y60">
        <v>9348</v>
      </c>
      <c r="Z60">
        <v>0.5</v>
      </c>
      <c r="AA60">
        <v>21</v>
      </c>
      <c r="AB60">
        <v>11</v>
      </c>
      <c r="AC60">
        <v>10</v>
      </c>
      <c r="AD60">
        <v>52.38</v>
      </c>
      <c r="AE60">
        <v>10</v>
      </c>
      <c r="AF60">
        <v>8</v>
      </c>
      <c r="AG60">
        <v>6</v>
      </c>
      <c r="AH60">
        <v>7</v>
      </c>
    </row>
    <row r="61" spans="1:34">
      <c r="A61" s="110">
        <v>129</v>
      </c>
      <c r="B61">
        <v>1963</v>
      </c>
      <c r="C61" s="114" t="s">
        <v>159</v>
      </c>
      <c r="D61" s="114" t="s">
        <v>103</v>
      </c>
      <c r="E61">
        <v>1623</v>
      </c>
      <c r="F61">
        <v>1653</v>
      </c>
      <c r="G61">
        <v>600</v>
      </c>
      <c r="H61" s="114" t="s">
        <v>85</v>
      </c>
      <c r="I61">
        <v>4182</v>
      </c>
      <c r="J61" s="114" t="s">
        <v>114</v>
      </c>
      <c r="K61" s="114" t="s">
        <v>86</v>
      </c>
      <c r="L61">
        <v>1681</v>
      </c>
      <c r="M61">
        <v>1674</v>
      </c>
      <c r="N61">
        <v>600</v>
      </c>
      <c r="O61" s="114" t="s">
        <v>87</v>
      </c>
      <c r="P61">
        <v>0.90968026525781198</v>
      </c>
      <c r="Q61">
        <v>0.90854068952148703</v>
      </c>
      <c r="R61">
        <v>0.18689322233531</v>
      </c>
      <c r="S61">
        <v>9.1118678174945599E-4</v>
      </c>
      <c r="T61">
        <v>-0.23013390853125601</v>
      </c>
      <c r="U61">
        <v>0.23013390853125601</v>
      </c>
      <c r="V61">
        <v>-0.65</v>
      </c>
      <c r="W61">
        <v>1.25</v>
      </c>
      <c r="X61">
        <v>193916</v>
      </c>
      <c r="Y61">
        <v>7757</v>
      </c>
      <c r="Z61">
        <v>0.39</v>
      </c>
      <c r="AA61">
        <v>25</v>
      </c>
      <c r="AB61">
        <v>15</v>
      </c>
      <c r="AC61">
        <v>10</v>
      </c>
      <c r="AD61">
        <v>60</v>
      </c>
      <c r="AE61">
        <v>9</v>
      </c>
      <c r="AF61">
        <v>12</v>
      </c>
      <c r="AG61">
        <v>9</v>
      </c>
      <c r="AH61">
        <v>4</v>
      </c>
    </row>
    <row r="62" spans="1:34">
      <c r="A62" s="110">
        <v>55</v>
      </c>
      <c r="B62">
        <v>6588</v>
      </c>
      <c r="C62" s="114" t="s">
        <v>1011</v>
      </c>
      <c r="D62" s="114" t="s">
        <v>113</v>
      </c>
      <c r="E62">
        <v>4500</v>
      </c>
      <c r="F62">
        <v>4575</v>
      </c>
      <c r="G62">
        <v>200</v>
      </c>
      <c r="H62" s="114" t="s">
        <v>87</v>
      </c>
      <c r="I62">
        <v>6702</v>
      </c>
      <c r="J62" s="114" t="s">
        <v>384</v>
      </c>
      <c r="K62" s="114" t="s">
        <v>113</v>
      </c>
      <c r="L62">
        <v>10290</v>
      </c>
      <c r="M62">
        <v>10195</v>
      </c>
      <c r="N62">
        <v>100</v>
      </c>
      <c r="O62" s="114" t="s">
        <v>85</v>
      </c>
      <c r="P62">
        <v>0.930970975857907</v>
      </c>
      <c r="Q62">
        <v>0.92990315305280102</v>
      </c>
      <c r="R62" s="20">
        <v>0.238968149721839</v>
      </c>
      <c r="S62">
        <v>5.3598796804667503E-2</v>
      </c>
      <c r="T62">
        <v>1.6562428386550301</v>
      </c>
      <c r="U62">
        <v>1.6562428386550301</v>
      </c>
      <c r="V62">
        <v>10.54</v>
      </c>
      <c r="W62">
        <v>10.25</v>
      </c>
      <c r="X62">
        <v>187415</v>
      </c>
      <c r="Y62">
        <v>18742</v>
      </c>
      <c r="Z62">
        <v>1.0900000000000001</v>
      </c>
      <c r="AA62">
        <v>10</v>
      </c>
      <c r="AB62">
        <v>6</v>
      </c>
      <c r="AC62">
        <v>4</v>
      </c>
      <c r="AD62">
        <v>60</v>
      </c>
      <c r="AE62">
        <v>12</v>
      </c>
      <c r="AF62">
        <v>4</v>
      </c>
      <c r="AG62">
        <v>1</v>
      </c>
      <c r="AH62">
        <v>5</v>
      </c>
    </row>
    <row r="63" spans="1:34">
      <c r="A63" s="110">
        <v>73</v>
      </c>
      <c r="B63">
        <v>4208</v>
      </c>
      <c r="C63" s="114" t="s">
        <v>125</v>
      </c>
      <c r="D63" s="114" t="s">
        <v>86</v>
      </c>
      <c r="E63">
        <v>2369</v>
      </c>
      <c r="F63">
        <v>2369</v>
      </c>
      <c r="G63">
        <v>400</v>
      </c>
      <c r="H63" s="114" t="s">
        <v>85</v>
      </c>
      <c r="I63">
        <v>5334</v>
      </c>
      <c r="J63" s="114" t="s">
        <v>345</v>
      </c>
      <c r="K63" s="114" t="s">
        <v>133</v>
      </c>
      <c r="L63">
        <v>2176</v>
      </c>
      <c r="M63">
        <v>2201</v>
      </c>
      <c r="N63">
        <v>400</v>
      </c>
      <c r="O63" s="114" t="s">
        <v>87</v>
      </c>
      <c r="P63">
        <v>0.93042946923293501</v>
      </c>
      <c r="Q63">
        <v>0.92356905566327196</v>
      </c>
      <c r="R63" s="20">
        <v>1.8716740484828E-2</v>
      </c>
      <c r="S63">
        <v>6.6204790268492304E-4</v>
      </c>
      <c r="T63">
        <v>-9.2121953713961494E-2</v>
      </c>
      <c r="U63">
        <v>9.2121953713961494E-2</v>
      </c>
      <c r="V63">
        <v>-0.22</v>
      </c>
      <c r="W63">
        <v>7.09</v>
      </c>
      <c r="X63">
        <v>187255</v>
      </c>
      <c r="Y63">
        <v>9363</v>
      </c>
      <c r="Z63">
        <v>0.48</v>
      </c>
      <c r="AA63">
        <v>20</v>
      </c>
      <c r="AB63">
        <v>13</v>
      </c>
      <c r="AC63">
        <v>7</v>
      </c>
      <c r="AD63">
        <v>65</v>
      </c>
      <c r="AE63">
        <v>12</v>
      </c>
      <c r="AF63">
        <v>7</v>
      </c>
      <c r="AG63">
        <v>5</v>
      </c>
      <c r="AH63">
        <v>8</v>
      </c>
    </row>
    <row r="64" spans="1:34">
      <c r="A64" s="110">
        <v>157</v>
      </c>
      <c r="B64">
        <v>8002</v>
      </c>
      <c r="C64" s="114" t="s">
        <v>55</v>
      </c>
      <c r="D64" s="114" t="s">
        <v>128</v>
      </c>
      <c r="E64">
        <v>819.2</v>
      </c>
      <c r="F64">
        <v>826.1</v>
      </c>
      <c r="G64">
        <v>800</v>
      </c>
      <c r="H64" s="114" t="s">
        <v>85</v>
      </c>
      <c r="I64">
        <v>9062</v>
      </c>
      <c r="J64" s="114" t="s">
        <v>1012</v>
      </c>
      <c r="K64" s="114" t="s">
        <v>146</v>
      </c>
      <c r="L64">
        <v>6790</v>
      </c>
      <c r="M64">
        <v>6810</v>
      </c>
      <c r="N64">
        <v>100</v>
      </c>
      <c r="O64" s="114" t="s">
        <v>87</v>
      </c>
      <c r="P64">
        <v>0.94272678963813095</v>
      </c>
      <c r="Q64">
        <v>0.90084956385543902</v>
      </c>
      <c r="R64" s="20">
        <v>2.6360256726450999E-3</v>
      </c>
      <c r="S64" s="114">
        <v>3.5471534552038199E-3</v>
      </c>
      <c r="T64">
        <v>-0.69330695307050105</v>
      </c>
      <c r="U64">
        <v>0.69330695307050105</v>
      </c>
      <c r="V64">
        <v>-3.03</v>
      </c>
      <c r="W64">
        <v>2.95</v>
      </c>
      <c r="X64">
        <v>187241</v>
      </c>
      <c r="Y64">
        <v>9362</v>
      </c>
      <c r="Z64">
        <v>0.65</v>
      </c>
      <c r="AA64">
        <v>20</v>
      </c>
      <c r="AB64">
        <v>12</v>
      </c>
      <c r="AC64">
        <v>8</v>
      </c>
      <c r="AD64">
        <v>60</v>
      </c>
      <c r="AE64">
        <v>12</v>
      </c>
      <c r="AF64">
        <v>8</v>
      </c>
      <c r="AG64">
        <v>5</v>
      </c>
      <c r="AH64">
        <v>7</v>
      </c>
    </row>
    <row r="65" spans="1:34">
      <c r="A65" s="110">
        <v>17</v>
      </c>
      <c r="B65">
        <v>6845</v>
      </c>
      <c r="C65" s="114" t="s">
        <v>351</v>
      </c>
      <c r="D65" s="114" t="s">
        <v>113</v>
      </c>
      <c r="E65">
        <v>3145</v>
      </c>
      <c r="F65">
        <v>3130</v>
      </c>
      <c r="G65">
        <v>300</v>
      </c>
      <c r="H65" s="114" t="s">
        <v>85</v>
      </c>
      <c r="I65">
        <v>6925</v>
      </c>
      <c r="J65" s="114" t="s">
        <v>357</v>
      </c>
      <c r="K65" s="114" t="s">
        <v>113</v>
      </c>
      <c r="L65">
        <v>1653</v>
      </c>
      <c r="M65">
        <v>1669</v>
      </c>
      <c r="N65">
        <v>600</v>
      </c>
      <c r="O65" s="114" t="s">
        <v>87</v>
      </c>
      <c r="P65">
        <v>0.91354641167810102</v>
      </c>
      <c r="Q65">
        <v>0.94628300699754597</v>
      </c>
      <c r="R65">
        <v>0.17802663999575</v>
      </c>
      <c r="S65">
        <v>6.2340179201897904E-3</v>
      </c>
      <c r="T65">
        <v>-0.83335609978683201</v>
      </c>
      <c r="U65">
        <v>0.83335609978683201</v>
      </c>
      <c r="V65">
        <v>-2.4</v>
      </c>
      <c r="W65">
        <v>6.65</v>
      </c>
      <c r="X65">
        <v>181027</v>
      </c>
      <c r="Y65">
        <v>10057</v>
      </c>
      <c r="Z65">
        <v>0.5</v>
      </c>
      <c r="AA65">
        <v>18</v>
      </c>
      <c r="AB65">
        <v>10</v>
      </c>
      <c r="AC65">
        <v>8</v>
      </c>
      <c r="AD65">
        <v>55.56</v>
      </c>
      <c r="AE65">
        <v>12</v>
      </c>
      <c r="AF65">
        <v>8</v>
      </c>
      <c r="AG65">
        <v>3</v>
      </c>
      <c r="AH65">
        <v>7</v>
      </c>
    </row>
    <row r="66" spans="1:34">
      <c r="A66" s="110">
        <v>148</v>
      </c>
      <c r="B66">
        <v>4208</v>
      </c>
      <c r="C66" s="114" t="s">
        <v>125</v>
      </c>
      <c r="D66" s="114" t="s">
        <v>86</v>
      </c>
      <c r="E66">
        <v>2369</v>
      </c>
      <c r="F66">
        <v>2369</v>
      </c>
      <c r="G66">
        <v>400</v>
      </c>
      <c r="H66" s="114" t="s">
        <v>85</v>
      </c>
      <c r="I66">
        <v>6472</v>
      </c>
      <c r="J66" s="114" t="s">
        <v>163</v>
      </c>
      <c r="K66" s="114" t="s">
        <v>126</v>
      </c>
      <c r="L66">
        <v>341</v>
      </c>
      <c r="M66">
        <v>341</v>
      </c>
      <c r="N66">
        <v>2800</v>
      </c>
      <c r="O66" s="114" t="s">
        <v>87</v>
      </c>
      <c r="P66">
        <v>0.90862170245622298</v>
      </c>
      <c r="Q66">
        <v>0.90341438279359898</v>
      </c>
      <c r="R66">
        <v>4.0974091760970204E-3</v>
      </c>
      <c r="S66">
        <v>7.6123875314763195E-2</v>
      </c>
      <c r="T66">
        <v>-9.3755100455485699E-2</v>
      </c>
      <c r="U66">
        <v>9.3755100455485699E-2</v>
      </c>
      <c r="V66">
        <v>-0.28000000000000003</v>
      </c>
      <c r="W66">
        <v>0.76</v>
      </c>
      <c r="X66">
        <v>180416</v>
      </c>
      <c r="Y66">
        <v>9021</v>
      </c>
      <c r="Z66">
        <v>0.48</v>
      </c>
      <c r="AA66">
        <v>20</v>
      </c>
      <c r="AB66">
        <v>13</v>
      </c>
      <c r="AC66">
        <v>7</v>
      </c>
      <c r="AD66">
        <v>65</v>
      </c>
      <c r="AE66">
        <v>13</v>
      </c>
      <c r="AF66">
        <v>7</v>
      </c>
      <c r="AG66">
        <v>5</v>
      </c>
      <c r="AH66">
        <v>8</v>
      </c>
    </row>
    <row r="67" spans="1:34">
      <c r="A67" s="110">
        <v>76</v>
      </c>
      <c r="B67">
        <v>7167</v>
      </c>
      <c r="C67" s="114" t="s">
        <v>127</v>
      </c>
      <c r="D67" s="114" t="s">
        <v>108</v>
      </c>
      <c r="E67">
        <v>281</v>
      </c>
      <c r="F67">
        <v>283</v>
      </c>
      <c r="G67">
        <v>3700</v>
      </c>
      <c r="H67" s="114" t="s">
        <v>85</v>
      </c>
      <c r="I67">
        <v>7189</v>
      </c>
      <c r="J67" s="114" t="s">
        <v>107</v>
      </c>
      <c r="K67" s="114" t="s">
        <v>108</v>
      </c>
      <c r="L67">
        <v>854</v>
      </c>
      <c r="M67">
        <v>862</v>
      </c>
      <c r="N67">
        <v>1200</v>
      </c>
      <c r="O67" s="114" t="s">
        <v>87</v>
      </c>
      <c r="P67">
        <v>0.94643911334573905</v>
      </c>
      <c r="Q67">
        <v>0.92292120488184404</v>
      </c>
      <c r="R67">
        <v>9.9313830283628106E-3</v>
      </c>
      <c r="S67">
        <v>0.11287673335887</v>
      </c>
      <c r="T67">
        <v>-1.5514482042748801</v>
      </c>
      <c r="U67">
        <v>1.5514482042748801</v>
      </c>
      <c r="V67">
        <v>-6.18</v>
      </c>
      <c r="W67">
        <v>1.23</v>
      </c>
      <c r="X67">
        <v>179261</v>
      </c>
      <c r="Y67">
        <v>9435</v>
      </c>
      <c r="Z67">
        <v>0.45</v>
      </c>
      <c r="AA67">
        <v>19</v>
      </c>
      <c r="AB67">
        <v>11</v>
      </c>
      <c r="AC67">
        <v>8</v>
      </c>
      <c r="AD67">
        <v>57.89</v>
      </c>
      <c r="AE67">
        <v>15</v>
      </c>
      <c r="AF67">
        <v>6</v>
      </c>
      <c r="AG67">
        <v>2</v>
      </c>
      <c r="AH67">
        <v>11</v>
      </c>
    </row>
    <row r="68" spans="1:34">
      <c r="A68" s="110">
        <v>54</v>
      </c>
      <c r="B68">
        <v>3635</v>
      </c>
      <c r="C68" s="114" t="s">
        <v>111</v>
      </c>
      <c r="D68" s="114" t="s">
        <v>105</v>
      </c>
      <c r="E68">
        <v>2649</v>
      </c>
      <c r="F68">
        <v>2646</v>
      </c>
      <c r="G68">
        <v>400</v>
      </c>
      <c r="H68" s="114" t="s">
        <v>85</v>
      </c>
      <c r="I68">
        <v>4519</v>
      </c>
      <c r="J68" s="114" t="s">
        <v>1010</v>
      </c>
      <c r="K68" s="114" t="s">
        <v>165</v>
      </c>
      <c r="L68">
        <v>9800</v>
      </c>
      <c r="M68">
        <v>9857</v>
      </c>
      <c r="N68">
        <v>100</v>
      </c>
      <c r="O68" s="114" t="s">
        <v>87</v>
      </c>
      <c r="P68">
        <v>0.961452550642663</v>
      </c>
      <c r="Q68">
        <v>0.93012828689357696</v>
      </c>
      <c r="R68">
        <v>4.6113489015676499E-3</v>
      </c>
      <c r="S68">
        <v>7.8329817830641496E-2</v>
      </c>
      <c r="T68">
        <v>-1.4684886901490399</v>
      </c>
      <c r="U68">
        <v>1.4684886901490399</v>
      </c>
      <c r="V68">
        <v>-4.87</v>
      </c>
      <c r="W68">
        <v>7.38</v>
      </c>
      <c r="X68">
        <v>177510</v>
      </c>
      <c r="Y68">
        <v>12679</v>
      </c>
      <c r="Z68">
        <v>1.08</v>
      </c>
      <c r="AA68">
        <v>14</v>
      </c>
      <c r="AB68">
        <v>8</v>
      </c>
      <c r="AC68">
        <v>6</v>
      </c>
      <c r="AD68">
        <v>57.14</v>
      </c>
      <c r="AE68">
        <v>11</v>
      </c>
      <c r="AF68">
        <v>8</v>
      </c>
      <c r="AG68">
        <v>2</v>
      </c>
      <c r="AH68">
        <v>4</v>
      </c>
    </row>
    <row r="69" spans="1:34">
      <c r="A69" s="110">
        <v>5</v>
      </c>
      <c r="B69">
        <v>8425</v>
      </c>
      <c r="C69" s="114" t="s">
        <v>364</v>
      </c>
      <c r="D69" s="114" t="s">
        <v>340</v>
      </c>
      <c r="E69">
        <v>3270</v>
      </c>
      <c r="F69">
        <v>3255</v>
      </c>
      <c r="G69">
        <v>300</v>
      </c>
      <c r="H69" s="114" t="s">
        <v>87</v>
      </c>
      <c r="I69">
        <v>8593</v>
      </c>
      <c r="J69" s="114" t="s">
        <v>355</v>
      </c>
      <c r="K69" s="114" t="s">
        <v>340</v>
      </c>
      <c r="L69">
        <v>696</v>
      </c>
      <c r="M69">
        <v>702</v>
      </c>
      <c r="N69">
        <v>1400</v>
      </c>
      <c r="O69" s="114" t="s">
        <v>85</v>
      </c>
      <c r="P69">
        <v>0.93393620713145198</v>
      </c>
      <c r="Q69">
        <v>0.95684862264788795</v>
      </c>
      <c r="R69" s="114">
        <v>1.39003666722294E-2</v>
      </c>
      <c r="S69" s="114">
        <v>2.4929700136438102E-3</v>
      </c>
      <c r="T69">
        <v>0.462029865537472</v>
      </c>
      <c r="U69">
        <v>0.462029865537472</v>
      </c>
      <c r="V69">
        <v>0.74</v>
      </c>
      <c r="W69">
        <v>0.65</v>
      </c>
      <c r="X69">
        <v>175709</v>
      </c>
      <c r="Y69">
        <v>12551</v>
      </c>
      <c r="Z69">
        <v>0.59</v>
      </c>
      <c r="AA69">
        <v>14</v>
      </c>
      <c r="AB69">
        <v>9</v>
      </c>
      <c r="AC69">
        <v>5</v>
      </c>
      <c r="AD69">
        <v>64.290000000000006</v>
      </c>
      <c r="AE69">
        <v>13</v>
      </c>
      <c r="AF69">
        <v>6</v>
      </c>
      <c r="AG69">
        <v>3</v>
      </c>
      <c r="AH69">
        <v>5</v>
      </c>
    </row>
    <row r="70" spans="1:34">
      <c r="A70" s="110">
        <v>51</v>
      </c>
      <c r="B70">
        <v>3635</v>
      </c>
      <c r="C70" s="114" t="s">
        <v>111</v>
      </c>
      <c r="D70" s="114" t="s">
        <v>105</v>
      </c>
      <c r="E70">
        <v>2649</v>
      </c>
      <c r="F70">
        <v>2646</v>
      </c>
      <c r="G70">
        <v>300</v>
      </c>
      <c r="H70" s="114" t="s">
        <v>87</v>
      </c>
      <c r="I70">
        <v>4613</v>
      </c>
      <c r="J70" s="114" t="s">
        <v>365</v>
      </c>
      <c r="K70" s="114" t="s">
        <v>86</v>
      </c>
      <c r="L70">
        <v>2769</v>
      </c>
      <c r="M70">
        <v>2788</v>
      </c>
      <c r="N70">
        <v>300</v>
      </c>
      <c r="O70" s="114" t="s">
        <v>85</v>
      </c>
      <c r="P70">
        <v>0.91461868179444605</v>
      </c>
      <c r="Q70">
        <v>0.93124122325811998</v>
      </c>
      <c r="R70" s="114">
        <v>8.8010373446571505E-2</v>
      </c>
      <c r="S70">
        <v>4.3249093436172899E-2</v>
      </c>
      <c r="T70">
        <v>1.12481704126171E-2</v>
      </c>
      <c r="U70">
        <v>1.12481704126171E-2</v>
      </c>
      <c r="V70">
        <v>0.04</v>
      </c>
      <c r="W70">
        <v>5.09</v>
      </c>
      <c r="X70">
        <v>175233</v>
      </c>
      <c r="Y70">
        <v>13479</v>
      </c>
      <c r="Z70">
        <v>0.8</v>
      </c>
      <c r="AA70">
        <v>13</v>
      </c>
      <c r="AB70">
        <v>9</v>
      </c>
      <c r="AC70">
        <v>4</v>
      </c>
      <c r="AD70">
        <v>69.23</v>
      </c>
      <c r="AE70">
        <v>13</v>
      </c>
      <c r="AF70">
        <v>5</v>
      </c>
      <c r="AG70">
        <v>2</v>
      </c>
      <c r="AH70">
        <v>6</v>
      </c>
    </row>
    <row r="71" spans="1:34">
      <c r="A71" s="110">
        <v>60</v>
      </c>
      <c r="B71">
        <v>5991</v>
      </c>
      <c r="C71" s="114" t="s">
        <v>142</v>
      </c>
      <c r="D71" s="114" t="s">
        <v>143</v>
      </c>
      <c r="E71">
        <v>994</v>
      </c>
      <c r="F71">
        <v>1004</v>
      </c>
      <c r="G71">
        <v>800</v>
      </c>
      <c r="H71" s="114" t="s">
        <v>87</v>
      </c>
      <c r="I71">
        <v>7259</v>
      </c>
      <c r="J71" s="114" t="s">
        <v>53</v>
      </c>
      <c r="K71" s="114" t="s">
        <v>110</v>
      </c>
      <c r="L71">
        <v>4145</v>
      </c>
      <c r="M71">
        <v>4205</v>
      </c>
      <c r="N71">
        <v>200</v>
      </c>
      <c r="O71" s="114" t="s">
        <v>85</v>
      </c>
      <c r="P71">
        <v>0.92165061890452504</v>
      </c>
      <c r="Q71">
        <v>0.92894898090327804</v>
      </c>
      <c r="R71">
        <v>0.14079546235837501</v>
      </c>
      <c r="S71">
        <v>9.9454747113228298E-3</v>
      </c>
      <c r="T71">
        <v>0.60610378634192097</v>
      </c>
      <c r="U71">
        <v>0.60610378634192097</v>
      </c>
      <c r="V71">
        <v>2.0699999999999998</v>
      </c>
      <c r="W71">
        <v>4.49</v>
      </c>
      <c r="X71">
        <v>175024</v>
      </c>
      <c r="Y71">
        <v>11668</v>
      </c>
      <c r="Z71">
        <v>0.81</v>
      </c>
      <c r="AA71">
        <v>15</v>
      </c>
      <c r="AB71">
        <v>9</v>
      </c>
      <c r="AC71">
        <v>6</v>
      </c>
      <c r="AD71">
        <v>60</v>
      </c>
      <c r="AE71">
        <v>10</v>
      </c>
      <c r="AF71">
        <v>8</v>
      </c>
      <c r="AG71">
        <v>3</v>
      </c>
      <c r="AH71">
        <v>4</v>
      </c>
    </row>
    <row r="72" spans="1:34">
      <c r="A72" s="110">
        <v>19</v>
      </c>
      <c r="B72">
        <v>5901</v>
      </c>
      <c r="C72" s="114" t="s">
        <v>367</v>
      </c>
      <c r="D72" s="114" t="s">
        <v>143</v>
      </c>
      <c r="E72">
        <v>1905</v>
      </c>
      <c r="F72">
        <v>1932</v>
      </c>
      <c r="G72">
        <v>500</v>
      </c>
      <c r="H72" s="114" t="s">
        <v>87</v>
      </c>
      <c r="I72">
        <v>8377</v>
      </c>
      <c r="J72" s="114" t="s">
        <v>121</v>
      </c>
      <c r="K72" s="114" t="s">
        <v>108</v>
      </c>
      <c r="L72">
        <v>1133</v>
      </c>
      <c r="M72">
        <v>1129</v>
      </c>
      <c r="N72">
        <v>900</v>
      </c>
      <c r="O72" s="114" t="s">
        <v>85</v>
      </c>
      <c r="P72">
        <v>0.92873171346262795</v>
      </c>
      <c r="Q72">
        <v>0.94563093104630902</v>
      </c>
      <c r="R72">
        <v>9.0268744351038599E-2</v>
      </c>
      <c r="S72" s="20">
        <v>1.8246144960180601E-2</v>
      </c>
      <c r="T72">
        <v>1.1748817052379099</v>
      </c>
      <c r="U72">
        <v>1.1748817052379099</v>
      </c>
      <c r="V72">
        <v>3.4</v>
      </c>
      <c r="W72">
        <v>5.19</v>
      </c>
      <c r="X72">
        <v>160862</v>
      </c>
      <c r="Y72">
        <v>7312</v>
      </c>
      <c r="Z72">
        <v>0.31</v>
      </c>
      <c r="AA72">
        <v>22</v>
      </c>
      <c r="AB72">
        <v>14</v>
      </c>
      <c r="AC72">
        <v>8</v>
      </c>
      <c r="AD72">
        <v>63.64</v>
      </c>
      <c r="AE72">
        <v>14</v>
      </c>
      <c r="AF72">
        <v>9</v>
      </c>
      <c r="AG72">
        <v>6</v>
      </c>
      <c r="AH72">
        <v>7</v>
      </c>
    </row>
    <row r="73" spans="1:34">
      <c r="A73" s="110">
        <v>135</v>
      </c>
      <c r="B73">
        <v>1820</v>
      </c>
      <c r="C73" s="114" t="s">
        <v>149</v>
      </c>
      <c r="D73" s="114" t="s">
        <v>103</v>
      </c>
      <c r="E73">
        <v>2453</v>
      </c>
      <c r="F73">
        <v>2488</v>
      </c>
      <c r="G73">
        <v>400</v>
      </c>
      <c r="H73" s="114" t="s">
        <v>87</v>
      </c>
      <c r="I73">
        <v>9072</v>
      </c>
      <c r="J73" s="114" t="s">
        <v>155</v>
      </c>
      <c r="K73" s="114" t="s">
        <v>146</v>
      </c>
      <c r="L73">
        <v>2725</v>
      </c>
      <c r="M73">
        <v>2730</v>
      </c>
      <c r="N73">
        <v>400</v>
      </c>
      <c r="O73" s="114" t="s">
        <v>85</v>
      </c>
      <c r="P73">
        <v>0.96380648795721302</v>
      </c>
      <c r="Q73">
        <v>0.90762817535303097</v>
      </c>
      <c r="R73">
        <v>2.4246636028163099E-2</v>
      </c>
      <c r="S73">
        <v>2.7040587113211501E-3</v>
      </c>
      <c r="T73">
        <v>2.0942131711167198</v>
      </c>
      <c r="U73">
        <v>2.0942131711167198</v>
      </c>
      <c r="V73">
        <v>8.99</v>
      </c>
      <c r="W73">
        <v>8.86</v>
      </c>
      <c r="X73">
        <v>153180</v>
      </c>
      <c r="Y73">
        <v>11783</v>
      </c>
      <c r="Z73">
        <v>0.63</v>
      </c>
      <c r="AA73">
        <v>13</v>
      </c>
      <c r="AB73">
        <v>7</v>
      </c>
      <c r="AC73">
        <v>6</v>
      </c>
      <c r="AD73">
        <v>53.85</v>
      </c>
      <c r="AE73">
        <v>16</v>
      </c>
      <c r="AF73">
        <v>5</v>
      </c>
      <c r="AG73">
        <v>1</v>
      </c>
      <c r="AH73">
        <v>7</v>
      </c>
    </row>
    <row r="74" spans="1:34">
      <c r="A74" s="110">
        <v>36</v>
      </c>
      <c r="B74">
        <v>4182</v>
      </c>
      <c r="C74" s="114" t="s">
        <v>114</v>
      </c>
      <c r="D74" s="114" t="s">
        <v>86</v>
      </c>
      <c r="E74">
        <v>1681</v>
      </c>
      <c r="F74">
        <v>1674</v>
      </c>
      <c r="G74">
        <v>600</v>
      </c>
      <c r="H74" s="114" t="s">
        <v>85</v>
      </c>
      <c r="I74">
        <v>6752</v>
      </c>
      <c r="J74" s="114" t="s">
        <v>132</v>
      </c>
      <c r="K74" s="114" t="s">
        <v>113</v>
      </c>
      <c r="L74">
        <v>1040</v>
      </c>
      <c r="M74">
        <v>1044.5</v>
      </c>
      <c r="N74">
        <v>1000</v>
      </c>
      <c r="O74" s="114" t="s">
        <v>87</v>
      </c>
      <c r="P74">
        <v>0.93728603595855298</v>
      </c>
      <c r="Q74">
        <v>0.93787499566266197</v>
      </c>
      <c r="R74">
        <v>0.144083163509339</v>
      </c>
      <c r="S74" s="20">
        <v>0.36032177754449701</v>
      </c>
      <c r="T74">
        <v>-0.18201506646440399</v>
      </c>
      <c r="U74">
        <v>0.18201506646440399</v>
      </c>
      <c r="V74">
        <v>-0.72</v>
      </c>
      <c r="W74">
        <v>3.99</v>
      </c>
      <c r="X74">
        <v>145761</v>
      </c>
      <c r="Y74">
        <v>8098</v>
      </c>
      <c r="Z74">
        <v>0.37</v>
      </c>
      <c r="AA74">
        <v>18</v>
      </c>
      <c r="AB74">
        <v>12</v>
      </c>
      <c r="AC74">
        <v>6</v>
      </c>
      <c r="AD74">
        <v>66.67</v>
      </c>
      <c r="AE74">
        <v>13</v>
      </c>
      <c r="AF74">
        <v>7</v>
      </c>
      <c r="AG74">
        <v>4</v>
      </c>
      <c r="AH74">
        <v>7</v>
      </c>
    </row>
    <row r="75" spans="1:34">
      <c r="A75" s="110">
        <v>122</v>
      </c>
      <c r="B75">
        <v>3116</v>
      </c>
      <c r="C75" s="114" t="s">
        <v>154</v>
      </c>
      <c r="D75" s="114" t="s">
        <v>110</v>
      </c>
      <c r="E75">
        <v>1730</v>
      </c>
      <c r="F75">
        <v>1729</v>
      </c>
      <c r="G75">
        <v>400</v>
      </c>
      <c r="H75" s="114" t="s">
        <v>87</v>
      </c>
      <c r="I75">
        <v>6988</v>
      </c>
      <c r="J75" s="114" t="s">
        <v>168</v>
      </c>
      <c r="K75" s="114" t="s">
        <v>86</v>
      </c>
      <c r="L75">
        <v>6120</v>
      </c>
      <c r="M75">
        <v>6170</v>
      </c>
      <c r="N75">
        <v>100</v>
      </c>
      <c r="O75" s="114" t="s">
        <v>85</v>
      </c>
      <c r="P75">
        <v>0.93545970819660396</v>
      </c>
      <c r="Q75">
        <v>0.90960293351629995</v>
      </c>
      <c r="R75">
        <v>0.31578695247873001</v>
      </c>
      <c r="S75" s="114">
        <v>0.28885775636048899</v>
      </c>
      <c r="T75">
        <v>4.0537067610774698E-2</v>
      </c>
      <c r="U75">
        <v>4.0537067610774698E-2</v>
      </c>
      <c r="V75">
        <v>0.11</v>
      </c>
      <c r="W75">
        <v>12.09</v>
      </c>
      <c r="X75">
        <v>135364</v>
      </c>
      <c r="Y75">
        <v>13536</v>
      </c>
      <c r="Z75">
        <v>1.01</v>
      </c>
      <c r="AA75">
        <v>10</v>
      </c>
      <c r="AB75">
        <v>8</v>
      </c>
      <c r="AC75">
        <v>2</v>
      </c>
      <c r="AD75">
        <v>80</v>
      </c>
      <c r="AE75">
        <v>12</v>
      </c>
      <c r="AF75">
        <v>6</v>
      </c>
      <c r="AG75">
        <v>1</v>
      </c>
      <c r="AH75">
        <v>3</v>
      </c>
    </row>
    <row r="76" spans="1:34">
      <c r="A76" s="110">
        <v>86</v>
      </c>
      <c r="B76">
        <v>6952</v>
      </c>
      <c r="C76" s="114" t="s">
        <v>1013</v>
      </c>
      <c r="D76" s="114" t="s">
        <v>113</v>
      </c>
      <c r="E76">
        <v>2102</v>
      </c>
      <c r="F76">
        <v>2107</v>
      </c>
      <c r="G76">
        <v>500</v>
      </c>
      <c r="H76" s="114" t="s">
        <v>87</v>
      </c>
      <c r="I76">
        <v>8604</v>
      </c>
      <c r="J76" s="114" t="s">
        <v>1014</v>
      </c>
      <c r="K76" s="114" t="s">
        <v>1015</v>
      </c>
      <c r="L76">
        <v>552</v>
      </c>
      <c r="M76">
        <v>555</v>
      </c>
      <c r="N76">
        <v>1900</v>
      </c>
      <c r="O76" s="114" t="s">
        <v>85</v>
      </c>
      <c r="P76">
        <v>0.95474594871549801</v>
      </c>
      <c r="Q76">
        <v>0.91889320586608902</v>
      </c>
      <c r="R76">
        <v>2.4019682313074001E-2</v>
      </c>
      <c r="S76">
        <v>0.142649090379457</v>
      </c>
      <c r="T76">
        <v>1.6250485191188999</v>
      </c>
      <c r="U76">
        <v>1.6250485191188999</v>
      </c>
      <c r="V76">
        <v>5.68</v>
      </c>
      <c r="W76">
        <v>0.09</v>
      </c>
      <c r="X76">
        <v>134282</v>
      </c>
      <c r="Y76">
        <v>7899</v>
      </c>
      <c r="Z76">
        <v>0.39</v>
      </c>
      <c r="AA76">
        <v>17</v>
      </c>
      <c r="AB76">
        <v>10</v>
      </c>
      <c r="AC76">
        <v>7</v>
      </c>
      <c r="AD76">
        <v>58.82</v>
      </c>
      <c r="AE76">
        <v>13</v>
      </c>
      <c r="AF76">
        <v>4</v>
      </c>
      <c r="AG76">
        <v>3</v>
      </c>
      <c r="AH76">
        <v>10</v>
      </c>
    </row>
    <row r="77" spans="1:34">
      <c r="A77" s="110">
        <v>126</v>
      </c>
      <c r="B77">
        <v>4208</v>
      </c>
      <c r="C77" s="114" t="s">
        <v>125</v>
      </c>
      <c r="D77" s="114" t="s">
        <v>86</v>
      </c>
      <c r="E77">
        <v>2369</v>
      </c>
      <c r="F77">
        <v>2369</v>
      </c>
      <c r="G77">
        <v>500</v>
      </c>
      <c r="H77" s="114" t="s">
        <v>85</v>
      </c>
      <c r="I77">
        <v>9072</v>
      </c>
      <c r="J77" s="114" t="s">
        <v>155</v>
      </c>
      <c r="K77" s="114" t="s">
        <v>146</v>
      </c>
      <c r="L77">
        <v>2725</v>
      </c>
      <c r="M77">
        <v>2730</v>
      </c>
      <c r="N77">
        <v>400</v>
      </c>
      <c r="O77" s="114" t="s">
        <v>87</v>
      </c>
      <c r="P77">
        <v>0.92251888477846899</v>
      </c>
      <c r="Q77">
        <v>0.90893271277126197</v>
      </c>
      <c r="R77">
        <v>1.23543258646246E-2</v>
      </c>
      <c r="S77" s="20">
        <v>2.1456207206646399E-2</v>
      </c>
      <c r="T77">
        <v>-0.177268003220939</v>
      </c>
      <c r="U77">
        <v>0.177268003220939</v>
      </c>
      <c r="V77">
        <v>-0.34</v>
      </c>
      <c r="W77">
        <v>8.4700000000000006</v>
      </c>
      <c r="X77">
        <v>126426</v>
      </c>
      <c r="Y77">
        <v>11493</v>
      </c>
      <c r="Z77">
        <v>0.65</v>
      </c>
      <c r="AA77">
        <v>11</v>
      </c>
      <c r="AB77">
        <v>7</v>
      </c>
      <c r="AC77">
        <v>4</v>
      </c>
      <c r="AD77">
        <v>63.64</v>
      </c>
      <c r="AE77">
        <v>14</v>
      </c>
      <c r="AF77">
        <v>5</v>
      </c>
      <c r="AG77">
        <v>1</v>
      </c>
      <c r="AH77">
        <v>5</v>
      </c>
    </row>
    <row r="78" spans="1:34">
      <c r="A78" s="110">
        <v>153</v>
      </c>
      <c r="B78">
        <v>1860</v>
      </c>
      <c r="C78" s="114" t="s">
        <v>138</v>
      </c>
      <c r="D78" s="114" t="s">
        <v>103</v>
      </c>
      <c r="E78">
        <v>693</v>
      </c>
      <c r="F78">
        <v>707</v>
      </c>
      <c r="G78">
        <v>1400</v>
      </c>
      <c r="H78" s="114" t="s">
        <v>87</v>
      </c>
      <c r="I78">
        <v>5110</v>
      </c>
      <c r="J78" s="114" t="s">
        <v>157</v>
      </c>
      <c r="K78" s="114" t="s">
        <v>158</v>
      </c>
      <c r="L78">
        <v>1394</v>
      </c>
      <c r="M78">
        <v>1406</v>
      </c>
      <c r="N78">
        <v>700</v>
      </c>
      <c r="O78" s="114" t="s">
        <v>85</v>
      </c>
      <c r="P78">
        <v>0.94576409463719502</v>
      </c>
      <c r="Q78">
        <v>0.901895631044205</v>
      </c>
      <c r="R78">
        <v>2.00746971796123E-2</v>
      </c>
      <c r="S78" s="114">
        <v>7.8096586386658196E-3</v>
      </c>
      <c r="T78">
        <v>2.2159708834197902</v>
      </c>
      <c r="U78">
        <v>2.2159708834197902</v>
      </c>
      <c r="V78">
        <v>3.56</v>
      </c>
      <c r="W78">
        <v>0.56999999999999995</v>
      </c>
      <c r="X78">
        <v>117025</v>
      </c>
      <c r="Y78">
        <v>7314</v>
      </c>
      <c r="Z78">
        <v>0.32</v>
      </c>
      <c r="AA78">
        <v>16</v>
      </c>
      <c r="AB78">
        <v>9</v>
      </c>
      <c r="AC78">
        <v>7</v>
      </c>
      <c r="AD78">
        <v>56.25</v>
      </c>
      <c r="AE78">
        <v>12</v>
      </c>
      <c r="AF78">
        <v>6</v>
      </c>
      <c r="AG78">
        <v>4</v>
      </c>
      <c r="AH78">
        <v>6</v>
      </c>
    </row>
    <row r="79" spans="1:34">
      <c r="A79" s="110">
        <v>102</v>
      </c>
      <c r="B79">
        <v>3116</v>
      </c>
      <c r="C79" s="114" t="s">
        <v>154</v>
      </c>
      <c r="D79" s="114" t="s">
        <v>110</v>
      </c>
      <c r="E79">
        <v>1730</v>
      </c>
      <c r="F79">
        <v>1729</v>
      </c>
      <c r="G79">
        <v>400</v>
      </c>
      <c r="H79" s="114" t="s">
        <v>87</v>
      </c>
      <c r="I79">
        <v>6371</v>
      </c>
      <c r="J79" s="114" t="s">
        <v>135</v>
      </c>
      <c r="K79" s="114" t="s">
        <v>126</v>
      </c>
      <c r="L79">
        <v>3865</v>
      </c>
      <c r="M79">
        <v>3875</v>
      </c>
      <c r="N79">
        <v>200</v>
      </c>
      <c r="O79" s="114" t="s">
        <v>85</v>
      </c>
      <c r="P79">
        <v>0.93152584853862697</v>
      </c>
      <c r="Q79">
        <v>0.91524496549044299</v>
      </c>
      <c r="R79" s="114">
        <v>0.31859413168878198</v>
      </c>
      <c r="S79">
        <v>1.31385170221501E-2</v>
      </c>
      <c r="T79">
        <v>0.68565117243506501</v>
      </c>
      <c r="U79">
        <v>0.68565117243506501</v>
      </c>
      <c r="V79">
        <v>1.43</v>
      </c>
      <c r="W79">
        <v>10.76</v>
      </c>
      <c r="X79">
        <v>116971</v>
      </c>
      <c r="Y79">
        <v>7798</v>
      </c>
      <c r="Z79">
        <v>0.42</v>
      </c>
      <c r="AA79">
        <v>15</v>
      </c>
      <c r="AB79">
        <v>8</v>
      </c>
      <c r="AC79">
        <v>7</v>
      </c>
      <c r="AD79">
        <v>53.33</v>
      </c>
      <c r="AE79">
        <v>12</v>
      </c>
      <c r="AF79">
        <v>6</v>
      </c>
      <c r="AG79">
        <v>3</v>
      </c>
      <c r="AH79">
        <v>6</v>
      </c>
    </row>
    <row r="80" spans="1:34">
      <c r="A80" s="110">
        <v>111</v>
      </c>
      <c r="B80">
        <v>5471</v>
      </c>
      <c r="C80" s="114" t="s">
        <v>347</v>
      </c>
      <c r="D80" s="114" t="s">
        <v>119</v>
      </c>
      <c r="E80">
        <v>4900</v>
      </c>
      <c r="F80">
        <v>4945</v>
      </c>
      <c r="G80">
        <v>100</v>
      </c>
      <c r="H80" s="114" t="s">
        <v>85</v>
      </c>
      <c r="I80">
        <v>6988</v>
      </c>
      <c r="J80" s="114" t="s">
        <v>168</v>
      </c>
      <c r="K80" s="114" t="s">
        <v>86</v>
      </c>
      <c r="L80">
        <v>6120</v>
      </c>
      <c r="M80">
        <v>6170</v>
      </c>
      <c r="N80">
        <v>100</v>
      </c>
      <c r="O80" s="114" t="s">
        <v>87</v>
      </c>
      <c r="P80">
        <v>0.94690447650112397</v>
      </c>
      <c r="Q80">
        <v>0.91327089619428103</v>
      </c>
      <c r="R80">
        <v>4.96713732783165E-2</v>
      </c>
      <c r="S80">
        <v>9.4429645204082997E-3</v>
      </c>
      <c r="T80">
        <v>-0.34218144802634198</v>
      </c>
      <c r="U80">
        <v>0.34218144802634198</v>
      </c>
      <c r="V80">
        <v>-0.88</v>
      </c>
      <c r="W80">
        <v>19.850000000000001</v>
      </c>
      <c r="X80">
        <v>114186</v>
      </c>
      <c r="Y80">
        <v>114186</v>
      </c>
      <c r="Z80">
        <v>5.01</v>
      </c>
      <c r="AA80">
        <v>1</v>
      </c>
      <c r="AB80">
        <v>1</v>
      </c>
      <c r="AC80">
        <v>0</v>
      </c>
      <c r="AD80">
        <v>100</v>
      </c>
      <c r="AE80">
        <v>2</v>
      </c>
      <c r="AF80">
        <v>1</v>
      </c>
      <c r="AG80">
        <v>0</v>
      </c>
      <c r="AH80">
        <v>0</v>
      </c>
    </row>
    <row r="81" spans="1:34">
      <c r="A81" s="110">
        <v>147</v>
      </c>
      <c r="B81">
        <v>3105</v>
      </c>
      <c r="C81" s="114" t="s">
        <v>117</v>
      </c>
      <c r="D81" s="114" t="s">
        <v>113</v>
      </c>
      <c r="E81">
        <v>1027</v>
      </c>
      <c r="F81">
        <v>1033</v>
      </c>
      <c r="G81">
        <v>1000</v>
      </c>
      <c r="H81" s="114" t="s">
        <v>87</v>
      </c>
      <c r="I81">
        <v>7762</v>
      </c>
      <c r="J81" s="114" t="s">
        <v>134</v>
      </c>
      <c r="K81" s="114" t="s">
        <v>120</v>
      </c>
      <c r="L81">
        <v>602</v>
      </c>
      <c r="M81">
        <v>600</v>
      </c>
      <c r="N81">
        <v>1700</v>
      </c>
      <c r="O81" s="114" t="s">
        <v>85</v>
      </c>
      <c r="P81">
        <v>0.92931848337447298</v>
      </c>
      <c r="Q81">
        <v>0.90377730900064601</v>
      </c>
      <c r="R81" s="114">
        <v>4.71251702228489E-2</v>
      </c>
      <c r="S81" s="20">
        <v>1.3243447022995699E-2</v>
      </c>
      <c r="T81">
        <v>2.8805299246539202</v>
      </c>
      <c r="U81">
        <v>2.8805299246539202</v>
      </c>
      <c r="V81">
        <v>6.96</v>
      </c>
      <c r="W81">
        <v>1.26</v>
      </c>
      <c r="X81">
        <v>113398</v>
      </c>
      <c r="Y81">
        <v>8100</v>
      </c>
      <c r="Z81">
        <v>0.36</v>
      </c>
      <c r="AA81">
        <v>14</v>
      </c>
      <c r="AB81">
        <v>5</v>
      </c>
      <c r="AC81">
        <v>9</v>
      </c>
      <c r="AD81">
        <v>35.71</v>
      </c>
      <c r="AE81">
        <v>12</v>
      </c>
      <c r="AF81">
        <v>5</v>
      </c>
      <c r="AG81">
        <v>3</v>
      </c>
      <c r="AH81">
        <v>6</v>
      </c>
    </row>
    <row r="82" spans="1:34">
      <c r="A82" s="110">
        <v>92</v>
      </c>
      <c r="B82">
        <v>5802</v>
      </c>
      <c r="C82" s="114" t="s">
        <v>160</v>
      </c>
      <c r="D82" s="114" t="s">
        <v>161</v>
      </c>
      <c r="E82">
        <v>1658.5</v>
      </c>
      <c r="F82">
        <v>1662</v>
      </c>
      <c r="G82">
        <v>700</v>
      </c>
      <c r="H82" s="114" t="s">
        <v>87</v>
      </c>
      <c r="I82">
        <v>9072</v>
      </c>
      <c r="J82" s="114" t="s">
        <v>155</v>
      </c>
      <c r="K82" s="114" t="s">
        <v>146</v>
      </c>
      <c r="L82">
        <v>2725</v>
      </c>
      <c r="M82">
        <v>2730</v>
      </c>
      <c r="N82">
        <v>400</v>
      </c>
      <c r="O82" s="114" t="s">
        <v>85</v>
      </c>
      <c r="P82">
        <v>0.93385686641295695</v>
      </c>
      <c r="Q82">
        <v>0.91805006258102095</v>
      </c>
      <c r="R82">
        <v>3.5035648999836397E-2</v>
      </c>
      <c r="S82" s="20">
        <v>1.1070059174783301E-4</v>
      </c>
      <c r="T82" s="20">
        <v>2.0950601170247198</v>
      </c>
      <c r="U82" s="20">
        <v>2.0950601170247198</v>
      </c>
      <c r="V82">
        <v>8.64</v>
      </c>
      <c r="W82">
        <v>6.54</v>
      </c>
      <c r="X82">
        <v>111309</v>
      </c>
      <c r="Y82">
        <v>5565</v>
      </c>
      <c r="Z82">
        <v>0.26</v>
      </c>
      <c r="AA82">
        <v>20</v>
      </c>
      <c r="AB82">
        <v>12</v>
      </c>
      <c r="AC82">
        <v>8</v>
      </c>
      <c r="AD82">
        <v>60</v>
      </c>
      <c r="AE82">
        <v>15</v>
      </c>
      <c r="AF82">
        <v>6</v>
      </c>
      <c r="AG82">
        <v>2</v>
      </c>
      <c r="AH82">
        <v>12</v>
      </c>
    </row>
    <row r="83" spans="1:34">
      <c r="A83" s="110">
        <v>0</v>
      </c>
      <c r="B83">
        <v>6702</v>
      </c>
      <c r="C83" s="114" t="s">
        <v>384</v>
      </c>
      <c r="D83" s="114" t="s">
        <v>113</v>
      </c>
      <c r="E83">
        <v>10290</v>
      </c>
      <c r="F83">
        <v>10195</v>
      </c>
      <c r="G83">
        <v>100</v>
      </c>
      <c r="H83" s="114" t="s">
        <v>85</v>
      </c>
      <c r="I83">
        <v>6920</v>
      </c>
      <c r="J83" s="114" t="s">
        <v>112</v>
      </c>
      <c r="K83" s="114" t="s">
        <v>113</v>
      </c>
      <c r="L83">
        <v>9850</v>
      </c>
      <c r="M83">
        <v>9850</v>
      </c>
      <c r="N83">
        <v>100</v>
      </c>
      <c r="O83" s="114" t="s">
        <v>87</v>
      </c>
      <c r="P83">
        <v>0.91790122094240001</v>
      </c>
      <c r="Q83">
        <v>0.96985249272683505</v>
      </c>
      <c r="R83" s="20">
        <v>0.158201169102058</v>
      </c>
      <c r="S83">
        <v>2.7452156868230102E-4</v>
      </c>
      <c r="T83">
        <v>-1.6944571497540699</v>
      </c>
      <c r="U83">
        <v>1.6944571497540699</v>
      </c>
      <c r="V83">
        <v>-18.13</v>
      </c>
      <c r="W83">
        <v>3.38</v>
      </c>
      <c r="X83">
        <v>111057</v>
      </c>
      <c r="Y83">
        <v>11106</v>
      </c>
      <c r="Z83">
        <v>0.64</v>
      </c>
      <c r="AA83">
        <v>10</v>
      </c>
      <c r="AB83">
        <v>5</v>
      </c>
      <c r="AC83">
        <v>5</v>
      </c>
      <c r="AD83">
        <v>50</v>
      </c>
      <c r="AE83">
        <v>7</v>
      </c>
      <c r="AF83">
        <v>5</v>
      </c>
      <c r="AG83">
        <v>4</v>
      </c>
      <c r="AH83">
        <v>1</v>
      </c>
    </row>
    <row r="84" spans="1:34">
      <c r="A84" s="110">
        <v>22</v>
      </c>
      <c r="B84">
        <v>6925</v>
      </c>
      <c r="C84" s="114" t="s">
        <v>357</v>
      </c>
      <c r="D84" s="114" t="s">
        <v>113</v>
      </c>
      <c r="E84">
        <v>1653</v>
      </c>
      <c r="F84">
        <v>1669</v>
      </c>
      <c r="G84">
        <v>600</v>
      </c>
      <c r="H84" s="114" t="s">
        <v>85</v>
      </c>
      <c r="I84">
        <v>6951</v>
      </c>
      <c r="J84" s="114" t="s">
        <v>370</v>
      </c>
      <c r="K84" s="114" t="s">
        <v>113</v>
      </c>
      <c r="L84">
        <v>3120</v>
      </c>
      <c r="M84">
        <v>3100</v>
      </c>
      <c r="N84">
        <v>300</v>
      </c>
      <c r="O84" s="114" t="s">
        <v>87</v>
      </c>
      <c r="P84">
        <v>0.93527809034091702</v>
      </c>
      <c r="Q84">
        <v>0.94354846743877396</v>
      </c>
      <c r="R84">
        <v>3.3995024370077703E-2</v>
      </c>
      <c r="S84" s="114">
        <v>8.5068641428606602E-3</v>
      </c>
      <c r="T84">
        <v>-1.4289152892696</v>
      </c>
      <c r="U84">
        <v>1.4289152892696</v>
      </c>
      <c r="V84">
        <v>-6.24</v>
      </c>
      <c r="W84">
        <v>7.68</v>
      </c>
      <c r="X84">
        <v>110041</v>
      </c>
      <c r="Y84">
        <v>6113</v>
      </c>
      <c r="Z84">
        <v>0.33</v>
      </c>
      <c r="AA84">
        <v>18</v>
      </c>
      <c r="AB84">
        <v>11</v>
      </c>
      <c r="AC84">
        <v>7</v>
      </c>
      <c r="AD84">
        <v>61.11</v>
      </c>
      <c r="AE84">
        <v>10</v>
      </c>
      <c r="AF84">
        <v>7</v>
      </c>
      <c r="AG84">
        <v>6</v>
      </c>
      <c r="AH84">
        <v>5</v>
      </c>
    </row>
    <row r="85" spans="1:34">
      <c r="A85" s="110">
        <v>83</v>
      </c>
      <c r="B85">
        <v>2175</v>
      </c>
      <c r="C85" s="114" t="s">
        <v>377</v>
      </c>
      <c r="D85" s="114" t="s">
        <v>147</v>
      </c>
      <c r="E85">
        <v>2995</v>
      </c>
      <c r="F85">
        <v>2978</v>
      </c>
      <c r="G85">
        <v>200</v>
      </c>
      <c r="H85" s="114" t="s">
        <v>85</v>
      </c>
      <c r="I85">
        <v>8036</v>
      </c>
      <c r="J85" s="114" t="s">
        <v>366</v>
      </c>
      <c r="K85" s="114" t="s">
        <v>128</v>
      </c>
      <c r="L85">
        <v>7380</v>
      </c>
      <c r="M85">
        <v>7290</v>
      </c>
      <c r="N85">
        <v>100</v>
      </c>
      <c r="O85" s="114" t="s">
        <v>87</v>
      </c>
      <c r="P85">
        <v>0.91050136018532501</v>
      </c>
      <c r="Q85">
        <v>0.92088939396867298</v>
      </c>
      <c r="R85">
        <v>2.5475494129725699E-3</v>
      </c>
      <c r="S85" s="20">
        <v>7.9706594083100199E-2</v>
      </c>
      <c r="T85">
        <v>-1.5095261936656399</v>
      </c>
      <c r="U85">
        <v>1.5095261936656399</v>
      </c>
      <c r="V85">
        <v>-3.73</v>
      </c>
      <c r="W85">
        <v>18.3</v>
      </c>
      <c r="X85">
        <v>107085</v>
      </c>
      <c r="Y85">
        <v>6299</v>
      </c>
      <c r="Z85">
        <v>0.39</v>
      </c>
      <c r="AA85">
        <v>17</v>
      </c>
      <c r="AB85">
        <v>9</v>
      </c>
      <c r="AC85">
        <v>8</v>
      </c>
      <c r="AD85">
        <v>52.94</v>
      </c>
      <c r="AE85">
        <v>11</v>
      </c>
      <c r="AF85">
        <v>8</v>
      </c>
      <c r="AG85">
        <v>6</v>
      </c>
      <c r="AH85">
        <v>3</v>
      </c>
    </row>
    <row r="86" spans="1:34">
      <c r="A86" s="110">
        <v>142</v>
      </c>
      <c r="B86">
        <v>6770</v>
      </c>
      <c r="C86" s="114" t="s">
        <v>50</v>
      </c>
      <c r="D86" s="114" t="s">
        <v>113</v>
      </c>
      <c r="E86">
        <v>2485</v>
      </c>
      <c r="F86">
        <v>2527</v>
      </c>
      <c r="G86">
        <v>400</v>
      </c>
      <c r="H86" s="114" t="s">
        <v>87</v>
      </c>
      <c r="I86">
        <v>7272</v>
      </c>
      <c r="J86" s="114" t="s">
        <v>341</v>
      </c>
      <c r="K86" s="114" t="s">
        <v>110</v>
      </c>
      <c r="L86">
        <v>2280</v>
      </c>
      <c r="M86">
        <v>2295</v>
      </c>
      <c r="N86">
        <v>400</v>
      </c>
      <c r="O86" s="114" t="s">
        <v>85</v>
      </c>
      <c r="P86">
        <v>0.92906597587886597</v>
      </c>
      <c r="Q86">
        <v>0.905972072059683</v>
      </c>
      <c r="R86">
        <v>0.15296142779506999</v>
      </c>
      <c r="S86" s="20">
        <v>0.16776995616948101</v>
      </c>
      <c r="T86">
        <v>1.5187530388758099</v>
      </c>
      <c r="U86">
        <v>1.5187530388758099</v>
      </c>
      <c r="V86">
        <v>4.83</v>
      </c>
      <c r="W86">
        <v>9.18</v>
      </c>
      <c r="X86">
        <v>106683</v>
      </c>
      <c r="Y86">
        <v>8206</v>
      </c>
      <c r="Z86">
        <v>0.37</v>
      </c>
      <c r="AA86">
        <v>13</v>
      </c>
      <c r="AB86">
        <v>7</v>
      </c>
      <c r="AC86">
        <v>6</v>
      </c>
      <c r="AD86">
        <v>53.85</v>
      </c>
      <c r="AE86">
        <v>12</v>
      </c>
      <c r="AF86">
        <v>5</v>
      </c>
      <c r="AG86">
        <v>4</v>
      </c>
      <c r="AH86">
        <v>4</v>
      </c>
    </row>
    <row r="87" spans="1:34">
      <c r="A87" s="110">
        <v>95</v>
      </c>
      <c r="B87">
        <v>7167</v>
      </c>
      <c r="C87" s="114" t="s">
        <v>127</v>
      </c>
      <c r="D87" s="114" t="s">
        <v>108</v>
      </c>
      <c r="E87">
        <v>281</v>
      </c>
      <c r="F87">
        <v>283</v>
      </c>
      <c r="G87">
        <v>3600</v>
      </c>
      <c r="H87" s="114" t="s">
        <v>85</v>
      </c>
      <c r="I87">
        <v>8377</v>
      </c>
      <c r="J87" s="114" t="s">
        <v>121</v>
      </c>
      <c r="K87" s="114" t="s">
        <v>108</v>
      </c>
      <c r="L87">
        <v>1133</v>
      </c>
      <c r="M87">
        <v>1129</v>
      </c>
      <c r="N87">
        <v>900</v>
      </c>
      <c r="O87" s="114" t="s">
        <v>87</v>
      </c>
      <c r="P87">
        <v>0.96390868839023602</v>
      </c>
      <c r="Q87">
        <v>0.91752229285357401</v>
      </c>
      <c r="R87">
        <v>2.6473694313526801E-2</v>
      </c>
      <c r="S87">
        <v>0.18915132148056699</v>
      </c>
      <c r="T87">
        <v>-0.41920792326471601</v>
      </c>
      <c r="U87">
        <v>0.41920792326471601</v>
      </c>
      <c r="V87">
        <v>-0.78</v>
      </c>
      <c r="W87">
        <v>0.27</v>
      </c>
      <c r="X87">
        <v>96023</v>
      </c>
      <c r="Y87">
        <v>6001</v>
      </c>
      <c r="Z87">
        <v>0.25</v>
      </c>
      <c r="AA87">
        <v>16</v>
      </c>
      <c r="AB87">
        <v>11</v>
      </c>
      <c r="AC87">
        <v>5</v>
      </c>
      <c r="AD87">
        <v>68.75</v>
      </c>
      <c r="AE87">
        <v>16</v>
      </c>
      <c r="AF87">
        <v>2</v>
      </c>
      <c r="AG87">
        <v>1</v>
      </c>
      <c r="AH87">
        <v>13</v>
      </c>
    </row>
    <row r="88" spans="1:34">
      <c r="A88" s="110">
        <v>64</v>
      </c>
      <c r="B88">
        <v>4182</v>
      </c>
      <c r="C88" s="114" t="s">
        <v>114</v>
      </c>
      <c r="D88" s="114" t="s">
        <v>86</v>
      </c>
      <c r="E88">
        <v>1681</v>
      </c>
      <c r="F88">
        <v>1674</v>
      </c>
      <c r="G88">
        <v>500</v>
      </c>
      <c r="H88" s="114" t="s">
        <v>87</v>
      </c>
      <c r="I88">
        <v>6371</v>
      </c>
      <c r="J88" s="114" t="s">
        <v>135</v>
      </c>
      <c r="K88" s="114" t="s">
        <v>126</v>
      </c>
      <c r="L88">
        <v>3865</v>
      </c>
      <c r="M88">
        <v>3875</v>
      </c>
      <c r="N88">
        <v>200</v>
      </c>
      <c r="O88" s="114" t="s">
        <v>85</v>
      </c>
      <c r="P88">
        <v>0.94183758057673295</v>
      </c>
      <c r="Q88">
        <v>0.92661749796749704</v>
      </c>
      <c r="R88">
        <v>9.6582122634148504E-2</v>
      </c>
      <c r="S88" s="114">
        <v>3.5550086185119303E-2</v>
      </c>
      <c r="T88">
        <v>0.86083127101196499</v>
      </c>
      <c r="U88">
        <v>0.86083127101196499</v>
      </c>
      <c r="V88">
        <v>3.54</v>
      </c>
      <c r="W88">
        <v>8</v>
      </c>
      <c r="X88">
        <v>88640</v>
      </c>
      <c r="Y88">
        <v>6818</v>
      </c>
      <c r="Z88">
        <v>0.47</v>
      </c>
      <c r="AA88">
        <v>13</v>
      </c>
      <c r="AB88">
        <v>8</v>
      </c>
      <c r="AC88">
        <v>5</v>
      </c>
      <c r="AD88">
        <v>61.54</v>
      </c>
      <c r="AE88">
        <v>12</v>
      </c>
      <c r="AF88">
        <v>4</v>
      </c>
      <c r="AG88">
        <v>2</v>
      </c>
      <c r="AH88">
        <v>7</v>
      </c>
    </row>
    <row r="89" spans="1:34">
      <c r="A89" s="110">
        <v>38</v>
      </c>
      <c r="B89">
        <v>5802</v>
      </c>
      <c r="C89" s="114" t="s">
        <v>160</v>
      </c>
      <c r="D89" s="114" t="s">
        <v>161</v>
      </c>
      <c r="E89">
        <v>1658.5</v>
      </c>
      <c r="F89">
        <v>1662</v>
      </c>
      <c r="G89">
        <v>600</v>
      </c>
      <c r="H89" s="114" t="s">
        <v>87</v>
      </c>
      <c r="I89">
        <v>7267</v>
      </c>
      <c r="J89" s="114" t="s">
        <v>145</v>
      </c>
      <c r="K89" s="114" t="s">
        <v>110</v>
      </c>
      <c r="L89">
        <v>3129</v>
      </c>
      <c r="M89">
        <v>3129</v>
      </c>
      <c r="N89">
        <v>300</v>
      </c>
      <c r="O89" s="114" t="s">
        <v>85</v>
      </c>
      <c r="P89">
        <v>0.91279550045014901</v>
      </c>
      <c r="Q89">
        <v>0.93748503216840195</v>
      </c>
      <c r="R89" s="20">
        <v>9.72121919084111E-2</v>
      </c>
      <c r="S89">
        <v>2.9602230352866803E-4</v>
      </c>
      <c r="T89">
        <v>2.4811374606905998</v>
      </c>
      <c r="U89">
        <v>2.4811374606905998</v>
      </c>
      <c r="V89">
        <v>6.77</v>
      </c>
      <c r="W89">
        <v>6.23</v>
      </c>
      <c r="X89">
        <v>86548</v>
      </c>
      <c r="Y89">
        <v>5409</v>
      </c>
      <c r="Z89">
        <v>0.24</v>
      </c>
      <c r="AA89">
        <v>16</v>
      </c>
      <c r="AB89">
        <v>10</v>
      </c>
      <c r="AC89">
        <v>6</v>
      </c>
      <c r="AD89">
        <v>62.5</v>
      </c>
      <c r="AE89">
        <v>16</v>
      </c>
      <c r="AF89">
        <v>1</v>
      </c>
      <c r="AG89">
        <v>1</v>
      </c>
      <c r="AH89">
        <v>14</v>
      </c>
    </row>
    <row r="90" spans="1:34">
      <c r="A90" s="110">
        <v>130</v>
      </c>
      <c r="B90">
        <v>6301</v>
      </c>
      <c r="C90" s="114" t="s">
        <v>136</v>
      </c>
      <c r="D90" s="114" t="s">
        <v>126</v>
      </c>
      <c r="E90">
        <v>2579</v>
      </c>
      <c r="F90">
        <v>2622.5</v>
      </c>
      <c r="G90">
        <v>400</v>
      </c>
      <c r="H90" s="114" t="s">
        <v>85</v>
      </c>
      <c r="I90">
        <v>6472</v>
      </c>
      <c r="J90" s="114" t="s">
        <v>163</v>
      </c>
      <c r="K90" s="114" t="s">
        <v>126</v>
      </c>
      <c r="L90">
        <v>341</v>
      </c>
      <c r="M90">
        <v>341</v>
      </c>
      <c r="N90">
        <v>3100</v>
      </c>
      <c r="O90" s="114" t="s">
        <v>87</v>
      </c>
      <c r="P90">
        <v>0.91075375640163403</v>
      </c>
      <c r="Q90">
        <v>0.90829726761545904</v>
      </c>
      <c r="R90">
        <v>0.26274731457390699</v>
      </c>
      <c r="S90" s="114">
        <v>1.5405329611868499E-2</v>
      </c>
      <c r="T90">
        <v>-0.23215890450198801</v>
      </c>
      <c r="U90">
        <v>0.23215890450198801</v>
      </c>
      <c r="V90">
        <v>-0.77</v>
      </c>
      <c r="W90">
        <v>0.77</v>
      </c>
      <c r="X90">
        <v>85896</v>
      </c>
      <c r="Y90">
        <v>4295</v>
      </c>
      <c r="Z90">
        <v>0.12</v>
      </c>
      <c r="AA90">
        <v>20</v>
      </c>
      <c r="AB90">
        <v>10</v>
      </c>
      <c r="AC90">
        <v>10</v>
      </c>
      <c r="AD90">
        <v>50</v>
      </c>
      <c r="AE90">
        <v>11</v>
      </c>
      <c r="AF90">
        <v>8</v>
      </c>
      <c r="AG90">
        <v>7</v>
      </c>
      <c r="AH90">
        <v>5</v>
      </c>
    </row>
    <row r="91" spans="1:34">
      <c r="A91" s="110">
        <v>45</v>
      </c>
      <c r="B91">
        <v>5802</v>
      </c>
      <c r="C91" s="114" t="s">
        <v>160</v>
      </c>
      <c r="D91" s="114" t="s">
        <v>161</v>
      </c>
      <c r="E91">
        <v>1658.5</v>
      </c>
      <c r="F91">
        <v>1662</v>
      </c>
      <c r="G91">
        <v>600</v>
      </c>
      <c r="H91" s="114" t="s">
        <v>87</v>
      </c>
      <c r="I91">
        <v>9810</v>
      </c>
      <c r="J91" s="114" t="s">
        <v>156</v>
      </c>
      <c r="K91" s="114" t="s">
        <v>128</v>
      </c>
      <c r="L91">
        <v>5070</v>
      </c>
      <c r="M91">
        <v>5160</v>
      </c>
      <c r="N91">
        <v>200</v>
      </c>
      <c r="O91" s="114" t="s">
        <v>85</v>
      </c>
      <c r="P91">
        <v>0.93764816788822403</v>
      </c>
      <c r="Q91">
        <v>0.93357725978850103</v>
      </c>
      <c r="R91" s="20">
        <v>0.103557680848974</v>
      </c>
      <c r="S91">
        <v>3.3662889399265601E-2</v>
      </c>
      <c r="T91">
        <v>0.55859729289917204</v>
      </c>
      <c r="U91">
        <v>0.55859729289917204</v>
      </c>
      <c r="V91">
        <v>1.58</v>
      </c>
      <c r="W91">
        <v>3.37</v>
      </c>
      <c r="X91">
        <v>84914</v>
      </c>
      <c r="Y91">
        <v>5661</v>
      </c>
      <c r="Z91">
        <v>0.45</v>
      </c>
      <c r="AA91">
        <v>15</v>
      </c>
      <c r="AB91">
        <v>10</v>
      </c>
      <c r="AC91">
        <v>5</v>
      </c>
      <c r="AD91">
        <v>66.67</v>
      </c>
      <c r="AE91">
        <v>14</v>
      </c>
      <c r="AF91">
        <v>3</v>
      </c>
      <c r="AG91">
        <v>2</v>
      </c>
      <c r="AH91">
        <v>10</v>
      </c>
    </row>
    <row r="92" spans="1:34">
      <c r="A92" s="110">
        <v>57</v>
      </c>
      <c r="B92">
        <v>6770</v>
      </c>
      <c r="C92" s="114" t="s">
        <v>50</v>
      </c>
      <c r="D92" s="114" t="s">
        <v>113</v>
      </c>
      <c r="E92">
        <v>2485</v>
      </c>
      <c r="F92">
        <v>2527</v>
      </c>
      <c r="G92">
        <v>200</v>
      </c>
      <c r="H92" s="114" t="s">
        <v>87</v>
      </c>
      <c r="I92">
        <v>6988</v>
      </c>
      <c r="J92" s="114" t="s">
        <v>168</v>
      </c>
      <c r="K92" s="114" t="s">
        <v>86</v>
      </c>
      <c r="L92">
        <v>6120</v>
      </c>
      <c r="M92">
        <v>6170</v>
      </c>
      <c r="N92">
        <v>100</v>
      </c>
      <c r="O92" s="114" t="s">
        <v>85</v>
      </c>
      <c r="P92">
        <v>0.94233989627722103</v>
      </c>
      <c r="Q92">
        <v>0.92920893293834494</v>
      </c>
      <c r="R92">
        <v>9.9687092337390801E-2</v>
      </c>
      <c r="S92">
        <v>0.14485583369041799</v>
      </c>
      <c r="T92">
        <v>1.99386673179645</v>
      </c>
      <c r="U92">
        <v>1.99386673179645</v>
      </c>
      <c r="V92">
        <v>6.82</v>
      </c>
      <c r="W92">
        <v>18.09</v>
      </c>
      <c r="X92">
        <v>80018</v>
      </c>
      <c r="Y92">
        <v>5716</v>
      </c>
      <c r="Z92">
        <v>0.28999999999999998</v>
      </c>
      <c r="AA92">
        <v>14</v>
      </c>
      <c r="AB92">
        <v>8</v>
      </c>
      <c r="AC92">
        <v>6</v>
      </c>
      <c r="AD92">
        <v>57.14</v>
      </c>
      <c r="AE92">
        <v>12</v>
      </c>
      <c r="AF92">
        <v>7</v>
      </c>
      <c r="AG92">
        <v>3</v>
      </c>
      <c r="AH92">
        <v>4</v>
      </c>
    </row>
    <row r="93" spans="1:34">
      <c r="A93" s="110">
        <v>109</v>
      </c>
      <c r="B93">
        <v>8002</v>
      </c>
      <c r="C93" s="114" t="s">
        <v>55</v>
      </c>
      <c r="D93" s="114" t="s">
        <v>128</v>
      </c>
      <c r="E93">
        <v>819.2</v>
      </c>
      <c r="F93">
        <v>826.1</v>
      </c>
      <c r="G93">
        <v>1300</v>
      </c>
      <c r="H93" s="114" t="s">
        <v>87</v>
      </c>
      <c r="I93">
        <v>9072</v>
      </c>
      <c r="J93" s="114" t="s">
        <v>155</v>
      </c>
      <c r="K93" s="114" t="s">
        <v>146</v>
      </c>
      <c r="L93">
        <v>2725</v>
      </c>
      <c r="M93">
        <v>2730</v>
      </c>
      <c r="N93">
        <v>400</v>
      </c>
      <c r="O93" s="114" t="s">
        <v>85</v>
      </c>
      <c r="P93">
        <v>0.94062706342043001</v>
      </c>
      <c r="Q93">
        <v>0.91336530092930401</v>
      </c>
      <c r="R93" s="114">
        <v>5.1250493055626803E-2</v>
      </c>
      <c r="S93">
        <v>1.96058586552009E-3</v>
      </c>
      <c r="T93">
        <v>1.87074596265314</v>
      </c>
      <c r="U93">
        <v>1.87074596265314</v>
      </c>
      <c r="V93">
        <v>3.63</v>
      </c>
      <c r="W93">
        <v>1.65</v>
      </c>
      <c r="X93">
        <v>77791</v>
      </c>
      <c r="Y93">
        <v>4862</v>
      </c>
      <c r="Z93">
        <v>0.24</v>
      </c>
      <c r="AA93">
        <v>16</v>
      </c>
      <c r="AB93">
        <v>8</v>
      </c>
      <c r="AC93">
        <v>8</v>
      </c>
      <c r="AD93">
        <v>50</v>
      </c>
      <c r="AE93">
        <v>16</v>
      </c>
      <c r="AF93">
        <v>4</v>
      </c>
      <c r="AG93">
        <v>1</v>
      </c>
      <c r="AH93">
        <v>11</v>
      </c>
    </row>
    <row r="94" spans="1:34">
      <c r="A94" s="110">
        <v>31</v>
      </c>
      <c r="B94">
        <v>1820</v>
      </c>
      <c r="C94" s="114" t="s">
        <v>149</v>
      </c>
      <c r="D94" s="114" t="s">
        <v>103</v>
      </c>
      <c r="E94">
        <v>2453</v>
      </c>
      <c r="F94">
        <v>2488</v>
      </c>
      <c r="G94">
        <v>400</v>
      </c>
      <c r="H94" s="114" t="s">
        <v>87</v>
      </c>
      <c r="I94">
        <v>4182</v>
      </c>
      <c r="J94" s="114" t="s">
        <v>114</v>
      </c>
      <c r="K94" s="114" t="s">
        <v>86</v>
      </c>
      <c r="L94">
        <v>1681</v>
      </c>
      <c r="M94">
        <v>1674</v>
      </c>
      <c r="N94">
        <v>600</v>
      </c>
      <c r="O94" s="114" t="s">
        <v>85</v>
      </c>
      <c r="P94">
        <v>0.96442913130317498</v>
      </c>
      <c r="Q94">
        <v>0.93918549097099402</v>
      </c>
      <c r="R94" s="20">
        <v>6.0779384369393098E-2</v>
      </c>
      <c r="S94" s="20">
        <v>3.9479136262622998E-2</v>
      </c>
      <c r="T94">
        <v>0.98363746347452097</v>
      </c>
      <c r="U94">
        <v>0.98363746347452097</v>
      </c>
      <c r="V94">
        <v>3.32</v>
      </c>
      <c r="W94">
        <v>0.92</v>
      </c>
      <c r="X94">
        <v>74834</v>
      </c>
      <c r="Y94">
        <v>6236</v>
      </c>
      <c r="Z94">
        <v>0.26</v>
      </c>
      <c r="AA94">
        <v>12</v>
      </c>
      <c r="AB94">
        <v>8</v>
      </c>
      <c r="AC94">
        <v>4</v>
      </c>
      <c r="AD94">
        <v>66.67</v>
      </c>
      <c r="AE94">
        <v>12</v>
      </c>
      <c r="AF94">
        <v>5</v>
      </c>
      <c r="AG94">
        <v>3</v>
      </c>
      <c r="AH94">
        <v>4</v>
      </c>
    </row>
    <row r="95" spans="1:34">
      <c r="A95" s="110">
        <v>108</v>
      </c>
      <c r="B95">
        <v>3116</v>
      </c>
      <c r="C95" s="114" t="s">
        <v>154</v>
      </c>
      <c r="D95" s="114" t="s">
        <v>110</v>
      </c>
      <c r="E95">
        <v>1730</v>
      </c>
      <c r="F95">
        <v>1729</v>
      </c>
      <c r="G95">
        <v>600</v>
      </c>
      <c r="H95" s="114" t="s">
        <v>87</v>
      </c>
      <c r="I95">
        <v>8002</v>
      </c>
      <c r="J95" s="114" t="s">
        <v>55</v>
      </c>
      <c r="K95" s="114" t="s">
        <v>128</v>
      </c>
      <c r="L95">
        <v>819.2</v>
      </c>
      <c r="M95">
        <v>826.1</v>
      </c>
      <c r="N95">
        <v>1300</v>
      </c>
      <c r="O95" s="114" t="s">
        <v>85</v>
      </c>
      <c r="P95">
        <v>0.94535840595571596</v>
      </c>
      <c r="Q95">
        <v>0.91354989832524902</v>
      </c>
      <c r="R95">
        <v>7.5331202396030403E-2</v>
      </c>
      <c r="S95" s="20">
        <v>6.3482006055013807E-2</v>
      </c>
      <c r="T95">
        <v>6.3214855332387798E-2</v>
      </c>
      <c r="U95">
        <v>6.3214855332387798E-2</v>
      </c>
      <c r="V95">
        <v>0.12</v>
      </c>
      <c r="W95">
        <v>3.52</v>
      </c>
      <c r="X95">
        <v>69702</v>
      </c>
      <c r="Y95">
        <v>5362</v>
      </c>
      <c r="Z95">
        <v>0.33</v>
      </c>
      <c r="AA95">
        <v>13</v>
      </c>
      <c r="AB95">
        <v>5</v>
      </c>
      <c r="AC95">
        <v>8</v>
      </c>
      <c r="AD95">
        <v>38.46</v>
      </c>
      <c r="AE95">
        <v>16</v>
      </c>
      <c r="AF95">
        <v>4</v>
      </c>
      <c r="AG95">
        <v>0</v>
      </c>
      <c r="AH95">
        <v>9</v>
      </c>
    </row>
    <row r="96" spans="1:34">
      <c r="A96" s="110">
        <v>43</v>
      </c>
      <c r="B96">
        <v>7189</v>
      </c>
      <c r="C96" s="114" t="s">
        <v>107</v>
      </c>
      <c r="D96" s="114" t="s">
        <v>108</v>
      </c>
      <c r="E96">
        <v>854</v>
      </c>
      <c r="F96">
        <v>862</v>
      </c>
      <c r="G96">
        <v>1000</v>
      </c>
      <c r="H96" s="114" t="s">
        <v>87</v>
      </c>
      <c r="I96">
        <v>7327</v>
      </c>
      <c r="J96" s="114" t="s">
        <v>170</v>
      </c>
      <c r="K96" s="114" t="s">
        <v>108</v>
      </c>
      <c r="L96">
        <v>3005</v>
      </c>
      <c r="M96">
        <v>3010</v>
      </c>
      <c r="N96">
        <v>300</v>
      </c>
      <c r="O96" s="114" t="s">
        <v>85</v>
      </c>
      <c r="P96">
        <v>0.93942786444128301</v>
      </c>
      <c r="Q96">
        <v>0.93514946986321901</v>
      </c>
      <c r="R96">
        <v>0.15727084108084499</v>
      </c>
      <c r="S96">
        <v>0.147730582538348</v>
      </c>
      <c r="T96">
        <v>0.48804982341613601</v>
      </c>
      <c r="U96">
        <v>0.48804982341613601</v>
      </c>
      <c r="V96">
        <v>2.0499999999999998</v>
      </c>
      <c r="W96">
        <v>4.54</v>
      </c>
      <c r="X96">
        <v>68567</v>
      </c>
      <c r="Y96">
        <v>13713</v>
      </c>
      <c r="Z96">
        <v>0.79</v>
      </c>
      <c r="AA96">
        <v>5</v>
      </c>
      <c r="AB96">
        <v>3</v>
      </c>
      <c r="AC96">
        <v>2</v>
      </c>
      <c r="AD96">
        <v>60</v>
      </c>
      <c r="AE96">
        <v>11</v>
      </c>
      <c r="AF96">
        <v>2</v>
      </c>
      <c r="AG96">
        <v>1</v>
      </c>
      <c r="AH96">
        <v>2</v>
      </c>
    </row>
    <row r="97" spans="1:34">
      <c r="A97" s="110">
        <v>46</v>
      </c>
      <c r="B97">
        <v>3861</v>
      </c>
      <c r="C97" s="114" t="s">
        <v>89</v>
      </c>
      <c r="D97" s="114" t="s">
        <v>106</v>
      </c>
      <c r="E97">
        <v>621</v>
      </c>
      <c r="F97">
        <v>623</v>
      </c>
      <c r="G97">
        <v>1700</v>
      </c>
      <c r="H97" s="114" t="s">
        <v>87</v>
      </c>
      <c r="I97">
        <v>5703</v>
      </c>
      <c r="J97" s="114" t="s">
        <v>349</v>
      </c>
      <c r="K97" s="114" t="s">
        <v>161</v>
      </c>
      <c r="L97">
        <v>231</v>
      </c>
      <c r="M97">
        <v>229</v>
      </c>
      <c r="N97">
        <v>4600</v>
      </c>
      <c r="O97" s="114" t="s">
        <v>85</v>
      </c>
      <c r="P97">
        <v>0.97014394026934303</v>
      </c>
      <c r="Q97">
        <v>0.93284061673436502</v>
      </c>
      <c r="R97">
        <v>3.6348144749326301E-2</v>
      </c>
      <c r="S97">
        <v>0.110798445679021</v>
      </c>
      <c r="T97">
        <v>0.87917481566285804</v>
      </c>
      <c r="U97">
        <v>0.87917481566285804</v>
      </c>
      <c r="V97">
        <v>1.98</v>
      </c>
      <c r="W97">
        <v>0.54</v>
      </c>
      <c r="X97">
        <v>62912</v>
      </c>
      <c r="Y97">
        <v>2735</v>
      </c>
      <c r="Z97">
        <v>0.14000000000000001</v>
      </c>
      <c r="AA97">
        <v>23</v>
      </c>
      <c r="AB97">
        <v>12</v>
      </c>
      <c r="AC97">
        <v>11</v>
      </c>
      <c r="AD97">
        <v>52.17</v>
      </c>
      <c r="AE97">
        <v>12</v>
      </c>
      <c r="AF97">
        <v>9</v>
      </c>
      <c r="AG97">
        <v>6</v>
      </c>
      <c r="AH97">
        <v>8</v>
      </c>
    </row>
    <row r="98" spans="1:34">
      <c r="A98" s="110">
        <v>21</v>
      </c>
      <c r="B98">
        <v>3105</v>
      </c>
      <c r="C98" s="114" t="s">
        <v>117</v>
      </c>
      <c r="D98" s="114" t="s">
        <v>113</v>
      </c>
      <c r="E98">
        <v>1027</v>
      </c>
      <c r="F98">
        <v>1033</v>
      </c>
      <c r="G98">
        <v>600</v>
      </c>
      <c r="H98" s="114" t="s">
        <v>87</v>
      </c>
      <c r="I98">
        <v>6988</v>
      </c>
      <c r="J98" s="114" t="s">
        <v>168</v>
      </c>
      <c r="K98" s="114" t="s">
        <v>86</v>
      </c>
      <c r="L98">
        <v>6120</v>
      </c>
      <c r="M98">
        <v>6170</v>
      </c>
      <c r="N98">
        <v>100</v>
      </c>
      <c r="O98" s="114" t="s">
        <v>85</v>
      </c>
      <c r="P98">
        <v>0.920234813928271</v>
      </c>
      <c r="Q98">
        <v>0.94387561063848802</v>
      </c>
      <c r="R98" s="20">
        <v>0.12369843628720301</v>
      </c>
      <c r="S98">
        <v>3.7044180442017101E-3</v>
      </c>
      <c r="T98">
        <v>2.0528508751194399</v>
      </c>
      <c r="U98">
        <v>2.0528508751194399</v>
      </c>
      <c r="V98">
        <v>5.18</v>
      </c>
      <c r="W98">
        <v>0.45</v>
      </c>
      <c r="X98">
        <v>59924</v>
      </c>
      <c r="Y98">
        <v>3329</v>
      </c>
      <c r="Z98">
        <v>0.05</v>
      </c>
      <c r="AA98">
        <v>18</v>
      </c>
      <c r="AB98">
        <v>10</v>
      </c>
      <c r="AC98">
        <v>8</v>
      </c>
      <c r="AD98">
        <v>55.56</v>
      </c>
      <c r="AE98">
        <v>12</v>
      </c>
      <c r="AF98">
        <v>6</v>
      </c>
      <c r="AG98">
        <v>5</v>
      </c>
      <c r="AH98">
        <v>7</v>
      </c>
    </row>
    <row r="99" spans="1:34">
      <c r="A99" s="110">
        <v>77</v>
      </c>
      <c r="B99">
        <v>4516</v>
      </c>
      <c r="C99" s="114" t="s">
        <v>369</v>
      </c>
      <c r="D99" s="114" t="s">
        <v>165</v>
      </c>
      <c r="E99">
        <v>9920</v>
      </c>
      <c r="F99">
        <v>9670</v>
      </c>
      <c r="G99">
        <v>100</v>
      </c>
      <c r="H99" s="114" t="s">
        <v>85</v>
      </c>
      <c r="I99">
        <v>8036</v>
      </c>
      <c r="J99" s="114" t="s">
        <v>366</v>
      </c>
      <c r="K99" s="114" t="s">
        <v>128</v>
      </c>
      <c r="L99">
        <v>7380</v>
      </c>
      <c r="M99">
        <v>7290</v>
      </c>
      <c r="N99">
        <v>100</v>
      </c>
      <c r="O99" s="114" t="s">
        <v>87</v>
      </c>
      <c r="P99">
        <v>0.91488319287587405</v>
      </c>
      <c r="Q99">
        <v>0.92225252719815498</v>
      </c>
      <c r="R99">
        <v>1.17803745556178E-4</v>
      </c>
      <c r="S99" s="114">
        <v>6.5862951079846493E-2</v>
      </c>
      <c r="T99">
        <v>-2.2604864767708999</v>
      </c>
      <c r="U99">
        <v>2.2604864767708999</v>
      </c>
      <c r="V99">
        <v>-9.2200000000000006</v>
      </c>
      <c r="W99">
        <v>24.61</v>
      </c>
      <c r="X99">
        <v>55404</v>
      </c>
      <c r="Y99">
        <v>9234</v>
      </c>
      <c r="Z99">
        <v>0.68</v>
      </c>
      <c r="AA99">
        <v>6</v>
      </c>
      <c r="AB99">
        <v>3</v>
      </c>
      <c r="AC99">
        <v>3</v>
      </c>
      <c r="AD99">
        <v>50</v>
      </c>
      <c r="AE99">
        <v>11</v>
      </c>
      <c r="AF99">
        <v>3</v>
      </c>
      <c r="AG99">
        <v>1</v>
      </c>
      <c r="AH99">
        <v>2</v>
      </c>
    </row>
    <row r="100" spans="1:34">
      <c r="A100" s="110">
        <v>91</v>
      </c>
      <c r="B100">
        <v>4182</v>
      </c>
      <c r="C100" s="114" t="s">
        <v>114</v>
      </c>
      <c r="D100" s="114" t="s">
        <v>86</v>
      </c>
      <c r="E100">
        <v>1681</v>
      </c>
      <c r="F100">
        <v>1674</v>
      </c>
      <c r="G100">
        <v>600</v>
      </c>
      <c r="H100" s="114" t="s">
        <v>87</v>
      </c>
      <c r="I100">
        <v>5463</v>
      </c>
      <c r="J100" s="114" t="s">
        <v>171</v>
      </c>
      <c r="K100" s="114" t="s">
        <v>119</v>
      </c>
      <c r="L100">
        <v>3160</v>
      </c>
      <c r="M100">
        <v>3160</v>
      </c>
      <c r="N100">
        <v>300</v>
      </c>
      <c r="O100" s="114" t="s">
        <v>85</v>
      </c>
      <c r="P100">
        <v>0.92586066618589802</v>
      </c>
      <c r="Q100">
        <v>0.91831402235182302</v>
      </c>
      <c r="R100">
        <v>0.211446483282653</v>
      </c>
      <c r="S100">
        <v>3.6277475297824199E-2</v>
      </c>
      <c r="T100">
        <v>0.80481536319400104</v>
      </c>
      <c r="U100">
        <v>0.80481536319400104</v>
      </c>
      <c r="V100">
        <v>3.54</v>
      </c>
      <c r="W100">
        <v>5.95</v>
      </c>
      <c r="X100">
        <v>49018</v>
      </c>
      <c r="Y100">
        <v>2723</v>
      </c>
      <c r="Z100">
        <v>0.22</v>
      </c>
      <c r="AA100">
        <v>18</v>
      </c>
      <c r="AB100">
        <v>10</v>
      </c>
      <c r="AC100">
        <v>8</v>
      </c>
      <c r="AD100">
        <v>55.56</v>
      </c>
      <c r="AE100">
        <v>11</v>
      </c>
      <c r="AF100">
        <v>7</v>
      </c>
      <c r="AG100">
        <v>6</v>
      </c>
      <c r="AH100">
        <v>5</v>
      </c>
    </row>
    <row r="101" spans="1:34">
      <c r="A101" s="110">
        <v>67</v>
      </c>
      <c r="B101">
        <v>6135</v>
      </c>
      <c r="C101" s="114" t="s">
        <v>352</v>
      </c>
      <c r="D101" s="114" t="s">
        <v>126</v>
      </c>
      <c r="E101">
        <v>5350</v>
      </c>
      <c r="F101">
        <v>5380</v>
      </c>
      <c r="G101">
        <v>100</v>
      </c>
      <c r="H101" s="114" t="s">
        <v>85</v>
      </c>
      <c r="I101">
        <v>6856</v>
      </c>
      <c r="J101" s="114" t="s">
        <v>383</v>
      </c>
      <c r="K101" s="114" t="s">
        <v>113</v>
      </c>
      <c r="L101">
        <v>7460</v>
      </c>
      <c r="M101">
        <v>7550</v>
      </c>
      <c r="N101">
        <v>100</v>
      </c>
      <c r="O101" s="114" t="s">
        <v>87</v>
      </c>
      <c r="P101">
        <v>0.94127525449595295</v>
      </c>
      <c r="Q101">
        <v>0.92577584839804605</v>
      </c>
      <c r="R101">
        <v>0.33647961553099798</v>
      </c>
      <c r="S101">
        <v>0.31923749920411598</v>
      </c>
      <c r="T101">
        <v>-1.2336367711951499</v>
      </c>
      <c r="U101">
        <v>1.2336367711951499</v>
      </c>
      <c r="V101">
        <v>-4.8</v>
      </c>
      <c r="W101">
        <v>28.74</v>
      </c>
      <c r="X101">
        <v>46787</v>
      </c>
      <c r="Y101">
        <v>46787</v>
      </c>
      <c r="Z101">
        <v>3.43</v>
      </c>
      <c r="AA101">
        <v>1</v>
      </c>
      <c r="AB101">
        <v>1</v>
      </c>
      <c r="AC101">
        <v>0</v>
      </c>
      <c r="AD101">
        <v>100</v>
      </c>
      <c r="AE101">
        <v>6</v>
      </c>
      <c r="AF101">
        <v>1</v>
      </c>
      <c r="AG101">
        <v>0</v>
      </c>
      <c r="AH101">
        <v>0</v>
      </c>
    </row>
    <row r="102" spans="1:34">
      <c r="A102" s="110">
        <v>7</v>
      </c>
      <c r="B102">
        <v>6471</v>
      </c>
      <c r="C102" s="114" t="s">
        <v>167</v>
      </c>
      <c r="D102" s="114" t="s">
        <v>126</v>
      </c>
      <c r="E102">
        <v>1061</v>
      </c>
      <c r="F102">
        <v>1065</v>
      </c>
      <c r="G102">
        <v>1000</v>
      </c>
      <c r="H102" s="114" t="s">
        <v>87</v>
      </c>
      <c r="I102">
        <v>6473</v>
      </c>
      <c r="J102" s="114" t="s">
        <v>162</v>
      </c>
      <c r="K102" s="114" t="s">
        <v>126</v>
      </c>
      <c r="L102">
        <v>1362</v>
      </c>
      <c r="M102">
        <v>1365</v>
      </c>
      <c r="N102">
        <v>800</v>
      </c>
      <c r="O102" s="114" t="s">
        <v>85</v>
      </c>
      <c r="P102">
        <v>0.96141868054618196</v>
      </c>
      <c r="Q102">
        <v>0.95481433090399803</v>
      </c>
      <c r="R102">
        <v>0.10497685798645499</v>
      </c>
      <c r="S102" s="20">
        <v>1.67700158742436E-2</v>
      </c>
      <c r="T102">
        <v>1.9034585994755799</v>
      </c>
      <c r="U102">
        <v>1.9034585994755799</v>
      </c>
      <c r="V102">
        <v>3.5</v>
      </c>
      <c r="W102">
        <v>2.4700000000000002</v>
      </c>
      <c r="X102">
        <v>46361</v>
      </c>
      <c r="Y102">
        <v>3863</v>
      </c>
      <c r="Z102">
        <v>0.19</v>
      </c>
      <c r="AA102">
        <v>12</v>
      </c>
      <c r="AB102">
        <v>8</v>
      </c>
      <c r="AC102">
        <v>4</v>
      </c>
      <c r="AD102">
        <v>66.67</v>
      </c>
      <c r="AE102">
        <v>16</v>
      </c>
      <c r="AF102">
        <v>1</v>
      </c>
      <c r="AG102">
        <v>1</v>
      </c>
      <c r="AH102">
        <v>10</v>
      </c>
    </row>
    <row r="103" spans="1:34">
      <c r="A103" s="110">
        <v>80</v>
      </c>
      <c r="B103">
        <v>5802</v>
      </c>
      <c r="C103" s="114" t="s">
        <v>160</v>
      </c>
      <c r="D103" s="114" t="s">
        <v>161</v>
      </c>
      <c r="E103">
        <v>1658.5</v>
      </c>
      <c r="F103">
        <v>1662</v>
      </c>
      <c r="G103">
        <v>500</v>
      </c>
      <c r="H103" s="114" t="s">
        <v>87</v>
      </c>
      <c r="I103">
        <v>7259</v>
      </c>
      <c r="J103" s="114" t="s">
        <v>53</v>
      </c>
      <c r="K103" s="114" t="s">
        <v>110</v>
      </c>
      <c r="L103">
        <v>4145</v>
      </c>
      <c r="M103">
        <v>4205</v>
      </c>
      <c r="N103">
        <v>200</v>
      </c>
      <c r="O103" s="114" t="s">
        <v>85</v>
      </c>
      <c r="P103">
        <v>0.91329314223778701</v>
      </c>
      <c r="Q103">
        <v>0.92162938987105403</v>
      </c>
      <c r="R103" s="114">
        <v>8.3119849510751201E-2</v>
      </c>
      <c r="S103" s="114">
        <v>2.2379358287364899E-3</v>
      </c>
      <c r="T103">
        <v>0.49694562143694299</v>
      </c>
      <c r="U103">
        <v>0.49694562143694299</v>
      </c>
      <c r="V103">
        <v>1.91</v>
      </c>
      <c r="W103">
        <v>1.19</v>
      </c>
      <c r="X103">
        <v>42709</v>
      </c>
      <c r="Y103">
        <v>3051</v>
      </c>
      <c r="Z103">
        <v>0.18</v>
      </c>
      <c r="AA103">
        <v>14</v>
      </c>
      <c r="AB103">
        <v>8</v>
      </c>
      <c r="AC103">
        <v>6</v>
      </c>
      <c r="AD103">
        <v>57.14</v>
      </c>
      <c r="AE103">
        <v>16</v>
      </c>
      <c r="AF103">
        <v>4</v>
      </c>
      <c r="AG103">
        <v>1</v>
      </c>
      <c r="AH103">
        <v>9</v>
      </c>
    </row>
    <row r="104" spans="1:34">
      <c r="A104" s="110">
        <v>85</v>
      </c>
      <c r="B104">
        <v>4202</v>
      </c>
      <c r="C104" s="114" t="s">
        <v>116</v>
      </c>
      <c r="D104" s="114" t="s">
        <v>86</v>
      </c>
      <c r="E104">
        <v>1074</v>
      </c>
      <c r="F104">
        <v>1071</v>
      </c>
      <c r="G104">
        <v>800</v>
      </c>
      <c r="H104" s="114" t="s">
        <v>87</v>
      </c>
      <c r="I104">
        <v>7327</v>
      </c>
      <c r="J104" s="114" t="s">
        <v>170</v>
      </c>
      <c r="K104" s="114" t="s">
        <v>108</v>
      </c>
      <c r="L104">
        <v>3005</v>
      </c>
      <c r="M104">
        <v>3010</v>
      </c>
      <c r="N104">
        <v>300</v>
      </c>
      <c r="O104" s="114" t="s">
        <v>85</v>
      </c>
      <c r="P104">
        <v>0.90769109449327001</v>
      </c>
      <c r="Q104">
        <v>0.91895590792519299</v>
      </c>
      <c r="R104">
        <v>0.29708936652268098</v>
      </c>
      <c r="S104">
        <v>0.115326369600701</v>
      </c>
      <c r="T104">
        <v>0.29974705413290598</v>
      </c>
      <c r="U104">
        <v>0.29974705413290598</v>
      </c>
      <c r="V104">
        <v>1.72</v>
      </c>
      <c r="W104">
        <v>5.12</v>
      </c>
      <c r="X104">
        <v>41676</v>
      </c>
      <c r="Y104">
        <v>13892</v>
      </c>
      <c r="Z104">
        <v>0.69</v>
      </c>
      <c r="AA104">
        <v>3</v>
      </c>
      <c r="AB104">
        <v>2</v>
      </c>
      <c r="AC104">
        <v>1</v>
      </c>
      <c r="AD104">
        <v>66.67</v>
      </c>
      <c r="AE104">
        <v>16</v>
      </c>
      <c r="AF104">
        <v>0</v>
      </c>
      <c r="AG104">
        <v>0</v>
      </c>
      <c r="AH104">
        <v>3</v>
      </c>
    </row>
    <row r="105" spans="1:34">
      <c r="A105" s="110">
        <v>99</v>
      </c>
      <c r="B105">
        <v>2914</v>
      </c>
      <c r="C105" s="114" t="s">
        <v>123</v>
      </c>
      <c r="D105" s="114" t="s">
        <v>124</v>
      </c>
      <c r="E105">
        <v>2520</v>
      </c>
      <c r="F105">
        <v>2497</v>
      </c>
      <c r="G105">
        <v>400</v>
      </c>
      <c r="H105" s="114" t="s">
        <v>85</v>
      </c>
      <c r="I105">
        <v>7327</v>
      </c>
      <c r="J105" s="114" t="s">
        <v>170</v>
      </c>
      <c r="K105" s="114" t="s">
        <v>108</v>
      </c>
      <c r="L105">
        <v>3005</v>
      </c>
      <c r="M105">
        <v>3010</v>
      </c>
      <c r="N105">
        <v>300</v>
      </c>
      <c r="O105" s="114" t="s">
        <v>87</v>
      </c>
      <c r="P105">
        <v>0.91086474405449602</v>
      </c>
      <c r="Q105">
        <v>0.916133066471437</v>
      </c>
      <c r="R105" s="114">
        <v>0.26449267462954701</v>
      </c>
      <c r="S105" s="114">
        <v>7.2074881161842399E-3</v>
      </c>
      <c r="T105">
        <v>-1.77130457654693</v>
      </c>
      <c r="U105">
        <v>1.77130457654693</v>
      </c>
      <c r="V105">
        <v>-5.28</v>
      </c>
      <c r="W105">
        <v>10.61</v>
      </c>
      <c r="X105">
        <v>37401</v>
      </c>
      <c r="Y105">
        <v>37401</v>
      </c>
      <c r="Z105">
        <v>1.81</v>
      </c>
      <c r="AA105">
        <v>1</v>
      </c>
      <c r="AB105">
        <v>1</v>
      </c>
      <c r="AC105">
        <v>0</v>
      </c>
      <c r="AD105">
        <v>100</v>
      </c>
      <c r="AE105">
        <v>21</v>
      </c>
      <c r="AF105">
        <v>0</v>
      </c>
      <c r="AG105">
        <v>0</v>
      </c>
      <c r="AH105">
        <v>1</v>
      </c>
    </row>
    <row r="106" spans="1:34">
      <c r="A106" s="110">
        <v>123</v>
      </c>
      <c r="B106">
        <v>5471</v>
      </c>
      <c r="C106" s="114" t="s">
        <v>347</v>
      </c>
      <c r="D106" s="114" t="s">
        <v>119</v>
      </c>
      <c r="E106">
        <v>4900</v>
      </c>
      <c r="F106">
        <v>4945</v>
      </c>
      <c r="G106">
        <v>200</v>
      </c>
      <c r="H106" s="114" t="s">
        <v>85</v>
      </c>
      <c r="I106">
        <v>7251</v>
      </c>
      <c r="J106" s="114" t="s">
        <v>1016</v>
      </c>
      <c r="K106" s="114" t="s">
        <v>110</v>
      </c>
      <c r="L106">
        <v>2572</v>
      </c>
      <c r="M106">
        <v>2569</v>
      </c>
      <c r="N106">
        <v>400</v>
      </c>
      <c r="O106" s="114" t="s">
        <v>87</v>
      </c>
      <c r="P106">
        <v>0.92633816785193401</v>
      </c>
      <c r="Q106">
        <v>0.90943447444344006</v>
      </c>
      <c r="R106">
        <v>8.0222016058715095E-2</v>
      </c>
      <c r="S106" s="114">
        <v>1.3455795418968301E-3</v>
      </c>
      <c r="T106">
        <v>-1.4168801125875301</v>
      </c>
      <c r="U106">
        <v>1.4168801125875301</v>
      </c>
      <c r="V106">
        <v>-26.4</v>
      </c>
      <c r="W106">
        <v>3.9</v>
      </c>
      <c r="X106">
        <v>35729</v>
      </c>
      <c r="Y106">
        <v>2233</v>
      </c>
      <c r="Z106">
        <v>0</v>
      </c>
      <c r="AA106">
        <v>16</v>
      </c>
      <c r="AB106">
        <v>10</v>
      </c>
      <c r="AC106">
        <v>6</v>
      </c>
      <c r="AD106">
        <v>62.5</v>
      </c>
      <c r="AE106">
        <v>14</v>
      </c>
      <c r="AF106">
        <v>4</v>
      </c>
      <c r="AG106">
        <v>3</v>
      </c>
      <c r="AH106">
        <v>9</v>
      </c>
    </row>
    <row r="107" spans="1:34">
      <c r="A107" s="110">
        <v>78</v>
      </c>
      <c r="B107">
        <v>3861</v>
      </c>
      <c r="C107" s="114" t="s">
        <v>89</v>
      </c>
      <c r="D107" s="114" t="s">
        <v>106</v>
      </c>
      <c r="E107">
        <v>621</v>
      </c>
      <c r="F107">
        <v>623</v>
      </c>
      <c r="G107">
        <v>1700</v>
      </c>
      <c r="H107" s="114" t="s">
        <v>85</v>
      </c>
      <c r="I107">
        <v>5233</v>
      </c>
      <c r="J107" s="114" t="s">
        <v>172</v>
      </c>
      <c r="K107" s="114" t="s">
        <v>133</v>
      </c>
      <c r="L107">
        <v>3360</v>
      </c>
      <c r="M107">
        <v>3490</v>
      </c>
      <c r="N107">
        <v>300</v>
      </c>
      <c r="O107" s="114" t="s">
        <v>87</v>
      </c>
      <c r="P107">
        <v>0.91378042000098603</v>
      </c>
      <c r="Q107">
        <v>0.92204789550089405</v>
      </c>
      <c r="R107" s="20">
        <v>0.22631800640178501</v>
      </c>
      <c r="S107" s="114">
        <v>0.19150629460982899</v>
      </c>
      <c r="T107">
        <v>-0.890773755310168</v>
      </c>
      <c r="U107">
        <v>0.890773755310168</v>
      </c>
      <c r="V107">
        <v>-3.24</v>
      </c>
      <c r="W107">
        <v>1.1599999999999999</v>
      </c>
      <c r="X107">
        <v>33993</v>
      </c>
      <c r="Y107">
        <v>1416</v>
      </c>
      <c r="Z107">
        <v>0.14000000000000001</v>
      </c>
      <c r="AA107">
        <v>24</v>
      </c>
      <c r="AB107">
        <v>12</v>
      </c>
      <c r="AC107">
        <v>12</v>
      </c>
      <c r="AD107">
        <v>50</v>
      </c>
      <c r="AE107">
        <v>13</v>
      </c>
      <c r="AF107">
        <v>6</v>
      </c>
      <c r="AG107">
        <v>8</v>
      </c>
      <c r="AH107">
        <v>10</v>
      </c>
    </row>
    <row r="108" spans="1:34">
      <c r="A108" s="110">
        <v>74</v>
      </c>
      <c r="B108">
        <v>5802</v>
      </c>
      <c r="C108" s="114" t="s">
        <v>160</v>
      </c>
      <c r="D108" s="114" t="s">
        <v>161</v>
      </c>
      <c r="E108">
        <v>1658.5</v>
      </c>
      <c r="F108">
        <v>1662</v>
      </c>
      <c r="G108">
        <v>600</v>
      </c>
      <c r="H108" s="114" t="s">
        <v>87</v>
      </c>
      <c r="I108">
        <v>7272</v>
      </c>
      <c r="J108" s="114" t="s">
        <v>341</v>
      </c>
      <c r="K108" s="114" t="s">
        <v>110</v>
      </c>
      <c r="L108">
        <v>2280</v>
      </c>
      <c r="M108">
        <v>2295</v>
      </c>
      <c r="N108">
        <v>400</v>
      </c>
      <c r="O108" s="114" t="s">
        <v>85</v>
      </c>
      <c r="P108">
        <v>0.92745609103476601</v>
      </c>
      <c r="Q108">
        <v>0.923493360476077</v>
      </c>
      <c r="R108">
        <v>1.6445115783940801E-2</v>
      </c>
      <c r="S108" s="114">
        <v>1.2456818903208801E-2</v>
      </c>
      <c r="T108">
        <v>1.2284668079360299</v>
      </c>
      <c r="U108">
        <v>1.2284668079360299</v>
      </c>
      <c r="V108">
        <v>3.2</v>
      </c>
      <c r="W108">
        <v>8.6300000000000008</v>
      </c>
      <c r="X108">
        <v>32314</v>
      </c>
      <c r="Y108">
        <v>1795</v>
      </c>
      <c r="Z108">
        <v>0.03</v>
      </c>
      <c r="AA108">
        <v>18</v>
      </c>
      <c r="AB108">
        <v>9</v>
      </c>
      <c r="AC108">
        <v>9</v>
      </c>
      <c r="AD108">
        <v>50</v>
      </c>
      <c r="AE108">
        <v>15</v>
      </c>
      <c r="AF108">
        <v>4</v>
      </c>
      <c r="AG108">
        <v>2</v>
      </c>
      <c r="AH108">
        <v>12</v>
      </c>
    </row>
    <row r="109" spans="1:34">
      <c r="A109" s="110">
        <v>35</v>
      </c>
      <c r="B109">
        <v>7453</v>
      </c>
      <c r="C109" s="114" t="s">
        <v>131</v>
      </c>
      <c r="D109" s="114" t="s">
        <v>122</v>
      </c>
      <c r="E109">
        <v>2471</v>
      </c>
      <c r="F109">
        <v>2509</v>
      </c>
      <c r="G109">
        <v>400</v>
      </c>
      <c r="H109" s="114" t="s">
        <v>87</v>
      </c>
      <c r="I109">
        <v>8267</v>
      </c>
      <c r="J109" s="114" t="s">
        <v>348</v>
      </c>
      <c r="K109" s="114" t="s">
        <v>122</v>
      </c>
      <c r="L109">
        <v>2219.5</v>
      </c>
      <c r="M109">
        <v>2229</v>
      </c>
      <c r="N109">
        <v>500</v>
      </c>
      <c r="O109" s="114" t="s">
        <v>85</v>
      </c>
      <c r="P109">
        <v>0.94014645660114704</v>
      </c>
      <c r="Q109">
        <v>0.93818457468001804</v>
      </c>
      <c r="R109">
        <v>4.5637989715164202E-2</v>
      </c>
      <c r="S109" s="20">
        <v>1.1735027815673899E-3</v>
      </c>
      <c r="T109">
        <v>1.46285704009705</v>
      </c>
      <c r="U109">
        <v>1.46285704009705</v>
      </c>
      <c r="V109">
        <v>7.51</v>
      </c>
      <c r="W109">
        <v>11.05</v>
      </c>
      <c r="X109">
        <v>32083</v>
      </c>
      <c r="Y109">
        <v>1689</v>
      </c>
      <c r="Z109">
        <v>0.15</v>
      </c>
      <c r="AA109">
        <v>19</v>
      </c>
      <c r="AB109">
        <v>9</v>
      </c>
      <c r="AC109">
        <v>10</v>
      </c>
      <c r="AD109">
        <v>47.37</v>
      </c>
      <c r="AE109">
        <v>12</v>
      </c>
      <c r="AF109">
        <v>6</v>
      </c>
      <c r="AG109">
        <v>3</v>
      </c>
      <c r="AH109">
        <v>10</v>
      </c>
    </row>
    <row r="110" spans="1:34">
      <c r="A110" s="110">
        <v>8</v>
      </c>
      <c r="B110">
        <v>3635</v>
      </c>
      <c r="C110" s="114" t="s">
        <v>111</v>
      </c>
      <c r="D110" s="114" t="s">
        <v>105</v>
      </c>
      <c r="E110">
        <v>2649</v>
      </c>
      <c r="F110">
        <v>2646</v>
      </c>
      <c r="G110">
        <v>400</v>
      </c>
      <c r="H110" s="114" t="s">
        <v>85</v>
      </c>
      <c r="I110">
        <v>6702</v>
      </c>
      <c r="J110" s="114" t="s">
        <v>384</v>
      </c>
      <c r="K110" s="114" t="s">
        <v>113</v>
      </c>
      <c r="L110">
        <v>10290</v>
      </c>
      <c r="M110">
        <v>10195</v>
      </c>
      <c r="N110">
        <v>100</v>
      </c>
      <c r="O110" s="114" t="s">
        <v>87</v>
      </c>
      <c r="P110">
        <v>0.95302719794028701</v>
      </c>
      <c r="Q110">
        <v>0.95244162337159199</v>
      </c>
      <c r="R110" s="20">
        <v>3.4420305591089401E-3</v>
      </c>
      <c r="S110">
        <v>5.5597195187260702E-2</v>
      </c>
      <c r="T110">
        <v>-0.68351781759948205</v>
      </c>
      <c r="U110">
        <v>0.68351781759948205</v>
      </c>
      <c r="V110">
        <v>-1.68</v>
      </c>
      <c r="W110">
        <v>3.82</v>
      </c>
      <c r="X110">
        <v>31031</v>
      </c>
      <c r="Y110">
        <v>2586</v>
      </c>
      <c r="Z110">
        <v>0.16</v>
      </c>
      <c r="AA110">
        <v>12</v>
      </c>
      <c r="AB110">
        <v>7</v>
      </c>
      <c r="AC110">
        <v>5</v>
      </c>
      <c r="AD110">
        <v>58.33</v>
      </c>
      <c r="AE110">
        <v>13</v>
      </c>
      <c r="AF110">
        <v>6</v>
      </c>
      <c r="AG110">
        <v>1</v>
      </c>
      <c r="AH110">
        <v>5</v>
      </c>
    </row>
    <row r="111" spans="1:34">
      <c r="A111" s="110">
        <v>82</v>
      </c>
      <c r="B111">
        <v>6588</v>
      </c>
      <c r="C111" s="114" t="s">
        <v>1011</v>
      </c>
      <c r="D111" s="114" t="s">
        <v>113</v>
      </c>
      <c r="E111">
        <v>4500</v>
      </c>
      <c r="F111">
        <v>4575</v>
      </c>
      <c r="G111">
        <v>100</v>
      </c>
      <c r="H111" s="114" t="s">
        <v>87</v>
      </c>
      <c r="I111">
        <v>9706</v>
      </c>
      <c r="J111" s="114" t="s">
        <v>390</v>
      </c>
      <c r="K111" s="114" t="s">
        <v>141</v>
      </c>
      <c r="L111">
        <v>5790</v>
      </c>
      <c r="M111">
        <v>5760</v>
      </c>
      <c r="N111">
        <v>100</v>
      </c>
      <c r="O111" s="114" t="s">
        <v>85</v>
      </c>
      <c r="P111">
        <v>0.968586677267951</v>
      </c>
      <c r="Q111">
        <v>0.92115565372965302</v>
      </c>
      <c r="R111" s="114">
        <v>6.6659167366854594E-2</v>
      </c>
      <c r="S111">
        <v>3.0579694065663701E-2</v>
      </c>
      <c r="T111">
        <v>2.0142080312448698</v>
      </c>
      <c r="U111">
        <v>2.0142080312448698</v>
      </c>
      <c r="V111">
        <v>7.54</v>
      </c>
      <c r="W111">
        <v>20.57</v>
      </c>
      <c r="X111">
        <v>26767</v>
      </c>
      <c r="Y111">
        <v>2059</v>
      </c>
      <c r="Z111">
        <v>0.15</v>
      </c>
      <c r="AA111">
        <v>13</v>
      </c>
      <c r="AB111">
        <v>8</v>
      </c>
      <c r="AC111">
        <v>5</v>
      </c>
      <c r="AD111">
        <v>61.54</v>
      </c>
      <c r="AE111">
        <v>11</v>
      </c>
      <c r="AF111">
        <v>5</v>
      </c>
      <c r="AG111">
        <v>4</v>
      </c>
      <c r="AH111">
        <v>4</v>
      </c>
    </row>
    <row r="112" spans="1:34">
      <c r="A112" s="110">
        <v>49</v>
      </c>
      <c r="B112">
        <v>6988</v>
      </c>
      <c r="C112" s="114" t="s">
        <v>168</v>
      </c>
      <c r="D112" s="114" t="s">
        <v>86</v>
      </c>
      <c r="E112">
        <v>6120</v>
      </c>
      <c r="F112">
        <v>6170</v>
      </c>
      <c r="G112">
        <v>100</v>
      </c>
      <c r="H112" s="114" t="s">
        <v>85</v>
      </c>
      <c r="I112">
        <v>6995</v>
      </c>
      <c r="J112" s="114" t="s">
        <v>118</v>
      </c>
      <c r="K112" s="114" t="s">
        <v>110</v>
      </c>
      <c r="L112">
        <v>2160</v>
      </c>
      <c r="M112">
        <v>2175</v>
      </c>
      <c r="N112">
        <v>300</v>
      </c>
      <c r="O112" s="114" t="s">
        <v>87</v>
      </c>
      <c r="P112">
        <v>0.95048843775780001</v>
      </c>
      <c r="Q112">
        <v>0.93206053042355397</v>
      </c>
      <c r="R112">
        <v>0.13853776836544099</v>
      </c>
      <c r="S112">
        <v>3.4765927359100401E-3</v>
      </c>
      <c r="T112">
        <v>-1.13704005409396</v>
      </c>
      <c r="U112">
        <v>1.13704005409396</v>
      </c>
      <c r="V112">
        <v>-2.92</v>
      </c>
      <c r="W112">
        <v>5.75</v>
      </c>
      <c r="X112">
        <v>22867</v>
      </c>
      <c r="Y112">
        <v>2287</v>
      </c>
      <c r="Z112">
        <v>0.11</v>
      </c>
      <c r="AA112">
        <v>10</v>
      </c>
      <c r="AB112">
        <v>7</v>
      </c>
      <c r="AC112">
        <v>3</v>
      </c>
      <c r="AD112">
        <v>70</v>
      </c>
      <c r="AE112">
        <v>13</v>
      </c>
      <c r="AF112">
        <v>2</v>
      </c>
      <c r="AG112">
        <v>2</v>
      </c>
      <c r="AH112">
        <v>6</v>
      </c>
    </row>
    <row r="113" spans="1:34">
      <c r="A113" s="110">
        <v>105</v>
      </c>
      <c r="B113">
        <v>3291</v>
      </c>
      <c r="C113" s="114" t="s">
        <v>140</v>
      </c>
      <c r="D113" s="114" t="s">
        <v>141</v>
      </c>
      <c r="E113">
        <v>1954</v>
      </c>
      <c r="F113">
        <v>1961</v>
      </c>
      <c r="G113">
        <v>500</v>
      </c>
      <c r="H113" s="114" t="s">
        <v>87</v>
      </c>
      <c r="I113">
        <v>8601</v>
      </c>
      <c r="J113" s="114" t="s">
        <v>51</v>
      </c>
      <c r="K113" s="114" t="s">
        <v>1015</v>
      </c>
      <c r="L113">
        <v>540.79999999999995</v>
      </c>
      <c r="M113">
        <v>545</v>
      </c>
      <c r="N113">
        <v>1800</v>
      </c>
      <c r="O113" s="114" t="s">
        <v>85</v>
      </c>
      <c r="P113">
        <v>0.93684305859667005</v>
      </c>
      <c r="Q113">
        <v>0.91399307945435404</v>
      </c>
      <c r="R113">
        <v>0.21462441023155199</v>
      </c>
      <c r="S113">
        <v>0.133375337703278</v>
      </c>
      <c r="T113">
        <v>0.63955679255360198</v>
      </c>
      <c r="U113">
        <v>0.63955679255360198</v>
      </c>
      <c r="V113">
        <v>0.89</v>
      </c>
      <c r="W113">
        <v>0.05</v>
      </c>
      <c r="X113">
        <v>12422</v>
      </c>
      <c r="Y113">
        <v>731</v>
      </c>
      <c r="Z113">
        <v>0.05</v>
      </c>
      <c r="AA113">
        <v>17</v>
      </c>
      <c r="AB113">
        <v>10</v>
      </c>
      <c r="AC113">
        <v>7</v>
      </c>
      <c r="AD113">
        <v>58.82</v>
      </c>
      <c r="AE113">
        <v>15</v>
      </c>
      <c r="AF113">
        <v>3</v>
      </c>
      <c r="AG113">
        <v>1</v>
      </c>
      <c r="AH113">
        <v>13</v>
      </c>
    </row>
    <row r="114" spans="1:34">
      <c r="A114" s="110">
        <v>58</v>
      </c>
      <c r="B114">
        <v>5991</v>
      </c>
      <c r="C114" s="114" t="s">
        <v>142</v>
      </c>
      <c r="D114" s="114" t="s">
        <v>143</v>
      </c>
      <c r="E114">
        <v>994</v>
      </c>
      <c r="F114">
        <v>1004</v>
      </c>
      <c r="G114">
        <v>1000</v>
      </c>
      <c r="H114" s="114" t="s">
        <v>87</v>
      </c>
      <c r="I114">
        <v>8002</v>
      </c>
      <c r="J114" s="114" t="s">
        <v>55</v>
      </c>
      <c r="K114" s="114" t="s">
        <v>128</v>
      </c>
      <c r="L114">
        <v>819.2</v>
      </c>
      <c r="M114">
        <v>826.1</v>
      </c>
      <c r="N114">
        <v>1200</v>
      </c>
      <c r="O114" s="114" t="s">
        <v>85</v>
      </c>
      <c r="P114">
        <v>0.96145445953797104</v>
      </c>
      <c r="Q114">
        <v>0.92920759114865203</v>
      </c>
      <c r="R114">
        <v>4.98702971805738E-2</v>
      </c>
      <c r="S114">
        <v>1.4850715960598299E-2</v>
      </c>
      <c r="T114">
        <v>1.4628173702816401</v>
      </c>
      <c r="U114">
        <v>1.4628173702816401</v>
      </c>
      <c r="V114">
        <v>5.33</v>
      </c>
      <c r="W114">
        <v>1.26</v>
      </c>
      <c r="X114">
        <v>10934</v>
      </c>
      <c r="Y114">
        <v>643</v>
      </c>
      <c r="Z114">
        <v>0.05</v>
      </c>
      <c r="AA114">
        <v>17</v>
      </c>
      <c r="AB114">
        <v>8</v>
      </c>
      <c r="AC114">
        <v>9</v>
      </c>
      <c r="AD114">
        <v>47.06</v>
      </c>
      <c r="AE114">
        <v>14</v>
      </c>
      <c r="AF114">
        <v>5</v>
      </c>
      <c r="AG114">
        <v>3</v>
      </c>
      <c r="AH114">
        <v>9</v>
      </c>
    </row>
    <row r="115" spans="1:34">
      <c r="A115" s="110">
        <v>121</v>
      </c>
      <c r="B115">
        <v>7205</v>
      </c>
      <c r="C115" s="114" t="s">
        <v>144</v>
      </c>
      <c r="D115" s="114" t="s">
        <v>110</v>
      </c>
      <c r="E115">
        <v>1096</v>
      </c>
      <c r="F115">
        <v>1114</v>
      </c>
      <c r="G115">
        <v>900</v>
      </c>
      <c r="H115" s="114" t="s">
        <v>87</v>
      </c>
      <c r="I115">
        <v>8002</v>
      </c>
      <c r="J115" s="114" t="s">
        <v>55</v>
      </c>
      <c r="K115" s="114" t="s">
        <v>128</v>
      </c>
      <c r="L115">
        <v>819.2</v>
      </c>
      <c r="M115">
        <v>826.1</v>
      </c>
      <c r="N115">
        <v>1200</v>
      </c>
      <c r="O115" s="114" t="s">
        <v>85</v>
      </c>
      <c r="P115">
        <v>0.95256746931360503</v>
      </c>
      <c r="Q115">
        <v>0.90984978624979196</v>
      </c>
      <c r="R115">
        <v>9.7425519473671507E-2</v>
      </c>
      <c r="S115">
        <v>5.9701879490449403E-2</v>
      </c>
      <c r="T115">
        <v>1.54572511649014</v>
      </c>
      <c r="U115">
        <v>1.54572511649014</v>
      </c>
      <c r="V115">
        <v>5.33</v>
      </c>
      <c r="W115">
        <v>1.1299999999999999</v>
      </c>
      <c r="X115">
        <v>5271</v>
      </c>
      <c r="Y115">
        <v>310</v>
      </c>
      <c r="Z115">
        <v>0.03</v>
      </c>
      <c r="AA115">
        <v>17</v>
      </c>
      <c r="AB115">
        <v>8</v>
      </c>
      <c r="AC115">
        <v>9</v>
      </c>
      <c r="AD115">
        <v>47.06</v>
      </c>
      <c r="AE115">
        <v>15</v>
      </c>
      <c r="AF115">
        <v>3</v>
      </c>
      <c r="AG115">
        <v>2</v>
      </c>
      <c r="AH115">
        <v>12</v>
      </c>
    </row>
    <row r="116" spans="1:34">
      <c r="A116" s="110">
        <v>59</v>
      </c>
      <c r="B116">
        <v>5233</v>
      </c>
      <c r="C116" s="114" t="s">
        <v>172</v>
      </c>
      <c r="D116" s="114" t="s">
        <v>133</v>
      </c>
      <c r="E116">
        <v>3360</v>
      </c>
      <c r="F116">
        <v>3490</v>
      </c>
      <c r="G116">
        <v>300</v>
      </c>
      <c r="H116" s="114" t="s">
        <v>87</v>
      </c>
      <c r="I116">
        <v>7327</v>
      </c>
      <c r="J116" s="114" t="s">
        <v>170</v>
      </c>
      <c r="K116" s="114" t="s">
        <v>108</v>
      </c>
      <c r="L116">
        <v>3005</v>
      </c>
      <c r="M116">
        <v>3010</v>
      </c>
      <c r="N116">
        <v>300</v>
      </c>
      <c r="O116" s="114" t="s">
        <v>85</v>
      </c>
      <c r="P116">
        <v>0.90557035012505704</v>
      </c>
      <c r="Q116">
        <v>0.92915065481443704</v>
      </c>
      <c r="R116">
        <v>0.32834002424467501</v>
      </c>
      <c r="S116">
        <v>2.8826579072673501E-2</v>
      </c>
      <c r="T116">
        <v>2.4067468585717999</v>
      </c>
      <c r="U116">
        <v>2.4067468585717999</v>
      </c>
      <c r="V116">
        <v>5.71</v>
      </c>
      <c r="W116">
        <v>13.75</v>
      </c>
      <c r="X116">
        <v>4195</v>
      </c>
      <c r="Y116">
        <v>2098</v>
      </c>
      <c r="Z116">
        <v>-0.01</v>
      </c>
      <c r="AA116">
        <v>2</v>
      </c>
      <c r="AB116">
        <v>1</v>
      </c>
      <c r="AC116">
        <v>1</v>
      </c>
      <c r="AD116">
        <v>50</v>
      </c>
      <c r="AE116">
        <v>10</v>
      </c>
      <c r="AF116">
        <v>1</v>
      </c>
      <c r="AG116">
        <v>1</v>
      </c>
      <c r="AH116">
        <v>0</v>
      </c>
    </row>
    <row r="117" spans="1:34">
      <c r="A117" s="110">
        <v>139</v>
      </c>
      <c r="B117">
        <v>6448</v>
      </c>
      <c r="C117" s="114" t="s">
        <v>1018</v>
      </c>
      <c r="D117" s="114" t="s">
        <v>113</v>
      </c>
      <c r="E117">
        <v>2197</v>
      </c>
      <c r="F117">
        <v>2207</v>
      </c>
      <c r="G117">
        <v>400</v>
      </c>
      <c r="H117" s="114" t="s">
        <v>85</v>
      </c>
      <c r="I117">
        <v>6965</v>
      </c>
      <c r="J117" s="114" t="s">
        <v>1019</v>
      </c>
      <c r="K117" s="114" t="s">
        <v>113</v>
      </c>
      <c r="L117">
        <v>4585</v>
      </c>
      <c r="M117">
        <v>4555</v>
      </c>
      <c r="N117">
        <v>200</v>
      </c>
      <c r="O117" s="114" t="s">
        <v>87</v>
      </c>
      <c r="P117">
        <v>0.93405066540724102</v>
      </c>
      <c r="Q117">
        <v>0.906852998913524</v>
      </c>
      <c r="R117" s="20">
        <v>0.11027012191846</v>
      </c>
      <c r="S117">
        <v>0.11012555785238</v>
      </c>
      <c r="T117">
        <v>-0.76709130886138599</v>
      </c>
      <c r="U117">
        <v>0.76709130886138599</v>
      </c>
      <c r="V117">
        <v>-1.85</v>
      </c>
      <c r="W117">
        <v>3.1</v>
      </c>
      <c r="X117">
        <v>4153</v>
      </c>
      <c r="Y117">
        <v>260</v>
      </c>
      <c r="Z117">
        <v>0.04</v>
      </c>
      <c r="AA117">
        <v>16</v>
      </c>
      <c r="AB117">
        <v>9</v>
      </c>
      <c r="AC117">
        <v>7</v>
      </c>
      <c r="AD117">
        <v>56.25</v>
      </c>
      <c r="AE117">
        <v>13</v>
      </c>
      <c r="AF117">
        <v>4</v>
      </c>
      <c r="AG117">
        <v>4</v>
      </c>
      <c r="AH117">
        <v>8</v>
      </c>
    </row>
    <row r="118" spans="1:34">
      <c r="A118" s="110">
        <v>146</v>
      </c>
      <c r="B118">
        <v>6371</v>
      </c>
      <c r="C118" s="114" t="s">
        <v>135</v>
      </c>
      <c r="D118" s="114" t="s">
        <v>126</v>
      </c>
      <c r="E118">
        <v>3865</v>
      </c>
      <c r="F118">
        <v>3875</v>
      </c>
      <c r="G118">
        <v>200</v>
      </c>
      <c r="H118" s="114" t="s">
        <v>85</v>
      </c>
      <c r="I118">
        <v>6752</v>
      </c>
      <c r="J118" s="114" t="s">
        <v>132</v>
      </c>
      <c r="K118" s="114" t="s">
        <v>113</v>
      </c>
      <c r="L118">
        <v>1040</v>
      </c>
      <c r="M118">
        <v>1044.5</v>
      </c>
      <c r="N118">
        <v>700</v>
      </c>
      <c r="O118" s="114" t="s">
        <v>87</v>
      </c>
      <c r="P118">
        <v>0.92338610311045599</v>
      </c>
      <c r="Q118">
        <v>0.90469169455814802</v>
      </c>
      <c r="R118">
        <v>0.12787115237249599</v>
      </c>
      <c r="S118">
        <v>0.119986039931511</v>
      </c>
      <c r="T118">
        <v>-1.8354549298768099</v>
      </c>
      <c r="U118">
        <v>1.8354549298768099</v>
      </c>
      <c r="V118">
        <v>-4.46</v>
      </c>
      <c r="W118">
        <v>5.66</v>
      </c>
      <c r="X118">
        <v>-1507</v>
      </c>
      <c r="Y118">
        <v>-72</v>
      </c>
      <c r="Z118">
        <v>0.03</v>
      </c>
      <c r="AA118">
        <v>21</v>
      </c>
      <c r="AB118">
        <v>9</v>
      </c>
      <c r="AC118">
        <v>12</v>
      </c>
      <c r="AD118">
        <v>42.86</v>
      </c>
      <c r="AE118">
        <v>14</v>
      </c>
      <c r="AF118">
        <v>4</v>
      </c>
      <c r="AG118">
        <v>3</v>
      </c>
      <c r="AH118">
        <v>14</v>
      </c>
    </row>
    <row r="119" spans="1:34">
      <c r="A119" s="110">
        <v>120</v>
      </c>
      <c r="B119">
        <v>2175</v>
      </c>
      <c r="C119" s="114" t="s">
        <v>377</v>
      </c>
      <c r="D119" s="114" t="s">
        <v>147</v>
      </c>
      <c r="E119">
        <v>2995</v>
      </c>
      <c r="F119">
        <v>2978</v>
      </c>
      <c r="G119">
        <v>300</v>
      </c>
      <c r="H119" s="114" t="s">
        <v>85</v>
      </c>
      <c r="I119">
        <v>6098</v>
      </c>
      <c r="J119" s="114" t="s">
        <v>392</v>
      </c>
      <c r="K119" s="114" t="s">
        <v>147</v>
      </c>
      <c r="L119">
        <v>3988</v>
      </c>
      <c r="M119">
        <v>3952</v>
      </c>
      <c r="N119">
        <v>200</v>
      </c>
      <c r="O119" s="114" t="s">
        <v>87</v>
      </c>
      <c r="P119">
        <v>0.94923978450178603</v>
      </c>
      <c r="Q119">
        <v>0.91079695644075198</v>
      </c>
      <c r="R119" s="20">
        <v>3.0061148821250398E-7</v>
      </c>
      <c r="S119">
        <v>7.0964318779417307E-2</v>
      </c>
      <c r="T119">
        <v>-0.582732150155574</v>
      </c>
      <c r="U119">
        <v>0.582732150155574</v>
      </c>
      <c r="V119">
        <v>-1.98</v>
      </c>
      <c r="W119">
        <v>13.03</v>
      </c>
      <c r="X119">
        <v>-1755</v>
      </c>
      <c r="Y119">
        <v>-103</v>
      </c>
      <c r="Z119">
        <v>0.05</v>
      </c>
      <c r="AA119">
        <v>17</v>
      </c>
      <c r="AB119">
        <v>9</v>
      </c>
      <c r="AC119">
        <v>8</v>
      </c>
      <c r="AD119">
        <v>52.94</v>
      </c>
      <c r="AE119">
        <v>10</v>
      </c>
      <c r="AF119">
        <v>8</v>
      </c>
      <c r="AG119">
        <v>5</v>
      </c>
      <c r="AH119">
        <v>4</v>
      </c>
    </row>
    <row r="120" spans="1:34">
      <c r="A120" s="110">
        <v>87</v>
      </c>
      <c r="B120">
        <v>8306</v>
      </c>
      <c r="C120" s="114" t="s">
        <v>173</v>
      </c>
      <c r="D120" s="114" t="s">
        <v>108</v>
      </c>
      <c r="E120">
        <v>583</v>
      </c>
      <c r="F120">
        <v>584.5</v>
      </c>
      <c r="G120">
        <v>1800</v>
      </c>
      <c r="H120" s="114" t="s">
        <v>87</v>
      </c>
      <c r="I120">
        <v>8411</v>
      </c>
      <c r="J120" s="114" t="s">
        <v>148</v>
      </c>
      <c r="K120" s="114" t="s">
        <v>108</v>
      </c>
      <c r="L120">
        <v>169.8</v>
      </c>
      <c r="M120">
        <v>170.1</v>
      </c>
      <c r="N120">
        <v>6200</v>
      </c>
      <c r="O120" s="114" t="s">
        <v>85</v>
      </c>
      <c r="P120">
        <v>0.95762887185834999</v>
      </c>
      <c r="Q120">
        <v>0.91869013073619898</v>
      </c>
      <c r="R120">
        <v>9.5643126451359195E-2</v>
      </c>
      <c r="S120" s="114">
        <v>0.20317272873945399</v>
      </c>
      <c r="T120">
        <v>1.53205188508886</v>
      </c>
      <c r="U120">
        <v>1.53205188508886</v>
      </c>
      <c r="V120">
        <v>2.66</v>
      </c>
      <c r="W120">
        <v>0.24</v>
      </c>
      <c r="X120">
        <v>-2779</v>
      </c>
      <c r="Y120">
        <v>-154</v>
      </c>
      <c r="Z120">
        <v>0</v>
      </c>
      <c r="AA120">
        <v>18</v>
      </c>
      <c r="AB120">
        <v>8</v>
      </c>
      <c r="AC120">
        <v>10</v>
      </c>
      <c r="AD120">
        <v>44.44</v>
      </c>
      <c r="AE120">
        <v>17</v>
      </c>
      <c r="AF120">
        <v>2</v>
      </c>
      <c r="AG120">
        <v>0</v>
      </c>
      <c r="AH120">
        <v>16</v>
      </c>
    </row>
    <row r="121" spans="1:34">
      <c r="A121" s="110">
        <v>149</v>
      </c>
      <c r="B121">
        <v>4183</v>
      </c>
      <c r="C121" s="114" t="s">
        <v>344</v>
      </c>
      <c r="D121" s="114" t="s">
        <v>86</v>
      </c>
      <c r="E121">
        <v>2649</v>
      </c>
      <c r="F121">
        <v>2638</v>
      </c>
      <c r="G121">
        <v>200</v>
      </c>
      <c r="H121" s="114" t="s">
        <v>87</v>
      </c>
      <c r="I121">
        <v>7276</v>
      </c>
      <c r="J121" s="114" t="s">
        <v>1017</v>
      </c>
      <c r="K121" s="114" t="s">
        <v>113</v>
      </c>
      <c r="L121">
        <v>5520</v>
      </c>
      <c r="M121">
        <v>5550</v>
      </c>
      <c r="N121">
        <v>100</v>
      </c>
      <c r="O121" s="114" t="s">
        <v>85</v>
      </c>
      <c r="P121">
        <v>0.94629250777349405</v>
      </c>
      <c r="Q121">
        <v>0.903383077718942</v>
      </c>
      <c r="R121" s="20">
        <v>2.0183568943255199E-2</v>
      </c>
      <c r="S121" s="20">
        <v>6.0848931501996398E-2</v>
      </c>
      <c r="T121">
        <v>1.8977004967680899</v>
      </c>
      <c r="U121">
        <v>1.8977004967680899</v>
      </c>
      <c r="V121">
        <v>2.57</v>
      </c>
      <c r="W121">
        <v>4.9400000000000004</v>
      </c>
      <c r="X121">
        <v>-2864</v>
      </c>
      <c r="Y121">
        <v>-358</v>
      </c>
      <c r="Z121">
        <v>0.02</v>
      </c>
      <c r="AA121">
        <v>8</v>
      </c>
      <c r="AB121">
        <v>2</v>
      </c>
      <c r="AC121">
        <v>6</v>
      </c>
      <c r="AD121">
        <v>25</v>
      </c>
      <c r="AE121">
        <v>11</v>
      </c>
      <c r="AF121">
        <v>2</v>
      </c>
      <c r="AG121">
        <v>2</v>
      </c>
      <c r="AH121">
        <v>4</v>
      </c>
    </row>
    <row r="122" spans="1:34">
      <c r="A122" s="110">
        <v>103</v>
      </c>
      <c r="B122">
        <v>5991</v>
      </c>
      <c r="C122" s="114" t="s">
        <v>142</v>
      </c>
      <c r="D122" s="114" t="s">
        <v>143</v>
      </c>
      <c r="E122">
        <v>994</v>
      </c>
      <c r="F122">
        <v>1004</v>
      </c>
      <c r="G122">
        <v>900</v>
      </c>
      <c r="H122" s="114" t="s">
        <v>87</v>
      </c>
      <c r="I122">
        <v>7267</v>
      </c>
      <c r="J122" s="114" t="s">
        <v>145</v>
      </c>
      <c r="K122" s="114" t="s">
        <v>110</v>
      </c>
      <c r="L122">
        <v>3129</v>
      </c>
      <c r="M122">
        <v>3129</v>
      </c>
      <c r="N122">
        <v>300</v>
      </c>
      <c r="O122" s="114" t="s">
        <v>85</v>
      </c>
      <c r="P122">
        <v>0.96161250164060397</v>
      </c>
      <c r="Q122">
        <v>0.91467852747132605</v>
      </c>
      <c r="R122" s="114">
        <v>0.135061514202299</v>
      </c>
      <c r="S122">
        <v>9.7494757346893002E-2</v>
      </c>
      <c r="T122">
        <v>2.5100843065263598</v>
      </c>
      <c r="U122">
        <v>2.5100843065263598</v>
      </c>
      <c r="V122">
        <v>6.9</v>
      </c>
      <c r="W122">
        <v>3.74</v>
      </c>
      <c r="X122">
        <v>-2961</v>
      </c>
      <c r="Y122">
        <v>-212</v>
      </c>
      <c r="Z122">
        <v>0.02</v>
      </c>
      <c r="AA122">
        <v>14</v>
      </c>
      <c r="AB122">
        <v>9</v>
      </c>
      <c r="AC122">
        <v>5</v>
      </c>
      <c r="AD122">
        <v>64.290000000000006</v>
      </c>
      <c r="AE122">
        <v>16</v>
      </c>
      <c r="AF122">
        <v>1</v>
      </c>
      <c r="AG122">
        <v>1</v>
      </c>
      <c r="AH122">
        <v>12</v>
      </c>
    </row>
    <row r="123" spans="1:34">
      <c r="A123" s="110">
        <v>69</v>
      </c>
      <c r="B123">
        <v>4183</v>
      </c>
      <c r="C123" s="114" t="s">
        <v>344</v>
      </c>
      <c r="D123" s="114" t="s">
        <v>86</v>
      </c>
      <c r="E123">
        <v>2649</v>
      </c>
      <c r="F123">
        <v>2638</v>
      </c>
      <c r="G123">
        <v>400</v>
      </c>
      <c r="H123" s="114" t="s">
        <v>85</v>
      </c>
      <c r="I123">
        <v>6301</v>
      </c>
      <c r="J123" s="114" t="s">
        <v>136</v>
      </c>
      <c r="K123" s="114" t="s">
        <v>126</v>
      </c>
      <c r="L123">
        <v>2579</v>
      </c>
      <c r="M123">
        <v>2622.5</v>
      </c>
      <c r="N123">
        <v>400</v>
      </c>
      <c r="O123" s="114" t="s">
        <v>87</v>
      </c>
      <c r="P123">
        <v>0.937246660369916</v>
      </c>
      <c r="Q123">
        <v>0.92539403618745197</v>
      </c>
      <c r="R123" s="114">
        <v>3.0127105447810901E-2</v>
      </c>
      <c r="S123">
        <v>1.19029415506253E-3</v>
      </c>
      <c r="T123">
        <v>-0.39086529970871398</v>
      </c>
      <c r="U123">
        <v>0.39086529970871398</v>
      </c>
      <c r="V123">
        <v>-0.63</v>
      </c>
      <c r="W123">
        <v>0.59</v>
      </c>
      <c r="X123">
        <v>-3844</v>
      </c>
      <c r="Y123">
        <v>-384</v>
      </c>
      <c r="Z123">
        <v>0.04</v>
      </c>
      <c r="AA123">
        <v>10</v>
      </c>
      <c r="AB123">
        <v>6</v>
      </c>
      <c r="AC123">
        <v>4</v>
      </c>
      <c r="AD123">
        <v>60</v>
      </c>
      <c r="AE123">
        <v>15</v>
      </c>
      <c r="AF123">
        <v>1</v>
      </c>
      <c r="AG123">
        <v>1</v>
      </c>
      <c r="AH123">
        <v>8</v>
      </c>
    </row>
    <row r="124" spans="1:34">
      <c r="A124" s="110">
        <v>15</v>
      </c>
      <c r="B124">
        <v>4062</v>
      </c>
      <c r="C124" s="114" t="s">
        <v>374</v>
      </c>
      <c r="D124" s="114" t="s">
        <v>113</v>
      </c>
      <c r="E124">
        <v>2551</v>
      </c>
      <c r="F124">
        <v>2556</v>
      </c>
      <c r="G124">
        <v>400</v>
      </c>
      <c r="H124" s="114" t="s">
        <v>85</v>
      </c>
      <c r="I124">
        <v>6920</v>
      </c>
      <c r="J124" s="114" t="s">
        <v>112</v>
      </c>
      <c r="K124" s="114" t="s">
        <v>113</v>
      </c>
      <c r="L124">
        <v>9850</v>
      </c>
      <c r="M124">
        <v>9850</v>
      </c>
      <c r="N124">
        <v>100</v>
      </c>
      <c r="O124" s="114" t="s">
        <v>87</v>
      </c>
      <c r="P124">
        <v>0.92046311928045099</v>
      </c>
      <c r="Q124">
        <v>0.94773087978398896</v>
      </c>
      <c r="R124">
        <v>0.26943800938653201</v>
      </c>
      <c r="S124">
        <v>5.2717322610251097E-2</v>
      </c>
      <c r="T124">
        <v>-2.33442838942333</v>
      </c>
      <c r="U124">
        <v>2.33442838942333</v>
      </c>
      <c r="V124">
        <v>-20.07</v>
      </c>
      <c r="W124">
        <v>3.8</v>
      </c>
      <c r="X124">
        <v>-4708</v>
      </c>
      <c r="Y124">
        <v>-262</v>
      </c>
      <c r="Z124">
        <v>-0.02</v>
      </c>
      <c r="AA124">
        <v>18</v>
      </c>
      <c r="AB124">
        <v>9</v>
      </c>
      <c r="AC124">
        <v>9</v>
      </c>
      <c r="AD124">
        <v>50</v>
      </c>
      <c r="AE124">
        <v>10</v>
      </c>
      <c r="AF124">
        <v>8</v>
      </c>
      <c r="AG124">
        <v>7</v>
      </c>
      <c r="AH124">
        <v>3</v>
      </c>
    </row>
    <row r="125" spans="1:34">
      <c r="A125" s="110">
        <v>50</v>
      </c>
      <c r="B125">
        <v>6752</v>
      </c>
      <c r="C125" s="114" t="s">
        <v>132</v>
      </c>
      <c r="D125" s="114" t="s">
        <v>113</v>
      </c>
      <c r="E125">
        <v>1040</v>
      </c>
      <c r="F125">
        <v>1044.5</v>
      </c>
      <c r="G125">
        <v>1000</v>
      </c>
      <c r="H125" s="114" t="s">
        <v>87</v>
      </c>
      <c r="I125">
        <v>8002</v>
      </c>
      <c r="J125" s="114" t="s">
        <v>55</v>
      </c>
      <c r="K125" s="114" t="s">
        <v>128</v>
      </c>
      <c r="L125">
        <v>819.2</v>
      </c>
      <c r="M125">
        <v>826.1</v>
      </c>
      <c r="N125">
        <v>1300</v>
      </c>
      <c r="O125" s="114" t="s">
        <v>85</v>
      </c>
      <c r="P125">
        <v>0.91288709427494996</v>
      </c>
      <c r="Q125">
        <v>0.93168021498953602</v>
      </c>
      <c r="R125" s="20">
        <v>9.3716747478779699E-2</v>
      </c>
      <c r="S125" s="20">
        <v>6.3140672013906598E-3</v>
      </c>
      <c r="T125">
        <v>1.20265409929181</v>
      </c>
      <c r="U125">
        <v>1.20265409929181</v>
      </c>
      <c r="V125">
        <v>2.93</v>
      </c>
      <c r="W125">
        <v>2.82</v>
      </c>
      <c r="X125">
        <v>-4844</v>
      </c>
      <c r="Y125">
        <v>-231</v>
      </c>
      <c r="Z125">
        <v>-0.02</v>
      </c>
      <c r="AA125">
        <v>21</v>
      </c>
      <c r="AB125">
        <v>11</v>
      </c>
      <c r="AC125">
        <v>10</v>
      </c>
      <c r="AD125">
        <v>52.38</v>
      </c>
      <c r="AE125">
        <v>15</v>
      </c>
      <c r="AF125">
        <v>5</v>
      </c>
      <c r="AG125">
        <v>4</v>
      </c>
      <c r="AH125">
        <v>12</v>
      </c>
    </row>
    <row r="126" spans="1:34">
      <c r="A126" s="110">
        <v>70</v>
      </c>
      <c r="B126">
        <v>2222</v>
      </c>
      <c r="C126" s="114" t="s">
        <v>368</v>
      </c>
      <c r="D126" s="114" t="s">
        <v>124</v>
      </c>
      <c r="E126">
        <v>7660</v>
      </c>
      <c r="F126">
        <v>7620</v>
      </c>
      <c r="G126">
        <v>100</v>
      </c>
      <c r="H126" s="114" t="s">
        <v>87</v>
      </c>
      <c r="I126">
        <v>4516</v>
      </c>
      <c r="J126" s="114" t="s">
        <v>369</v>
      </c>
      <c r="K126" s="114" t="s">
        <v>165</v>
      </c>
      <c r="L126">
        <v>9920</v>
      </c>
      <c r="M126">
        <v>9670</v>
      </c>
      <c r="N126">
        <v>100</v>
      </c>
      <c r="O126" s="114" t="s">
        <v>85</v>
      </c>
      <c r="P126">
        <v>0.90829858285458898</v>
      </c>
      <c r="Q126">
        <v>0.92536976043341901</v>
      </c>
      <c r="R126">
        <v>6.6431755915141396E-4</v>
      </c>
      <c r="S126" s="20">
        <v>6.04466397824737E-2</v>
      </c>
      <c r="T126">
        <v>0.46962423139183201</v>
      </c>
      <c r="U126">
        <v>0.46962423139183201</v>
      </c>
      <c r="V126">
        <v>0.99</v>
      </c>
      <c r="W126">
        <v>21.2</v>
      </c>
      <c r="X126">
        <v>-6765</v>
      </c>
      <c r="Y126">
        <v>-966</v>
      </c>
      <c r="Z126">
        <v>-0.1</v>
      </c>
      <c r="AA126">
        <v>7</v>
      </c>
      <c r="AB126">
        <v>4</v>
      </c>
      <c r="AC126">
        <v>3</v>
      </c>
      <c r="AD126">
        <v>57.14</v>
      </c>
      <c r="AE126">
        <v>7</v>
      </c>
      <c r="AF126">
        <v>3</v>
      </c>
      <c r="AG126">
        <v>3</v>
      </c>
      <c r="AH126">
        <v>1</v>
      </c>
    </row>
    <row r="127" spans="1:34">
      <c r="A127" s="110">
        <v>155</v>
      </c>
      <c r="B127">
        <v>6473</v>
      </c>
      <c r="C127" s="114" t="s">
        <v>162</v>
      </c>
      <c r="D127" s="114" t="s">
        <v>126</v>
      </c>
      <c r="E127">
        <v>1362</v>
      </c>
      <c r="F127">
        <v>1365</v>
      </c>
      <c r="G127">
        <v>500</v>
      </c>
      <c r="H127" s="114" t="s">
        <v>85</v>
      </c>
      <c r="I127">
        <v>6988</v>
      </c>
      <c r="J127" s="114" t="s">
        <v>168</v>
      </c>
      <c r="K127" s="114" t="s">
        <v>86</v>
      </c>
      <c r="L127">
        <v>6120</v>
      </c>
      <c r="M127">
        <v>6170</v>
      </c>
      <c r="N127">
        <v>100</v>
      </c>
      <c r="O127" s="114" t="s">
        <v>87</v>
      </c>
      <c r="P127">
        <v>0.93521735391569005</v>
      </c>
      <c r="Q127">
        <v>0.90139587027976398</v>
      </c>
      <c r="R127">
        <v>2.63738376330593E-2</v>
      </c>
      <c r="S127" s="114">
        <v>2.79921760230608E-2</v>
      </c>
      <c r="T127">
        <v>-1.75727846614309</v>
      </c>
      <c r="U127">
        <v>1.75727846614309</v>
      </c>
      <c r="V127">
        <v>-4.59</v>
      </c>
      <c r="W127">
        <v>10.62</v>
      </c>
      <c r="X127">
        <v>-8814</v>
      </c>
      <c r="Y127">
        <v>-630</v>
      </c>
      <c r="Z127">
        <v>-0.16</v>
      </c>
      <c r="AA127">
        <v>14</v>
      </c>
      <c r="AB127">
        <v>6</v>
      </c>
      <c r="AC127">
        <v>8</v>
      </c>
      <c r="AD127">
        <v>42.86</v>
      </c>
      <c r="AE127">
        <v>14</v>
      </c>
      <c r="AF127">
        <v>4</v>
      </c>
      <c r="AG127">
        <v>1</v>
      </c>
      <c r="AH127">
        <v>9</v>
      </c>
    </row>
    <row r="128" spans="1:34">
      <c r="A128" s="110">
        <v>98</v>
      </c>
      <c r="B128">
        <v>5333</v>
      </c>
      <c r="C128" s="114" t="s">
        <v>387</v>
      </c>
      <c r="D128" s="114" t="s">
        <v>133</v>
      </c>
      <c r="E128">
        <v>1874</v>
      </c>
      <c r="F128">
        <v>1892</v>
      </c>
      <c r="G128">
        <v>600</v>
      </c>
      <c r="H128" s="114" t="s">
        <v>85</v>
      </c>
      <c r="I128">
        <v>5393</v>
      </c>
      <c r="J128" s="114" t="s">
        <v>385</v>
      </c>
      <c r="K128" s="114" t="s">
        <v>133</v>
      </c>
      <c r="L128">
        <v>2624</v>
      </c>
      <c r="M128">
        <v>2622</v>
      </c>
      <c r="N128">
        <v>400</v>
      </c>
      <c r="O128" s="114" t="s">
        <v>87</v>
      </c>
      <c r="P128">
        <v>0.95509453817517198</v>
      </c>
      <c r="Q128">
        <v>0.91684718583761404</v>
      </c>
      <c r="R128">
        <v>6.0048077794048499E-2</v>
      </c>
      <c r="S128">
        <v>8.4098257406971201E-4</v>
      </c>
      <c r="T128">
        <v>-1.09336009594697</v>
      </c>
      <c r="U128">
        <v>1.09336009594697</v>
      </c>
      <c r="V128">
        <v>-7.77</v>
      </c>
      <c r="W128">
        <v>8.24</v>
      </c>
      <c r="X128">
        <v>-11690</v>
      </c>
      <c r="Y128">
        <v>-584</v>
      </c>
      <c r="Z128">
        <v>-0.01</v>
      </c>
      <c r="AA128">
        <v>20</v>
      </c>
      <c r="AB128">
        <v>12</v>
      </c>
      <c r="AC128">
        <v>8</v>
      </c>
      <c r="AD128">
        <v>60</v>
      </c>
      <c r="AE128">
        <v>11</v>
      </c>
      <c r="AF128">
        <v>7</v>
      </c>
      <c r="AG128">
        <v>8</v>
      </c>
      <c r="AH128">
        <v>5</v>
      </c>
    </row>
    <row r="129" spans="1:34">
      <c r="A129" s="110">
        <v>144</v>
      </c>
      <c r="B129">
        <v>6988</v>
      </c>
      <c r="C129" s="114" t="s">
        <v>168</v>
      </c>
      <c r="D129" s="114" t="s">
        <v>86</v>
      </c>
      <c r="E129">
        <v>6120</v>
      </c>
      <c r="F129">
        <v>6170</v>
      </c>
      <c r="G129">
        <v>100</v>
      </c>
      <c r="H129" s="114" t="s">
        <v>85</v>
      </c>
      <c r="I129">
        <v>8002</v>
      </c>
      <c r="J129" s="114" t="s">
        <v>55</v>
      </c>
      <c r="K129" s="114" t="s">
        <v>128</v>
      </c>
      <c r="L129">
        <v>819.2</v>
      </c>
      <c r="M129">
        <v>826.1</v>
      </c>
      <c r="N129">
        <v>700</v>
      </c>
      <c r="O129" s="114" t="s">
        <v>87</v>
      </c>
      <c r="P129">
        <v>0.90842629942966802</v>
      </c>
      <c r="Q129">
        <v>0.90526045867764904</v>
      </c>
      <c r="R129">
        <v>0.35431367969071398</v>
      </c>
      <c r="S129" s="114">
        <v>0.190488511234122</v>
      </c>
      <c r="T129">
        <v>-1.7119612392931902E-2</v>
      </c>
      <c r="U129">
        <v>1.7119612392931902E-2</v>
      </c>
      <c r="V129">
        <v>-0.06</v>
      </c>
      <c r="W129">
        <v>6.28</v>
      </c>
      <c r="X129">
        <v>-13492</v>
      </c>
      <c r="Y129">
        <v>-750</v>
      </c>
      <c r="Z129">
        <v>-0.19</v>
      </c>
      <c r="AA129">
        <v>18</v>
      </c>
      <c r="AB129">
        <v>8</v>
      </c>
      <c r="AC129">
        <v>10</v>
      </c>
      <c r="AD129">
        <v>44.44</v>
      </c>
      <c r="AE129">
        <v>13</v>
      </c>
      <c r="AF129">
        <v>6</v>
      </c>
      <c r="AG129">
        <v>4</v>
      </c>
      <c r="AH129">
        <v>8</v>
      </c>
    </row>
    <row r="130" spans="1:34">
      <c r="A130" s="110">
        <v>134</v>
      </c>
      <c r="B130">
        <v>4183</v>
      </c>
      <c r="C130" s="114" t="s">
        <v>344</v>
      </c>
      <c r="D130" s="114" t="s">
        <v>86</v>
      </c>
      <c r="E130">
        <v>2649</v>
      </c>
      <c r="F130">
        <v>2638</v>
      </c>
      <c r="G130">
        <v>400</v>
      </c>
      <c r="H130" s="114" t="s">
        <v>85</v>
      </c>
      <c r="I130">
        <v>7762</v>
      </c>
      <c r="J130" s="114" t="s">
        <v>134</v>
      </c>
      <c r="K130" s="114" t="s">
        <v>120</v>
      </c>
      <c r="L130">
        <v>602</v>
      </c>
      <c r="M130">
        <v>600</v>
      </c>
      <c r="N130">
        <v>1800</v>
      </c>
      <c r="O130" s="114" t="s">
        <v>87</v>
      </c>
      <c r="P130">
        <v>0.91497292010392905</v>
      </c>
      <c r="Q130">
        <v>0.90773458458588996</v>
      </c>
      <c r="R130" s="20">
        <v>0.20428126925725301</v>
      </c>
      <c r="S130">
        <v>2.18421893187732E-3</v>
      </c>
      <c r="T130">
        <v>-1.3657702102440299</v>
      </c>
      <c r="U130">
        <v>1.3657702102440299</v>
      </c>
      <c r="V130">
        <v>-3.33</v>
      </c>
      <c r="W130">
        <v>2.35</v>
      </c>
      <c r="X130">
        <v>-15256</v>
      </c>
      <c r="Y130">
        <v>-1174</v>
      </c>
      <c r="Z130">
        <v>-0.12</v>
      </c>
      <c r="AA130">
        <v>13</v>
      </c>
      <c r="AB130">
        <v>7</v>
      </c>
      <c r="AC130">
        <v>6</v>
      </c>
      <c r="AD130">
        <v>53.85</v>
      </c>
      <c r="AE130">
        <v>15</v>
      </c>
      <c r="AF130">
        <v>3</v>
      </c>
      <c r="AG130">
        <v>4</v>
      </c>
      <c r="AH130">
        <v>6</v>
      </c>
    </row>
    <row r="131" spans="1:34">
      <c r="A131" s="110">
        <v>27</v>
      </c>
      <c r="B131">
        <v>1928</v>
      </c>
      <c r="C131" s="114" t="s">
        <v>346</v>
      </c>
      <c r="D131" s="114" t="s">
        <v>103</v>
      </c>
      <c r="E131">
        <v>2410</v>
      </c>
      <c r="F131">
        <v>2399.5</v>
      </c>
      <c r="G131">
        <v>300</v>
      </c>
      <c r="H131" s="114" t="s">
        <v>85</v>
      </c>
      <c r="I131">
        <v>4613</v>
      </c>
      <c r="J131" s="114" t="s">
        <v>365</v>
      </c>
      <c r="K131" s="114" t="s">
        <v>86</v>
      </c>
      <c r="L131">
        <v>2769</v>
      </c>
      <c r="M131">
        <v>2788</v>
      </c>
      <c r="N131">
        <v>300</v>
      </c>
      <c r="O131" s="114" t="s">
        <v>87</v>
      </c>
      <c r="P131">
        <v>0.95417649120895098</v>
      </c>
      <c r="Q131">
        <v>0.94185368245080203</v>
      </c>
      <c r="R131" s="20">
        <v>3.5617143950070901E-2</v>
      </c>
      <c r="S131" s="114">
        <v>7.9367354449590505E-2</v>
      </c>
      <c r="T131">
        <v>-0.347818239151163</v>
      </c>
      <c r="U131">
        <v>0.347818239151163</v>
      </c>
      <c r="V131">
        <v>-0.63</v>
      </c>
      <c r="W131">
        <v>13.93</v>
      </c>
      <c r="X131">
        <v>-16022</v>
      </c>
      <c r="Y131">
        <v>-1232</v>
      </c>
      <c r="Z131">
        <v>-0.04</v>
      </c>
      <c r="AA131">
        <v>13</v>
      </c>
      <c r="AB131">
        <v>7</v>
      </c>
      <c r="AC131">
        <v>6</v>
      </c>
      <c r="AD131">
        <v>53.85</v>
      </c>
      <c r="AE131">
        <v>13</v>
      </c>
      <c r="AF131">
        <v>5</v>
      </c>
      <c r="AG131">
        <v>3</v>
      </c>
      <c r="AH131">
        <v>5</v>
      </c>
    </row>
    <row r="132" spans="1:34">
      <c r="A132" s="110">
        <v>81</v>
      </c>
      <c r="B132">
        <v>6457</v>
      </c>
      <c r="C132" s="114" t="s">
        <v>358</v>
      </c>
      <c r="D132" s="114" t="s">
        <v>126</v>
      </c>
      <c r="E132">
        <v>3330</v>
      </c>
      <c r="F132">
        <v>3305</v>
      </c>
      <c r="G132">
        <v>300</v>
      </c>
      <c r="H132" s="114" t="s">
        <v>85</v>
      </c>
      <c r="I132">
        <v>6845</v>
      </c>
      <c r="J132" s="114" t="s">
        <v>351</v>
      </c>
      <c r="K132" s="114" t="s">
        <v>113</v>
      </c>
      <c r="L132">
        <v>3145</v>
      </c>
      <c r="M132">
        <v>3130</v>
      </c>
      <c r="N132">
        <v>300</v>
      </c>
      <c r="O132" s="114" t="s">
        <v>87</v>
      </c>
      <c r="P132">
        <v>0.94063084303988898</v>
      </c>
      <c r="Q132">
        <v>0.92118617418188098</v>
      </c>
      <c r="R132">
        <v>6.1685494284711801E-3</v>
      </c>
      <c r="S132" s="20">
        <v>5.9869560519126702E-2</v>
      </c>
      <c r="T132">
        <v>-1.2016633554697599E-2</v>
      </c>
      <c r="U132">
        <v>1.2016633554697599E-2</v>
      </c>
      <c r="V132">
        <v>-0.02</v>
      </c>
      <c r="W132">
        <v>5.3</v>
      </c>
      <c r="X132">
        <v>-22683</v>
      </c>
      <c r="Y132">
        <v>-2062</v>
      </c>
      <c r="Z132">
        <v>-0.06</v>
      </c>
      <c r="AA132">
        <v>11</v>
      </c>
      <c r="AB132">
        <v>6</v>
      </c>
      <c r="AC132">
        <v>5</v>
      </c>
      <c r="AD132">
        <v>54.55</v>
      </c>
      <c r="AE132">
        <v>15</v>
      </c>
      <c r="AF132">
        <v>2</v>
      </c>
      <c r="AG132">
        <v>1</v>
      </c>
      <c r="AH132">
        <v>8</v>
      </c>
    </row>
    <row r="133" spans="1:34">
      <c r="A133" s="110">
        <v>47</v>
      </c>
      <c r="B133">
        <v>1928</v>
      </c>
      <c r="C133" s="114" t="s">
        <v>346</v>
      </c>
      <c r="D133" s="114" t="s">
        <v>103</v>
      </c>
      <c r="E133">
        <v>2410</v>
      </c>
      <c r="F133">
        <v>2399.5</v>
      </c>
      <c r="G133">
        <v>300</v>
      </c>
      <c r="H133" s="114" t="s">
        <v>87</v>
      </c>
      <c r="I133">
        <v>7649</v>
      </c>
      <c r="J133" s="114" t="s">
        <v>386</v>
      </c>
      <c r="K133" s="114" t="s">
        <v>122</v>
      </c>
      <c r="L133">
        <v>6190</v>
      </c>
      <c r="M133">
        <v>6130</v>
      </c>
      <c r="N133">
        <v>100</v>
      </c>
      <c r="O133" s="114" t="s">
        <v>85</v>
      </c>
      <c r="P133">
        <v>0.91359240695180899</v>
      </c>
      <c r="Q133">
        <v>0.93266476398055298</v>
      </c>
      <c r="R133">
        <v>9.4664809237029995E-2</v>
      </c>
      <c r="S133" s="114">
        <v>0.13125831390621001</v>
      </c>
      <c r="T133">
        <v>1.5003100178616999</v>
      </c>
      <c r="U133">
        <v>1.5003100178616999</v>
      </c>
      <c r="V133">
        <v>6.61</v>
      </c>
      <c r="W133">
        <v>17.43</v>
      </c>
      <c r="X133">
        <v>-23765</v>
      </c>
      <c r="Y133">
        <v>-1828</v>
      </c>
      <c r="Z133">
        <v>7.0000000000000007E-2</v>
      </c>
      <c r="AA133">
        <v>13</v>
      </c>
      <c r="AB133">
        <v>7</v>
      </c>
      <c r="AC133">
        <v>6</v>
      </c>
      <c r="AD133">
        <v>53.85</v>
      </c>
      <c r="AE133">
        <v>13</v>
      </c>
      <c r="AF133">
        <v>4</v>
      </c>
      <c r="AG133">
        <v>3</v>
      </c>
      <c r="AH133">
        <v>6</v>
      </c>
    </row>
    <row r="134" spans="1:34">
      <c r="A134" s="110">
        <v>132</v>
      </c>
      <c r="B134">
        <v>6371</v>
      </c>
      <c r="C134" s="114" t="s">
        <v>135</v>
      </c>
      <c r="D134" s="114" t="s">
        <v>126</v>
      </c>
      <c r="E134">
        <v>3865</v>
      </c>
      <c r="F134">
        <v>3875</v>
      </c>
      <c r="G134">
        <v>200</v>
      </c>
      <c r="H134" s="114" t="s">
        <v>85</v>
      </c>
      <c r="I134">
        <v>7272</v>
      </c>
      <c r="J134" s="114" t="s">
        <v>341</v>
      </c>
      <c r="K134" s="114" t="s">
        <v>110</v>
      </c>
      <c r="L134">
        <v>2280</v>
      </c>
      <c r="M134">
        <v>2295</v>
      </c>
      <c r="N134">
        <v>300</v>
      </c>
      <c r="O134" s="114" t="s">
        <v>87</v>
      </c>
      <c r="P134">
        <v>0.906374928240825</v>
      </c>
      <c r="Q134">
        <v>0.90802379541718004</v>
      </c>
      <c r="R134">
        <v>0.23115319175475599</v>
      </c>
      <c r="S134">
        <v>1.1134843046883299E-2</v>
      </c>
      <c r="T134">
        <v>-0.90322592816426595</v>
      </c>
      <c r="U134">
        <v>0.90322592816426595</v>
      </c>
      <c r="V134">
        <v>-3.59</v>
      </c>
      <c r="W134">
        <v>11.16</v>
      </c>
      <c r="X134">
        <v>-28954</v>
      </c>
      <c r="Y134">
        <v>-2632</v>
      </c>
      <c r="Z134">
        <v>-0.13</v>
      </c>
      <c r="AA134">
        <v>11</v>
      </c>
      <c r="AB134">
        <v>6</v>
      </c>
      <c r="AC134">
        <v>5</v>
      </c>
      <c r="AD134">
        <v>54.55</v>
      </c>
      <c r="AE134">
        <v>13</v>
      </c>
      <c r="AF134">
        <v>3</v>
      </c>
      <c r="AG134">
        <v>3</v>
      </c>
      <c r="AH134">
        <v>5</v>
      </c>
    </row>
    <row r="135" spans="1:34">
      <c r="A135" s="110">
        <v>62</v>
      </c>
      <c r="B135">
        <v>2914</v>
      </c>
      <c r="C135" s="114" t="s">
        <v>123</v>
      </c>
      <c r="D135" s="114" t="s">
        <v>124</v>
      </c>
      <c r="E135">
        <v>2520</v>
      </c>
      <c r="F135">
        <v>2497</v>
      </c>
      <c r="G135">
        <v>300</v>
      </c>
      <c r="H135" s="114" t="s">
        <v>85</v>
      </c>
      <c r="I135">
        <v>4507</v>
      </c>
      <c r="J135" s="114" t="s">
        <v>1096</v>
      </c>
      <c r="K135" s="114" t="s">
        <v>165</v>
      </c>
      <c r="L135">
        <v>6425</v>
      </c>
      <c r="M135">
        <v>6466</v>
      </c>
      <c r="N135">
        <v>100</v>
      </c>
      <c r="O135" s="114" t="s">
        <v>87</v>
      </c>
      <c r="P135">
        <v>0.90050379190111596</v>
      </c>
      <c r="Q135">
        <v>0.92677099298513699</v>
      </c>
      <c r="R135" s="20">
        <v>0.101249209391286</v>
      </c>
      <c r="S135">
        <v>1.2351635665349299E-3</v>
      </c>
      <c r="T135">
        <v>-0.865192685684254</v>
      </c>
      <c r="U135">
        <v>0.865192685684254</v>
      </c>
      <c r="V135">
        <v>-1.48</v>
      </c>
      <c r="W135">
        <v>15.85</v>
      </c>
      <c r="X135">
        <v>-30523</v>
      </c>
      <c r="Y135">
        <v>-5087</v>
      </c>
      <c r="Z135">
        <v>-0.76</v>
      </c>
      <c r="AA135">
        <v>6</v>
      </c>
      <c r="AB135">
        <v>3</v>
      </c>
      <c r="AC135">
        <v>3</v>
      </c>
      <c r="AD135">
        <v>50</v>
      </c>
      <c r="AE135">
        <v>11</v>
      </c>
      <c r="AF135">
        <v>2</v>
      </c>
      <c r="AG135">
        <v>3</v>
      </c>
      <c r="AH135">
        <v>1</v>
      </c>
    </row>
    <row r="136" spans="1:34">
      <c r="A136" s="110">
        <v>106</v>
      </c>
      <c r="B136">
        <v>5463</v>
      </c>
      <c r="C136" s="114" t="s">
        <v>171</v>
      </c>
      <c r="D136" s="114" t="s">
        <v>119</v>
      </c>
      <c r="E136">
        <v>3160</v>
      </c>
      <c r="F136">
        <v>3160</v>
      </c>
      <c r="G136">
        <v>300</v>
      </c>
      <c r="H136" s="114" t="s">
        <v>87</v>
      </c>
      <c r="I136">
        <v>7167</v>
      </c>
      <c r="J136" s="114" t="s">
        <v>127</v>
      </c>
      <c r="K136" s="114" t="s">
        <v>108</v>
      </c>
      <c r="L136">
        <v>281</v>
      </c>
      <c r="M136">
        <v>283</v>
      </c>
      <c r="N136">
        <v>3300</v>
      </c>
      <c r="O136" s="114" t="s">
        <v>85</v>
      </c>
      <c r="P136">
        <v>0.90720608899623301</v>
      </c>
      <c r="Q136">
        <v>0.91373805356901905</v>
      </c>
      <c r="R136">
        <v>0.20328533479160399</v>
      </c>
      <c r="S136" s="114">
        <v>1.3515546328231201E-2</v>
      </c>
      <c r="T136" s="114">
        <v>1.06851603797705</v>
      </c>
      <c r="U136" s="114">
        <v>1.06851603797705</v>
      </c>
      <c r="V136">
        <v>2.78</v>
      </c>
      <c r="W136">
        <v>1.49</v>
      </c>
      <c r="X136">
        <v>-41684</v>
      </c>
      <c r="Y136">
        <v>-2605</v>
      </c>
      <c r="Z136">
        <v>-0.15</v>
      </c>
      <c r="AA136">
        <v>16</v>
      </c>
      <c r="AB136">
        <v>8</v>
      </c>
      <c r="AC136">
        <v>8</v>
      </c>
      <c r="AD136">
        <v>50</v>
      </c>
      <c r="AE136">
        <v>14</v>
      </c>
      <c r="AF136">
        <v>3</v>
      </c>
      <c r="AG136">
        <v>3</v>
      </c>
      <c r="AH136">
        <v>10</v>
      </c>
    </row>
    <row r="137" spans="1:34">
      <c r="A137" s="110">
        <v>145</v>
      </c>
      <c r="B137">
        <v>1911</v>
      </c>
      <c r="C137" s="114" t="s">
        <v>130</v>
      </c>
      <c r="D137" s="114" t="s">
        <v>103</v>
      </c>
      <c r="E137">
        <v>1614</v>
      </c>
      <c r="F137">
        <v>1624</v>
      </c>
      <c r="G137">
        <v>700</v>
      </c>
      <c r="H137" s="114" t="s">
        <v>87</v>
      </c>
      <c r="I137">
        <v>4634</v>
      </c>
      <c r="J137" s="114" t="s">
        <v>169</v>
      </c>
      <c r="K137" s="114" t="s">
        <v>86</v>
      </c>
      <c r="L137">
        <v>2681</v>
      </c>
      <c r="M137">
        <v>2654</v>
      </c>
      <c r="N137">
        <v>400</v>
      </c>
      <c r="O137" s="114" t="s">
        <v>85</v>
      </c>
      <c r="P137">
        <v>0.95589882305470197</v>
      </c>
      <c r="Q137">
        <v>0.90506347652954799</v>
      </c>
      <c r="R137">
        <v>0.34203533793489599</v>
      </c>
      <c r="S137" s="114">
        <v>0.20547360094106501</v>
      </c>
      <c r="T137">
        <v>2.3185520655478702</v>
      </c>
      <c r="U137">
        <v>2.3185520655478702</v>
      </c>
      <c r="V137">
        <v>3.68</v>
      </c>
      <c r="W137">
        <v>7.08</v>
      </c>
      <c r="X137">
        <v>-53382</v>
      </c>
      <c r="Y137">
        <v>-3336</v>
      </c>
      <c r="Z137">
        <v>-0.19</v>
      </c>
      <c r="AA137">
        <v>16</v>
      </c>
      <c r="AB137">
        <v>7</v>
      </c>
      <c r="AC137">
        <v>9</v>
      </c>
      <c r="AD137">
        <v>43.75</v>
      </c>
      <c r="AE137">
        <v>14</v>
      </c>
      <c r="AF137">
        <v>3</v>
      </c>
      <c r="AG137">
        <v>2</v>
      </c>
      <c r="AH137">
        <v>11</v>
      </c>
    </row>
    <row r="138" spans="1:34">
      <c r="A138" s="110">
        <v>28</v>
      </c>
      <c r="B138">
        <v>6457</v>
      </c>
      <c r="C138" s="114" t="s">
        <v>358</v>
      </c>
      <c r="D138" s="114" t="s">
        <v>126</v>
      </c>
      <c r="E138">
        <v>3330</v>
      </c>
      <c r="F138">
        <v>3305</v>
      </c>
      <c r="G138">
        <v>200</v>
      </c>
      <c r="H138" s="114" t="s">
        <v>87</v>
      </c>
      <c r="I138">
        <v>7203</v>
      </c>
      <c r="J138" s="114" t="s">
        <v>381</v>
      </c>
      <c r="K138" s="114" t="s">
        <v>110</v>
      </c>
      <c r="L138">
        <v>7804</v>
      </c>
      <c r="M138">
        <v>7769</v>
      </c>
      <c r="N138">
        <v>100</v>
      </c>
      <c r="O138" s="114" t="s">
        <v>85</v>
      </c>
      <c r="P138">
        <v>0.945273307080162</v>
      </c>
      <c r="Q138">
        <v>0.94165909635006895</v>
      </c>
      <c r="R138">
        <v>8.3845528737672398E-2</v>
      </c>
      <c r="S138">
        <v>4.5935324039213299E-2</v>
      </c>
      <c r="T138">
        <v>0.51063685605634401</v>
      </c>
      <c r="U138">
        <v>0.51063685605634401</v>
      </c>
      <c r="V138">
        <v>0.91</v>
      </c>
      <c r="W138">
        <v>14.92</v>
      </c>
      <c r="X138">
        <v>-61118</v>
      </c>
      <c r="Y138">
        <v>-12224</v>
      </c>
      <c r="Z138">
        <v>-0.8</v>
      </c>
      <c r="AA138">
        <v>5</v>
      </c>
      <c r="AB138">
        <v>2</v>
      </c>
      <c r="AC138">
        <v>3</v>
      </c>
      <c r="AD138">
        <v>40</v>
      </c>
      <c r="AE138">
        <v>14</v>
      </c>
      <c r="AF138">
        <v>2</v>
      </c>
      <c r="AG138">
        <v>3</v>
      </c>
      <c r="AH138">
        <v>0</v>
      </c>
    </row>
    <row r="139" spans="1:34">
      <c r="A139" s="110">
        <v>23</v>
      </c>
      <c r="B139">
        <v>5802</v>
      </c>
      <c r="C139" s="114" t="s">
        <v>160</v>
      </c>
      <c r="D139" s="114" t="s">
        <v>161</v>
      </c>
      <c r="E139">
        <v>1658.5</v>
      </c>
      <c r="F139">
        <v>1662</v>
      </c>
      <c r="G139">
        <v>600</v>
      </c>
      <c r="H139" s="114" t="s">
        <v>87</v>
      </c>
      <c r="I139">
        <v>8002</v>
      </c>
      <c r="J139" s="114" t="s">
        <v>55</v>
      </c>
      <c r="K139" s="114" t="s">
        <v>128</v>
      </c>
      <c r="L139">
        <v>819.2</v>
      </c>
      <c r="M139">
        <v>826.1</v>
      </c>
      <c r="N139">
        <v>1200</v>
      </c>
      <c r="O139" s="114" t="s">
        <v>85</v>
      </c>
      <c r="P139">
        <v>0.94722400807796903</v>
      </c>
      <c r="Q139">
        <v>0.94277368718394905</v>
      </c>
      <c r="R139">
        <v>0.278403041657526</v>
      </c>
      <c r="S139">
        <v>6.0998447756327699E-3</v>
      </c>
      <c r="T139">
        <v>1.6681717649750301</v>
      </c>
      <c r="U139">
        <v>1.6681717649750301</v>
      </c>
      <c r="V139">
        <v>5.22</v>
      </c>
      <c r="W139">
        <v>0.59</v>
      </c>
      <c r="X139">
        <v>-65152</v>
      </c>
      <c r="Y139">
        <v>-4072</v>
      </c>
      <c r="Z139">
        <v>-0.19</v>
      </c>
      <c r="AA139">
        <v>16</v>
      </c>
      <c r="AB139">
        <v>7</v>
      </c>
      <c r="AC139">
        <v>9</v>
      </c>
      <c r="AD139">
        <v>43.75</v>
      </c>
      <c r="AE139">
        <v>15</v>
      </c>
      <c r="AF139">
        <v>3</v>
      </c>
      <c r="AG139">
        <v>2</v>
      </c>
      <c r="AH139">
        <v>11</v>
      </c>
    </row>
    <row r="140" spans="1:34">
      <c r="A140" s="110">
        <v>18</v>
      </c>
      <c r="B140">
        <v>6471</v>
      </c>
      <c r="C140" s="114" t="s">
        <v>167</v>
      </c>
      <c r="D140" s="114" t="s">
        <v>126</v>
      </c>
      <c r="E140">
        <v>1061</v>
      </c>
      <c r="F140">
        <v>1065</v>
      </c>
      <c r="G140">
        <v>1000</v>
      </c>
      <c r="H140" s="114" t="s">
        <v>87</v>
      </c>
      <c r="I140">
        <v>6472</v>
      </c>
      <c r="J140" s="114" t="s">
        <v>163</v>
      </c>
      <c r="K140" s="114" t="s">
        <v>126</v>
      </c>
      <c r="L140">
        <v>341</v>
      </c>
      <c r="M140">
        <v>341</v>
      </c>
      <c r="N140">
        <v>3100</v>
      </c>
      <c r="O140" s="114" t="s">
        <v>85</v>
      </c>
      <c r="P140">
        <v>0.92966937428029595</v>
      </c>
      <c r="Q140">
        <v>0.94613467486636205</v>
      </c>
      <c r="R140" s="20">
        <v>0.25680362637695597</v>
      </c>
      <c r="S140">
        <v>0.23345543698885801</v>
      </c>
      <c r="T140">
        <v>1.2832457970696201</v>
      </c>
      <c r="U140">
        <v>1.2832457970696201</v>
      </c>
      <c r="V140">
        <v>2.86</v>
      </c>
      <c r="W140">
        <v>0.74</v>
      </c>
      <c r="X140">
        <v>-68265</v>
      </c>
      <c r="Y140">
        <v>-4016</v>
      </c>
      <c r="Z140">
        <v>-0.21</v>
      </c>
      <c r="AA140">
        <v>17</v>
      </c>
      <c r="AB140">
        <v>8</v>
      </c>
      <c r="AC140">
        <v>9</v>
      </c>
      <c r="AD140">
        <v>47.06</v>
      </c>
      <c r="AE140">
        <v>17</v>
      </c>
      <c r="AF140">
        <v>2</v>
      </c>
      <c r="AG140">
        <v>3</v>
      </c>
      <c r="AH140">
        <v>12</v>
      </c>
    </row>
    <row r="141" spans="1:34">
      <c r="A141" s="110">
        <v>119</v>
      </c>
      <c r="B141">
        <v>3231</v>
      </c>
      <c r="C141" s="114" t="s">
        <v>1020</v>
      </c>
      <c r="D141" s="114" t="s">
        <v>141</v>
      </c>
      <c r="E141">
        <v>2670</v>
      </c>
      <c r="F141">
        <v>2677</v>
      </c>
      <c r="G141">
        <v>300</v>
      </c>
      <c r="H141" s="114" t="s">
        <v>85</v>
      </c>
      <c r="I141">
        <v>6951</v>
      </c>
      <c r="J141" s="114" t="s">
        <v>370</v>
      </c>
      <c r="K141" s="114" t="s">
        <v>113</v>
      </c>
      <c r="L141">
        <v>3120</v>
      </c>
      <c r="M141">
        <v>3100</v>
      </c>
      <c r="N141">
        <v>300</v>
      </c>
      <c r="O141" s="114" t="s">
        <v>87</v>
      </c>
      <c r="P141">
        <v>0.93996786920273601</v>
      </c>
      <c r="Q141">
        <v>0.91081006925541996</v>
      </c>
      <c r="R141" s="20">
        <v>6.7168437311201395E-2</v>
      </c>
      <c r="S141">
        <v>4.7545806099060201E-2</v>
      </c>
      <c r="T141">
        <v>-1.0963013812370099</v>
      </c>
      <c r="U141">
        <v>1.0963013812370099</v>
      </c>
      <c r="V141">
        <v>-5.12</v>
      </c>
      <c r="W141">
        <v>13.65</v>
      </c>
      <c r="X141">
        <v>-82032</v>
      </c>
      <c r="Y141">
        <v>-5127</v>
      </c>
      <c r="Z141">
        <v>-0.21</v>
      </c>
      <c r="AA141">
        <v>16</v>
      </c>
      <c r="AB141">
        <v>9</v>
      </c>
      <c r="AC141">
        <v>7</v>
      </c>
      <c r="AD141">
        <v>56.25</v>
      </c>
      <c r="AE141">
        <v>8</v>
      </c>
      <c r="AF141">
        <v>7</v>
      </c>
      <c r="AG141">
        <v>6</v>
      </c>
      <c r="AH141">
        <v>3</v>
      </c>
    </row>
    <row r="142" spans="1:34">
      <c r="A142" s="110">
        <v>94</v>
      </c>
      <c r="B142">
        <v>6752</v>
      </c>
      <c r="C142" s="114" t="s">
        <v>132</v>
      </c>
      <c r="D142" s="114" t="s">
        <v>113</v>
      </c>
      <c r="E142">
        <v>1040</v>
      </c>
      <c r="F142">
        <v>1044.5</v>
      </c>
      <c r="G142">
        <v>1000</v>
      </c>
      <c r="H142" s="114" t="s">
        <v>87</v>
      </c>
      <c r="I142">
        <v>8795</v>
      </c>
      <c r="J142" s="114" t="s">
        <v>164</v>
      </c>
      <c r="K142" s="114" t="s">
        <v>137</v>
      </c>
      <c r="L142">
        <v>1329</v>
      </c>
      <c r="M142">
        <v>1343</v>
      </c>
      <c r="N142">
        <v>800</v>
      </c>
      <c r="O142" s="114" t="s">
        <v>85</v>
      </c>
      <c r="P142">
        <v>0.92144275878931703</v>
      </c>
      <c r="Q142">
        <v>0.91770353089859003</v>
      </c>
      <c r="R142">
        <v>5.6632656544637699E-2</v>
      </c>
      <c r="S142" s="20">
        <v>2.2441079682314201E-2</v>
      </c>
      <c r="T142">
        <v>0.16021438164493099</v>
      </c>
      <c r="U142">
        <v>0.16021438164493099</v>
      </c>
      <c r="V142">
        <v>0.44</v>
      </c>
      <c r="W142">
        <v>2.78</v>
      </c>
      <c r="X142">
        <v>-86216</v>
      </c>
      <c r="Y142">
        <v>-5388</v>
      </c>
      <c r="Z142">
        <v>-0.22</v>
      </c>
      <c r="AA142">
        <v>16</v>
      </c>
      <c r="AB142">
        <v>6</v>
      </c>
      <c r="AC142">
        <v>10</v>
      </c>
      <c r="AD142">
        <v>37.5</v>
      </c>
      <c r="AE142">
        <v>14</v>
      </c>
      <c r="AF142">
        <v>4</v>
      </c>
      <c r="AG142">
        <v>5</v>
      </c>
      <c r="AH142">
        <v>7</v>
      </c>
    </row>
    <row r="143" spans="1:34">
      <c r="A143" s="110">
        <v>160</v>
      </c>
      <c r="B143">
        <v>8410</v>
      </c>
      <c r="C143" s="114" t="s">
        <v>343</v>
      </c>
      <c r="D143" s="114" t="s">
        <v>108</v>
      </c>
      <c r="E143">
        <v>346</v>
      </c>
      <c r="F143">
        <v>349</v>
      </c>
      <c r="G143">
        <v>3100</v>
      </c>
      <c r="H143" s="114" t="s">
        <v>87</v>
      </c>
      <c r="I143">
        <v>9412</v>
      </c>
      <c r="J143" s="114" t="s">
        <v>104</v>
      </c>
      <c r="K143" s="114" t="s">
        <v>105</v>
      </c>
      <c r="L143">
        <v>467</v>
      </c>
      <c r="M143">
        <v>470</v>
      </c>
      <c r="N143">
        <v>2300</v>
      </c>
      <c r="O143" s="114" t="s">
        <v>85</v>
      </c>
      <c r="P143">
        <v>0.91887363662797605</v>
      </c>
      <c r="Q143">
        <v>0.90031486346553602</v>
      </c>
      <c r="R143">
        <v>1.6633128041827099E-3</v>
      </c>
      <c r="S143">
        <v>3.7420293832084899E-4</v>
      </c>
      <c r="T143">
        <v>2.1997289414113101</v>
      </c>
      <c r="U143">
        <v>2.1997289414113101</v>
      </c>
      <c r="V143">
        <v>7.36</v>
      </c>
      <c r="W143">
        <v>0.08</v>
      </c>
      <c r="X143">
        <v>-93985</v>
      </c>
      <c r="Y143">
        <v>-4947</v>
      </c>
      <c r="Z143">
        <v>-0.23</v>
      </c>
      <c r="AA143">
        <v>19</v>
      </c>
      <c r="AB143">
        <v>8</v>
      </c>
      <c r="AC143">
        <v>11</v>
      </c>
      <c r="AD143">
        <v>42.11</v>
      </c>
      <c r="AE143">
        <v>14</v>
      </c>
      <c r="AF143">
        <v>5</v>
      </c>
      <c r="AG143">
        <v>3</v>
      </c>
      <c r="AH143">
        <v>11</v>
      </c>
    </row>
    <row r="144" spans="1:34">
      <c r="A144" s="110">
        <v>133</v>
      </c>
      <c r="B144">
        <v>5334</v>
      </c>
      <c r="C144" s="114" t="s">
        <v>345</v>
      </c>
      <c r="D144" s="114" t="s">
        <v>133</v>
      </c>
      <c r="E144">
        <v>2176</v>
      </c>
      <c r="F144">
        <v>2201</v>
      </c>
      <c r="G144">
        <v>400</v>
      </c>
      <c r="H144" s="114" t="s">
        <v>85</v>
      </c>
      <c r="I144">
        <v>6923</v>
      </c>
      <c r="J144" s="114" t="s">
        <v>139</v>
      </c>
      <c r="K144" s="114" t="s">
        <v>113</v>
      </c>
      <c r="L144">
        <v>3115</v>
      </c>
      <c r="M144">
        <v>3115</v>
      </c>
      <c r="N144">
        <v>300</v>
      </c>
      <c r="O144" s="114" t="s">
        <v>87</v>
      </c>
      <c r="P144">
        <v>0.90609896994087602</v>
      </c>
      <c r="Q144">
        <v>0.90786719896602797</v>
      </c>
      <c r="R144">
        <v>0.11645346256672599</v>
      </c>
      <c r="S144">
        <v>9.7475236097254295E-2</v>
      </c>
      <c r="T144">
        <v>-0.59792973589121901</v>
      </c>
      <c r="U144">
        <v>0.59792973589121901</v>
      </c>
      <c r="V144">
        <v>-1.43</v>
      </c>
      <c r="W144">
        <v>5.79</v>
      </c>
      <c r="X144">
        <v>-100321</v>
      </c>
      <c r="Y144">
        <v>-7717</v>
      </c>
      <c r="Z144">
        <v>-0.36</v>
      </c>
      <c r="AA144">
        <v>13</v>
      </c>
      <c r="AB144">
        <v>7</v>
      </c>
      <c r="AC144">
        <v>6</v>
      </c>
      <c r="AD144">
        <v>53.85</v>
      </c>
      <c r="AE144">
        <v>13</v>
      </c>
      <c r="AF144">
        <v>3</v>
      </c>
      <c r="AG144">
        <v>3</v>
      </c>
      <c r="AH144">
        <v>7</v>
      </c>
    </row>
    <row r="145" spans="1:34">
      <c r="A145" s="110">
        <v>140</v>
      </c>
      <c r="B145">
        <v>4202</v>
      </c>
      <c r="C145" s="114" t="s">
        <v>116</v>
      </c>
      <c r="D145" s="114" t="s">
        <v>86</v>
      </c>
      <c r="E145">
        <v>1074</v>
      </c>
      <c r="F145">
        <v>1071</v>
      </c>
      <c r="G145">
        <v>700</v>
      </c>
      <c r="H145" s="114" t="s">
        <v>87</v>
      </c>
      <c r="I145">
        <v>6371</v>
      </c>
      <c r="J145" s="114" t="s">
        <v>135</v>
      </c>
      <c r="K145" s="114" t="s">
        <v>126</v>
      </c>
      <c r="L145">
        <v>3865</v>
      </c>
      <c r="M145">
        <v>3875</v>
      </c>
      <c r="N145">
        <v>200</v>
      </c>
      <c r="O145" s="114" t="s">
        <v>85</v>
      </c>
      <c r="P145">
        <v>0.946244181169136</v>
      </c>
      <c r="Q145">
        <v>0.90669959561783697</v>
      </c>
      <c r="R145" s="114">
        <v>0.12977680162512201</v>
      </c>
      <c r="S145">
        <v>0.21582245075023601</v>
      </c>
      <c r="T145">
        <v>0.54383751137284597</v>
      </c>
      <c r="U145">
        <v>0.54383751137284597</v>
      </c>
      <c r="V145">
        <v>2.64</v>
      </c>
      <c r="W145">
        <v>3.26</v>
      </c>
      <c r="X145">
        <v>-110166</v>
      </c>
      <c r="Y145">
        <v>-6885</v>
      </c>
      <c r="Z145">
        <v>-0.47</v>
      </c>
      <c r="AA145">
        <v>16</v>
      </c>
      <c r="AB145">
        <v>5</v>
      </c>
      <c r="AC145">
        <v>11</v>
      </c>
      <c r="AD145">
        <v>31.25</v>
      </c>
      <c r="AE145">
        <v>14</v>
      </c>
      <c r="AF145">
        <v>3</v>
      </c>
      <c r="AG145">
        <v>5</v>
      </c>
      <c r="AH145">
        <v>8</v>
      </c>
    </row>
    <row r="146" spans="1:34">
      <c r="A146" s="110">
        <v>113</v>
      </c>
      <c r="B146">
        <v>4204</v>
      </c>
      <c r="C146" s="114" t="s">
        <v>372</v>
      </c>
      <c r="D146" s="114" t="s">
        <v>86</v>
      </c>
      <c r="E146">
        <v>1911</v>
      </c>
      <c r="F146">
        <v>1923</v>
      </c>
      <c r="G146">
        <v>400</v>
      </c>
      <c r="H146" s="114" t="s">
        <v>85</v>
      </c>
      <c r="I146">
        <v>5947</v>
      </c>
      <c r="J146" s="114" t="s">
        <v>373</v>
      </c>
      <c r="K146" s="114" t="s">
        <v>143</v>
      </c>
      <c r="L146">
        <v>8430</v>
      </c>
      <c r="M146">
        <v>8430</v>
      </c>
      <c r="N146">
        <v>100</v>
      </c>
      <c r="O146" s="114" t="s">
        <v>87</v>
      </c>
      <c r="P146">
        <v>0.93661165621992404</v>
      </c>
      <c r="Q146">
        <v>0.91267404516502004</v>
      </c>
      <c r="R146">
        <v>0.130560485723548</v>
      </c>
      <c r="S146">
        <v>2.3968803575154401E-3</v>
      </c>
      <c r="T146">
        <v>-0.27080577844852599</v>
      </c>
      <c r="U146">
        <v>0.27080577844852599</v>
      </c>
      <c r="V146">
        <v>-0.65</v>
      </c>
      <c r="W146">
        <v>8.75</v>
      </c>
      <c r="X146">
        <v>-110401</v>
      </c>
      <c r="Y146">
        <v>-7886</v>
      </c>
      <c r="Z146">
        <v>-0.25</v>
      </c>
      <c r="AA146">
        <v>14</v>
      </c>
      <c r="AB146">
        <v>7</v>
      </c>
      <c r="AC146">
        <v>7</v>
      </c>
      <c r="AD146">
        <v>50</v>
      </c>
      <c r="AE146">
        <v>16</v>
      </c>
      <c r="AF146">
        <v>4</v>
      </c>
      <c r="AG146">
        <v>2</v>
      </c>
      <c r="AH146">
        <v>8</v>
      </c>
    </row>
    <row r="147" spans="1:34">
      <c r="A147" s="110">
        <v>72</v>
      </c>
      <c r="B147">
        <v>6702</v>
      </c>
      <c r="C147" s="114" t="s">
        <v>384</v>
      </c>
      <c r="D147" s="114" t="s">
        <v>113</v>
      </c>
      <c r="E147">
        <v>10290</v>
      </c>
      <c r="F147">
        <v>10195</v>
      </c>
      <c r="G147">
        <v>100</v>
      </c>
      <c r="H147" s="114" t="s">
        <v>87</v>
      </c>
      <c r="I147">
        <v>6845</v>
      </c>
      <c r="J147" s="114" t="s">
        <v>351</v>
      </c>
      <c r="K147" s="114" t="s">
        <v>113</v>
      </c>
      <c r="L147">
        <v>3145</v>
      </c>
      <c r="M147">
        <v>3130</v>
      </c>
      <c r="N147">
        <v>300</v>
      </c>
      <c r="O147" s="114" t="s">
        <v>85</v>
      </c>
      <c r="P147">
        <v>0.90965315735751495</v>
      </c>
      <c r="Q147">
        <v>0.92406300005308595</v>
      </c>
      <c r="R147">
        <v>0.108411426207801</v>
      </c>
      <c r="S147">
        <v>1.0977414896164999E-2</v>
      </c>
      <c r="T147">
        <v>2.4252495544811699</v>
      </c>
      <c r="U147">
        <v>2.4252495544811699</v>
      </c>
      <c r="V147">
        <v>6.2</v>
      </c>
      <c r="W147">
        <v>7.9</v>
      </c>
      <c r="X147">
        <v>-115725</v>
      </c>
      <c r="Y147">
        <v>-9644</v>
      </c>
      <c r="Z147">
        <v>-0.71</v>
      </c>
      <c r="AA147">
        <v>12</v>
      </c>
      <c r="AB147">
        <v>5</v>
      </c>
      <c r="AC147">
        <v>7</v>
      </c>
      <c r="AD147">
        <v>41.67</v>
      </c>
      <c r="AE147">
        <v>13</v>
      </c>
      <c r="AF147">
        <v>4</v>
      </c>
      <c r="AG147">
        <v>3</v>
      </c>
      <c r="AH147">
        <v>5</v>
      </c>
    </row>
    <row r="148" spans="1:34">
      <c r="A148" s="110">
        <v>40</v>
      </c>
      <c r="B148">
        <v>4062</v>
      </c>
      <c r="C148" s="114" t="s">
        <v>374</v>
      </c>
      <c r="D148" s="114" t="s">
        <v>113</v>
      </c>
      <c r="E148">
        <v>2551</v>
      </c>
      <c r="F148">
        <v>2556</v>
      </c>
      <c r="G148">
        <v>400</v>
      </c>
      <c r="H148" s="114" t="s">
        <v>85</v>
      </c>
      <c r="I148">
        <v>6951</v>
      </c>
      <c r="J148" s="114" t="s">
        <v>370</v>
      </c>
      <c r="K148" s="114" t="s">
        <v>113</v>
      </c>
      <c r="L148">
        <v>3120</v>
      </c>
      <c r="M148">
        <v>3100</v>
      </c>
      <c r="N148">
        <v>300</v>
      </c>
      <c r="O148" s="114" t="s">
        <v>87</v>
      </c>
      <c r="P148">
        <v>0.94592237928378697</v>
      </c>
      <c r="Q148">
        <v>0.93558674750124005</v>
      </c>
      <c r="R148">
        <v>9.4071424420667807E-2</v>
      </c>
      <c r="S148" s="20">
        <v>7.8988038852099193E-2</v>
      </c>
      <c r="T148">
        <v>-1.2757924353891701</v>
      </c>
      <c r="U148">
        <v>1.2757924353891701</v>
      </c>
      <c r="V148">
        <v>-3.74</v>
      </c>
      <c r="W148">
        <v>9.94</v>
      </c>
      <c r="X148">
        <v>-118052</v>
      </c>
      <c r="Y148">
        <v>-7870</v>
      </c>
      <c r="Z148">
        <v>-0.41</v>
      </c>
      <c r="AA148">
        <v>15</v>
      </c>
      <c r="AB148">
        <v>7</v>
      </c>
      <c r="AC148">
        <v>8</v>
      </c>
      <c r="AD148">
        <v>46.67</v>
      </c>
      <c r="AE148">
        <v>12</v>
      </c>
      <c r="AF148">
        <v>5</v>
      </c>
      <c r="AG148">
        <v>6</v>
      </c>
      <c r="AH148">
        <v>4</v>
      </c>
    </row>
    <row r="149" spans="1:34">
      <c r="A149" s="110">
        <v>100</v>
      </c>
      <c r="B149">
        <v>6457</v>
      </c>
      <c r="C149" s="114" t="s">
        <v>358</v>
      </c>
      <c r="D149" s="114" t="s">
        <v>126</v>
      </c>
      <c r="E149">
        <v>3330</v>
      </c>
      <c r="F149">
        <v>3305</v>
      </c>
      <c r="G149">
        <v>300</v>
      </c>
      <c r="H149" s="114" t="s">
        <v>85</v>
      </c>
      <c r="I149">
        <v>8425</v>
      </c>
      <c r="J149" s="114" t="s">
        <v>364</v>
      </c>
      <c r="K149" s="114" t="s">
        <v>340</v>
      </c>
      <c r="L149">
        <v>3270</v>
      </c>
      <c r="M149">
        <v>3255</v>
      </c>
      <c r="N149">
        <v>300</v>
      </c>
      <c r="O149" s="114" t="s">
        <v>87</v>
      </c>
      <c r="P149">
        <v>0.90243546834312005</v>
      </c>
      <c r="Q149">
        <v>0.91591917126501798</v>
      </c>
      <c r="R149">
        <v>6.8368660520958399E-2</v>
      </c>
      <c r="S149">
        <v>3.1718587734705102E-2</v>
      </c>
      <c r="T149">
        <v>-1.23278237472356</v>
      </c>
      <c r="U149">
        <v>1.23278237472356</v>
      </c>
      <c r="V149">
        <v>-3.15</v>
      </c>
      <c r="W149">
        <v>1.51</v>
      </c>
      <c r="X149">
        <v>-123764</v>
      </c>
      <c r="Y149">
        <v>-9520</v>
      </c>
      <c r="Z149">
        <v>-0.56999999999999995</v>
      </c>
      <c r="AA149">
        <v>13</v>
      </c>
      <c r="AB149">
        <v>5</v>
      </c>
      <c r="AC149">
        <v>8</v>
      </c>
      <c r="AD149">
        <v>38.46</v>
      </c>
      <c r="AE149">
        <v>15</v>
      </c>
      <c r="AF149">
        <v>1</v>
      </c>
      <c r="AG149">
        <v>4</v>
      </c>
      <c r="AH149">
        <v>8</v>
      </c>
    </row>
    <row r="150" spans="1:34">
      <c r="A150" s="110">
        <v>71</v>
      </c>
      <c r="B150">
        <v>7189</v>
      </c>
      <c r="C150" s="114" t="s">
        <v>107</v>
      </c>
      <c r="D150" s="114" t="s">
        <v>108</v>
      </c>
      <c r="E150">
        <v>854</v>
      </c>
      <c r="F150">
        <v>862</v>
      </c>
      <c r="G150">
        <v>1200</v>
      </c>
      <c r="H150" s="114" t="s">
        <v>87</v>
      </c>
      <c r="I150">
        <v>8377</v>
      </c>
      <c r="J150" s="114" t="s">
        <v>121</v>
      </c>
      <c r="K150" s="114" t="s">
        <v>108</v>
      </c>
      <c r="L150">
        <v>1133</v>
      </c>
      <c r="M150">
        <v>1129</v>
      </c>
      <c r="N150">
        <v>900</v>
      </c>
      <c r="O150" s="114" t="s">
        <v>85</v>
      </c>
      <c r="P150">
        <v>0.96210858840559199</v>
      </c>
      <c r="Q150">
        <v>0.92428885790197401</v>
      </c>
      <c r="R150">
        <v>0.10300376714616701</v>
      </c>
      <c r="S150">
        <v>0.269857737121866</v>
      </c>
      <c r="T150">
        <v>1.16978094231508</v>
      </c>
      <c r="U150">
        <v>1.16978094231508</v>
      </c>
      <c r="V150">
        <v>4.95</v>
      </c>
      <c r="W150">
        <v>1.8</v>
      </c>
      <c r="X150">
        <v>-129434</v>
      </c>
      <c r="Y150">
        <v>-6812</v>
      </c>
      <c r="Z150">
        <v>-0.3</v>
      </c>
      <c r="AA150">
        <v>19</v>
      </c>
      <c r="AB150">
        <v>9</v>
      </c>
      <c r="AC150">
        <v>10</v>
      </c>
      <c r="AD150">
        <v>47.37</v>
      </c>
      <c r="AE150">
        <v>15</v>
      </c>
      <c r="AF150">
        <v>3</v>
      </c>
      <c r="AG150">
        <v>4</v>
      </c>
      <c r="AH150">
        <v>12</v>
      </c>
    </row>
    <row r="151" spans="1:34">
      <c r="A151" s="110">
        <v>107</v>
      </c>
      <c r="B151">
        <v>3635</v>
      </c>
      <c r="C151" s="114" t="s">
        <v>111</v>
      </c>
      <c r="D151" s="114" t="s">
        <v>105</v>
      </c>
      <c r="E151">
        <v>2649</v>
      </c>
      <c r="F151">
        <v>2646</v>
      </c>
      <c r="G151">
        <v>300</v>
      </c>
      <c r="H151" s="114" t="s">
        <v>85</v>
      </c>
      <c r="I151">
        <v>6588</v>
      </c>
      <c r="J151" s="114" t="s">
        <v>1011</v>
      </c>
      <c r="K151" s="114" t="s">
        <v>113</v>
      </c>
      <c r="L151">
        <v>4500</v>
      </c>
      <c r="M151">
        <v>4575</v>
      </c>
      <c r="N151">
        <v>200</v>
      </c>
      <c r="O151" s="114" t="s">
        <v>87</v>
      </c>
      <c r="P151">
        <v>0.95915901302681095</v>
      </c>
      <c r="Q151">
        <v>0.91358845817835999</v>
      </c>
      <c r="R151">
        <v>1.0378440658822499E-2</v>
      </c>
      <c r="S151">
        <v>0.15086588150772101</v>
      </c>
      <c r="T151">
        <v>-1.73659186014459</v>
      </c>
      <c r="U151">
        <v>1.73659186014459</v>
      </c>
      <c r="V151">
        <v>-14.21</v>
      </c>
      <c r="W151">
        <v>13.25</v>
      </c>
      <c r="X151">
        <v>-149155</v>
      </c>
      <c r="Y151">
        <v>-16573</v>
      </c>
      <c r="Z151">
        <v>-0.94</v>
      </c>
      <c r="AA151">
        <v>9</v>
      </c>
      <c r="AB151">
        <v>4</v>
      </c>
      <c r="AC151">
        <v>5</v>
      </c>
      <c r="AD151">
        <v>44.44</v>
      </c>
      <c r="AE151">
        <v>12</v>
      </c>
      <c r="AF151">
        <v>1</v>
      </c>
      <c r="AG151">
        <v>3</v>
      </c>
      <c r="AH151">
        <v>5</v>
      </c>
    </row>
    <row r="152" spans="1:34">
      <c r="A152" s="110">
        <v>52</v>
      </c>
      <c r="B152">
        <v>4182</v>
      </c>
      <c r="C152" s="114" t="s">
        <v>114</v>
      </c>
      <c r="D152" s="114" t="s">
        <v>86</v>
      </c>
      <c r="E152">
        <v>1681</v>
      </c>
      <c r="F152">
        <v>1674</v>
      </c>
      <c r="G152">
        <v>700</v>
      </c>
      <c r="H152" s="114" t="s">
        <v>87</v>
      </c>
      <c r="I152">
        <v>9072</v>
      </c>
      <c r="J152" s="114" t="s">
        <v>155</v>
      </c>
      <c r="K152" s="114" t="s">
        <v>146</v>
      </c>
      <c r="L152">
        <v>2725</v>
      </c>
      <c r="M152">
        <v>2730</v>
      </c>
      <c r="N152">
        <v>400</v>
      </c>
      <c r="O152" s="114" t="s">
        <v>85</v>
      </c>
      <c r="P152">
        <v>0.95304163471358005</v>
      </c>
      <c r="Q152">
        <v>0.930938070925594</v>
      </c>
      <c r="R152" s="20">
        <v>1.40611027861672E-2</v>
      </c>
      <c r="S152" s="20">
        <v>9.1340464578123804E-5</v>
      </c>
      <c r="T152">
        <v>1.07249442506238</v>
      </c>
      <c r="U152">
        <v>1.07249442506238</v>
      </c>
      <c r="V152">
        <v>5.75</v>
      </c>
      <c r="W152">
        <v>7.31</v>
      </c>
      <c r="X152">
        <v>-153106</v>
      </c>
      <c r="Y152">
        <v>-9006</v>
      </c>
      <c r="Z152">
        <v>-0.41</v>
      </c>
      <c r="AA152">
        <v>17</v>
      </c>
      <c r="AB152">
        <v>6</v>
      </c>
      <c r="AC152">
        <v>11</v>
      </c>
      <c r="AD152">
        <v>35.29</v>
      </c>
      <c r="AE152">
        <v>13</v>
      </c>
      <c r="AF152">
        <v>6</v>
      </c>
      <c r="AG152">
        <v>5</v>
      </c>
      <c r="AH152">
        <v>6</v>
      </c>
    </row>
    <row r="153" spans="1:34">
      <c r="A153" s="110">
        <v>29</v>
      </c>
      <c r="B153">
        <v>7267</v>
      </c>
      <c r="C153" s="114" t="s">
        <v>145</v>
      </c>
      <c r="D153" s="114" t="s">
        <v>110</v>
      </c>
      <c r="E153">
        <v>3129</v>
      </c>
      <c r="F153">
        <v>3129</v>
      </c>
      <c r="G153">
        <v>300</v>
      </c>
      <c r="H153" s="114" t="s">
        <v>85</v>
      </c>
      <c r="I153">
        <v>8002</v>
      </c>
      <c r="J153" s="114" t="s">
        <v>55</v>
      </c>
      <c r="K153" s="114" t="s">
        <v>128</v>
      </c>
      <c r="L153">
        <v>819.2</v>
      </c>
      <c r="M153">
        <v>826.1</v>
      </c>
      <c r="N153">
        <v>1100</v>
      </c>
      <c r="O153" s="114" t="s">
        <v>87</v>
      </c>
      <c r="P153">
        <v>0.95512025651243904</v>
      </c>
      <c r="Q153">
        <v>0.94136903023259599</v>
      </c>
      <c r="R153" s="114">
        <v>1.8075004975164899E-2</v>
      </c>
      <c r="S153" s="20">
        <v>7.68282708678487E-4</v>
      </c>
      <c r="T153">
        <v>-0.74759604890367803</v>
      </c>
      <c r="U153">
        <v>0.74759604890367803</v>
      </c>
      <c r="V153">
        <v>-1.68</v>
      </c>
      <c r="W153">
        <v>3.19</v>
      </c>
      <c r="X153">
        <v>-183458</v>
      </c>
      <c r="Y153">
        <v>-12231</v>
      </c>
      <c r="Z153">
        <v>-0.72</v>
      </c>
      <c r="AA153">
        <v>15</v>
      </c>
      <c r="AB153">
        <v>6</v>
      </c>
      <c r="AC153">
        <v>9</v>
      </c>
      <c r="AD153">
        <v>40</v>
      </c>
      <c r="AE153">
        <v>16</v>
      </c>
      <c r="AF153">
        <v>0</v>
      </c>
      <c r="AG153">
        <v>3</v>
      </c>
      <c r="AH153">
        <v>12</v>
      </c>
    </row>
    <row r="154" spans="1:34">
      <c r="A154" s="110">
        <v>68</v>
      </c>
      <c r="B154">
        <v>3038</v>
      </c>
      <c r="C154" s="114" t="s">
        <v>391</v>
      </c>
      <c r="D154" s="114" t="s">
        <v>128</v>
      </c>
      <c r="E154">
        <v>3345</v>
      </c>
      <c r="F154">
        <v>3300</v>
      </c>
      <c r="G154">
        <v>200</v>
      </c>
      <c r="H154" s="114" t="s">
        <v>87</v>
      </c>
      <c r="I154">
        <v>6098</v>
      </c>
      <c r="J154" s="114" t="s">
        <v>392</v>
      </c>
      <c r="K154" s="114" t="s">
        <v>147</v>
      </c>
      <c r="L154">
        <v>3988</v>
      </c>
      <c r="M154">
        <v>3952</v>
      </c>
      <c r="N154">
        <v>200</v>
      </c>
      <c r="O154" s="114" t="s">
        <v>85</v>
      </c>
      <c r="P154">
        <v>0.92863530740542999</v>
      </c>
      <c r="Q154">
        <v>0.92544014207040004</v>
      </c>
      <c r="R154">
        <v>0.229201074381786</v>
      </c>
      <c r="S154" s="20">
        <v>7.1047819095015799E-2</v>
      </c>
      <c r="T154">
        <v>0.27257897769441303</v>
      </c>
      <c r="U154">
        <v>0.27257897769441303</v>
      </c>
      <c r="V154">
        <v>1.21</v>
      </c>
      <c r="W154">
        <v>16.5</v>
      </c>
      <c r="X154">
        <v>-187710</v>
      </c>
      <c r="Y154">
        <v>-8161</v>
      </c>
      <c r="Z154">
        <v>-0.37</v>
      </c>
      <c r="AA154">
        <v>23</v>
      </c>
      <c r="AB154">
        <v>11</v>
      </c>
      <c r="AC154">
        <v>12</v>
      </c>
      <c r="AD154">
        <v>47.83</v>
      </c>
      <c r="AE154">
        <v>10</v>
      </c>
      <c r="AF154">
        <v>10</v>
      </c>
      <c r="AG154">
        <v>12</v>
      </c>
      <c r="AH154">
        <v>1</v>
      </c>
    </row>
    <row r="155" spans="1:34">
      <c r="A155" s="110">
        <v>127</v>
      </c>
      <c r="B155">
        <v>8002</v>
      </c>
      <c r="C155" s="114" t="s">
        <v>55</v>
      </c>
      <c r="D155" s="114" t="s">
        <v>128</v>
      </c>
      <c r="E155">
        <v>819.2</v>
      </c>
      <c r="F155">
        <v>826.1</v>
      </c>
      <c r="G155">
        <v>1300</v>
      </c>
      <c r="H155" s="114" t="s">
        <v>87</v>
      </c>
      <c r="I155">
        <v>8306</v>
      </c>
      <c r="J155" s="114" t="s">
        <v>173</v>
      </c>
      <c r="K155" s="114" t="s">
        <v>108</v>
      </c>
      <c r="L155">
        <v>583</v>
      </c>
      <c r="M155">
        <v>584.5</v>
      </c>
      <c r="N155">
        <v>1800</v>
      </c>
      <c r="O155" s="114" t="s">
        <v>85</v>
      </c>
      <c r="P155">
        <v>0.903738145579976</v>
      </c>
      <c r="Q155">
        <v>0.908779780208264</v>
      </c>
      <c r="R155">
        <v>0.35111302158819402</v>
      </c>
      <c r="S155">
        <v>7.1878925266678897E-2</v>
      </c>
      <c r="T155">
        <v>2.1401112471539099</v>
      </c>
      <c r="U155">
        <v>2.1401112471539099</v>
      </c>
      <c r="V155">
        <v>4.67</v>
      </c>
      <c r="W155">
        <v>2.0299999999999998</v>
      </c>
      <c r="X155">
        <v>-198026</v>
      </c>
      <c r="Y155">
        <v>-13202</v>
      </c>
      <c r="Z155">
        <v>-0.62</v>
      </c>
      <c r="AA155">
        <v>15</v>
      </c>
      <c r="AB155">
        <v>4</v>
      </c>
      <c r="AC155">
        <v>11</v>
      </c>
      <c r="AD155">
        <v>26.67</v>
      </c>
      <c r="AE155">
        <v>16</v>
      </c>
      <c r="AF155">
        <v>1</v>
      </c>
      <c r="AG155">
        <v>4</v>
      </c>
      <c r="AH155">
        <v>10</v>
      </c>
    </row>
    <row r="156" spans="1:34">
      <c r="A156" s="110">
        <v>141</v>
      </c>
      <c r="B156">
        <v>4183</v>
      </c>
      <c r="C156" s="114" t="s">
        <v>344</v>
      </c>
      <c r="D156" s="114" t="s">
        <v>86</v>
      </c>
      <c r="E156">
        <v>2649</v>
      </c>
      <c r="F156">
        <v>2638</v>
      </c>
      <c r="G156">
        <v>400</v>
      </c>
      <c r="H156" s="114" t="s">
        <v>85</v>
      </c>
      <c r="I156">
        <v>6473</v>
      </c>
      <c r="J156" s="114" t="s">
        <v>162</v>
      </c>
      <c r="K156" s="114" t="s">
        <v>126</v>
      </c>
      <c r="L156">
        <v>1362</v>
      </c>
      <c r="M156">
        <v>1365</v>
      </c>
      <c r="N156">
        <v>800</v>
      </c>
      <c r="O156" s="114" t="s">
        <v>87</v>
      </c>
      <c r="P156">
        <v>0.95948839511580097</v>
      </c>
      <c r="Q156">
        <v>0.90664365075103004</v>
      </c>
      <c r="R156">
        <v>3.34786730100552E-2</v>
      </c>
      <c r="S156" s="20">
        <v>6.3983336145744196E-2</v>
      </c>
      <c r="T156">
        <v>-0.33338480118126601</v>
      </c>
      <c r="U156">
        <v>0.33338480118126601</v>
      </c>
      <c r="V156">
        <v>-0.7</v>
      </c>
      <c r="W156">
        <v>3.49</v>
      </c>
      <c r="X156">
        <v>-198152</v>
      </c>
      <c r="Y156">
        <v>-11656</v>
      </c>
      <c r="Z156">
        <v>-0.65</v>
      </c>
      <c r="AA156">
        <v>17</v>
      </c>
      <c r="AB156">
        <v>5</v>
      </c>
      <c r="AC156">
        <v>12</v>
      </c>
      <c r="AD156">
        <v>29.41</v>
      </c>
      <c r="AE156">
        <v>15</v>
      </c>
      <c r="AF156">
        <v>4</v>
      </c>
      <c r="AG156">
        <v>5</v>
      </c>
      <c r="AH156">
        <v>8</v>
      </c>
    </row>
    <row r="157" spans="1:34">
      <c r="A157" s="110">
        <v>159</v>
      </c>
      <c r="B157">
        <v>4634</v>
      </c>
      <c r="C157" s="114" t="s">
        <v>169</v>
      </c>
      <c r="D157" s="114" t="s">
        <v>86</v>
      </c>
      <c r="E157">
        <v>2681</v>
      </c>
      <c r="F157">
        <v>2654</v>
      </c>
      <c r="G157">
        <v>400</v>
      </c>
      <c r="H157" s="114" t="s">
        <v>85</v>
      </c>
      <c r="I157">
        <v>5803</v>
      </c>
      <c r="J157" s="114" t="s">
        <v>52</v>
      </c>
      <c r="K157" s="114" t="s">
        <v>161</v>
      </c>
      <c r="L157">
        <v>465</v>
      </c>
      <c r="M157">
        <v>469</v>
      </c>
      <c r="N157">
        <v>2300</v>
      </c>
      <c r="O157" s="114" t="s">
        <v>87</v>
      </c>
      <c r="P157">
        <v>0.94130859840584802</v>
      </c>
      <c r="Q157">
        <v>0.90061254947364999</v>
      </c>
      <c r="R157" s="114">
        <v>0.108914239579426</v>
      </c>
      <c r="S157">
        <v>1.52103396575513E-2</v>
      </c>
      <c r="T157">
        <v>-0.86964699926400701</v>
      </c>
      <c r="U157">
        <v>0.86964699926400701</v>
      </c>
      <c r="V157">
        <v>-5.13</v>
      </c>
      <c r="W157">
        <v>1.61</v>
      </c>
      <c r="X157">
        <v>-201900</v>
      </c>
      <c r="Y157">
        <v>-11876</v>
      </c>
      <c r="Z157">
        <v>-0.71</v>
      </c>
      <c r="AA157">
        <v>17</v>
      </c>
      <c r="AB157">
        <v>8</v>
      </c>
      <c r="AC157">
        <v>9</v>
      </c>
      <c r="AD157">
        <v>47.06</v>
      </c>
      <c r="AE157">
        <v>12</v>
      </c>
      <c r="AF157">
        <v>4</v>
      </c>
      <c r="AG157">
        <v>6</v>
      </c>
      <c r="AH157">
        <v>7</v>
      </c>
    </row>
    <row r="158" spans="1:34">
      <c r="A158" s="110">
        <v>3</v>
      </c>
      <c r="B158">
        <v>6951</v>
      </c>
      <c r="C158" s="114" t="s">
        <v>370</v>
      </c>
      <c r="D158" s="114" t="s">
        <v>113</v>
      </c>
      <c r="E158">
        <v>3120</v>
      </c>
      <c r="F158">
        <v>3100</v>
      </c>
      <c r="G158">
        <v>200</v>
      </c>
      <c r="H158" s="114" t="s">
        <v>87</v>
      </c>
      <c r="I158">
        <v>8036</v>
      </c>
      <c r="J158" s="114" t="s">
        <v>366</v>
      </c>
      <c r="K158" s="114" t="s">
        <v>128</v>
      </c>
      <c r="L158">
        <v>7380</v>
      </c>
      <c r="M158">
        <v>7290</v>
      </c>
      <c r="N158">
        <v>100</v>
      </c>
      <c r="O158" s="114" t="s">
        <v>85</v>
      </c>
      <c r="P158">
        <v>0.92707883594544704</v>
      </c>
      <c r="Q158">
        <v>0.96068429183561999</v>
      </c>
      <c r="R158">
        <v>0.184806176276129</v>
      </c>
      <c r="S158" s="20">
        <v>9.2783061696031899E-2</v>
      </c>
      <c r="T158">
        <v>0.28056909509475297</v>
      </c>
      <c r="U158">
        <v>0.28056909509475297</v>
      </c>
      <c r="V158">
        <v>1.01</v>
      </c>
      <c r="W158">
        <v>14.95</v>
      </c>
      <c r="X158">
        <v>-225555</v>
      </c>
      <c r="Y158">
        <v>-11278</v>
      </c>
      <c r="Z158">
        <v>-0.48</v>
      </c>
      <c r="AA158">
        <v>20</v>
      </c>
      <c r="AB158">
        <v>9</v>
      </c>
      <c r="AC158">
        <v>11</v>
      </c>
      <c r="AD158">
        <v>45</v>
      </c>
      <c r="AE158">
        <v>10</v>
      </c>
      <c r="AF158">
        <v>8</v>
      </c>
      <c r="AG158">
        <v>8</v>
      </c>
      <c r="AH158">
        <v>4</v>
      </c>
    </row>
    <row r="159" spans="1:34">
      <c r="A159" s="110">
        <v>151</v>
      </c>
      <c r="B159">
        <v>6471</v>
      </c>
      <c r="C159" s="114" t="s">
        <v>167</v>
      </c>
      <c r="D159" s="114" t="s">
        <v>126</v>
      </c>
      <c r="E159">
        <v>1061</v>
      </c>
      <c r="F159">
        <v>1065</v>
      </c>
      <c r="G159">
        <v>600</v>
      </c>
      <c r="H159" s="114" t="s">
        <v>85</v>
      </c>
      <c r="I159">
        <v>6988</v>
      </c>
      <c r="J159" s="114" t="s">
        <v>168</v>
      </c>
      <c r="K159" s="114" t="s">
        <v>86</v>
      </c>
      <c r="L159">
        <v>6120</v>
      </c>
      <c r="M159">
        <v>6170</v>
      </c>
      <c r="N159">
        <v>100</v>
      </c>
      <c r="O159" s="114" t="s">
        <v>87</v>
      </c>
      <c r="P159">
        <v>0.96829927223461398</v>
      </c>
      <c r="Q159">
        <v>0.90203747278407498</v>
      </c>
      <c r="R159">
        <v>8.7517438542295803E-4</v>
      </c>
      <c r="S159">
        <v>0.170167484317019</v>
      </c>
      <c r="T159">
        <v>-0.43788072613700701</v>
      </c>
      <c r="U159">
        <v>0.43788072613700701</v>
      </c>
      <c r="V159">
        <v>-0.9</v>
      </c>
      <c r="W159">
        <v>3.57</v>
      </c>
      <c r="X159">
        <v>-260430</v>
      </c>
      <c r="Y159">
        <v>-14468</v>
      </c>
      <c r="Z159">
        <v>-0.98</v>
      </c>
      <c r="AA159">
        <v>18</v>
      </c>
      <c r="AB159">
        <v>5</v>
      </c>
      <c r="AC159">
        <v>13</v>
      </c>
      <c r="AD159">
        <v>27.78</v>
      </c>
      <c r="AE159">
        <v>14</v>
      </c>
      <c r="AF159">
        <v>3</v>
      </c>
      <c r="AG159">
        <v>4</v>
      </c>
      <c r="AH159">
        <v>11</v>
      </c>
    </row>
    <row r="160" spans="1:34">
      <c r="A160" s="110">
        <v>114</v>
      </c>
      <c r="B160">
        <v>5110</v>
      </c>
      <c r="C160" s="114" t="s">
        <v>157</v>
      </c>
      <c r="D160" s="114" t="s">
        <v>158</v>
      </c>
      <c r="E160">
        <v>1394</v>
      </c>
      <c r="F160">
        <v>1406</v>
      </c>
      <c r="G160">
        <v>700</v>
      </c>
      <c r="H160" s="114" t="s">
        <v>85</v>
      </c>
      <c r="I160">
        <v>5803</v>
      </c>
      <c r="J160" s="114" t="s">
        <v>52</v>
      </c>
      <c r="K160" s="114" t="s">
        <v>161</v>
      </c>
      <c r="L160">
        <v>465</v>
      </c>
      <c r="M160">
        <v>469</v>
      </c>
      <c r="N160">
        <v>2100</v>
      </c>
      <c r="O160" s="114" t="s">
        <v>87</v>
      </c>
      <c r="P160">
        <v>0.94129358922393103</v>
      </c>
      <c r="Q160">
        <v>0.91254333350306605</v>
      </c>
      <c r="R160">
        <v>6.7178990443393496E-2</v>
      </c>
      <c r="S160" s="20">
        <v>4.92271352182743E-2</v>
      </c>
      <c r="T160">
        <v>-0.66844171019923904</v>
      </c>
      <c r="U160">
        <v>0.66844171019923904</v>
      </c>
      <c r="V160">
        <v>-4.9800000000000004</v>
      </c>
      <c r="W160">
        <v>7.0000000000000007E-2</v>
      </c>
      <c r="X160">
        <v>-308037</v>
      </c>
      <c r="Y160">
        <v>-17113</v>
      </c>
      <c r="Z160">
        <v>-0.84</v>
      </c>
      <c r="AA160">
        <v>18</v>
      </c>
      <c r="AB160">
        <v>6</v>
      </c>
      <c r="AC160">
        <v>12</v>
      </c>
      <c r="AD160">
        <v>33.33</v>
      </c>
      <c r="AE160">
        <v>12</v>
      </c>
      <c r="AF160">
        <v>5</v>
      </c>
      <c r="AG160">
        <v>6</v>
      </c>
      <c r="AH160">
        <v>7</v>
      </c>
    </row>
    <row r="161" spans="1:34">
      <c r="A161" s="110">
        <v>16</v>
      </c>
      <c r="B161">
        <v>4062</v>
      </c>
      <c r="C161" s="114" t="s">
        <v>374</v>
      </c>
      <c r="D161" s="114" t="s">
        <v>113</v>
      </c>
      <c r="E161">
        <v>2551</v>
      </c>
      <c r="F161">
        <v>2556</v>
      </c>
      <c r="G161">
        <v>400</v>
      </c>
      <c r="H161" s="114" t="s">
        <v>87</v>
      </c>
      <c r="I161">
        <v>4996</v>
      </c>
      <c r="J161" s="114" t="s">
        <v>378</v>
      </c>
      <c r="K161" s="114" t="s">
        <v>86</v>
      </c>
      <c r="L161">
        <v>1009</v>
      </c>
      <c r="M161">
        <v>1010</v>
      </c>
      <c r="N161">
        <v>1000</v>
      </c>
      <c r="O161" s="114" t="s">
        <v>85</v>
      </c>
      <c r="P161">
        <v>0.90748838490280703</v>
      </c>
      <c r="Q161">
        <v>0.94635298864788298</v>
      </c>
      <c r="R161">
        <v>4.8400652340407696E-3</v>
      </c>
      <c r="S161">
        <v>1.74775217725308E-3</v>
      </c>
      <c r="T161">
        <v>1.7479365893952701</v>
      </c>
      <c r="U161">
        <v>1.7479365893952701</v>
      </c>
      <c r="V161">
        <v>6.41</v>
      </c>
      <c r="W161">
        <v>1.21</v>
      </c>
      <c r="X161">
        <v>-325553</v>
      </c>
      <c r="Y161">
        <v>-16278</v>
      </c>
      <c r="Z161">
        <v>-0.75</v>
      </c>
      <c r="AA161">
        <v>20</v>
      </c>
      <c r="AB161">
        <v>9</v>
      </c>
      <c r="AC161">
        <v>11</v>
      </c>
      <c r="AD161">
        <v>45</v>
      </c>
      <c r="AE161">
        <v>11</v>
      </c>
      <c r="AF161">
        <v>6</v>
      </c>
      <c r="AG161">
        <v>9</v>
      </c>
      <c r="AH161">
        <v>5</v>
      </c>
    </row>
    <row r="162" spans="1:34">
      <c r="A162" s="110">
        <v>156</v>
      </c>
      <c r="B162">
        <v>9003</v>
      </c>
      <c r="C162" s="114" t="s">
        <v>371</v>
      </c>
      <c r="D162" s="114" t="s">
        <v>146</v>
      </c>
      <c r="E162">
        <v>3040</v>
      </c>
      <c r="F162">
        <v>3030</v>
      </c>
      <c r="G162">
        <v>300</v>
      </c>
      <c r="H162" s="114" t="s">
        <v>85</v>
      </c>
      <c r="I162">
        <v>9956</v>
      </c>
      <c r="J162" s="114" t="s">
        <v>363</v>
      </c>
      <c r="K162" s="114" t="s">
        <v>122</v>
      </c>
      <c r="L162">
        <v>2040</v>
      </c>
      <c r="M162">
        <v>2042</v>
      </c>
      <c r="N162">
        <v>400</v>
      </c>
      <c r="O162" s="114" t="s">
        <v>87</v>
      </c>
      <c r="P162">
        <v>0.93215215604452595</v>
      </c>
      <c r="Q162">
        <v>0.90113717713071195</v>
      </c>
      <c r="R162" s="20">
        <v>1.19151438010734E-2</v>
      </c>
      <c r="S162">
        <v>6.7211272959459903E-2</v>
      </c>
      <c r="T162">
        <v>-1.7280687890850099</v>
      </c>
      <c r="U162">
        <v>1.7280687890850099</v>
      </c>
      <c r="V162">
        <v>-4.25</v>
      </c>
      <c r="W162">
        <v>10.14</v>
      </c>
      <c r="X162">
        <v>-374023</v>
      </c>
      <c r="Y162">
        <v>-20779</v>
      </c>
      <c r="Z162">
        <v>-1.01</v>
      </c>
      <c r="AA162">
        <v>18</v>
      </c>
      <c r="AB162">
        <v>5</v>
      </c>
      <c r="AC162">
        <v>13</v>
      </c>
      <c r="AD162">
        <v>27.78</v>
      </c>
      <c r="AE162">
        <v>12</v>
      </c>
      <c r="AF162">
        <v>3</v>
      </c>
      <c r="AG162">
        <v>6</v>
      </c>
      <c r="AH162">
        <v>9</v>
      </c>
    </row>
    <row r="163" spans="1:34">
      <c r="C163" s="114"/>
      <c r="D163" s="114"/>
      <c r="H163" s="114"/>
      <c r="J163" s="114"/>
      <c r="K163" s="114"/>
      <c r="O163" s="114"/>
      <c r="S163" s="20"/>
    </row>
    <row r="164" spans="1:34">
      <c r="C164" s="114"/>
      <c r="D164" s="114"/>
      <c r="H164" s="114"/>
      <c r="J164" s="114"/>
      <c r="K164" s="114"/>
      <c r="O164" s="114"/>
    </row>
    <row r="165" spans="1:34">
      <c r="C165" s="114"/>
      <c r="D165" s="114"/>
      <c r="H165" s="114"/>
      <c r="J165" s="114"/>
      <c r="K165" s="114"/>
      <c r="O165" s="114"/>
    </row>
    <row r="166" spans="1:34">
      <c r="C166" s="114"/>
      <c r="D166" s="114"/>
      <c r="H166" s="114"/>
      <c r="J166" s="114"/>
      <c r="K166" s="114"/>
      <c r="O166" s="114"/>
    </row>
    <row r="167" spans="1:34">
      <c r="C167" s="114"/>
      <c r="D167" s="114"/>
      <c r="H167" s="114"/>
      <c r="J167" s="114"/>
      <c r="K167" s="114"/>
      <c r="O167" s="114"/>
    </row>
    <row r="168" spans="1:34">
      <c r="C168" s="114"/>
      <c r="D168" s="114"/>
      <c r="H168" s="114"/>
      <c r="J168" s="114"/>
      <c r="K168" s="114"/>
      <c r="O168" s="114"/>
    </row>
    <row r="169" spans="1:34">
      <c r="C169" s="114"/>
      <c r="D169" s="114"/>
      <c r="H169" s="114"/>
      <c r="J169" s="114"/>
      <c r="K169" s="114"/>
      <c r="O169" s="114"/>
    </row>
    <row r="170" spans="1:34">
      <c r="C170" s="114"/>
      <c r="D170" s="114"/>
      <c r="H170" s="114"/>
      <c r="J170" s="114"/>
      <c r="K170" s="114"/>
      <c r="O170" s="114"/>
      <c r="R170" s="20"/>
    </row>
    <row r="171" spans="1:34">
      <c r="C171" s="114"/>
      <c r="D171" s="114"/>
      <c r="H171" s="114"/>
      <c r="J171" s="114"/>
      <c r="K171" s="114"/>
      <c r="O171" s="114"/>
    </row>
    <row r="172" spans="1:34">
      <c r="C172" s="114"/>
      <c r="D172" s="114"/>
      <c r="H172" s="114"/>
      <c r="J172" s="114"/>
      <c r="K172" s="114"/>
      <c r="O172" s="114"/>
    </row>
    <row r="173" spans="1:34">
      <c r="C173" s="114"/>
      <c r="D173" s="114"/>
      <c r="H173" s="114"/>
      <c r="J173" s="114"/>
      <c r="K173" s="114"/>
      <c r="O173" s="114"/>
    </row>
    <row r="174" spans="1:34">
      <c r="C174" s="114"/>
      <c r="D174" s="114"/>
      <c r="H174" s="114"/>
      <c r="J174" s="114"/>
      <c r="K174" s="114"/>
      <c r="O174" s="114"/>
      <c r="S174" s="20"/>
    </row>
    <row r="175" spans="1:34">
      <c r="C175" s="114"/>
      <c r="D175" s="114"/>
      <c r="H175" s="114"/>
      <c r="J175" s="114"/>
      <c r="K175" s="114"/>
      <c r="O175" s="114"/>
    </row>
    <row r="176" spans="1:34">
      <c r="C176" s="114"/>
      <c r="D176" s="114"/>
      <c r="H176" s="114"/>
      <c r="J176" s="114"/>
      <c r="K176" s="114"/>
      <c r="O176" s="114"/>
    </row>
    <row r="177" spans="3:19">
      <c r="C177" s="114"/>
      <c r="D177" s="114"/>
      <c r="H177" s="114"/>
      <c r="J177" s="114"/>
      <c r="K177" s="114"/>
      <c r="O177" s="114"/>
    </row>
    <row r="178" spans="3:19">
      <c r="C178" s="114"/>
      <c r="D178" s="114"/>
      <c r="H178" s="114"/>
      <c r="J178" s="114"/>
      <c r="K178" s="114"/>
      <c r="O178" s="114"/>
    </row>
    <row r="179" spans="3:19">
      <c r="C179" s="114"/>
      <c r="D179" s="114"/>
      <c r="H179" s="114"/>
      <c r="J179" s="114"/>
      <c r="K179" s="114"/>
      <c r="O179" s="114"/>
    </row>
    <row r="180" spans="3:19">
      <c r="C180" s="114"/>
      <c r="D180" s="114"/>
      <c r="H180" s="114"/>
      <c r="J180" s="114"/>
      <c r="K180" s="114"/>
      <c r="O180" s="114"/>
    </row>
    <row r="181" spans="3:19">
      <c r="C181" s="114"/>
      <c r="D181" s="114"/>
      <c r="H181" s="114"/>
      <c r="J181" s="114"/>
      <c r="K181" s="114"/>
      <c r="O181" s="114"/>
      <c r="S181" s="20"/>
    </row>
    <row r="182" spans="3:19">
      <c r="C182" s="114"/>
      <c r="D182" s="114"/>
      <c r="H182" s="114"/>
      <c r="J182" s="114"/>
      <c r="K182" s="114"/>
      <c r="O182" s="114"/>
      <c r="R182" s="20"/>
    </row>
    <row r="183" spans="3:19">
      <c r="C183" s="114"/>
      <c r="D183" s="114"/>
      <c r="H183" s="114"/>
      <c r="J183" s="114"/>
      <c r="K183" s="114"/>
      <c r="O183" s="114"/>
    </row>
    <row r="184" spans="3:19">
      <c r="C184" s="114"/>
      <c r="D184" s="114"/>
      <c r="H184" s="114"/>
      <c r="J184" s="114"/>
      <c r="K184" s="114"/>
      <c r="O184" s="114"/>
      <c r="R184" s="20"/>
    </row>
    <row r="185" spans="3:19">
      <c r="C185" s="114"/>
      <c r="D185" s="114"/>
      <c r="H185" s="114"/>
      <c r="J185" s="114"/>
      <c r="K185" s="114"/>
      <c r="O185" s="114"/>
    </row>
    <row r="186" spans="3:19">
      <c r="C186" s="114"/>
      <c r="D186" s="114"/>
      <c r="H186" s="114"/>
      <c r="J186" s="114"/>
      <c r="K186" s="114"/>
      <c r="O186" s="114"/>
    </row>
    <row r="187" spans="3:19">
      <c r="C187" s="114"/>
      <c r="D187" s="114"/>
      <c r="H187" s="114"/>
      <c r="J187" s="114"/>
      <c r="K187" s="114"/>
      <c r="O187" s="114"/>
    </row>
    <row r="188" spans="3:19">
      <c r="C188" s="114"/>
      <c r="D188" s="114"/>
      <c r="H188" s="114"/>
      <c r="J188" s="114"/>
      <c r="K188" s="114"/>
      <c r="O188" s="114"/>
    </row>
    <row r="189" spans="3:19">
      <c r="C189" s="114"/>
      <c r="D189" s="114"/>
      <c r="H189" s="114"/>
      <c r="J189" s="114"/>
      <c r="K189" s="114"/>
      <c r="O189" s="114"/>
    </row>
    <row r="190" spans="3:19">
      <c r="C190" s="114"/>
      <c r="D190" s="114"/>
      <c r="H190" s="114"/>
      <c r="J190" s="114"/>
      <c r="K190" s="114"/>
      <c r="O190" s="114"/>
      <c r="S190" s="20"/>
    </row>
    <row r="191" spans="3:19">
      <c r="C191" s="114"/>
      <c r="D191" s="114"/>
      <c r="H191" s="114"/>
      <c r="J191" s="114"/>
      <c r="K191" s="114"/>
      <c r="O191" s="114"/>
      <c r="S191" s="20"/>
    </row>
    <row r="192" spans="3:19">
      <c r="C192" s="114"/>
      <c r="D192" s="114"/>
      <c r="H192" s="114"/>
      <c r="J192" s="114"/>
      <c r="K192" s="114"/>
      <c r="O192" s="114"/>
    </row>
    <row r="193" spans="3:19">
      <c r="C193" s="114"/>
      <c r="D193" s="114"/>
      <c r="H193" s="114"/>
      <c r="J193" s="114"/>
      <c r="K193" s="114"/>
      <c r="O193" s="114"/>
    </row>
    <row r="194" spans="3:19">
      <c r="C194" s="114"/>
      <c r="D194" s="114"/>
      <c r="H194" s="114"/>
      <c r="J194" s="114"/>
      <c r="K194" s="114"/>
      <c r="O194" s="114"/>
    </row>
    <row r="195" spans="3:19">
      <c r="C195" s="114"/>
      <c r="D195" s="114"/>
      <c r="H195" s="114"/>
      <c r="J195" s="114"/>
      <c r="K195" s="114"/>
      <c r="O195" s="114"/>
    </row>
    <row r="196" spans="3:19">
      <c r="C196" s="114"/>
      <c r="D196" s="114"/>
      <c r="H196" s="114"/>
      <c r="J196" s="114"/>
      <c r="K196" s="114"/>
      <c r="O196" s="114"/>
    </row>
    <row r="197" spans="3:19">
      <c r="C197" s="114"/>
      <c r="D197" s="114"/>
      <c r="H197" s="114"/>
      <c r="J197" s="114"/>
      <c r="K197" s="114"/>
      <c r="O197" s="114"/>
      <c r="R197" s="20"/>
      <c r="S197" s="20"/>
    </row>
    <row r="198" spans="3:19">
      <c r="C198" s="114"/>
      <c r="D198" s="114"/>
      <c r="H198" s="114"/>
      <c r="J198" s="114"/>
      <c r="K198" s="114"/>
      <c r="O198" s="114"/>
    </row>
    <row r="199" spans="3:19">
      <c r="C199" s="114"/>
      <c r="D199" s="114"/>
      <c r="H199" s="114"/>
      <c r="J199" s="114"/>
      <c r="K199" s="114"/>
      <c r="O199" s="114"/>
    </row>
    <row r="200" spans="3:19">
      <c r="C200" s="114"/>
      <c r="D200" s="114"/>
      <c r="H200" s="114"/>
      <c r="J200" s="114"/>
      <c r="K200" s="114"/>
      <c r="O200" s="114"/>
    </row>
    <row r="201" spans="3:19">
      <c r="C201" s="114"/>
      <c r="D201" s="114"/>
      <c r="H201" s="114"/>
      <c r="J201" s="114"/>
      <c r="K201" s="114"/>
      <c r="O201" s="114"/>
    </row>
    <row r="202" spans="3:19">
      <c r="C202" s="114"/>
      <c r="D202" s="114"/>
      <c r="H202" s="114"/>
      <c r="J202" s="114"/>
      <c r="K202" s="114"/>
      <c r="O202" s="114"/>
    </row>
    <row r="203" spans="3:19">
      <c r="C203" s="114"/>
      <c r="D203" s="114"/>
      <c r="H203" s="114"/>
      <c r="J203" s="114"/>
      <c r="K203" s="114"/>
      <c r="O203" s="114"/>
    </row>
    <row r="204" spans="3:19">
      <c r="C204" s="114"/>
      <c r="D204" s="114"/>
      <c r="H204" s="114"/>
      <c r="J204" s="114"/>
      <c r="K204" s="114"/>
      <c r="O204" s="114"/>
    </row>
    <row r="205" spans="3:19">
      <c r="C205" s="114"/>
      <c r="D205" s="114"/>
      <c r="H205" s="114"/>
      <c r="J205" s="114"/>
      <c r="K205" s="114"/>
      <c r="O205" s="114"/>
    </row>
    <row r="206" spans="3:19">
      <c r="C206" s="114"/>
      <c r="D206" s="114"/>
      <c r="H206" s="114"/>
      <c r="J206" s="114"/>
      <c r="K206" s="114"/>
      <c r="O206" s="114"/>
      <c r="R206" s="20"/>
    </row>
    <row r="207" spans="3:19">
      <c r="C207" s="114"/>
      <c r="D207" s="114"/>
      <c r="H207" s="114"/>
      <c r="J207" s="114"/>
      <c r="K207" s="114"/>
      <c r="O207" s="114"/>
    </row>
    <row r="208" spans="3:19">
      <c r="C208" s="114"/>
      <c r="D208" s="114"/>
      <c r="H208" s="114"/>
      <c r="J208" s="114"/>
      <c r="K208" s="114"/>
      <c r="O208" s="114"/>
    </row>
    <row r="209" spans="3:19">
      <c r="C209" s="114"/>
      <c r="D209" s="114"/>
      <c r="H209" s="114"/>
      <c r="J209" s="114"/>
      <c r="K209" s="114"/>
      <c r="O209" s="114"/>
    </row>
    <row r="210" spans="3:19">
      <c r="C210" s="114"/>
      <c r="D210" s="114"/>
      <c r="H210" s="114"/>
      <c r="J210" s="114"/>
      <c r="K210" s="114"/>
      <c r="O210" s="114"/>
    </row>
    <row r="211" spans="3:19">
      <c r="C211" s="114"/>
      <c r="D211" s="114"/>
      <c r="H211" s="114"/>
      <c r="J211" s="114"/>
      <c r="K211" s="114"/>
      <c r="O211" s="114"/>
    </row>
    <row r="212" spans="3:19">
      <c r="C212" s="114"/>
      <c r="D212" s="114"/>
      <c r="H212" s="114"/>
      <c r="J212" s="114"/>
      <c r="K212" s="114"/>
      <c r="O212" s="114"/>
    </row>
    <row r="213" spans="3:19">
      <c r="C213" s="114"/>
      <c r="D213" s="114"/>
      <c r="H213" s="114"/>
      <c r="J213" s="114"/>
      <c r="K213" s="114"/>
      <c r="O213" s="114"/>
      <c r="S213" s="20"/>
    </row>
    <row r="214" spans="3:19">
      <c r="C214" s="114"/>
      <c r="D214" s="114"/>
      <c r="H214" s="114"/>
      <c r="J214" s="114"/>
      <c r="K214" s="114"/>
      <c r="O214" s="114"/>
    </row>
    <row r="215" spans="3:19">
      <c r="C215" s="114"/>
      <c r="D215" s="114"/>
      <c r="H215" s="114"/>
      <c r="J215" s="114"/>
      <c r="K215" s="114"/>
      <c r="O215" s="114"/>
      <c r="R215" s="20"/>
    </row>
    <row r="216" spans="3:19">
      <c r="C216" s="114"/>
      <c r="D216" s="114"/>
      <c r="H216" s="114"/>
      <c r="J216" s="114"/>
      <c r="K216" s="114"/>
      <c r="O216" s="114"/>
    </row>
    <row r="217" spans="3:19">
      <c r="C217" s="114"/>
      <c r="D217" s="114"/>
      <c r="H217" s="114"/>
      <c r="J217" s="114"/>
      <c r="K217" s="114"/>
      <c r="O217" s="114"/>
    </row>
    <row r="218" spans="3:19">
      <c r="C218" s="114"/>
      <c r="D218" s="114"/>
      <c r="H218" s="114"/>
      <c r="J218" s="114"/>
      <c r="K218" s="114"/>
      <c r="O218" s="114"/>
    </row>
    <row r="219" spans="3:19">
      <c r="C219" s="114"/>
      <c r="D219" s="114"/>
      <c r="H219" s="114"/>
      <c r="J219" s="114"/>
      <c r="K219" s="114"/>
      <c r="O219" s="114"/>
    </row>
    <row r="220" spans="3:19">
      <c r="C220" s="114"/>
      <c r="D220" s="114"/>
      <c r="H220" s="114"/>
      <c r="J220" s="114"/>
      <c r="K220" s="114"/>
      <c r="O220" s="114"/>
    </row>
    <row r="221" spans="3:19">
      <c r="C221" s="114"/>
      <c r="D221" s="114"/>
      <c r="H221" s="114"/>
      <c r="J221" s="114"/>
      <c r="K221" s="114"/>
      <c r="O221" s="114"/>
      <c r="R221" s="20"/>
    </row>
    <row r="222" spans="3:19">
      <c r="C222" s="114"/>
      <c r="D222" s="114"/>
      <c r="H222" s="114"/>
      <c r="J222" s="114"/>
      <c r="K222" s="114"/>
      <c r="O222" s="114"/>
      <c r="R222" s="20"/>
    </row>
    <row r="223" spans="3:19">
      <c r="C223" s="114"/>
      <c r="D223" s="114"/>
      <c r="H223" s="114"/>
      <c r="J223" s="114"/>
      <c r="K223" s="114"/>
      <c r="O223" s="114"/>
    </row>
    <row r="224" spans="3:19">
      <c r="C224" s="114"/>
      <c r="D224" s="114"/>
      <c r="H224" s="114"/>
      <c r="J224" s="114"/>
      <c r="K224" s="114"/>
      <c r="O224" s="114"/>
    </row>
    <row r="225" spans="3:19">
      <c r="C225" s="114"/>
      <c r="D225" s="114"/>
      <c r="H225" s="114"/>
      <c r="J225" s="114"/>
      <c r="K225" s="114"/>
      <c r="O225" s="114"/>
      <c r="R225" s="20"/>
    </row>
    <row r="226" spans="3:19">
      <c r="C226" s="114"/>
      <c r="D226" s="114"/>
      <c r="H226" s="114"/>
      <c r="J226" s="114"/>
      <c r="K226" s="114"/>
      <c r="O226" s="114"/>
    </row>
    <row r="227" spans="3:19">
      <c r="C227" s="114"/>
      <c r="D227" s="114"/>
      <c r="H227" s="114"/>
      <c r="J227" s="114"/>
      <c r="K227" s="114"/>
      <c r="O227" s="114"/>
    </row>
    <row r="228" spans="3:19">
      <c r="C228" s="114"/>
      <c r="D228" s="114"/>
      <c r="H228" s="114"/>
      <c r="J228" s="114"/>
      <c r="K228" s="114"/>
      <c r="O228" s="114"/>
    </row>
    <row r="229" spans="3:19">
      <c r="C229" s="114"/>
      <c r="D229" s="114"/>
      <c r="H229" s="114"/>
      <c r="J229" s="114"/>
      <c r="K229" s="114"/>
      <c r="O229" s="114"/>
    </row>
    <row r="230" spans="3:19">
      <c r="C230" s="114"/>
      <c r="D230" s="114"/>
      <c r="H230" s="114"/>
      <c r="J230" s="114"/>
      <c r="K230" s="114"/>
      <c r="O230" s="114"/>
    </row>
    <row r="231" spans="3:19">
      <c r="C231" s="114"/>
      <c r="D231" s="114"/>
      <c r="H231" s="114"/>
      <c r="J231" s="114"/>
      <c r="K231" s="114"/>
      <c r="O231" s="114"/>
    </row>
    <row r="232" spans="3:19">
      <c r="C232" s="114"/>
      <c r="D232" s="114"/>
      <c r="H232" s="114"/>
      <c r="J232" s="114"/>
      <c r="K232" s="114"/>
      <c r="O232" s="114"/>
    </row>
    <row r="233" spans="3:19">
      <c r="C233" s="114"/>
      <c r="D233" s="114"/>
      <c r="H233" s="114"/>
      <c r="J233" s="114"/>
      <c r="K233" s="114"/>
      <c r="O233" s="114"/>
      <c r="R233" s="20"/>
    </row>
    <row r="234" spans="3:19">
      <c r="C234" s="114"/>
      <c r="D234" s="114"/>
      <c r="H234" s="114"/>
      <c r="J234" s="114"/>
      <c r="K234" s="114"/>
      <c r="O234" s="114"/>
    </row>
    <row r="235" spans="3:19">
      <c r="C235" s="114"/>
      <c r="D235" s="114"/>
      <c r="H235" s="114"/>
      <c r="J235" s="114"/>
      <c r="K235" s="114"/>
      <c r="O235" s="114"/>
    </row>
    <row r="236" spans="3:19">
      <c r="C236" s="114"/>
      <c r="D236" s="114"/>
      <c r="H236" s="114"/>
      <c r="J236" s="114"/>
      <c r="K236" s="114"/>
      <c r="O236" s="114"/>
    </row>
    <row r="237" spans="3:19">
      <c r="C237" s="114"/>
      <c r="D237" s="114"/>
      <c r="H237" s="114"/>
      <c r="J237" s="114"/>
      <c r="K237" s="114"/>
      <c r="O237" s="114"/>
      <c r="R237" s="20"/>
      <c r="S237" s="20"/>
    </row>
    <row r="238" spans="3:19">
      <c r="C238" s="114"/>
      <c r="D238" s="114"/>
      <c r="H238" s="114"/>
      <c r="J238" s="114"/>
      <c r="K238" s="114"/>
      <c r="O238" s="114"/>
    </row>
    <row r="239" spans="3:19">
      <c r="C239" s="114"/>
      <c r="D239" s="114"/>
      <c r="H239" s="114"/>
      <c r="J239" s="114"/>
      <c r="K239" s="114"/>
      <c r="O239" s="114"/>
    </row>
    <row r="240" spans="3:19">
      <c r="C240" s="114"/>
      <c r="D240" s="114"/>
      <c r="H240" s="114"/>
      <c r="J240" s="114"/>
      <c r="K240" s="114"/>
      <c r="O240" s="114"/>
      <c r="R240" s="20"/>
    </row>
    <row r="241" spans="3:19">
      <c r="C241" s="114"/>
      <c r="D241" s="114"/>
      <c r="H241" s="114"/>
      <c r="J241" s="114"/>
      <c r="K241" s="114"/>
      <c r="O241" s="114"/>
    </row>
    <row r="242" spans="3:19">
      <c r="C242" s="114"/>
      <c r="D242" s="114"/>
      <c r="H242" s="114"/>
      <c r="J242" s="114"/>
      <c r="K242" s="114"/>
      <c r="O242" s="114"/>
    </row>
    <row r="243" spans="3:19">
      <c r="C243" s="114"/>
      <c r="D243" s="114"/>
      <c r="H243" s="114"/>
      <c r="J243" s="114"/>
      <c r="K243" s="114"/>
      <c r="O243" s="114"/>
      <c r="R243" s="20"/>
    </row>
    <row r="244" spans="3:19">
      <c r="C244" s="114"/>
      <c r="D244" s="114"/>
      <c r="H244" s="114"/>
      <c r="J244" s="114"/>
      <c r="K244" s="114"/>
      <c r="O244" s="114"/>
      <c r="R244" s="20"/>
      <c r="S244" s="20"/>
    </row>
    <row r="245" spans="3:19">
      <c r="C245" s="114"/>
      <c r="D245" s="114"/>
      <c r="H245" s="114"/>
      <c r="J245" s="114"/>
      <c r="K245" s="114"/>
      <c r="O245" s="114"/>
    </row>
    <row r="246" spans="3:19">
      <c r="C246" s="114"/>
      <c r="D246" s="114"/>
      <c r="H246" s="114"/>
      <c r="J246" s="114"/>
      <c r="K246" s="114"/>
      <c r="O246" s="114"/>
    </row>
    <row r="247" spans="3:19">
      <c r="C247" s="114"/>
      <c r="D247" s="114"/>
      <c r="H247" s="114"/>
      <c r="J247" s="114"/>
      <c r="K247" s="114"/>
      <c r="O247" s="114"/>
    </row>
    <row r="248" spans="3:19">
      <c r="C248" s="114"/>
      <c r="D248" s="114"/>
      <c r="H248" s="114"/>
      <c r="J248" s="114"/>
      <c r="K248" s="114"/>
      <c r="O248" s="114"/>
    </row>
    <row r="249" spans="3:19">
      <c r="C249" s="114"/>
      <c r="D249" s="114"/>
      <c r="H249" s="114"/>
      <c r="J249" s="114"/>
      <c r="K249" s="114"/>
      <c r="O249" s="114"/>
    </row>
    <row r="250" spans="3:19">
      <c r="C250" s="114"/>
      <c r="D250" s="114"/>
      <c r="H250" s="114"/>
      <c r="J250" s="114"/>
      <c r="K250" s="114"/>
      <c r="O250" s="114"/>
    </row>
    <row r="251" spans="3:19">
      <c r="C251" s="114"/>
      <c r="D251" s="114"/>
      <c r="H251" s="114"/>
      <c r="J251" s="114"/>
      <c r="K251" s="114"/>
      <c r="O251" s="114"/>
    </row>
    <row r="252" spans="3:19">
      <c r="C252" s="114"/>
      <c r="D252" s="114"/>
      <c r="H252" s="114"/>
      <c r="J252" s="114"/>
      <c r="K252" s="114"/>
      <c r="O252" s="114"/>
    </row>
    <row r="253" spans="3:19">
      <c r="C253" s="114"/>
      <c r="D253" s="114"/>
      <c r="H253" s="114"/>
      <c r="J253" s="114"/>
      <c r="K253" s="114"/>
      <c r="O253" s="114"/>
    </row>
    <row r="254" spans="3:19">
      <c r="C254" s="114"/>
      <c r="D254" s="114"/>
      <c r="H254" s="114"/>
      <c r="J254" s="114"/>
      <c r="K254" s="114"/>
      <c r="O254" s="114"/>
    </row>
    <row r="255" spans="3:19">
      <c r="C255" s="114"/>
      <c r="D255" s="114"/>
      <c r="H255" s="114"/>
      <c r="J255" s="114"/>
      <c r="K255" s="114"/>
      <c r="O255" s="114"/>
    </row>
    <row r="256" spans="3:19">
      <c r="C256" s="114"/>
      <c r="D256" s="114"/>
      <c r="H256" s="114"/>
      <c r="J256" s="114"/>
      <c r="K256" s="114"/>
      <c r="O256" s="114"/>
    </row>
    <row r="257" spans="3:18">
      <c r="C257" s="114"/>
      <c r="D257" s="114"/>
      <c r="H257" s="114"/>
      <c r="J257" s="114"/>
      <c r="K257" s="114"/>
      <c r="O257" s="114"/>
      <c r="R257" s="20"/>
    </row>
    <row r="258" spans="3:18">
      <c r="C258" s="114"/>
      <c r="D258" s="114"/>
      <c r="H258" s="114"/>
      <c r="J258" s="114"/>
      <c r="K258" s="114"/>
      <c r="O258" s="114"/>
    </row>
    <row r="259" spans="3:18">
      <c r="C259" s="114"/>
      <c r="D259" s="114"/>
      <c r="H259" s="114"/>
      <c r="J259" s="114"/>
      <c r="K259" s="114"/>
      <c r="O259" s="114"/>
      <c r="R259" s="20"/>
    </row>
    <row r="260" spans="3:18">
      <c r="C260" s="114"/>
      <c r="D260" s="114"/>
      <c r="H260" s="114"/>
      <c r="J260" s="114"/>
      <c r="K260" s="114"/>
      <c r="O260" s="114"/>
    </row>
    <row r="261" spans="3:18">
      <c r="C261" s="114"/>
      <c r="D261" s="114"/>
      <c r="H261" s="114"/>
      <c r="J261" s="114"/>
      <c r="K261" s="114"/>
      <c r="O261" s="114"/>
    </row>
    <row r="262" spans="3:18">
      <c r="C262" s="114"/>
      <c r="D262" s="114"/>
      <c r="H262" s="114"/>
      <c r="J262" s="114"/>
      <c r="K262" s="114"/>
      <c r="O262" s="114"/>
      <c r="R262" s="20"/>
    </row>
    <row r="263" spans="3:18">
      <c r="C263" s="114"/>
      <c r="D263" s="114"/>
      <c r="H263" s="114"/>
      <c r="J263" s="114"/>
      <c r="K263" s="114"/>
      <c r="O263" s="114"/>
    </row>
    <row r="264" spans="3:18">
      <c r="C264" s="114"/>
      <c r="D264" s="114"/>
      <c r="H264" s="114"/>
      <c r="J264" s="114"/>
      <c r="K264" s="114"/>
      <c r="O264" s="114"/>
    </row>
    <row r="265" spans="3:18">
      <c r="C265" s="114"/>
      <c r="D265" s="114"/>
      <c r="H265" s="114"/>
      <c r="J265" s="114"/>
      <c r="K265" s="114"/>
      <c r="O265" s="114"/>
    </row>
    <row r="266" spans="3:18">
      <c r="C266" s="114"/>
      <c r="D266" s="114"/>
      <c r="H266" s="114"/>
      <c r="J266" s="114"/>
      <c r="K266" s="114"/>
      <c r="O266" s="114"/>
    </row>
    <row r="267" spans="3:18">
      <c r="C267" s="114"/>
      <c r="D267" s="114"/>
      <c r="H267" s="114"/>
      <c r="J267" s="114"/>
      <c r="K267" s="114"/>
      <c r="O267" s="114"/>
    </row>
    <row r="268" spans="3:18">
      <c r="C268" s="114"/>
      <c r="D268" s="114"/>
      <c r="H268" s="114"/>
      <c r="J268" s="114"/>
      <c r="K268" s="114"/>
      <c r="O268" s="114"/>
    </row>
    <row r="269" spans="3:18">
      <c r="C269" s="114"/>
      <c r="D269" s="114"/>
      <c r="H269" s="114"/>
      <c r="J269" s="114"/>
      <c r="K269" s="114"/>
      <c r="O269" s="114"/>
    </row>
    <row r="270" spans="3:18">
      <c r="C270" s="114"/>
      <c r="D270" s="114"/>
      <c r="H270" s="114"/>
      <c r="J270" s="114"/>
      <c r="K270" s="114"/>
      <c r="O270" s="114"/>
    </row>
    <row r="271" spans="3:18">
      <c r="C271" s="114"/>
      <c r="D271" s="114"/>
      <c r="H271" s="114"/>
      <c r="J271" s="114"/>
      <c r="K271" s="114"/>
      <c r="O271" s="114"/>
    </row>
    <row r="272" spans="3:18">
      <c r="C272" s="114"/>
      <c r="D272" s="114"/>
      <c r="H272" s="114"/>
      <c r="J272" s="114"/>
      <c r="K272" s="114"/>
      <c r="O272" s="114"/>
    </row>
    <row r="273" spans="3:18">
      <c r="C273" s="114"/>
      <c r="D273" s="114"/>
      <c r="H273" s="114"/>
      <c r="J273" s="114"/>
      <c r="K273" s="114"/>
      <c r="O273" s="114"/>
    </row>
    <row r="274" spans="3:18">
      <c r="C274" s="114"/>
      <c r="D274" s="114"/>
      <c r="H274" s="114"/>
      <c r="J274" s="114"/>
      <c r="K274" s="114"/>
      <c r="O274" s="114"/>
    </row>
    <row r="275" spans="3:18">
      <c r="C275" s="114"/>
      <c r="D275" s="114"/>
      <c r="H275" s="114"/>
      <c r="J275" s="114"/>
      <c r="K275" s="114"/>
      <c r="O275" s="114"/>
    </row>
    <row r="276" spans="3:18">
      <c r="C276" s="114"/>
      <c r="D276" s="114"/>
      <c r="H276" s="114"/>
      <c r="J276" s="114"/>
      <c r="K276" s="114"/>
      <c r="O276" s="114"/>
    </row>
    <row r="277" spans="3:18">
      <c r="C277" s="114"/>
      <c r="D277" s="114"/>
      <c r="H277" s="114"/>
      <c r="J277" s="114"/>
      <c r="K277" s="114"/>
      <c r="O277" s="114"/>
    </row>
    <row r="278" spans="3:18">
      <c r="C278" s="114"/>
      <c r="D278" s="114"/>
      <c r="H278" s="114"/>
      <c r="J278" s="114"/>
      <c r="K278" s="114"/>
      <c r="O278" s="114"/>
    </row>
    <row r="279" spans="3:18">
      <c r="C279" s="114"/>
      <c r="D279" s="114"/>
      <c r="H279" s="114"/>
      <c r="J279" s="114"/>
      <c r="K279" s="114"/>
      <c r="O279" s="114"/>
    </row>
    <row r="280" spans="3:18">
      <c r="C280" s="114"/>
      <c r="D280" s="114"/>
      <c r="H280" s="114"/>
      <c r="J280" s="114"/>
      <c r="K280" s="114"/>
      <c r="O280" s="114"/>
    </row>
    <row r="281" spans="3:18">
      <c r="C281" s="114"/>
      <c r="D281" s="114"/>
      <c r="H281" s="114"/>
      <c r="J281" s="114"/>
      <c r="K281" s="114"/>
      <c r="O281" s="114"/>
      <c r="R281" s="20"/>
    </row>
    <row r="282" spans="3:18">
      <c r="C282" s="114"/>
      <c r="D282" s="114"/>
      <c r="H282" s="114"/>
      <c r="J282" s="114"/>
      <c r="K282" s="114"/>
      <c r="O282" s="114"/>
    </row>
    <row r="283" spans="3:18">
      <c r="C283" s="114"/>
      <c r="D283" s="114"/>
      <c r="H283" s="114"/>
      <c r="J283" s="114"/>
      <c r="K283" s="114"/>
      <c r="O283" s="114"/>
    </row>
    <row r="284" spans="3:18">
      <c r="C284" s="114"/>
      <c r="D284" s="114"/>
      <c r="H284" s="114"/>
      <c r="J284" s="114"/>
      <c r="K284" s="114"/>
      <c r="O284" s="114"/>
    </row>
    <row r="285" spans="3:18">
      <c r="C285" s="114"/>
      <c r="D285" s="114"/>
      <c r="H285" s="114"/>
      <c r="J285" s="114"/>
      <c r="K285" s="114"/>
      <c r="O285" s="114"/>
    </row>
    <row r="286" spans="3:18">
      <c r="C286" s="114"/>
      <c r="D286" s="114"/>
      <c r="H286" s="114"/>
      <c r="J286" s="114"/>
      <c r="K286" s="114"/>
      <c r="O286" s="114"/>
    </row>
    <row r="287" spans="3:18">
      <c r="C287" s="114"/>
      <c r="D287" s="114"/>
      <c r="H287" s="114"/>
      <c r="J287" s="114"/>
      <c r="K287" s="114"/>
      <c r="O287" s="114"/>
    </row>
    <row r="288" spans="3:18">
      <c r="C288" s="114"/>
      <c r="D288" s="114"/>
      <c r="H288" s="114"/>
      <c r="J288" s="114"/>
      <c r="K288" s="114"/>
      <c r="O288" s="114"/>
    </row>
    <row r="289" spans="3:19">
      <c r="C289" s="114"/>
      <c r="D289" s="114"/>
      <c r="H289" s="114"/>
      <c r="J289" s="114"/>
      <c r="K289" s="114"/>
      <c r="O289" s="114"/>
    </row>
    <row r="290" spans="3:19">
      <c r="C290" s="114"/>
      <c r="D290" s="114"/>
      <c r="H290" s="114"/>
      <c r="J290" s="114"/>
      <c r="K290" s="114"/>
      <c r="O290" s="114"/>
    </row>
    <row r="291" spans="3:19">
      <c r="C291" s="114"/>
      <c r="D291" s="114"/>
      <c r="H291" s="114"/>
      <c r="J291" s="114"/>
      <c r="K291" s="114"/>
      <c r="O291" s="114"/>
    </row>
    <row r="292" spans="3:19">
      <c r="C292" s="114"/>
      <c r="D292" s="114"/>
      <c r="H292" s="114"/>
      <c r="J292" s="114"/>
      <c r="K292" s="114"/>
      <c r="O292" s="114"/>
    </row>
    <row r="293" spans="3:19">
      <c r="C293" s="114"/>
      <c r="D293" s="114"/>
      <c r="H293" s="114"/>
      <c r="J293" s="114"/>
      <c r="K293" s="114"/>
      <c r="O293" s="114"/>
    </row>
    <row r="294" spans="3:19">
      <c r="C294" s="114"/>
      <c r="D294" s="114"/>
      <c r="H294" s="114"/>
      <c r="J294" s="114"/>
      <c r="K294" s="114"/>
      <c r="O294" s="114"/>
    </row>
    <row r="295" spans="3:19">
      <c r="C295" s="114"/>
      <c r="D295" s="114"/>
      <c r="H295" s="114"/>
      <c r="J295" s="114"/>
      <c r="K295" s="114"/>
      <c r="O295" s="114"/>
    </row>
    <row r="296" spans="3:19">
      <c r="C296" s="114"/>
      <c r="D296" s="114"/>
      <c r="H296" s="114"/>
      <c r="J296" s="114"/>
      <c r="K296" s="114"/>
      <c r="O296" s="114"/>
      <c r="R296" s="20"/>
    </row>
    <row r="297" spans="3:19">
      <c r="C297" s="114"/>
      <c r="D297" s="114"/>
      <c r="H297" s="114"/>
      <c r="J297" s="114"/>
      <c r="K297" s="114"/>
      <c r="O297" s="114"/>
      <c r="R297" s="20"/>
    </row>
    <row r="298" spans="3:19">
      <c r="C298" s="114"/>
      <c r="D298" s="114"/>
      <c r="H298" s="114"/>
      <c r="J298" s="114"/>
      <c r="K298" s="114"/>
      <c r="O298" s="114"/>
    </row>
    <row r="299" spans="3:19">
      <c r="C299" s="114"/>
      <c r="D299" s="114"/>
      <c r="H299" s="114"/>
      <c r="J299" s="114"/>
      <c r="K299" s="114"/>
      <c r="O299" s="114"/>
    </row>
    <row r="300" spans="3:19">
      <c r="C300" s="114"/>
      <c r="D300" s="114"/>
      <c r="H300" s="114"/>
      <c r="J300" s="114"/>
      <c r="K300" s="114"/>
      <c r="O300" s="114"/>
    </row>
    <row r="301" spans="3:19">
      <c r="C301" s="114"/>
      <c r="D301" s="114"/>
      <c r="H301" s="114"/>
      <c r="J301" s="114"/>
      <c r="K301" s="114"/>
      <c r="O301" s="114"/>
      <c r="S301" s="20"/>
    </row>
    <row r="302" spans="3:19">
      <c r="C302" s="114"/>
      <c r="D302" s="114"/>
      <c r="H302" s="114"/>
      <c r="J302" s="114"/>
      <c r="K302" s="114"/>
      <c r="O302" s="114"/>
    </row>
    <row r="303" spans="3:19">
      <c r="C303" s="114"/>
      <c r="D303" s="114"/>
      <c r="H303" s="114"/>
      <c r="J303" s="114"/>
      <c r="K303" s="114"/>
      <c r="O303" s="114"/>
    </row>
    <row r="304" spans="3:19">
      <c r="C304" s="114"/>
      <c r="D304" s="114"/>
      <c r="H304" s="114"/>
      <c r="J304" s="114"/>
      <c r="K304" s="114"/>
      <c r="O304" s="114"/>
    </row>
    <row r="305" spans="3:19">
      <c r="C305" s="114"/>
      <c r="D305" s="114"/>
      <c r="H305" s="114"/>
      <c r="J305" s="114"/>
      <c r="K305" s="114"/>
      <c r="O305" s="114"/>
    </row>
    <row r="306" spans="3:19">
      <c r="C306" s="114"/>
      <c r="D306" s="114"/>
      <c r="H306" s="114"/>
      <c r="J306" s="114"/>
      <c r="K306" s="114"/>
      <c r="O306" s="114"/>
      <c r="S306" s="20"/>
    </row>
    <row r="307" spans="3:19">
      <c r="C307" s="114"/>
      <c r="D307" s="114"/>
      <c r="H307" s="114"/>
      <c r="J307" s="114"/>
      <c r="K307" s="114"/>
      <c r="O307" s="114"/>
    </row>
    <row r="308" spans="3:19">
      <c r="C308" s="114"/>
      <c r="D308" s="114"/>
      <c r="H308" s="114"/>
      <c r="J308" s="114"/>
      <c r="K308" s="114"/>
      <c r="O308" s="114"/>
    </row>
    <row r="309" spans="3:19">
      <c r="C309" s="114"/>
      <c r="D309" s="114"/>
      <c r="H309" s="114"/>
      <c r="J309" s="114"/>
      <c r="K309" s="114"/>
      <c r="O309" s="114"/>
    </row>
    <row r="310" spans="3:19">
      <c r="C310" s="114"/>
      <c r="D310" s="114"/>
      <c r="H310" s="114"/>
      <c r="J310" s="114"/>
      <c r="K310" s="114"/>
      <c r="O310" s="114"/>
    </row>
    <row r="311" spans="3:19">
      <c r="C311" s="114"/>
      <c r="D311" s="114"/>
      <c r="H311" s="114"/>
      <c r="J311" s="114"/>
      <c r="K311" s="114"/>
      <c r="O311" s="114"/>
    </row>
    <row r="312" spans="3:19">
      <c r="C312" s="114"/>
      <c r="D312" s="114"/>
      <c r="H312" s="114"/>
      <c r="J312" s="114"/>
      <c r="K312" s="114"/>
      <c r="O312" s="114"/>
    </row>
    <row r="313" spans="3:19">
      <c r="C313" s="114"/>
      <c r="D313" s="114"/>
      <c r="H313" s="114"/>
      <c r="J313" s="114"/>
      <c r="K313" s="114"/>
      <c r="O313" s="114"/>
    </row>
    <row r="314" spans="3:19">
      <c r="C314" s="114"/>
      <c r="D314" s="114"/>
      <c r="H314" s="114"/>
      <c r="J314" s="114"/>
      <c r="K314" s="114"/>
      <c r="O314" s="114"/>
    </row>
    <row r="315" spans="3:19">
      <c r="C315" s="114"/>
      <c r="D315" s="114"/>
      <c r="H315" s="114"/>
      <c r="J315" s="114"/>
      <c r="K315" s="114"/>
      <c r="O315" s="114"/>
    </row>
    <row r="316" spans="3:19">
      <c r="C316" s="114"/>
      <c r="D316" s="114"/>
      <c r="H316" s="114"/>
      <c r="J316" s="114"/>
      <c r="K316" s="114"/>
      <c r="O316" s="114"/>
    </row>
    <row r="317" spans="3:19">
      <c r="C317" s="114"/>
      <c r="D317" s="114"/>
      <c r="H317" s="114"/>
      <c r="J317" s="114"/>
      <c r="K317" s="114"/>
      <c r="O317" s="114"/>
    </row>
    <row r="318" spans="3:19">
      <c r="C318" s="114"/>
      <c r="D318" s="114"/>
      <c r="H318" s="114"/>
      <c r="J318" s="114"/>
      <c r="K318" s="114"/>
      <c r="O318" s="114"/>
    </row>
    <row r="319" spans="3:19">
      <c r="C319" s="114"/>
      <c r="D319" s="114"/>
      <c r="H319" s="114"/>
      <c r="J319" s="114"/>
      <c r="K319" s="114"/>
      <c r="O319" s="114"/>
    </row>
    <row r="320" spans="3:19">
      <c r="C320" s="114"/>
      <c r="D320" s="114"/>
      <c r="H320" s="114"/>
      <c r="J320" s="114"/>
      <c r="K320" s="114"/>
      <c r="O320" s="114"/>
    </row>
    <row r="321" spans="3:18">
      <c r="C321" s="114"/>
      <c r="D321" s="114"/>
      <c r="H321" s="114"/>
      <c r="J321" s="114"/>
      <c r="K321" s="114"/>
      <c r="O321" s="114"/>
      <c r="R321" s="20"/>
    </row>
    <row r="322" spans="3:18">
      <c r="C322" s="114"/>
      <c r="D322" s="114"/>
      <c r="H322" s="114"/>
      <c r="J322" s="114"/>
      <c r="K322" s="114"/>
      <c r="O322" s="114"/>
    </row>
    <row r="323" spans="3:18">
      <c r="C323" s="114"/>
      <c r="D323" s="114"/>
      <c r="H323" s="114"/>
      <c r="J323" s="114"/>
      <c r="K323" s="114"/>
      <c r="O323" s="114"/>
    </row>
    <row r="324" spans="3:18">
      <c r="C324" s="114"/>
      <c r="D324" s="114"/>
      <c r="H324" s="114"/>
      <c r="J324" s="114"/>
      <c r="K324" s="114"/>
      <c r="O324" s="114"/>
    </row>
    <row r="325" spans="3:18">
      <c r="C325" s="114"/>
      <c r="D325" s="114"/>
      <c r="H325" s="114"/>
      <c r="J325" s="114"/>
      <c r="K325" s="114"/>
      <c r="O325" s="114"/>
    </row>
    <row r="326" spans="3:18">
      <c r="C326" s="114"/>
      <c r="D326" s="114"/>
      <c r="H326" s="114"/>
      <c r="J326" s="114"/>
      <c r="K326" s="114"/>
      <c r="O326" s="114"/>
    </row>
    <row r="327" spans="3:18">
      <c r="C327" s="114"/>
      <c r="D327" s="114"/>
      <c r="H327" s="114"/>
      <c r="J327" s="114"/>
      <c r="K327" s="114"/>
      <c r="O327" s="114"/>
    </row>
    <row r="328" spans="3:18">
      <c r="C328" s="114"/>
      <c r="D328" s="114"/>
      <c r="H328" s="114"/>
      <c r="J328" s="114"/>
      <c r="K328" s="114"/>
      <c r="O328" s="114"/>
    </row>
    <row r="329" spans="3:18">
      <c r="C329" s="114"/>
      <c r="D329" s="114"/>
      <c r="H329" s="114"/>
      <c r="J329" s="114"/>
      <c r="K329" s="114"/>
      <c r="O329" s="114"/>
    </row>
    <row r="330" spans="3:18">
      <c r="C330" s="114"/>
      <c r="D330" s="114"/>
      <c r="H330" s="114"/>
      <c r="J330" s="114"/>
      <c r="K330" s="114"/>
      <c r="O330" s="114"/>
    </row>
    <row r="331" spans="3:18">
      <c r="C331" s="114"/>
      <c r="D331" s="114"/>
      <c r="H331" s="114"/>
      <c r="J331" s="114"/>
      <c r="K331" s="114"/>
      <c r="O331" s="114"/>
    </row>
    <row r="332" spans="3:18">
      <c r="C332" s="114"/>
      <c r="D332" s="114"/>
      <c r="H332" s="114"/>
      <c r="J332" s="114"/>
      <c r="K332" s="114"/>
      <c r="O332" s="114"/>
    </row>
    <row r="333" spans="3:18">
      <c r="C333" s="114"/>
      <c r="D333" s="114"/>
      <c r="H333" s="114"/>
      <c r="J333" s="114"/>
      <c r="K333" s="114"/>
      <c r="O333" s="114"/>
    </row>
    <row r="334" spans="3:18">
      <c r="C334" s="114"/>
      <c r="D334" s="114"/>
      <c r="H334" s="114"/>
      <c r="J334" s="114"/>
      <c r="K334" s="114"/>
      <c r="O334" s="114"/>
    </row>
    <row r="335" spans="3:18">
      <c r="C335" s="114"/>
      <c r="D335" s="114"/>
      <c r="H335" s="114"/>
      <c r="J335" s="114"/>
      <c r="K335" s="114"/>
      <c r="O335" s="114"/>
    </row>
    <row r="336" spans="3:18">
      <c r="C336" s="114"/>
      <c r="D336" s="114"/>
      <c r="H336" s="114"/>
      <c r="J336" s="114"/>
      <c r="K336" s="114"/>
      <c r="O336" s="114"/>
      <c r="R336" s="20"/>
    </row>
    <row r="337" spans="3:18">
      <c r="C337" s="114"/>
      <c r="D337" s="114"/>
      <c r="H337" s="114"/>
      <c r="J337" s="114"/>
      <c r="K337" s="114"/>
      <c r="O337" s="114"/>
    </row>
    <row r="338" spans="3:18">
      <c r="C338" s="114"/>
      <c r="D338" s="114"/>
      <c r="H338" s="114"/>
      <c r="J338" s="114"/>
      <c r="K338" s="114"/>
      <c r="O338" s="114"/>
    </row>
    <row r="339" spans="3:18">
      <c r="C339" s="114"/>
      <c r="D339" s="114"/>
      <c r="H339" s="114"/>
      <c r="J339" s="114"/>
      <c r="K339" s="114"/>
      <c r="O339" s="114"/>
    </row>
    <row r="340" spans="3:18">
      <c r="C340" s="114"/>
      <c r="D340" s="114"/>
      <c r="H340" s="114"/>
      <c r="J340" s="114"/>
      <c r="K340" s="114"/>
      <c r="O340" s="114"/>
    </row>
    <row r="341" spans="3:18">
      <c r="C341" s="114"/>
      <c r="D341" s="114"/>
      <c r="H341" s="114"/>
      <c r="J341" s="114"/>
      <c r="K341" s="114"/>
      <c r="O341" s="114"/>
      <c r="R341" s="20"/>
    </row>
    <row r="342" spans="3:18">
      <c r="C342" s="114"/>
      <c r="D342" s="114"/>
      <c r="H342" s="114"/>
      <c r="J342" s="114"/>
      <c r="K342" s="114"/>
      <c r="O342" s="114"/>
    </row>
    <row r="343" spans="3:18">
      <c r="C343" s="114"/>
      <c r="D343" s="114"/>
      <c r="H343" s="114"/>
      <c r="J343" s="114"/>
      <c r="K343" s="114"/>
      <c r="O343" s="114"/>
    </row>
    <row r="344" spans="3:18">
      <c r="C344" s="114"/>
      <c r="D344" s="114"/>
      <c r="H344" s="114"/>
      <c r="J344" s="114"/>
      <c r="K344" s="114"/>
      <c r="O344" s="114"/>
    </row>
    <row r="345" spans="3:18">
      <c r="C345" s="114"/>
      <c r="D345" s="114"/>
      <c r="H345" s="114"/>
      <c r="J345" s="114"/>
      <c r="K345" s="114"/>
      <c r="O345" s="114"/>
    </row>
    <row r="346" spans="3:18">
      <c r="C346" s="114"/>
      <c r="D346" s="114"/>
      <c r="H346" s="114"/>
      <c r="J346" s="114"/>
      <c r="K346" s="114"/>
      <c r="O346" s="114"/>
    </row>
    <row r="347" spans="3:18">
      <c r="C347" s="114"/>
      <c r="D347" s="114"/>
      <c r="H347" s="114"/>
      <c r="J347" s="114"/>
      <c r="K347" s="114"/>
      <c r="O347" s="114"/>
    </row>
    <row r="348" spans="3:18">
      <c r="C348" s="114"/>
      <c r="D348" s="114"/>
      <c r="H348" s="114"/>
      <c r="J348" s="114"/>
      <c r="K348" s="114"/>
      <c r="O348" s="114"/>
    </row>
    <row r="349" spans="3:18">
      <c r="C349" s="114"/>
      <c r="D349" s="114"/>
      <c r="H349" s="114"/>
      <c r="J349" s="114"/>
      <c r="K349" s="114"/>
      <c r="O349" s="114"/>
    </row>
    <row r="350" spans="3:18">
      <c r="C350" s="114"/>
      <c r="D350" s="114"/>
      <c r="H350" s="114"/>
      <c r="J350" s="114"/>
      <c r="K350" s="114"/>
      <c r="O350" s="114"/>
    </row>
    <row r="351" spans="3:18">
      <c r="C351" s="114"/>
      <c r="D351" s="114"/>
      <c r="H351" s="114"/>
      <c r="J351" s="114"/>
      <c r="K351" s="114"/>
      <c r="O351" s="114"/>
    </row>
    <row r="352" spans="3:18">
      <c r="C352" s="114"/>
      <c r="D352" s="114"/>
      <c r="H352" s="114"/>
      <c r="J352" s="114"/>
      <c r="K352" s="114"/>
      <c r="O352" s="114"/>
    </row>
    <row r="353" spans="3:15">
      <c r="C353" s="114"/>
      <c r="D353" s="114"/>
      <c r="H353" s="114"/>
      <c r="J353" s="114"/>
      <c r="K353" s="114"/>
      <c r="O353" s="114"/>
    </row>
    <row r="354" spans="3:15">
      <c r="C354" s="114"/>
      <c r="D354" s="114"/>
      <c r="H354" s="114"/>
      <c r="J354" s="114"/>
      <c r="K354" s="114"/>
      <c r="O354" s="114"/>
    </row>
    <row r="355" spans="3:15">
      <c r="C355" s="114"/>
      <c r="D355" s="114"/>
      <c r="H355" s="114"/>
      <c r="J355" s="114"/>
      <c r="K355" s="114"/>
      <c r="O355" s="114"/>
    </row>
    <row r="356" spans="3:15">
      <c r="C356" s="114"/>
      <c r="D356" s="114"/>
      <c r="H356" s="114"/>
      <c r="J356" s="114"/>
      <c r="K356" s="114"/>
      <c r="O356" s="114"/>
    </row>
    <row r="357" spans="3:15">
      <c r="C357" s="114"/>
      <c r="D357" s="114"/>
      <c r="H357" s="114"/>
      <c r="J357" s="114"/>
      <c r="K357" s="114"/>
      <c r="O357" s="114"/>
    </row>
    <row r="358" spans="3:15">
      <c r="C358" s="114"/>
      <c r="D358" s="114"/>
      <c r="H358" s="114"/>
      <c r="J358" s="114"/>
      <c r="K358" s="114"/>
      <c r="O358" s="114"/>
    </row>
    <row r="359" spans="3:15">
      <c r="C359" s="114"/>
      <c r="D359" s="114"/>
      <c r="H359" s="114"/>
      <c r="J359" s="114"/>
      <c r="K359" s="114"/>
      <c r="O359" s="114"/>
    </row>
    <row r="360" spans="3:15">
      <c r="C360" s="114"/>
      <c r="D360" s="114"/>
      <c r="H360" s="114"/>
      <c r="J360" s="114"/>
      <c r="K360" s="114"/>
      <c r="O360" s="114"/>
    </row>
    <row r="361" spans="3:15">
      <c r="C361" s="114"/>
      <c r="D361" s="114"/>
      <c r="H361" s="114"/>
      <c r="J361" s="114"/>
      <c r="K361" s="114"/>
      <c r="O361" s="114"/>
    </row>
    <row r="362" spans="3:15">
      <c r="C362" s="114"/>
      <c r="D362" s="114"/>
      <c r="H362" s="114"/>
      <c r="J362" s="114"/>
      <c r="K362" s="114"/>
      <c r="O362" s="114"/>
    </row>
    <row r="363" spans="3:15">
      <c r="C363" s="114"/>
      <c r="D363" s="114"/>
      <c r="H363" s="114"/>
      <c r="J363" s="114"/>
      <c r="K363" s="114"/>
      <c r="O363" s="114"/>
    </row>
    <row r="364" spans="3:15">
      <c r="C364" s="114"/>
      <c r="D364" s="114"/>
      <c r="H364" s="114"/>
      <c r="J364" s="114"/>
      <c r="K364" s="114"/>
      <c r="O364" s="114"/>
    </row>
    <row r="365" spans="3:15">
      <c r="C365" s="114"/>
      <c r="D365" s="114"/>
      <c r="H365" s="114"/>
      <c r="J365" s="114"/>
      <c r="K365" s="114"/>
      <c r="O365" s="114"/>
    </row>
    <row r="366" spans="3:15">
      <c r="C366" s="114"/>
      <c r="D366" s="114"/>
      <c r="H366" s="114"/>
      <c r="J366" s="114"/>
      <c r="K366" s="114"/>
      <c r="O366" s="114"/>
    </row>
    <row r="367" spans="3:15">
      <c r="C367" s="114"/>
      <c r="D367" s="114"/>
      <c r="H367" s="114"/>
      <c r="J367" s="114"/>
      <c r="K367" s="114"/>
      <c r="O367" s="114"/>
    </row>
    <row r="368" spans="3:15">
      <c r="C368" s="114"/>
      <c r="D368" s="114"/>
      <c r="H368" s="114"/>
      <c r="J368" s="114"/>
      <c r="K368" s="114"/>
      <c r="O368" s="114"/>
    </row>
    <row r="369" spans="3:19">
      <c r="C369" s="114"/>
      <c r="D369" s="114"/>
      <c r="H369" s="114"/>
      <c r="J369" s="114"/>
      <c r="K369" s="114"/>
      <c r="O369" s="114"/>
    </row>
    <row r="370" spans="3:19">
      <c r="C370" s="114"/>
      <c r="D370" s="114"/>
      <c r="H370" s="114"/>
      <c r="J370" s="114"/>
      <c r="K370" s="114"/>
      <c r="O370" s="114"/>
    </row>
    <row r="371" spans="3:19">
      <c r="C371" s="114"/>
      <c r="D371" s="114"/>
      <c r="H371" s="114"/>
      <c r="J371" s="114"/>
      <c r="K371" s="114"/>
      <c r="O371" s="114"/>
    </row>
    <row r="372" spans="3:19">
      <c r="C372" s="114"/>
      <c r="D372" s="114"/>
      <c r="H372" s="114"/>
      <c r="J372" s="114"/>
      <c r="K372" s="114"/>
      <c r="O372" s="114"/>
    </row>
    <row r="373" spans="3:19">
      <c r="C373" s="114"/>
      <c r="D373" s="114"/>
      <c r="H373" s="114"/>
      <c r="J373" s="114"/>
      <c r="K373" s="114"/>
      <c r="O373" s="114"/>
    </row>
    <row r="374" spans="3:19">
      <c r="C374" s="114"/>
      <c r="D374" s="114"/>
      <c r="H374" s="114"/>
      <c r="J374" s="114"/>
      <c r="K374" s="114"/>
      <c r="O374" s="114"/>
    </row>
    <row r="375" spans="3:19">
      <c r="C375" s="114"/>
      <c r="D375" s="114"/>
      <c r="H375" s="114"/>
      <c r="J375" s="114"/>
      <c r="K375" s="114"/>
      <c r="O375" s="114"/>
    </row>
    <row r="376" spans="3:19">
      <c r="C376" s="114"/>
      <c r="D376" s="114"/>
      <c r="H376" s="114"/>
      <c r="J376" s="114"/>
      <c r="K376" s="114"/>
      <c r="O376" s="114"/>
    </row>
    <row r="377" spans="3:19">
      <c r="C377" s="114"/>
      <c r="D377" s="114"/>
      <c r="H377" s="114"/>
      <c r="J377" s="114"/>
      <c r="K377" s="114"/>
      <c r="O377" s="114"/>
      <c r="S377" s="20"/>
    </row>
    <row r="378" spans="3:19">
      <c r="C378" s="114"/>
      <c r="D378" s="114"/>
      <c r="H378" s="114"/>
      <c r="J378" s="114"/>
      <c r="K378" s="114"/>
      <c r="O378" s="114"/>
    </row>
    <row r="379" spans="3:19">
      <c r="C379" s="114"/>
      <c r="D379" s="114"/>
      <c r="H379" s="114"/>
      <c r="J379" s="114"/>
      <c r="K379" s="114"/>
      <c r="O379" s="114"/>
      <c r="R379" s="20"/>
    </row>
    <row r="380" spans="3:19">
      <c r="C380" s="114"/>
      <c r="D380" s="114"/>
      <c r="H380" s="114"/>
      <c r="J380" s="114"/>
      <c r="K380" s="114"/>
      <c r="O380" s="114"/>
    </row>
    <row r="381" spans="3:19">
      <c r="C381" s="114"/>
      <c r="D381" s="114"/>
      <c r="H381" s="114"/>
      <c r="J381" s="114"/>
      <c r="K381" s="114"/>
      <c r="O381" s="114"/>
    </row>
    <row r="382" spans="3:19">
      <c r="C382" s="114"/>
      <c r="D382" s="114"/>
      <c r="H382" s="114"/>
      <c r="J382" s="114"/>
      <c r="K382" s="114"/>
      <c r="O382" s="114"/>
    </row>
    <row r="383" spans="3:19">
      <c r="C383" s="114"/>
      <c r="D383" s="114"/>
      <c r="H383" s="114"/>
      <c r="J383" s="114"/>
      <c r="K383" s="114"/>
      <c r="O383" s="114"/>
    </row>
    <row r="384" spans="3:19">
      <c r="C384" s="114"/>
      <c r="D384" s="114"/>
      <c r="H384" s="114"/>
      <c r="J384" s="114"/>
      <c r="K384" s="114"/>
      <c r="O384" s="114"/>
    </row>
    <row r="385" spans="3:19">
      <c r="C385" s="114"/>
      <c r="D385" s="114"/>
      <c r="H385" s="114"/>
      <c r="J385" s="114"/>
      <c r="K385" s="114"/>
      <c r="O385" s="114"/>
    </row>
    <row r="386" spans="3:19">
      <c r="C386" s="114"/>
      <c r="D386" s="114"/>
      <c r="H386" s="114"/>
      <c r="J386" s="114"/>
      <c r="K386" s="114"/>
      <c r="O386" s="114"/>
    </row>
    <row r="387" spans="3:19">
      <c r="C387" s="114"/>
      <c r="D387" s="114"/>
      <c r="H387" s="114"/>
      <c r="J387" s="114"/>
      <c r="K387" s="114"/>
      <c r="O387" s="114"/>
    </row>
    <row r="388" spans="3:19">
      <c r="C388" s="114"/>
      <c r="D388" s="114"/>
      <c r="H388" s="114"/>
      <c r="J388" s="114"/>
      <c r="K388" s="114"/>
      <c r="O388" s="114"/>
    </row>
    <row r="389" spans="3:19">
      <c r="C389" s="114"/>
      <c r="D389" s="114"/>
      <c r="H389" s="114"/>
      <c r="J389" s="114"/>
      <c r="K389" s="114"/>
      <c r="O389" s="114"/>
    </row>
    <row r="390" spans="3:19">
      <c r="C390" s="114"/>
      <c r="D390" s="114"/>
      <c r="H390" s="114"/>
      <c r="J390" s="114"/>
      <c r="K390" s="114"/>
      <c r="O390" s="114"/>
      <c r="R390" s="20"/>
    </row>
    <row r="391" spans="3:19">
      <c r="C391" s="114"/>
      <c r="D391" s="114"/>
      <c r="H391" s="114"/>
      <c r="J391" s="114"/>
      <c r="K391" s="114"/>
      <c r="O391" s="114"/>
    </row>
    <row r="392" spans="3:19">
      <c r="C392" s="114"/>
      <c r="D392" s="114"/>
      <c r="H392" s="114"/>
      <c r="J392" s="114"/>
      <c r="K392" s="114"/>
      <c r="O392" s="114"/>
    </row>
    <row r="393" spans="3:19">
      <c r="C393" s="114"/>
      <c r="D393" s="114"/>
      <c r="H393" s="114"/>
      <c r="J393" s="114"/>
      <c r="K393" s="114"/>
      <c r="O393" s="114"/>
    </row>
    <row r="394" spans="3:19">
      <c r="C394" s="114"/>
      <c r="D394" s="114"/>
      <c r="H394" s="114"/>
      <c r="J394" s="114"/>
      <c r="K394" s="114"/>
      <c r="O394" s="114"/>
    </row>
    <row r="395" spans="3:19">
      <c r="C395" s="114"/>
      <c r="D395" s="114"/>
      <c r="H395" s="114"/>
      <c r="J395" s="114"/>
      <c r="K395" s="114"/>
      <c r="O395" s="114"/>
    </row>
    <row r="396" spans="3:19">
      <c r="C396" s="114"/>
      <c r="D396" s="114"/>
      <c r="H396" s="114"/>
      <c r="J396" s="114"/>
      <c r="K396" s="114"/>
      <c r="O396" s="114"/>
    </row>
    <row r="397" spans="3:19">
      <c r="C397" s="114"/>
      <c r="D397" s="114"/>
      <c r="H397" s="114"/>
      <c r="J397" s="114"/>
      <c r="K397" s="114"/>
      <c r="O397" s="114"/>
    </row>
    <row r="398" spans="3:19">
      <c r="C398" s="114"/>
      <c r="D398" s="114"/>
      <c r="H398" s="114"/>
      <c r="J398" s="114"/>
      <c r="K398" s="114"/>
      <c r="O398" s="114"/>
      <c r="S398" s="20"/>
    </row>
    <row r="399" spans="3:19">
      <c r="C399" s="114"/>
      <c r="D399" s="114"/>
      <c r="H399" s="114"/>
      <c r="J399" s="114"/>
      <c r="K399" s="114"/>
      <c r="O399" s="114"/>
    </row>
    <row r="400" spans="3:19">
      <c r="C400" s="114"/>
      <c r="D400" s="114"/>
      <c r="H400" s="114"/>
      <c r="J400" s="114"/>
      <c r="K400" s="114"/>
      <c r="O400" s="114"/>
    </row>
    <row r="401" spans="3:15">
      <c r="C401" s="114"/>
      <c r="D401" s="114"/>
      <c r="H401" s="114"/>
      <c r="J401" s="114"/>
      <c r="K401" s="114"/>
      <c r="O401" s="114"/>
    </row>
    <row r="402" spans="3:15">
      <c r="C402" s="114"/>
      <c r="D402" s="114"/>
      <c r="H402" s="114"/>
      <c r="J402" s="114"/>
      <c r="K402" s="114"/>
      <c r="O402" s="114"/>
    </row>
    <row r="403" spans="3:15">
      <c r="C403" s="114"/>
      <c r="D403" s="114"/>
      <c r="H403" s="114"/>
      <c r="J403" s="114"/>
      <c r="K403" s="114"/>
      <c r="O403" s="114"/>
    </row>
    <row r="404" spans="3:15">
      <c r="C404" s="114"/>
      <c r="D404" s="114"/>
      <c r="H404" s="114"/>
      <c r="J404" s="114"/>
      <c r="K404" s="114"/>
      <c r="O404" s="114"/>
    </row>
    <row r="405" spans="3:15">
      <c r="C405" s="114"/>
      <c r="D405" s="114"/>
      <c r="H405" s="114"/>
      <c r="J405" s="114"/>
      <c r="K405" s="114"/>
      <c r="O405" s="114"/>
    </row>
    <row r="406" spans="3:15">
      <c r="C406" s="114"/>
      <c r="D406" s="114"/>
      <c r="H406" s="114"/>
      <c r="J406" s="114"/>
      <c r="K406" s="114"/>
      <c r="O406" s="114"/>
    </row>
    <row r="407" spans="3:15">
      <c r="C407" s="114"/>
      <c r="D407" s="114"/>
      <c r="H407" s="114"/>
      <c r="J407" s="114"/>
      <c r="K407" s="114"/>
      <c r="O407" s="114"/>
    </row>
    <row r="408" spans="3:15">
      <c r="C408" s="114"/>
      <c r="D408" s="114"/>
      <c r="H408" s="114"/>
      <c r="J408" s="114"/>
      <c r="K408" s="114"/>
      <c r="O408" s="114"/>
    </row>
    <row r="409" spans="3:15">
      <c r="C409" s="114"/>
      <c r="D409" s="114"/>
      <c r="H409" s="114"/>
      <c r="J409" s="114"/>
      <c r="K409" s="114"/>
      <c r="O409" s="114"/>
    </row>
    <row r="410" spans="3:15">
      <c r="C410" s="114"/>
      <c r="D410" s="114"/>
      <c r="H410" s="114"/>
      <c r="J410" s="114"/>
      <c r="K410" s="114"/>
      <c r="O410" s="114"/>
    </row>
    <row r="411" spans="3:15">
      <c r="C411" s="114"/>
      <c r="D411" s="114"/>
      <c r="H411" s="114"/>
      <c r="J411" s="114"/>
      <c r="K411" s="114"/>
      <c r="O411" s="114"/>
    </row>
    <row r="412" spans="3:15">
      <c r="C412" s="114"/>
      <c r="D412" s="114"/>
      <c r="H412" s="114"/>
      <c r="J412" s="114"/>
      <c r="K412" s="114"/>
      <c r="O412" s="114"/>
    </row>
    <row r="413" spans="3:15">
      <c r="C413" s="114"/>
      <c r="D413" s="114"/>
      <c r="H413" s="114"/>
      <c r="J413" s="114"/>
      <c r="K413" s="114"/>
      <c r="O413" s="114"/>
    </row>
    <row r="414" spans="3:15">
      <c r="C414" s="114"/>
      <c r="D414" s="114"/>
      <c r="H414" s="114"/>
      <c r="J414" s="114"/>
      <c r="K414" s="114"/>
      <c r="O414" s="114"/>
    </row>
    <row r="415" spans="3:15">
      <c r="C415" s="114"/>
      <c r="D415" s="114"/>
      <c r="H415" s="114"/>
      <c r="J415" s="114"/>
      <c r="K415" s="114"/>
      <c r="O415" s="114"/>
    </row>
    <row r="416" spans="3:15">
      <c r="C416" s="114"/>
      <c r="D416" s="114"/>
      <c r="H416" s="114"/>
      <c r="J416" s="114"/>
      <c r="K416" s="114"/>
      <c r="O416" s="114"/>
    </row>
    <row r="417" spans="3:15">
      <c r="C417" s="114"/>
      <c r="D417" s="114"/>
      <c r="H417" s="114"/>
      <c r="J417" s="114"/>
      <c r="K417" s="114"/>
      <c r="O417" s="114"/>
    </row>
    <row r="418" spans="3:15">
      <c r="C418" s="114"/>
      <c r="D418" s="114"/>
      <c r="H418" s="114"/>
      <c r="J418" s="114"/>
      <c r="K418" s="114"/>
      <c r="O418" s="114"/>
    </row>
    <row r="419" spans="3:15">
      <c r="C419" s="114"/>
      <c r="D419" s="114"/>
      <c r="H419" s="114"/>
      <c r="J419" s="114"/>
      <c r="K419" s="114"/>
      <c r="O419" s="114"/>
    </row>
    <row r="420" spans="3:15">
      <c r="C420" s="114"/>
      <c r="D420" s="114"/>
      <c r="H420" s="114"/>
      <c r="J420" s="114"/>
      <c r="K420" s="114"/>
      <c r="O420" s="114"/>
    </row>
    <row r="421" spans="3:15">
      <c r="C421" s="114"/>
      <c r="D421" s="114"/>
      <c r="H421" s="114"/>
      <c r="J421" s="114"/>
      <c r="K421" s="114"/>
      <c r="O421" s="114"/>
    </row>
    <row r="422" spans="3:15">
      <c r="C422" s="114"/>
      <c r="D422" s="114"/>
      <c r="H422" s="114"/>
      <c r="J422" s="114"/>
      <c r="K422" s="114"/>
      <c r="O422" s="114"/>
    </row>
    <row r="423" spans="3:15">
      <c r="C423" s="114"/>
      <c r="D423" s="114"/>
      <c r="H423" s="114"/>
      <c r="J423" s="114"/>
      <c r="K423" s="114"/>
      <c r="O423" s="114"/>
    </row>
    <row r="424" spans="3:15">
      <c r="C424" s="114"/>
      <c r="D424" s="114"/>
      <c r="H424" s="114"/>
      <c r="J424" s="114"/>
      <c r="K424" s="114"/>
      <c r="O424" s="114"/>
    </row>
    <row r="425" spans="3:15">
      <c r="C425" s="114"/>
      <c r="D425" s="114"/>
      <c r="H425" s="114"/>
      <c r="J425" s="114"/>
      <c r="K425" s="114"/>
      <c r="O425" s="114"/>
    </row>
    <row r="426" spans="3:15">
      <c r="C426" s="114"/>
      <c r="D426" s="114"/>
      <c r="H426" s="114"/>
      <c r="J426" s="114"/>
      <c r="K426" s="114"/>
      <c r="O426" s="114"/>
    </row>
    <row r="427" spans="3:15">
      <c r="C427" s="114"/>
      <c r="D427" s="114"/>
      <c r="H427" s="114"/>
      <c r="J427" s="114"/>
      <c r="K427" s="114"/>
      <c r="O427" s="114"/>
    </row>
    <row r="428" spans="3:15">
      <c r="C428" s="114"/>
      <c r="D428" s="114"/>
      <c r="H428" s="114"/>
      <c r="J428" s="114"/>
      <c r="K428" s="114"/>
      <c r="O428" s="114"/>
    </row>
    <row r="429" spans="3:15">
      <c r="C429" s="114"/>
      <c r="D429" s="114"/>
      <c r="H429" s="114"/>
      <c r="J429" s="114"/>
      <c r="K429" s="114"/>
      <c r="O429" s="114"/>
    </row>
    <row r="430" spans="3:15">
      <c r="C430" s="114"/>
      <c r="D430" s="114"/>
      <c r="H430" s="114"/>
      <c r="J430" s="114"/>
      <c r="K430" s="114"/>
      <c r="O430" s="114"/>
    </row>
    <row r="431" spans="3:15">
      <c r="C431" s="114"/>
      <c r="D431" s="114"/>
      <c r="H431" s="114"/>
      <c r="J431" s="114"/>
      <c r="K431" s="114"/>
      <c r="O431" s="114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C4" sqref="C4"/>
    </sheetView>
  </sheetViews>
  <sheetFormatPr defaultRowHeight="14.25"/>
  <cols>
    <col min="1" max="1" width="27.125" customWidth="1"/>
    <col min="2" max="2" width="34.625" customWidth="1"/>
  </cols>
  <sheetData>
    <row r="1" spans="1:4" s="114" customFormat="1">
      <c r="C1" s="1" t="s">
        <v>1083</v>
      </c>
      <c r="D1" s="153">
        <v>0.1</v>
      </c>
    </row>
    <row r="2" spans="1:4" s="114" customFormat="1">
      <c r="A2" s="18" t="s">
        <v>1081</v>
      </c>
      <c r="B2" s="1" t="s">
        <v>1090</v>
      </c>
      <c r="C2" s="1" t="s">
        <v>1082</v>
      </c>
    </row>
    <row r="3" spans="1:4" s="114" customFormat="1">
      <c r="A3" s="114">
        <v>500000</v>
      </c>
      <c r="B3" s="114">
        <v>250</v>
      </c>
      <c r="C3" s="114">
        <f>B3*(1+$D$1)</f>
        <v>275</v>
      </c>
    </row>
    <row r="4" spans="1:4" s="114" customFormat="1">
      <c r="A4" s="114">
        <v>1000000</v>
      </c>
      <c r="B4" s="114">
        <v>487</v>
      </c>
      <c r="C4" s="114">
        <f t="shared" ref="C4:C6" si="0">B4*(1+$D$1)</f>
        <v>535.70000000000005</v>
      </c>
    </row>
    <row r="5" spans="1:4" s="114" customFormat="1">
      <c r="A5" s="114">
        <v>1500000</v>
      </c>
      <c r="B5" s="114">
        <v>582</v>
      </c>
      <c r="C5" s="114">
        <f t="shared" si="0"/>
        <v>640.20000000000005</v>
      </c>
    </row>
    <row r="6" spans="1:4" s="114" customFormat="1">
      <c r="A6" s="114">
        <v>30000000</v>
      </c>
      <c r="B6" s="114">
        <v>921</v>
      </c>
      <c r="C6" s="114">
        <f t="shared" si="0"/>
        <v>1013.1000000000001</v>
      </c>
    </row>
    <row r="7" spans="1:4" s="114" customFormat="1"/>
    <row r="8" spans="1:4" s="114" customFormat="1">
      <c r="A8" s="18" t="s">
        <v>1084</v>
      </c>
      <c r="B8" s="1" t="s">
        <v>1091</v>
      </c>
    </row>
    <row r="9" spans="1:4" s="114" customFormat="1">
      <c r="A9" s="154" t="s">
        <v>1085</v>
      </c>
      <c r="B9" s="156">
        <v>198</v>
      </c>
    </row>
    <row r="10" spans="1:4" s="114" customFormat="1">
      <c r="A10" s="154" t="s">
        <v>1086</v>
      </c>
      <c r="B10" s="156">
        <v>385</v>
      </c>
    </row>
    <row r="11" spans="1:4" s="114" customFormat="1">
      <c r="A11" s="1" t="s">
        <v>1087</v>
      </c>
      <c r="B11" s="157">
        <v>2.8000000000000001E-2</v>
      </c>
    </row>
    <row r="12" spans="1:4" s="114" customFormat="1">
      <c r="A12" s="1" t="s">
        <v>272</v>
      </c>
      <c r="B12" s="157">
        <v>1.0999999999999999E-2</v>
      </c>
    </row>
    <row r="15" spans="1:4" ht="15">
      <c r="A15" s="84" t="s">
        <v>204</v>
      </c>
    </row>
    <row r="16" spans="1:4">
      <c r="B16" s="1"/>
    </row>
    <row r="17" spans="1:2" ht="15.75" thickBot="1">
      <c r="A17" s="75" t="s">
        <v>205</v>
      </c>
    </row>
    <row r="18" spans="1:2" ht="15.75" thickBot="1">
      <c r="A18" s="77" t="s">
        <v>206</v>
      </c>
      <c r="B18" s="78" t="s">
        <v>207</v>
      </c>
    </row>
    <row r="19" spans="1:2" ht="15.75" thickBot="1">
      <c r="A19" s="79" t="s">
        <v>208</v>
      </c>
      <c r="B19" s="76" t="s">
        <v>209</v>
      </c>
    </row>
    <row r="20" spans="1:2" ht="15.75" thickBot="1">
      <c r="A20" s="79" t="s">
        <v>210</v>
      </c>
      <c r="B20" s="76" t="s">
        <v>211</v>
      </c>
    </row>
    <row r="21" spans="1:2" ht="15.75" thickBot="1">
      <c r="A21" s="79" t="s">
        <v>212</v>
      </c>
      <c r="B21" s="76" t="s">
        <v>213</v>
      </c>
    </row>
    <row r="22" spans="1:2" ht="15.75" thickBot="1">
      <c r="A22" s="79" t="s">
        <v>214</v>
      </c>
      <c r="B22" s="76" t="s">
        <v>215</v>
      </c>
    </row>
    <row r="23" spans="1:2" ht="15.75" thickBot="1">
      <c r="A23" s="80" t="s">
        <v>216</v>
      </c>
      <c r="B23" s="81" t="s">
        <v>217</v>
      </c>
    </row>
    <row r="24" spans="1:2" ht="15.75" thickBot="1">
      <c r="A24" s="82" t="s">
        <v>218</v>
      </c>
      <c r="B24" s="83" t="s">
        <v>219</v>
      </c>
    </row>
    <row r="25" spans="1:2" ht="15.75" thickBot="1">
      <c r="A25" s="79" t="s">
        <v>220</v>
      </c>
      <c r="B25" s="76" t="s">
        <v>221</v>
      </c>
    </row>
    <row r="26" spans="1:2" ht="15.75" thickBot="1">
      <c r="A26" s="79" t="s">
        <v>222</v>
      </c>
      <c r="B26" s="76" t="s">
        <v>223</v>
      </c>
    </row>
    <row r="27" spans="1:2" ht="15.75" thickBot="1">
      <c r="A27" s="75" t="s">
        <v>224</v>
      </c>
    </row>
    <row r="28" spans="1:2" ht="15.75" thickBot="1">
      <c r="A28" s="77" t="s">
        <v>206</v>
      </c>
      <c r="B28" s="78" t="s">
        <v>207</v>
      </c>
    </row>
    <row r="29" spans="1:2" ht="15.75" thickBot="1">
      <c r="A29" s="79" t="s">
        <v>210</v>
      </c>
      <c r="B29" s="76" t="s">
        <v>211</v>
      </c>
    </row>
    <row r="30" spans="1:2" ht="15.75" thickBot="1">
      <c r="A30" s="79" t="s">
        <v>212</v>
      </c>
      <c r="B30" s="76" t="s">
        <v>225</v>
      </c>
    </row>
    <row r="31" spans="1:2" ht="15.75" thickBot="1">
      <c r="A31" s="79" t="s">
        <v>214</v>
      </c>
      <c r="B31" s="76" t="s">
        <v>226</v>
      </c>
    </row>
    <row r="32" spans="1:2" ht="15.75" thickBot="1">
      <c r="A32" s="80" t="s">
        <v>227</v>
      </c>
      <c r="B32" s="81" t="s">
        <v>228</v>
      </c>
    </row>
    <row r="35" spans="1:8" ht="15">
      <c r="A35" s="84" t="s">
        <v>229</v>
      </c>
    </row>
    <row r="36" spans="1:8" ht="15" thickBot="1"/>
    <row r="37" spans="1:8" ht="15.75" thickBot="1">
      <c r="A37" s="77" t="s">
        <v>230</v>
      </c>
      <c r="B37" s="78" t="s">
        <v>196</v>
      </c>
    </row>
    <row r="38" spans="1:8" ht="15.75" thickBot="1">
      <c r="A38" s="79" t="s">
        <v>210</v>
      </c>
      <c r="B38" s="76" t="s">
        <v>231</v>
      </c>
    </row>
    <row r="39" spans="1:8" ht="15.75" thickBot="1">
      <c r="A39" s="79" t="s">
        <v>212</v>
      </c>
      <c r="B39" s="76" t="s">
        <v>232</v>
      </c>
    </row>
    <row r="40" spans="1:8" ht="15.75" thickBot="1">
      <c r="A40" s="79" t="s">
        <v>233</v>
      </c>
      <c r="B40" s="76" t="s">
        <v>234</v>
      </c>
    </row>
    <row r="41" spans="1:8" ht="15.75" thickBot="1">
      <c r="A41" s="79" t="s">
        <v>214</v>
      </c>
      <c r="B41" s="76" t="s">
        <v>235</v>
      </c>
    </row>
    <row r="42" spans="1:8" ht="15.75" thickBot="1">
      <c r="A42" s="79" t="s">
        <v>216</v>
      </c>
      <c r="B42" s="76" t="s">
        <v>236</v>
      </c>
    </row>
    <row r="43" spans="1:8" ht="15.75" thickBot="1">
      <c r="A43" s="79" t="s">
        <v>237</v>
      </c>
      <c r="B43" s="76" t="s">
        <v>238</v>
      </c>
    </row>
    <row r="44" spans="1:8" ht="15">
      <c r="A44" s="86" t="s">
        <v>239</v>
      </c>
      <c r="B44" s="255" t="s">
        <v>241</v>
      </c>
    </row>
    <row r="45" spans="1:8" ht="30.75" thickBot="1">
      <c r="A45" s="79" t="s">
        <v>240</v>
      </c>
      <c r="B45" s="256"/>
    </row>
    <row r="47" spans="1:8" ht="15" thickBot="1"/>
    <row r="48" spans="1:8" ht="15" thickBot="1">
      <c r="A48" s="269" t="s">
        <v>190</v>
      </c>
      <c r="B48" s="270"/>
      <c r="C48" s="273" t="s">
        <v>242</v>
      </c>
      <c r="D48" s="274"/>
      <c r="E48" s="274"/>
      <c r="F48" s="274"/>
      <c r="G48" s="275"/>
      <c r="H48" s="92"/>
    </row>
    <row r="49" spans="1:8" ht="15" thickBot="1">
      <c r="A49" s="271"/>
      <c r="B49" s="272"/>
      <c r="C49" s="276" t="s">
        <v>243</v>
      </c>
      <c r="D49" s="277"/>
      <c r="E49" s="87" t="s">
        <v>244</v>
      </c>
      <c r="F49" s="278" t="s">
        <v>245</v>
      </c>
      <c r="G49" s="279"/>
    </row>
    <row r="50" spans="1:8" ht="15" thickBot="1">
      <c r="A50" s="93" t="s">
        <v>246</v>
      </c>
      <c r="B50" s="88" t="s">
        <v>247</v>
      </c>
      <c r="C50" s="88" t="s">
        <v>248</v>
      </c>
      <c r="D50" s="89" t="s">
        <v>247</v>
      </c>
      <c r="E50" s="89" t="s">
        <v>248</v>
      </c>
      <c r="F50" s="87" t="s">
        <v>248</v>
      </c>
      <c r="G50" s="90" t="s">
        <v>247</v>
      </c>
      <c r="H50" s="90" t="s">
        <v>248</v>
      </c>
    </row>
    <row r="51" spans="1:8" ht="28.5" customHeight="1" thickBot="1">
      <c r="A51" s="94" t="s">
        <v>249</v>
      </c>
      <c r="B51" s="259" t="s">
        <v>250</v>
      </c>
      <c r="C51" s="261"/>
      <c r="D51" s="259" t="s">
        <v>251</v>
      </c>
      <c r="E51" s="260"/>
      <c r="F51" s="260"/>
      <c r="G51" s="260"/>
      <c r="H51" s="261"/>
    </row>
    <row r="52" spans="1:8" ht="43.5" thickBot="1">
      <c r="A52" s="94" t="s">
        <v>252</v>
      </c>
      <c r="B52" s="259" t="s">
        <v>253</v>
      </c>
      <c r="C52" s="261"/>
      <c r="D52" s="91" t="s">
        <v>254</v>
      </c>
      <c r="E52" s="91" t="s">
        <v>255</v>
      </c>
      <c r="F52" s="91" t="s">
        <v>255</v>
      </c>
      <c r="G52" s="91" t="s">
        <v>254</v>
      </c>
      <c r="H52" s="91" t="s">
        <v>255</v>
      </c>
    </row>
    <row r="53" spans="1:8" ht="15" thickBot="1">
      <c r="A53" s="94" t="s">
        <v>256</v>
      </c>
      <c r="B53" s="259" t="s">
        <v>257</v>
      </c>
      <c r="C53" s="261"/>
      <c r="D53" s="259" t="s">
        <v>243</v>
      </c>
      <c r="E53" s="261"/>
      <c r="F53" s="91" t="s">
        <v>258</v>
      </c>
      <c r="G53" s="259" t="s">
        <v>259</v>
      </c>
      <c r="H53" s="261"/>
    </row>
    <row r="54" spans="1:8" ht="15" thickBot="1">
      <c r="A54" s="94" t="s">
        <v>196</v>
      </c>
      <c r="B54" s="259" t="s">
        <v>260</v>
      </c>
      <c r="C54" s="260"/>
      <c r="D54" s="260"/>
      <c r="E54" s="260"/>
      <c r="F54" s="261"/>
      <c r="G54" s="259" t="s">
        <v>261</v>
      </c>
      <c r="H54" s="261"/>
    </row>
    <row r="55" spans="1:8" ht="42.75">
      <c r="A55" s="155" t="s">
        <v>1087</v>
      </c>
      <c r="B55" s="85" t="s">
        <v>263</v>
      </c>
      <c r="C55" s="255" t="s">
        <v>266</v>
      </c>
      <c r="D55" s="85" t="s">
        <v>263</v>
      </c>
      <c r="E55" s="255" t="s">
        <v>266</v>
      </c>
      <c r="F55" s="255" t="s">
        <v>266</v>
      </c>
      <c r="G55" s="85" t="s">
        <v>269</v>
      </c>
      <c r="H55" s="255" t="s">
        <v>266</v>
      </c>
    </row>
    <row r="56" spans="1:8" ht="42.75">
      <c r="A56" s="95" t="s">
        <v>262</v>
      </c>
      <c r="B56" s="96" t="s">
        <v>1089</v>
      </c>
      <c r="C56" s="262"/>
      <c r="D56" s="85" t="s">
        <v>267</v>
      </c>
      <c r="E56" s="262"/>
      <c r="F56" s="262"/>
      <c r="G56" s="85" t="s">
        <v>270</v>
      </c>
      <c r="H56" s="262"/>
    </row>
    <row r="57" spans="1:8" ht="42.75">
      <c r="A57" s="95"/>
      <c r="B57" s="85" t="s">
        <v>264</v>
      </c>
      <c r="C57" s="262"/>
      <c r="D57" s="85" t="s">
        <v>264</v>
      </c>
      <c r="E57" s="262"/>
      <c r="F57" s="262"/>
      <c r="G57" s="85" t="s">
        <v>271</v>
      </c>
      <c r="H57" s="262"/>
    </row>
    <row r="58" spans="1:8" ht="15" thickBot="1">
      <c r="A58" s="94"/>
      <c r="B58" s="91" t="s">
        <v>265</v>
      </c>
      <c r="C58" s="256"/>
      <c r="D58" s="91" t="s">
        <v>268</v>
      </c>
      <c r="E58" s="256"/>
      <c r="F58" s="256"/>
      <c r="G58" s="91"/>
      <c r="H58" s="256"/>
    </row>
    <row r="59" spans="1:8" ht="42.75">
      <c r="A59" s="155" t="s">
        <v>1088</v>
      </c>
      <c r="B59" s="255" t="s">
        <v>266</v>
      </c>
      <c r="C59" s="263">
        <v>1.0999999999999999E-2</v>
      </c>
      <c r="D59" s="255" t="s">
        <v>266</v>
      </c>
      <c r="E59" s="266">
        <v>1.0999999999999999E-2</v>
      </c>
      <c r="F59" s="266">
        <v>3.9E-2</v>
      </c>
      <c r="G59" s="255" t="s">
        <v>266</v>
      </c>
      <c r="H59" s="85" t="s">
        <v>269</v>
      </c>
    </row>
    <row r="60" spans="1:8" ht="42.75">
      <c r="A60" s="95" t="s">
        <v>262</v>
      </c>
      <c r="B60" s="262"/>
      <c r="C60" s="264"/>
      <c r="D60" s="262"/>
      <c r="E60" s="267"/>
      <c r="F60" s="267"/>
      <c r="G60" s="262"/>
      <c r="H60" s="85" t="s">
        <v>270</v>
      </c>
    </row>
    <row r="61" spans="1:8" ht="43.5" thickBot="1">
      <c r="A61" s="94"/>
      <c r="B61" s="256"/>
      <c r="C61" s="265"/>
      <c r="D61" s="256"/>
      <c r="E61" s="268"/>
      <c r="F61" s="268"/>
      <c r="G61" s="256"/>
      <c r="H61" s="91" t="s">
        <v>271</v>
      </c>
    </row>
    <row r="62" spans="1:8" ht="127.5" customHeight="1">
      <c r="A62" s="95" t="s">
        <v>273</v>
      </c>
      <c r="B62" s="255" t="s">
        <v>266</v>
      </c>
      <c r="C62" s="257" t="s">
        <v>275</v>
      </c>
      <c r="D62" s="255" t="s">
        <v>266</v>
      </c>
      <c r="E62" s="255" t="s">
        <v>266</v>
      </c>
      <c r="F62" s="255" t="s">
        <v>266</v>
      </c>
      <c r="G62" s="255" t="s">
        <v>266</v>
      </c>
      <c r="H62" s="255" t="s">
        <v>276</v>
      </c>
    </row>
    <row r="63" spans="1:8" ht="15" thickBot="1">
      <c r="A63" s="94" t="s">
        <v>274</v>
      </c>
      <c r="B63" s="256"/>
      <c r="C63" s="258"/>
      <c r="D63" s="256"/>
      <c r="E63" s="256"/>
      <c r="F63" s="256"/>
      <c r="G63" s="256"/>
      <c r="H63" s="256"/>
    </row>
    <row r="64" spans="1:8" ht="15" thickBot="1">
      <c r="A64" s="94" t="s">
        <v>277</v>
      </c>
      <c r="B64" s="259" t="s">
        <v>278</v>
      </c>
      <c r="C64" s="260"/>
      <c r="D64" s="260"/>
      <c r="E64" s="260"/>
      <c r="F64" s="260"/>
      <c r="G64" s="260"/>
      <c r="H64" s="261"/>
    </row>
    <row r="65" spans="1:8" ht="14.25" customHeight="1">
      <c r="A65" s="243" t="s">
        <v>279</v>
      </c>
      <c r="B65" s="246" t="s">
        <v>280</v>
      </c>
      <c r="C65" s="247"/>
      <c r="D65" s="247"/>
      <c r="E65" s="247"/>
      <c r="F65" s="247"/>
      <c r="G65" s="247"/>
      <c r="H65" s="248"/>
    </row>
    <row r="66" spans="1:8" ht="15" thickBot="1">
      <c r="A66" s="245"/>
      <c r="B66" s="252" t="s">
        <v>281</v>
      </c>
      <c r="C66" s="253"/>
      <c r="D66" s="253"/>
      <c r="E66" s="253"/>
      <c r="F66" s="253"/>
      <c r="G66" s="253"/>
      <c r="H66" s="254"/>
    </row>
    <row r="67" spans="1:8" ht="14.25" customHeight="1">
      <c r="A67" s="243" t="s">
        <v>282</v>
      </c>
      <c r="B67" s="246" t="s">
        <v>283</v>
      </c>
      <c r="C67" s="247"/>
      <c r="D67" s="247"/>
      <c r="E67" s="247"/>
      <c r="F67" s="247"/>
      <c r="G67" s="247"/>
      <c r="H67" s="248"/>
    </row>
    <row r="68" spans="1:8" ht="15" thickBot="1">
      <c r="A68" s="245"/>
      <c r="B68" s="252" t="s">
        <v>284</v>
      </c>
      <c r="C68" s="253"/>
      <c r="D68" s="253"/>
      <c r="E68" s="253"/>
      <c r="F68" s="253"/>
      <c r="G68" s="253"/>
      <c r="H68" s="254"/>
    </row>
    <row r="69" spans="1:8" ht="28.5" customHeight="1">
      <c r="A69" s="243" t="s">
        <v>285</v>
      </c>
      <c r="B69" s="246" t="s">
        <v>286</v>
      </c>
      <c r="C69" s="247"/>
      <c r="D69" s="248"/>
      <c r="E69" s="246" t="s">
        <v>287</v>
      </c>
      <c r="F69" s="247"/>
      <c r="G69" s="247"/>
      <c r="H69" s="248"/>
    </row>
    <row r="70" spans="1:8" ht="28.5" customHeight="1">
      <c r="A70" s="244"/>
      <c r="B70" s="249"/>
      <c r="C70" s="250"/>
      <c r="D70" s="251"/>
      <c r="E70" s="249" t="s">
        <v>288</v>
      </c>
      <c r="F70" s="250"/>
      <c r="G70" s="250"/>
      <c r="H70" s="251"/>
    </row>
    <row r="71" spans="1:8" ht="28.5" customHeight="1" thickBot="1">
      <c r="A71" s="245"/>
      <c r="B71" s="252"/>
      <c r="C71" s="253"/>
      <c r="D71" s="254"/>
      <c r="E71" s="252" t="s">
        <v>289</v>
      </c>
      <c r="F71" s="253"/>
      <c r="G71" s="253"/>
      <c r="H71" s="254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J598"/>
  <sheetViews>
    <sheetView showGridLines="0" zoomScaleNormal="100" workbookViewId="0">
      <selection activeCell="K37" sqref="K37"/>
    </sheetView>
  </sheetViews>
  <sheetFormatPr defaultRowHeight="14.25"/>
  <cols>
    <col min="5" max="5" width="7" customWidth="1"/>
    <col min="8" max="8" width="26.5" customWidth="1"/>
  </cols>
  <sheetData>
    <row r="1" spans="1:10">
      <c r="A1" s="114" t="s">
        <v>398</v>
      </c>
      <c r="B1" s="114" t="s">
        <v>399</v>
      </c>
      <c r="C1" s="114" t="s">
        <v>400</v>
      </c>
      <c r="D1" s="114" t="s">
        <v>401</v>
      </c>
      <c r="E1" s="114" t="s">
        <v>402</v>
      </c>
      <c r="F1" s="114" t="s">
        <v>403</v>
      </c>
      <c r="G1" s="114" t="s">
        <v>404</v>
      </c>
      <c r="H1" s="114" t="s">
        <v>405</v>
      </c>
      <c r="I1" s="114" t="s">
        <v>406</v>
      </c>
    </row>
    <row r="2" spans="1:10">
      <c r="A2" s="114" t="s">
        <v>437</v>
      </c>
      <c r="B2" s="114" t="s">
        <v>407</v>
      </c>
      <c r="C2" s="114" t="s">
        <v>412</v>
      </c>
      <c r="D2" s="114" t="s">
        <v>409</v>
      </c>
      <c r="E2">
        <v>2929</v>
      </c>
      <c r="F2" s="114" t="s">
        <v>438</v>
      </c>
      <c r="G2" s="114" t="s">
        <v>418</v>
      </c>
      <c r="H2" s="114" t="s">
        <v>411</v>
      </c>
      <c r="I2">
        <v>144</v>
      </c>
    </row>
    <row r="3" spans="1:10">
      <c r="A3" s="114" t="s">
        <v>437</v>
      </c>
      <c r="B3" s="114" t="s">
        <v>407</v>
      </c>
      <c r="C3" s="114" t="s">
        <v>419</v>
      </c>
      <c r="D3" s="114" t="s">
        <v>409</v>
      </c>
      <c r="E3">
        <v>3031</v>
      </c>
      <c r="F3" s="114" t="s">
        <v>439</v>
      </c>
      <c r="G3" s="114" t="s">
        <v>410</v>
      </c>
      <c r="H3" s="114" t="s">
        <v>416</v>
      </c>
      <c r="I3">
        <v>150</v>
      </c>
    </row>
    <row r="4" spans="1:10">
      <c r="A4" s="114" t="s">
        <v>437</v>
      </c>
      <c r="B4" s="114" t="s">
        <v>407</v>
      </c>
      <c r="C4" s="114" t="s">
        <v>412</v>
      </c>
      <c r="D4" s="114" t="s">
        <v>409</v>
      </c>
      <c r="E4">
        <v>6778</v>
      </c>
      <c r="F4" s="114" t="s">
        <v>440</v>
      </c>
      <c r="G4" s="114" t="s">
        <v>418</v>
      </c>
      <c r="H4" s="114" t="s">
        <v>435</v>
      </c>
      <c r="I4">
        <v>149</v>
      </c>
    </row>
    <row r="5" spans="1:10">
      <c r="A5" s="114" t="s">
        <v>437</v>
      </c>
      <c r="B5" s="114" t="s">
        <v>407</v>
      </c>
      <c r="C5" s="114" t="s">
        <v>408</v>
      </c>
      <c r="D5" s="114" t="s">
        <v>409</v>
      </c>
      <c r="E5">
        <v>9632</v>
      </c>
      <c r="F5" s="114" t="s">
        <v>441</v>
      </c>
      <c r="G5" s="114" t="s">
        <v>410</v>
      </c>
      <c r="H5" s="114" t="s">
        <v>415</v>
      </c>
      <c r="I5">
        <v>213</v>
      </c>
    </row>
    <row r="6" spans="1:10">
      <c r="A6" s="114" t="s">
        <v>442</v>
      </c>
      <c r="B6" s="114" t="s">
        <v>630</v>
      </c>
      <c r="C6" s="114" t="s">
        <v>412</v>
      </c>
      <c r="D6" s="114" t="s">
        <v>409</v>
      </c>
      <c r="E6">
        <v>3662</v>
      </c>
      <c r="F6" s="114" t="s">
        <v>450</v>
      </c>
      <c r="G6" s="114" t="s">
        <v>410</v>
      </c>
      <c r="H6" s="114" t="s">
        <v>421</v>
      </c>
      <c r="I6">
        <v>224</v>
      </c>
    </row>
    <row r="7" spans="1:10">
      <c r="A7" s="114" t="s">
        <v>442</v>
      </c>
      <c r="B7" s="114" t="s">
        <v>407</v>
      </c>
      <c r="C7" s="114" t="s">
        <v>408</v>
      </c>
      <c r="D7" s="114" t="s">
        <v>409</v>
      </c>
      <c r="E7">
        <v>1928</v>
      </c>
      <c r="F7" s="114" t="s">
        <v>443</v>
      </c>
      <c r="G7" s="114" t="s">
        <v>410</v>
      </c>
      <c r="H7" s="114" t="s">
        <v>444</v>
      </c>
      <c r="I7" s="114" t="s">
        <v>445</v>
      </c>
      <c r="J7" s="114" t="s">
        <v>1101</v>
      </c>
    </row>
    <row r="8" spans="1:10">
      <c r="A8" s="114" t="s">
        <v>442</v>
      </c>
      <c r="B8" s="114" t="s">
        <v>407</v>
      </c>
      <c r="C8" s="114" t="s">
        <v>412</v>
      </c>
      <c r="D8" s="114" t="s">
        <v>409</v>
      </c>
      <c r="E8">
        <v>2353</v>
      </c>
      <c r="F8" s="114" t="s">
        <v>446</v>
      </c>
      <c r="G8" s="114" t="s">
        <v>410</v>
      </c>
      <c r="H8" s="114" t="s">
        <v>436</v>
      </c>
      <c r="I8">
        <v>585</v>
      </c>
    </row>
    <row r="9" spans="1:10">
      <c r="A9" s="114" t="s">
        <v>442</v>
      </c>
      <c r="B9" s="114" t="s">
        <v>407</v>
      </c>
      <c r="C9" s="114" t="s">
        <v>417</v>
      </c>
      <c r="D9" s="114" t="s">
        <v>409</v>
      </c>
      <c r="E9">
        <v>2373</v>
      </c>
      <c r="F9" s="114" t="s">
        <v>447</v>
      </c>
      <c r="G9" s="114" t="s">
        <v>414</v>
      </c>
      <c r="H9" s="114" t="s">
        <v>415</v>
      </c>
      <c r="I9">
        <v>87</v>
      </c>
    </row>
    <row r="10" spans="1:10">
      <c r="A10" s="114" t="s">
        <v>442</v>
      </c>
      <c r="B10" s="114" t="s">
        <v>407</v>
      </c>
      <c r="C10" s="114" t="s">
        <v>412</v>
      </c>
      <c r="D10" s="114" t="s">
        <v>413</v>
      </c>
      <c r="E10">
        <v>3193</v>
      </c>
      <c r="F10" s="114" t="s">
        <v>448</v>
      </c>
      <c r="G10" s="114" t="s">
        <v>410</v>
      </c>
      <c r="H10" s="114" t="s">
        <v>420</v>
      </c>
      <c r="I10">
        <v>223</v>
      </c>
    </row>
    <row r="11" spans="1:10">
      <c r="A11" s="114" t="s">
        <v>442</v>
      </c>
      <c r="B11" s="114" t="s">
        <v>407</v>
      </c>
      <c r="C11" s="114" t="s">
        <v>408</v>
      </c>
      <c r="D11" s="114" t="s">
        <v>409</v>
      </c>
      <c r="E11">
        <v>3657</v>
      </c>
      <c r="F11" s="114" t="s">
        <v>449</v>
      </c>
      <c r="G11" s="114" t="s">
        <v>410</v>
      </c>
      <c r="H11" s="114" t="s">
        <v>421</v>
      </c>
      <c r="I11">
        <v>419</v>
      </c>
    </row>
    <row r="12" spans="1:10">
      <c r="A12" s="114" t="s">
        <v>442</v>
      </c>
      <c r="B12" s="114" t="s">
        <v>407</v>
      </c>
      <c r="C12" s="114" t="s">
        <v>417</v>
      </c>
      <c r="D12" s="114" t="s">
        <v>413</v>
      </c>
      <c r="E12">
        <v>3733</v>
      </c>
      <c r="F12" s="114" t="s">
        <v>451</v>
      </c>
      <c r="G12" s="114" t="s">
        <v>414</v>
      </c>
      <c r="H12" s="114" t="s">
        <v>421</v>
      </c>
      <c r="I12">
        <v>645</v>
      </c>
    </row>
    <row r="13" spans="1:10">
      <c r="A13" s="114" t="s">
        <v>442</v>
      </c>
      <c r="B13" s="114" t="s">
        <v>407</v>
      </c>
      <c r="C13" s="114" t="s">
        <v>412</v>
      </c>
      <c r="D13" s="114" t="s">
        <v>409</v>
      </c>
      <c r="E13">
        <v>3854</v>
      </c>
      <c r="F13" s="114" t="s">
        <v>452</v>
      </c>
      <c r="G13" s="114" t="s">
        <v>410</v>
      </c>
      <c r="H13" s="114" t="s">
        <v>421</v>
      </c>
      <c r="I13">
        <v>397</v>
      </c>
    </row>
    <row r="14" spans="1:10">
      <c r="A14" s="114" t="s">
        <v>442</v>
      </c>
      <c r="B14" s="114" t="s">
        <v>407</v>
      </c>
      <c r="C14" s="114" t="s">
        <v>419</v>
      </c>
      <c r="D14" s="114" t="s">
        <v>409</v>
      </c>
      <c r="E14">
        <v>3903</v>
      </c>
      <c r="F14" s="114" t="s">
        <v>453</v>
      </c>
      <c r="G14" s="114" t="s">
        <v>410</v>
      </c>
      <c r="H14" s="114" t="s">
        <v>421</v>
      </c>
      <c r="I14">
        <v>233</v>
      </c>
    </row>
    <row r="15" spans="1:10">
      <c r="A15" s="114" t="s">
        <v>442</v>
      </c>
      <c r="B15" s="114" t="s">
        <v>407</v>
      </c>
      <c r="C15" s="114" t="s">
        <v>408</v>
      </c>
      <c r="D15" s="114" t="s">
        <v>409</v>
      </c>
      <c r="E15">
        <v>4334</v>
      </c>
      <c r="F15" s="114" t="s">
        <v>454</v>
      </c>
      <c r="G15" s="114" t="s">
        <v>414</v>
      </c>
      <c r="H15" s="114" t="s">
        <v>421</v>
      </c>
      <c r="I15">
        <v>62</v>
      </c>
    </row>
    <row r="16" spans="1:10">
      <c r="A16" s="114" t="s">
        <v>442</v>
      </c>
      <c r="B16" s="114" t="s">
        <v>407</v>
      </c>
      <c r="C16" s="114" t="s">
        <v>419</v>
      </c>
      <c r="D16" s="114" t="s">
        <v>413</v>
      </c>
      <c r="E16">
        <v>4382</v>
      </c>
      <c r="F16" s="114" t="s">
        <v>455</v>
      </c>
      <c r="G16" s="114" t="s">
        <v>422</v>
      </c>
      <c r="H16" s="114" t="s">
        <v>421</v>
      </c>
      <c r="I16" s="114">
        <v>844</v>
      </c>
      <c r="J16" s="114"/>
    </row>
    <row r="17" spans="1:10">
      <c r="A17" s="114" t="s">
        <v>442</v>
      </c>
      <c r="B17" s="114" t="s">
        <v>407</v>
      </c>
      <c r="C17" s="114" t="s">
        <v>412</v>
      </c>
      <c r="D17" s="114" t="s">
        <v>409</v>
      </c>
      <c r="E17">
        <v>6040</v>
      </c>
      <c r="F17" s="114" t="s">
        <v>456</v>
      </c>
      <c r="G17" s="114" t="s">
        <v>422</v>
      </c>
      <c r="H17" s="114" t="s">
        <v>415</v>
      </c>
      <c r="I17" s="114">
        <v>138</v>
      </c>
      <c r="J17" s="114"/>
    </row>
    <row r="18" spans="1:10">
      <c r="A18" s="114" t="s">
        <v>442</v>
      </c>
      <c r="B18" s="114" t="s">
        <v>407</v>
      </c>
      <c r="C18" s="114" t="s">
        <v>417</v>
      </c>
      <c r="D18" s="114" t="s">
        <v>409</v>
      </c>
      <c r="E18">
        <v>6309</v>
      </c>
      <c r="F18" s="114" t="s">
        <v>457</v>
      </c>
      <c r="G18" s="114" t="s">
        <v>410</v>
      </c>
      <c r="H18" s="114" t="s">
        <v>431</v>
      </c>
      <c r="I18">
        <v>238</v>
      </c>
    </row>
    <row r="19" spans="1:10">
      <c r="A19" s="114" t="s">
        <v>442</v>
      </c>
      <c r="B19" s="114" t="s">
        <v>407</v>
      </c>
      <c r="C19" s="114" t="s">
        <v>419</v>
      </c>
      <c r="D19" s="114" t="s">
        <v>409</v>
      </c>
      <c r="E19">
        <v>6656</v>
      </c>
      <c r="F19" s="114" t="s">
        <v>458</v>
      </c>
      <c r="G19" s="114" t="s">
        <v>418</v>
      </c>
      <c r="H19" s="114" t="s">
        <v>435</v>
      </c>
      <c r="I19">
        <v>49</v>
      </c>
    </row>
    <row r="20" spans="1:10">
      <c r="A20" s="114" t="s">
        <v>442</v>
      </c>
      <c r="B20" s="114" t="s">
        <v>407</v>
      </c>
      <c r="C20" s="114" t="s">
        <v>408</v>
      </c>
      <c r="D20" s="114" t="s">
        <v>409</v>
      </c>
      <c r="E20">
        <v>6898</v>
      </c>
      <c r="F20" s="114" t="s">
        <v>459</v>
      </c>
      <c r="G20" s="114" t="s">
        <v>414</v>
      </c>
      <c r="H20" s="114" t="s">
        <v>435</v>
      </c>
      <c r="I20">
        <v>14</v>
      </c>
    </row>
    <row r="21" spans="1:10">
      <c r="A21" s="114" t="s">
        <v>442</v>
      </c>
      <c r="B21" s="114" t="s">
        <v>407</v>
      </c>
      <c r="C21" s="114" t="s">
        <v>417</v>
      </c>
      <c r="D21" s="114" t="s">
        <v>413</v>
      </c>
      <c r="E21">
        <v>7265</v>
      </c>
      <c r="F21" s="114" t="s">
        <v>460</v>
      </c>
      <c r="G21" s="114" t="s">
        <v>414</v>
      </c>
      <c r="H21" s="114" t="s">
        <v>461</v>
      </c>
      <c r="I21" s="114">
        <v>32</v>
      </c>
      <c r="J21" s="114"/>
    </row>
    <row r="22" spans="1:10">
      <c r="A22" s="114" t="s">
        <v>442</v>
      </c>
      <c r="B22" s="114" t="s">
        <v>407</v>
      </c>
      <c r="C22" s="114" t="s">
        <v>417</v>
      </c>
      <c r="D22" s="114" t="s">
        <v>409</v>
      </c>
      <c r="E22">
        <v>7640</v>
      </c>
      <c r="F22" s="114" t="s">
        <v>462</v>
      </c>
      <c r="G22" s="114" t="s">
        <v>410</v>
      </c>
      <c r="H22" s="114" t="s">
        <v>420</v>
      </c>
      <c r="I22" s="114">
        <v>43</v>
      </c>
      <c r="J22" s="114"/>
    </row>
    <row r="23" spans="1:10">
      <c r="A23" s="114" t="s">
        <v>442</v>
      </c>
      <c r="B23" s="114" t="s">
        <v>407</v>
      </c>
      <c r="C23" s="114" t="s">
        <v>408</v>
      </c>
      <c r="D23" s="114" t="s">
        <v>413</v>
      </c>
      <c r="E23">
        <v>7878</v>
      </c>
      <c r="F23" s="114" t="s">
        <v>463</v>
      </c>
      <c r="G23" s="114" t="s">
        <v>414</v>
      </c>
      <c r="H23" s="114" t="s">
        <v>432</v>
      </c>
      <c r="I23">
        <v>10</v>
      </c>
    </row>
    <row r="24" spans="1:10">
      <c r="A24" s="114" t="s">
        <v>442</v>
      </c>
      <c r="B24" s="114" t="s">
        <v>407</v>
      </c>
      <c r="C24" s="114" t="s">
        <v>417</v>
      </c>
      <c r="D24" s="114" t="s">
        <v>409</v>
      </c>
      <c r="E24">
        <v>9678</v>
      </c>
      <c r="F24" s="114" t="s">
        <v>464</v>
      </c>
      <c r="G24" s="114" t="s">
        <v>410</v>
      </c>
      <c r="H24" s="114" t="s">
        <v>415</v>
      </c>
      <c r="I24" s="114" t="s">
        <v>465</v>
      </c>
      <c r="J24" s="114" t="s">
        <v>1068</v>
      </c>
    </row>
    <row r="25" spans="1:10">
      <c r="A25" s="114" t="s">
        <v>442</v>
      </c>
      <c r="B25" s="114" t="s">
        <v>407</v>
      </c>
      <c r="C25" s="114" t="s">
        <v>408</v>
      </c>
      <c r="D25" s="114" t="s">
        <v>413</v>
      </c>
      <c r="E25">
        <v>9734</v>
      </c>
      <c r="F25" s="114" t="s">
        <v>466</v>
      </c>
      <c r="G25" s="114" t="s">
        <v>414</v>
      </c>
      <c r="H25" s="114" t="s">
        <v>415</v>
      </c>
      <c r="I25">
        <v>30</v>
      </c>
    </row>
    <row r="26" spans="1:10">
      <c r="A26" s="114" t="s">
        <v>442</v>
      </c>
      <c r="B26" s="114" t="s">
        <v>407</v>
      </c>
      <c r="C26" s="114" t="s">
        <v>408</v>
      </c>
      <c r="D26" s="114" t="s">
        <v>409</v>
      </c>
      <c r="E26">
        <v>9743</v>
      </c>
      <c r="F26" s="114" t="s">
        <v>467</v>
      </c>
      <c r="G26" s="114" t="s">
        <v>410</v>
      </c>
      <c r="H26" s="114" t="s">
        <v>415</v>
      </c>
      <c r="I26">
        <v>616</v>
      </c>
    </row>
    <row r="27" spans="1:10">
      <c r="A27" s="114" t="s">
        <v>468</v>
      </c>
      <c r="B27" s="114" t="s">
        <v>469</v>
      </c>
      <c r="C27" s="114" t="s">
        <v>408</v>
      </c>
      <c r="D27" s="114" t="s">
        <v>413</v>
      </c>
      <c r="E27">
        <v>2163</v>
      </c>
      <c r="F27" s="114" t="s">
        <v>470</v>
      </c>
      <c r="G27" s="114" t="s">
        <v>410</v>
      </c>
      <c r="H27" s="114" t="s">
        <v>415</v>
      </c>
      <c r="I27">
        <v>82</v>
      </c>
    </row>
    <row r="28" spans="1:10">
      <c r="A28" s="114" t="s">
        <v>468</v>
      </c>
      <c r="B28" s="114" t="s">
        <v>407</v>
      </c>
      <c r="C28" s="114" t="s">
        <v>417</v>
      </c>
      <c r="D28" s="114" t="s">
        <v>413</v>
      </c>
      <c r="E28">
        <v>2301</v>
      </c>
      <c r="F28" s="114" t="s">
        <v>471</v>
      </c>
      <c r="G28" s="114" t="s">
        <v>410</v>
      </c>
      <c r="H28" s="114" t="s">
        <v>415</v>
      </c>
      <c r="I28">
        <v>248</v>
      </c>
    </row>
    <row r="29" spans="1:10">
      <c r="A29" s="114" t="s">
        <v>468</v>
      </c>
      <c r="B29" s="114" t="s">
        <v>407</v>
      </c>
      <c r="C29" s="114" t="s">
        <v>408</v>
      </c>
      <c r="D29" s="114" t="s">
        <v>409</v>
      </c>
      <c r="E29">
        <v>3071</v>
      </c>
      <c r="F29" s="114" t="s">
        <v>472</v>
      </c>
      <c r="G29" s="114" t="s">
        <v>418</v>
      </c>
      <c r="H29" s="114" t="s">
        <v>420</v>
      </c>
      <c r="I29">
        <v>25</v>
      </c>
    </row>
    <row r="30" spans="1:10">
      <c r="A30" s="114" t="s">
        <v>468</v>
      </c>
      <c r="B30" s="114" t="s">
        <v>407</v>
      </c>
      <c r="C30" s="114" t="s">
        <v>419</v>
      </c>
      <c r="D30" s="114" t="s">
        <v>409</v>
      </c>
      <c r="E30">
        <v>3180</v>
      </c>
      <c r="F30" s="114" t="s">
        <v>473</v>
      </c>
      <c r="G30" s="114" t="s">
        <v>410</v>
      </c>
      <c r="H30" s="114" t="s">
        <v>416</v>
      </c>
      <c r="I30">
        <v>139</v>
      </c>
    </row>
    <row r="31" spans="1:10">
      <c r="A31" s="114" t="s">
        <v>468</v>
      </c>
      <c r="B31" s="114" t="s">
        <v>407</v>
      </c>
      <c r="C31" s="114" t="s">
        <v>417</v>
      </c>
      <c r="D31" s="114" t="s">
        <v>409</v>
      </c>
      <c r="E31">
        <v>3491</v>
      </c>
      <c r="F31" s="114" t="s">
        <v>474</v>
      </c>
      <c r="G31" s="114" t="s">
        <v>422</v>
      </c>
      <c r="H31" s="114" t="s">
        <v>436</v>
      </c>
      <c r="I31">
        <v>397</v>
      </c>
    </row>
    <row r="32" spans="1:10">
      <c r="A32" s="114" t="s">
        <v>468</v>
      </c>
      <c r="B32" s="114" t="s">
        <v>407</v>
      </c>
      <c r="C32" s="114" t="s">
        <v>419</v>
      </c>
      <c r="D32" s="114" t="s">
        <v>409</v>
      </c>
      <c r="E32">
        <v>3524</v>
      </c>
      <c r="F32" s="114" t="s">
        <v>475</v>
      </c>
      <c r="G32" s="114" t="s">
        <v>410</v>
      </c>
      <c r="H32" s="114" t="s">
        <v>476</v>
      </c>
      <c r="I32">
        <v>43</v>
      </c>
    </row>
    <row r="33" spans="1:10">
      <c r="A33" s="114" t="s">
        <v>468</v>
      </c>
      <c r="B33" s="114" t="s">
        <v>407</v>
      </c>
      <c r="C33" s="114" t="s">
        <v>408</v>
      </c>
      <c r="D33" s="114" t="s">
        <v>409</v>
      </c>
      <c r="E33">
        <v>3955</v>
      </c>
      <c r="F33" s="114" t="s">
        <v>477</v>
      </c>
      <c r="G33" s="114" t="s">
        <v>418</v>
      </c>
      <c r="H33" s="114" t="s">
        <v>478</v>
      </c>
      <c r="I33" s="114">
        <v>63</v>
      </c>
      <c r="J33" s="114"/>
    </row>
    <row r="34" spans="1:10">
      <c r="A34" s="114" t="s">
        <v>468</v>
      </c>
      <c r="B34" s="114" t="s">
        <v>407</v>
      </c>
      <c r="C34" s="114" t="s">
        <v>408</v>
      </c>
      <c r="D34" s="114" t="s">
        <v>409</v>
      </c>
      <c r="E34">
        <v>4238</v>
      </c>
      <c r="F34" s="114" t="s">
        <v>479</v>
      </c>
      <c r="G34" s="114" t="s">
        <v>410</v>
      </c>
      <c r="H34" s="114" t="s">
        <v>423</v>
      </c>
      <c r="I34">
        <v>136</v>
      </c>
    </row>
    <row r="35" spans="1:10">
      <c r="A35" s="114" t="s">
        <v>468</v>
      </c>
      <c r="B35" s="114" t="s">
        <v>407</v>
      </c>
      <c r="C35" s="114" t="s">
        <v>419</v>
      </c>
      <c r="D35" s="114" t="s">
        <v>409</v>
      </c>
      <c r="E35">
        <v>6065</v>
      </c>
      <c r="F35" s="114" t="s">
        <v>480</v>
      </c>
      <c r="G35" s="114" t="s">
        <v>410</v>
      </c>
      <c r="H35" s="114" t="s">
        <v>415</v>
      </c>
      <c r="I35">
        <v>93</v>
      </c>
    </row>
    <row r="36" spans="1:10">
      <c r="A36" s="114" t="s">
        <v>468</v>
      </c>
      <c r="B36" s="114" t="s">
        <v>407</v>
      </c>
      <c r="C36" s="114" t="s">
        <v>408</v>
      </c>
      <c r="D36" s="114" t="s">
        <v>409</v>
      </c>
      <c r="E36">
        <v>7196</v>
      </c>
      <c r="F36" s="114" t="s">
        <v>481</v>
      </c>
      <c r="G36" s="114" t="s">
        <v>410</v>
      </c>
      <c r="H36" s="114" t="s">
        <v>482</v>
      </c>
      <c r="I36">
        <v>137</v>
      </c>
    </row>
    <row r="37" spans="1:10">
      <c r="A37" s="114" t="s">
        <v>468</v>
      </c>
      <c r="B37" s="114" t="s">
        <v>407</v>
      </c>
      <c r="C37" s="114" t="s">
        <v>417</v>
      </c>
      <c r="D37" s="114" t="s">
        <v>413</v>
      </c>
      <c r="E37">
        <v>7804</v>
      </c>
      <c r="F37" s="114" t="s">
        <v>483</v>
      </c>
      <c r="G37" s="114" t="s">
        <v>422</v>
      </c>
      <c r="H37" s="114" t="s">
        <v>432</v>
      </c>
      <c r="I37">
        <v>42</v>
      </c>
    </row>
    <row r="38" spans="1:10">
      <c r="A38" s="114" t="s">
        <v>468</v>
      </c>
      <c r="B38" s="114" t="s">
        <v>407</v>
      </c>
      <c r="C38" s="114" t="s">
        <v>417</v>
      </c>
      <c r="D38" s="114" t="s">
        <v>409</v>
      </c>
      <c r="E38">
        <v>7856</v>
      </c>
      <c r="F38" s="114" t="s">
        <v>484</v>
      </c>
      <c r="G38" s="114" t="s">
        <v>410</v>
      </c>
      <c r="H38" s="114" t="s">
        <v>432</v>
      </c>
      <c r="I38">
        <v>243</v>
      </c>
    </row>
    <row r="39" spans="1:10">
      <c r="A39" s="114" t="s">
        <v>468</v>
      </c>
      <c r="B39" s="114" t="s">
        <v>407</v>
      </c>
      <c r="C39" s="114" t="s">
        <v>417</v>
      </c>
      <c r="D39" s="114" t="s">
        <v>409</v>
      </c>
      <c r="E39">
        <v>9824</v>
      </c>
      <c r="F39" s="114" t="s">
        <v>485</v>
      </c>
      <c r="G39" s="114" t="s">
        <v>410</v>
      </c>
      <c r="H39" s="114" t="s">
        <v>416</v>
      </c>
      <c r="I39">
        <v>310</v>
      </c>
    </row>
    <row r="40" spans="1:10">
      <c r="A40" s="114" t="s">
        <v>486</v>
      </c>
      <c r="B40" s="114" t="s">
        <v>407</v>
      </c>
      <c r="C40" s="114" t="s">
        <v>408</v>
      </c>
      <c r="D40" s="114" t="s">
        <v>409</v>
      </c>
      <c r="E40">
        <v>1433</v>
      </c>
      <c r="F40" s="114" t="s">
        <v>487</v>
      </c>
      <c r="G40" s="114" t="s">
        <v>410</v>
      </c>
      <c r="H40" s="114" t="s">
        <v>444</v>
      </c>
      <c r="I40">
        <v>106</v>
      </c>
    </row>
    <row r="41" spans="1:10">
      <c r="A41" s="114" t="s">
        <v>486</v>
      </c>
      <c r="B41" s="114" t="s">
        <v>407</v>
      </c>
      <c r="C41" s="114" t="s">
        <v>412</v>
      </c>
      <c r="D41" s="114" t="s">
        <v>409</v>
      </c>
      <c r="E41">
        <v>1844</v>
      </c>
      <c r="F41" s="114" t="s">
        <v>488</v>
      </c>
      <c r="G41" s="114" t="s">
        <v>418</v>
      </c>
      <c r="H41" s="114" t="s">
        <v>444</v>
      </c>
      <c r="I41">
        <v>32</v>
      </c>
    </row>
    <row r="42" spans="1:10">
      <c r="A42" s="114" t="s">
        <v>486</v>
      </c>
      <c r="B42" s="114" t="s">
        <v>407</v>
      </c>
      <c r="C42" s="114" t="s">
        <v>419</v>
      </c>
      <c r="D42" s="114" t="s">
        <v>413</v>
      </c>
      <c r="E42">
        <v>2438</v>
      </c>
      <c r="F42" s="114" t="s">
        <v>489</v>
      </c>
      <c r="G42" s="114" t="s">
        <v>422</v>
      </c>
      <c r="H42" s="114" t="s">
        <v>415</v>
      </c>
      <c r="I42">
        <v>270</v>
      </c>
    </row>
    <row r="43" spans="1:10">
      <c r="A43" s="114" t="s">
        <v>486</v>
      </c>
      <c r="B43" s="114" t="s">
        <v>407</v>
      </c>
      <c r="C43" s="114" t="s">
        <v>419</v>
      </c>
      <c r="D43" s="114" t="s">
        <v>409</v>
      </c>
      <c r="E43">
        <v>2751</v>
      </c>
      <c r="F43" s="114" t="s">
        <v>490</v>
      </c>
      <c r="G43" s="114" t="s">
        <v>414</v>
      </c>
      <c r="H43" s="114" t="s">
        <v>416</v>
      </c>
      <c r="I43">
        <v>317</v>
      </c>
    </row>
    <row r="44" spans="1:10">
      <c r="A44" s="114" t="s">
        <v>486</v>
      </c>
      <c r="B44" s="114" t="s">
        <v>407</v>
      </c>
      <c r="C44" s="114" t="s">
        <v>419</v>
      </c>
      <c r="D44" s="114" t="s">
        <v>409</v>
      </c>
      <c r="E44">
        <v>2923</v>
      </c>
      <c r="F44" s="114" t="s">
        <v>491</v>
      </c>
      <c r="G44" s="114" t="s">
        <v>418</v>
      </c>
      <c r="H44" s="114" t="s">
        <v>411</v>
      </c>
      <c r="I44">
        <v>183</v>
      </c>
    </row>
    <row r="45" spans="1:10">
      <c r="A45" s="114" t="s">
        <v>486</v>
      </c>
      <c r="B45" s="114" t="s">
        <v>407</v>
      </c>
      <c r="C45" s="114" t="s">
        <v>408</v>
      </c>
      <c r="D45" s="114" t="s">
        <v>409</v>
      </c>
      <c r="E45">
        <v>3070</v>
      </c>
      <c r="F45" s="114" t="s">
        <v>492</v>
      </c>
      <c r="G45" s="114" t="s">
        <v>414</v>
      </c>
      <c r="H45" s="114" t="s">
        <v>416</v>
      </c>
      <c r="I45">
        <v>7</v>
      </c>
    </row>
    <row r="46" spans="1:10">
      <c r="A46" s="114" t="s">
        <v>486</v>
      </c>
      <c r="B46" s="114" t="s">
        <v>407</v>
      </c>
      <c r="C46" s="114" t="s">
        <v>417</v>
      </c>
      <c r="D46" s="114" t="s">
        <v>409</v>
      </c>
      <c r="E46">
        <v>3248</v>
      </c>
      <c r="F46" s="114" t="s">
        <v>493</v>
      </c>
      <c r="G46" s="114" t="s">
        <v>418</v>
      </c>
      <c r="H46" s="114" t="s">
        <v>436</v>
      </c>
      <c r="I46">
        <v>22</v>
      </c>
    </row>
    <row r="47" spans="1:10">
      <c r="A47" s="114" t="s">
        <v>486</v>
      </c>
      <c r="B47" s="114" t="s">
        <v>407</v>
      </c>
      <c r="C47" s="114" t="s">
        <v>408</v>
      </c>
      <c r="D47" s="114" t="s">
        <v>413</v>
      </c>
      <c r="E47">
        <v>3399</v>
      </c>
      <c r="F47" s="114" t="s">
        <v>494</v>
      </c>
      <c r="G47" s="114" t="s">
        <v>414</v>
      </c>
      <c r="H47" s="114" t="s">
        <v>420</v>
      </c>
      <c r="I47">
        <v>47</v>
      </c>
    </row>
    <row r="48" spans="1:10">
      <c r="A48" s="114" t="s">
        <v>486</v>
      </c>
      <c r="B48" s="114" t="s">
        <v>407</v>
      </c>
      <c r="C48" s="114" t="s">
        <v>417</v>
      </c>
      <c r="D48" s="114" t="s">
        <v>409</v>
      </c>
      <c r="E48">
        <v>3475</v>
      </c>
      <c r="F48" s="114" t="s">
        <v>495</v>
      </c>
      <c r="G48" s="114" t="s">
        <v>410</v>
      </c>
      <c r="H48" s="114" t="s">
        <v>436</v>
      </c>
      <c r="I48">
        <v>137</v>
      </c>
    </row>
    <row r="49" spans="1:10">
      <c r="A49" s="114" t="s">
        <v>486</v>
      </c>
      <c r="B49" s="114" t="s">
        <v>407</v>
      </c>
      <c r="C49" s="114" t="s">
        <v>417</v>
      </c>
      <c r="D49" s="114" t="s">
        <v>413</v>
      </c>
      <c r="E49">
        <v>3476</v>
      </c>
      <c r="F49" s="114" t="s">
        <v>496</v>
      </c>
      <c r="G49" s="114" t="s">
        <v>497</v>
      </c>
      <c r="H49" s="114" t="s">
        <v>498</v>
      </c>
      <c r="I49">
        <v>951</v>
      </c>
    </row>
    <row r="50" spans="1:10">
      <c r="A50" s="114" t="s">
        <v>486</v>
      </c>
      <c r="B50" s="114" t="s">
        <v>407</v>
      </c>
      <c r="C50" s="114" t="s">
        <v>412</v>
      </c>
      <c r="D50" s="114" t="s">
        <v>409</v>
      </c>
      <c r="E50">
        <v>3988</v>
      </c>
      <c r="F50" s="114" t="s">
        <v>499</v>
      </c>
      <c r="G50" s="114" t="s">
        <v>414</v>
      </c>
      <c r="H50" s="114" t="s">
        <v>421</v>
      </c>
      <c r="I50" s="114">
        <v>29</v>
      </c>
      <c r="J50" s="114"/>
    </row>
    <row r="51" spans="1:10">
      <c r="A51" s="114" t="s">
        <v>486</v>
      </c>
      <c r="B51" s="114" t="s">
        <v>407</v>
      </c>
      <c r="C51" s="114" t="s">
        <v>417</v>
      </c>
      <c r="D51" s="114" t="s">
        <v>413</v>
      </c>
      <c r="E51">
        <v>4441</v>
      </c>
      <c r="F51" s="114" t="s">
        <v>500</v>
      </c>
      <c r="G51" s="114" t="s">
        <v>422</v>
      </c>
      <c r="H51" s="114" t="s">
        <v>421</v>
      </c>
      <c r="I51" s="114">
        <v>249</v>
      </c>
      <c r="J51" s="114"/>
    </row>
    <row r="52" spans="1:10">
      <c r="A52" s="114" t="s">
        <v>486</v>
      </c>
      <c r="B52" s="114" t="s">
        <v>407</v>
      </c>
      <c r="C52" s="114" t="s">
        <v>412</v>
      </c>
      <c r="D52" s="114" t="s">
        <v>413</v>
      </c>
      <c r="E52">
        <v>6387</v>
      </c>
      <c r="F52" s="114" t="s">
        <v>501</v>
      </c>
      <c r="G52" s="114" t="s">
        <v>410</v>
      </c>
      <c r="H52" s="114" t="s">
        <v>431</v>
      </c>
      <c r="I52">
        <v>96</v>
      </c>
    </row>
    <row r="53" spans="1:10">
      <c r="A53" s="114" t="s">
        <v>486</v>
      </c>
      <c r="B53" s="114" t="s">
        <v>407</v>
      </c>
      <c r="C53" s="114" t="s">
        <v>408</v>
      </c>
      <c r="D53" s="114" t="s">
        <v>409</v>
      </c>
      <c r="E53">
        <v>6696</v>
      </c>
      <c r="F53" s="114" t="s">
        <v>502</v>
      </c>
      <c r="G53" s="114" t="s">
        <v>422</v>
      </c>
      <c r="H53" s="114" t="s">
        <v>435</v>
      </c>
      <c r="I53">
        <v>40</v>
      </c>
    </row>
    <row r="54" spans="1:10">
      <c r="A54" s="114" t="s">
        <v>486</v>
      </c>
      <c r="B54" s="114" t="s">
        <v>407</v>
      </c>
      <c r="C54" s="114" t="s">
        <v>419</v>
      </c>
      <c r="D54" s="114" t="s">
        <v>413</v>
      </c>
      <c r="E54">
        <v>7901</v>
      </c>
      <c r="F54" s="114" t="s">
        <v>503</v>
      </c>
      <c r="G54" s="114" t="s">
        <v>414</v>
      </c>
      <c r="H54" s="114" t="s">
        <v>432</v>
      </c>
      <c r="I54">
        <v>9</v>
      </c>
    </row>
    <row r="55" spans="1:10">
      <c r="A55" s="114" t="s">
        <v>486</v>
      </c>
      <c r="B55" s="114" t="s">
        <v>407</v>
      </c>
      <c r="C55" s="114" t="s">
        <v>408</v>
      </c>
      <c r="D55" s="114" t="s">
        <v>409</v>
      </c>
      <c r="E55">
        <v>8142</v>
      </c>
      <c r="F55" s="114" t="s">
        <v>504</v>
      </c>
      <c r="G55" s="114" t="s">
        <v>410</v>
      </c>
      <c r="H55" s="114" t="s">
        <v>416</v>
      </c>
      <c r="I55">
        <v>206</v>
      </c>
    </row>
    <row r="56" spans="1:10">
      <c r="A56" s="114" t="s">
        <v>486</v>
      </c>
      <c r="B56" s="114" t="s">
        <v>407</v>
      </c>
      <c r="C56" s="114" t="s">
        <v>412</v>
      </c>
      <c r="D56" s="114" t="s">
        <v>413</v>
      </c>
      <c r="E56">
        <v>9262</v>
      </c>
      <c r="F56" s="114" t="s">
        <v>505</v>
      </c>
      <c r="G56" s="114" t="s">
        <v>422</v>
      </c>
      <c r="H56" s="114" t="s">
        <v>420</v>
      </c>
      <c r="I56">
        <v>323</v>
      </c>
    </row>
    <row r="57" spans="1:10">
      <c r="A57" s="114" t="s">
        <v>486</v>
      </c>
      <c r="B57" s="114" t="s">
        <v>407</v>
      </c>
      <c r="C57" s="114" t="s">
        <v>408</v>
      </c>
      <c r="D57" s="114" t="s">
        <v>413</v>
      </c>
      <c r="E57">
        <v>9636</v>
      </c>
      <c r="F57" s="114" t="s">
        <v>506</v>
      </c>
      <c r="G57" s="114" t="s">
        <v>418</v>
      </c>
      <c r="H57" s="114" t="s">
        <v>415</v>
      </c>
      <c r="I57">
        <v>97</v>
      </c>
    </row>
    <row r="58" spans="1:10">
      <c r="A58" s="114" t="s">
        <v>486</v>
      </c>
      <c r="B58" s="114" t="s">
        <v>407</v>
      </c>
      <c r="C58" s="114" t="s">
        <v>408</v>
      </c>
      <c r="D58" s="114" t="s">
        <v>409</v>
      </c>
      <c r="E58">
        <v>9692</v>
      </c>
      <c r="F58" s="114" t="s">
        <v>507</v>
      </c>
      <c r="G58" s="114" t="s">
        <v>410</v>
      </c>
      <c r="H58" s="114" t="s">
        <v>421</v>
      </c>
      <c r="I58">
        <v>859</v>
      </c>
    </row>
    <row r="59" spans="1:10">
      <c r="A59" s="114" t="s">
        <v>508</v>
      </c>
      <c r="B59" s="114" t="s">
        <v>407</v>
      </c>
      <c r="C59" s="114" t="s">
        <v>408</v>
      </c>
      <c r="D59" s="114" t="s">
        <v>413</v>
      </c>
      <c r="E59">
        <v>1758</v>
      </c>
      <c r="F59" s="114" t="s">
        <v>509</v>
      </c>
      <c r="G59" s="114" t="s">
        <v>414</v>
      </c>
      <c r="H59" s="114" t="s">
        <v>444</v>
      </c>
      <c r="I59">
        <v>44</v>
      </c>
    </row>
    <row r="60" spans="1:10">
      <c r="A60" s="114" t="s">
        <v>508</v>
      </c>
      <c r="B60" s="114" t="s">
        <v>407</v>
      </c>
      <c r="C60" s="114" t="s">
        <v>419</v>
      </c>
      <c r="D60" s="114" t="s">
        <v>409</v>
      </c>
      <c r="E60">
        <v>3134</v>
      </c>
      <c r="F60" s="114" t="s">
        <v>510</v>
      </c>
      <c r="G60" s="114" t="s">
        <v>410</v>
      </c>
      <c r="H60" s="114" t="s">
        <v>420</v>
      </c>
      <c r="I60">
        <v>215</v>
      </c>
    </row>
    <row r="61" spans="1:10">
      <c r="A61" s="114" t="s">
        <v>508</v>
      </c>
      <c r="B61" s="114" t="s">
        <v>407</v>
      </c>
      <c r="C61" s="114" t="s">
        <v>419</v>
      </c>
      <c r="D61" s="114" t="s">
        <v>409</v>
      </c>
      <c r="E61">
        <v>3161</v>
      </c>
      <c r="F61" s="114" t="s">
        <v>511</v>
      </c>
      <c r="G61" s="114" t="s">
        <v>418</v>
      </c>
      <c r="H61" s="114" t="s">
        <v>416</v>
      </c>
      <c r="I61">
        <v>36</v>
      </c>
    </row>
    <row r="62" spans="1:10">
      <c r="A62" s="114" t="s">
        <v>508</v>
      </c>
      <c r="B62" s="114" t="s">
        <v>407</v>
      </c>
      <c r="C62" s="114" t="s">
        <v>408</v>
      </c>
      <c r="D62" s="114" t="s">
        <v>409</v>
      </c>
      <c r="E62">
        <v>3320</v>
      </c>
      <c r="F62" s="114" t="s">
        <v>512</v>
      </c>
      <c r="G62" s="114" t="s">
        <v>418</v>
      </c>
      <c r="H62" s="114" t="s">
        <v>416</v>
      </c>
      <c r="I62">
        <v>57</v>
      </c>
    </row>
    <row r="63" spans="1:10">
      <c r="A63" s="114" t="s">
        <v>508</v>
      </c>
      <c r="B63" s="114" t="s">
        <v>407</v>
      </c>
      <c r="C63" s="114" t="s">
        <v>419</v>
      </c>
      <c r="D63" s="114" t="s">
        <v>409</v>
      </c>
      <c r="E63">
        <v>3444</v>
      </c>
      <c r="F63" s="114" t="s">
        <v>513</v>
      </c>
      <c r="G63" s="114" t="s">
        <v>414</v>
      </c>
      <c r="H63" s="114" t="s">
        <v>425</v>
      </c>
      <c r="I63">
        <v>96</v>
      </c>
    </row>
    <row r="64" spans="1:10">
      <c r="A64" s="114" t="s">
        <v>508</v>
      </c>
      <c r="B64" s="114" t="s">
        <v>407</v>
      </c>
      <c r="C64" s="114" t="s">
        <v>412</v>
      </c>
      <c r="D64" s="114" t="s">
        <v>409</v>
      </c>
      <c r="E64">
        <v>3458</v>
      </c>
      <c r="F64" s="114" t="s">
        <v>514</v>
      </c>
      <c r="G64" s="114" t="s">
        <v>410</v>
      </c>
      <c r="H64" s="114" t="s">
        <v>436</v>
      </c>
      <c r="I64">
        <v>278</v>
      </c>
    </row>
    <row r="65" spans="1:10">
      <c r="A65" s="114" t="s">
        <v>508</v>
      </c>
      <c r="B65" s="114" t="s">
        <v>407</v>
      </c>
      <c r="C65" s="114" t="s">
        <v>412</v>
      </c>
      <c r="D65" s="114" t="s">
        <v>409</v>
      </c>
      <c r="E65">
        <v>3539</v>
      </c>
      <c r="F65" s="114" t="s">
        <v>515</v>
      </c>
      <c r="G65" s="114" t="s">
        <v>410</v>
      </c>
      <c r="H65" s="114" t="s">
        <v>420</v>
      </c>
      <c r="I65">
        <v>580</v>
      </c>
    </row>
    <row r="66" spans="1:10">
      <c r="A66" s="114" t="s">
        <v>508</v>
      </c>
      <c r="B66" s="114" t="s">
        <v>407</v>
      </c>
      <c r="C66" s="114" t="s">
        <v>408</v>
      </c>
      <c r="D66" s="114" t="s">
        <v>413</v>
      </c>
      <c r="E66">
        <v>3565</v>
      </c>
      <c r="F66" s="114" t="s">
        <v>516</v>
      </c>
      <c r="G66" s="114" t="s">
        <v>410</v>
      </c>
      <c r="H66" s="114" t="s">
        <v>416</v>
      </c>
      <c r="I66">
        <v>131</v>
      </c>
    </row>
    <row r="67" spans="1:10">
      <c r="A67" s="114" t="s">
        <v>508</v>
      </c>
      <c r="B67" s="114" t="s">
        <v>407</v>
      </c>
      <c r="C67" s="114" t="s">
        <v>419</v>
      </c>
      <c r="D67" s="114" t="s">
        <v>413</v>
      </c>
      <c r="E67">
        <v>4026</v>
      </c>
      <c r="F67" s="114" t="s">
        <v>517</v>
      </c>
      <c r="G67" s="114" t="s">
        <v>418</v>
      </c>
      <c r="H67" s="114" t="s">
        <v>518</v>
      </c>
      <c r="I67">
        <v>78</v>
      </c>
    </row>
    <row r="68" spans="1:10">
      <c r="A68" s="114" t="s">
        <v>508</v>
      </c>
      <c r="B68" s="114" t="s">
        <v>407</v>
      </c>
      <c r="C68" s="114" t="s">
        <v>408</v>
      </c>
      <c r="D68" s="114" t="s">
        <v>413</v>
      </c>
      <c r="E68">
        <v>7064</v>
      </c>
      <c r="F68" s="114" t="s">
        <v>519</v>
      </c>
      <c r="G68" s="114" t="s">
        <v>422</v>
      </c>
      <c r="H68" s="114" t="s">
        <v>415</v>
      </c>
      <c r="I68">
        <v>37</v>
      </c>
    </row>
    <row r="69" spans="1:10">
      <c r="A69" s="114" t="s">
        <v>520</v>
      </c>
      <c r="B69" s="114" t="s">
        <v>407</v>
      </c>
      <c r="C69" s="114" t="s">
        <v>417</v>
      </c>
      <c r="D69" s="114" t="s">
        <v>409</v>
      </c>
      <c r="E69">
        <v>2695</v>
      </c>
      <c r="F69" s="114" t="s">
        <v>521</v>
      </c>
      <c r="G69" s="114" t="s">
        <v>410</v>
      </c>
      <c r="H69" s="114" t="s">
        <v>420</v>
      </c>
      <c r="I69" s="114" t="s">
        <v>465</v>
      </c>
      <c r="J69" s="114" t="s">
        <v>1102</v>
      </c>
    </row>
    <row r="70" spans="1:10">
      <c r="A70" s="114" t="s">
        <v>520</v>
      </c>
      <c r="B70" s="114" t="s">
        <v>407</v>
      </c>
      <c r="C70" s="114" t="s">
        <v>419</v>
      </c>
      <c r="D70" s="114" t="s">
        <v>413</v>
      </c>
      <c r="E70">
        <v>3075</v>
      </c>
      <c r="F70" s="114" t="s">
        <v>522</v>
      </c>
      <c r="G70" s="114" t="s">
        <v>414</v>
      </c>
      <c r="H70" s="114" t="s">
        <v>420</v>
      </c>
      <c r="I70">
        <v>184</v>
      </c>
    </row>
    <row r="71" spans="1:10">
      <c r="A71" s="114" t="s">
        <v>520</v>
      </c>
      <c r="B71" s="114" t="s">
        <v>407</v>
      </c>
      <c r="C71" s="114" t="s">
        <v>408</v>
      </c>
      <c r="D71" s="114" t="s">
        <v>409</v>
      </c>
      <c r="E71">
        <v>3169</v>
      </c>
      <c r="F71" s="114" t="s">
        <v>523</v>
      </c>
      <c r="G71" s="114" t="s">
        <v>410</v>
      </c>
      <c r="H71" s="114" t="s">
        <v>420</v>
      </c>
      <c r="I71">
        <v>60</v>
      </c>
    </row>
    <row r="72" spans="1:10">
      <c r="A72" s="114" t="s">
        <v>520</v>
      </c>
      <c r="B72" s="114" t="s">
        <v>407</v>
      </c>
      <c r="C72" s="114" t="s">
        <v>419</v>
      </c>
      <c r="D72" s="114" t="s">
        <v>409</v>
      </c>
      <c r="E72">
        <v>3361</v>
      </c>
      <c r="F72" s="114" t="s">
        <v>524</v>
      </c>
      <c r="G72" s="114" t="s">
        <v>410</v>
      </c>
      <c r="H72" s="114" t="s">
        <v>420</v>
      </c>
      <c r="I72">
        <v>158</v>
      </c>
    </row>
    <row r="73" spans="1:10">
      <c r="A73" s="114" t="s">
        <v>520</v>
      </c>
      <c r="B73" s="114" t="s">
        <v>407</v>
      </c>
      <c r="C73" s="114" t="s">
        <v>412</v>
      </c>
      <c r="D73" s="114" t="s">
        <v>409</v>
      </c>
      <c r="E73">
        <v>3418</v>
      </c>
      <c r="F73" s="114" t="s">
        <v>525</v>
      </c>
      <c r="G73" s="114" t="s">
        <v>422</v>
      </c>
      <c r="H73" s="114" t="s">
        <v>420</v>
      </c>
      <c r="I73">
        <v>109</v>
      </c>
    </row>
    <row r="74" spans="1:10">
      <c r="A74" s="114" t="s">
        <v>520</v>
      </c>
      <c r="B74" s="114" t="s">
        <v>407</v>
      </c>
      <c r="C74" s="114" t="s">
        <v>419</v>
      </c>
      <c r="D74" s="114" t="s">
        <v>409</v>
      </c>
      <c r="E74">
        <v>3549</v>
      </c>
      <c r="F74" s="114" t="s">
        <v>526</v>
      </c>
      <c r="G74" s="114" t="s">
        <v>410</v>
      </c>
      <c r="H74" s="114" t="s">
        <v>420</v>
      </c>
      <c r="I74" s="114" t="s">
        <v>433</v>
      </c>
      <c r="J74" s="114" t="s">
        <v>1103</v>
      </c>
    </row>
    <row r="75" spans="1:10">
      <c r="A75" s="114" t="s">
        <v>520</v>
      </c>
      <c r="B75" s="114" t="s">
        <v>407</v>
      </c>
      <c r="C75" s="114" t="s">
        <v>417</v>
      </c>
      <c r="D75" s="114" t="s">
        <v>409</v>
      </c>
      <c r="E75">
        <v>3974</v>
      </c>
      <c r="F75" s="114" t="s">
        <v>527</v>
      </c>
      <c r="G75" s="114" t="s">
        <v>414</v>
      </c>
      <c r="H75" s="114" t="s">
        <v>421</v>
      </c>
      <c r="I75">
        <v>24</v>
      </c>
    </row>
    <row r="76" spans="1:10">
      <c r="A76" s="114" t="s">
        <v>520</v>
      </c>
      <c r="B76" s="114" t="s">
        <v>407</v>
      </c>
      <c r="C76" s="114" t="s">
        <v>417</v>
      </c>
      <c r="D76" s="114" t="s">
        <v>409</v>
      </c>
      <c r="E76">
        <v>3976</v>
      </c>
      <c r="F76" s="114" t="s">
        <v>528</v>
      </c>
      <c r="G76" s="114" t="s">
        <v>422</v>
      </c>
      <c r="H76" s="114" t="s">
        <v>421</v>
      </c>
      <c r="I76">
        <v>20</v>
      </c>
    </row>
    <row r="77" spans="1:10">
      <c r="A77" s="114" t="s">
        <v>520</v>
      </c>
      <c r="B77" s="114" t="s">
        <v>407</v>
      </c>
      <c r="C77" s="114" t="s">
        <v>412</v>
      </c>
      <c r="D77" s="114" t="s">
        <v>413</v>
      </c>
      <c r="E77">
        <v>4384</v>
      </c>
      <c r="F77" s="114" t="s">
        <v>529</v>
      </c>
      <c r="G77" s="114" t="s">
        <v>410</v>
      </c>
      <c r="H77" s="114" t="s">
        <v>421</v>
      </c>
      <c r="I77">
        <v>989</v>
      </c>
    </row>
    <row r="78" spans="1:10">
      <c r="A78" s="114" t="s">
        <v>520</v>
      </c>
      <c r="B78" s="114" t="s">
        <v>407</v>
      </c>
      <c r="C78" s="114" t="s">
        <v>412</v>
      </c>
      <c r="D78" s="114" t="s">
        <v>409</v>
      </c>
      <c r="E78">
        <v>4422</v>
      </c>
      <c r="F78" s="114" t="s">
        <v>530</v>
      </c>
      <c r="G78" s="114" t="s">
        <v>422</v>
      </c>
      <c r="H78" s="114" t="s">
        <v>421</v>
      </c>
      <c r="I78">
        <v>64</v>
      </c>
    </row>
    <row r="79" spans="1:10">
      <c r="A79" s="114" t="s">
        <v>520</v>
      </c>
      <c r="B79" s="114" t="s">
        <v>407</v>
      </c>
      <c r="C79" s="114" t="s">
        <v>417</v>
      </c>
      <c r="D79" s="114" t="s">
        <v>413</v>
      </c>
      <c r="E79">
        <v>4880</v>
      </c>
      <c r="F79" s="114" t="s">
        <v>531</v>
      </c>
      <c r="G79" s="114" t="s">
        <v>422</v>
      </c>
      <c r="H79" s="114" t="s">
        <v>532</v>
      </c>
      <c r="I79">
        <v>230</v>
      </c>
    </row>
    <row r="80" spans="1:10">
      <c r="A80" s="114" t="s">
        <v>520</v>
      </c>
      <c r="B80" s="114" t="s">
        <v>407</v>
      </c>
      <c r="C80" s="114" t="s">
        <v>417</v>
      </c>
      <c r="D80" s="114" t="s">
        <v>409</v>
      </c>
      <c r="E80">
        <v>5218</v>
      </c>
      <c r="F80" s="114" t="s">
        <v>533</v>
      </c>
      <c r="G80" s="114" t="s">
        <v>410</v>
      </c>
      <c r="H80" s="114" t="s">
        <v>518</v>
      </c>
      <c r="I80">
        <v>371</v>
      </c>
    </row>
    <row r="81" spans="1:10">
      <c r="A81" s="114" t="s">
        <v>520</v>
      </c>
      <c r="B81" s="114" t="s">
        <v>407</v>
      </c>
      <c r="C81" s="114" t="s">
        <v>412</v>
      </c>
      <c r="D81" s="114" t="s">
        <v>413</v>
      </c>
      <c r="E81">
        <v>6037</v>
      </c>
      <c r="F81" s="114" t="s">
        <v>534</v>
      </c>
      <c r="G81" s="114" t="s">
        <v>410</v>
      </c>
      <c r="H81" s="114" t="s">
        <v>415</v>
      </c>
      <c r="I81">
        <v>73</v>
      </c>
    </row>
    <row r="82" spans="1:10">
      <c r="A82" s="114" t="s">
        <v>520</v>
      </c>
      <c r="B82" s="114" t="s">
        <v>407</v>
      </c>
      <c r="C82" s="114" t="s">
        <v>408</v>
      </c>
      <c r="D82" s="114" t="s">
        <v>409</v>
      </c>
      <c r="E82">
        <v>6184</v>
      </c>
      <c r="F82" s="114" t="s">
        <v>535</v>
      </c>
      <c r="G82" s="114" t="s">
        <v>410</v>
      </c>
      <c r="H82" s="114" t="s">
        <v>415</v>
      </c>
      <c r="I82">
        <v>793</v>
      </c>
    </row>
    <row r="83" spans="1:10">
      <c r="A83" s="114" t="s">
        <v>520</v>
      </c>
      <c r="B83" s="114" t="s">
        <v>407</v>
      </c>
      <c r="C83" s="114" t="s">
        <v>408</v>
      </c>
      <c r="D83" s="114" t="s">
        <v>409</v>
      </c>
      <c r="E83">
        <v>6336</v>
      </c>
      <c r="F83" s="114" t="s">
        <v>536</v>
      </c>
      <c r="G83" s="114" t="s">
        <v>418</v>
      </c>
      <c r="H83" s="114" t="s">
        <v>431</v>
      </c>
      <c r="I83">
        <v>65</v>
      </c>
    </row>
    <row r="84" spans="1:10">
      <c r="A84" s="114" t="s">
        <v>520</v>
      </c>
      <c r="B84" s="114" t="s">
        <v>407</v>
      </c>
      <c r="C84" s="114" t="s">
        <v>412</v>
      </c>
      <c r="D84" s="114" t="s">
        <v>409</v>
      </c>
      <c r="E84">
        <v>6535</v>
      </c>
      <c r="F84" s="114" t="s">
        <v>537</v>
      </c>
      <c r="G84" s="114" t="s">
        <v>410</v>
      </c>
      <c r="H84" s="114" t="s">
        <v>415</v>
      </c>
      <c r="I84">
        <v>173</v>
      </c>
    </row>
    <row r="85" spans="1:10">
      <c r="A85" s="114" t="s">
        <v>520</v>
      </c>
      <c r="B85" s="114" t="s">
        <v>407</v>
      </c>
      <c r="C85" s="114" t="s">
        <v>408</v>
      </c>
      <c r="D85" s="114" t="s">
        <v>409</v>
      </c>
      <c r="E85">
        <v>6966</v>
      </c>
      <c r="F85" s="114" t="s">
        <v>538</v>
      </c>
      <c r="G85" s="114" t="s">
        <v>410</v>
      </c>
      <c r="H85" s="114" t="s">
        <v>435</v>
      </c>
      <c r="I85">
        <v>814</v>
      </c>
    </row>
    <row r="86" spans="1:10">
      <c r="A86" s="114" t="s">
        <v>520</v>
      </c>
      <c r="B86" s="114" t="s">
        <v>407</v>
      </c>
      <c r="C86" s="114" t="s">
        <v>419</v>
      </c>
      <c r="D86" s="114" t="s">
        <v>409</v>
      </c>
      <c r="E86">
        <v>7050</v>
      </c>
      <c r="F86" s="114" t="s">
        <v>539</v>
      </c>
      <c r="G86" s="114" t="s">
        <v>422</v>
      </c>
      <c r="H86" s="114" t="s">
        <v>415</v>
      </c>
      <c r="I86">
        <v>106</v>
      </c>
    </row>
    <row r="87" spans="1:10">
      <c r="A87" s="114" t="s">
        <v>520</v>
      </c>
      <c r="B87" s="114" t="s">
        <v>407</v>
      </c>
      <c r="C87" s="114" t="s">
        <v>408</v>
      </c>
      <c r="D87" s="114" t="s">
        <v>409</v>
      </c>
      <c r="E87">
        <v>7614</v>
      </c>
      <c r="F87" s="114" t="s">
        <v>540</v>
      </c>
      <c r="G87" s="114" t="s">
        <v>414</v>
      </c>
      <c r="H87" s="114" t="s">
        <v>420</v>
      </c>
      <c r="I87">
        <v>87</v>
      </c>
    </row>
    <row r="88" spans="1:10">
      <c r="A88" s="114" t="s">
        <v>520</v>
      </c>
      <c r="B88" s="114" t="s">
        <v>407</v>
      </c>
      <c r="C88" s="114" t="s">
        <v>419</v>
      </c>
      <c r="D88" s="114" t="s">
        <v>409</v>
      </c>
      <c r="E88">
        <v>7623</v>
      </c>
      <c r="F88" s="114" t="s">
        <v>541</v>
      </c>
      <c r="G88" s="114" t="s">
        <v>414</v>
      </c>
      <c r="H88" s="114" t="s">
        <v>420</v>
      </c>
      <c r="I88">
        <v>11</v>
      </c>
    </row>
    <row r="89" spans="1:10">
      <c r="A89" s="114" t="s">
        <v>520</v>
      </c>
      <c r="B89" s="114" t="s">
        <v>407</v>
      </c>
      <c r="C89" s="114" t="s">
        <v>417</v>
      </c>
      <c r="D89" s="114" t="s">
        <v>409</v>
      </c>
      <c r="E89">
        <v>8077</v>
      </c>
      <c r="F89" s="114" t="s">
        <v>542</v>
      </c>
      <c r="G89" s="114" t="s">
        <v>410</v>
      </c>
      <c r="H89" s="114" t="s">
        <v>416</v>
      </c>
      <c r="I89">
        <v>83</v>
      </c>
    </row>
    <row r="90" spans="1:10">
      <c r="A90" s="114" t="s">
        <v>520</v>
      </c>
      <c r="B90" s="114" t="s">
        <v>407</v>
      </c>
      <c r="C90" s="114" t="s">
        <v>417</v>
      </c>
      <c r="D90" s="114" t="s">
        <v>413</v>
      </c>
      <c r="E90">
        <v>8894</v>
      </c>
      <c r="F90" s="114" t="s">
        <v>543</v>
      </c>
      <c r="G90" s="114" t="s">
        <v>418</v>
      </c>
      <c r="H90" s="114" t="s">
        <v>436</v>
      </c>
      <c r="I90">
        <v>85</v>
      </c>
    </row>
    <row r="91" spans="1:10">
      <c r="A91" s="114" t="s">
        <v>520</v>
      </c>
      <c r="B91" s="114" t="s">
        <v>407</v>
      </c>
      <c r="C91" s="114" t="s">
        <v>419</v>
      </c>
      <c r="D91" s="114" t="s">
        <v>413</v>
      </c>
      <c r="E91">
        <v>9425</v>
      </c>
      <c r="F91" s="114" t="s">
        <v>544</v>
      </c>
      <c r="G91" s="114" t="s">
        <v>414</v>
      </c>
      <c r="H91" s="114" t="s">
        <v>421</v>
      </c>
      <c r="I91">
        <v>18</v>
      </c>
    </row>
    <row r="92" spans="1:10">
      <c r="A92" s="114" t="s">
        <v>520</v>
      </c>
      <c r="B92" s="114" t="s">
        <v>407</v>
      </c>
      <c r="C92" s="114" t="s">
        <v>417</v>
      </c>
      <c r="D92" s="114" t="s">
        <v>409</v>
      </c>
      <c r="E92">
        <v>9603</v>
      </c>
      <c r="F92" s="114" t="s">
        <v>545</v>
      </c>
      <c r="G92" s="114" t="s">
        <v>410</v>
      </c>
      <c r="H92" s="114" t="s">
        <v>415</v>
      </c>
      <c r="I92" s="114" t="s">
        <v>433</v>
      </c>
      <c r="J92" s="114" t="s">
        <v>1104</v>
      </c>
    </row>
    <row r="93" spans="1:10">
      <c r="A93" s="114" t="s">
        <v>520</v>
      </c>
      <c r="B93" s="114" t="s">
        <v>407</v>
      </c>
      <c r="C93" s="114" t="s">
        <v>408</v>
      </c>
      <c r="D93" s="114" t="s">
        <v>409</v>
      </c>
      <c r="E93">
        <v>9681</v>
      </c>
      <c r="F93" s="114" t="s">
        <v>546</v>
      </c>
      <c r="G93" s="114" t="s">
        <v>410</v>
      </c>
      <c r="H93" s="114" t="s">
        <v>415</v>
      </c>
      <c r="I93">
        <v>980</v>
      </c>
    </row>
    <row r="94" spans="1:10">
      <c r="A94" s="114" t="s">
        <v>547</v>
      </c>
      <c r="B94" s="114" t="s">
        <v>434</v>
      </c>
      <c r="C94" s="114" t="s">
        <v>408</v>
      </c>
      <c r="D94" s="114" t="s">
        <v>413</v>
      </c>
      <c r="E94">
        <v>4380</v>
      </c>
      <c r="F94" s="114" t="s">
        <v>548</v>
      </c>
      <c r="G94" s="114" t="s">
        <v>422</v>
      </c>
      <c r="H94" s="114" t="s">
        <v>421</v>
      </c>
      <c r="I94">
        <v>40</v>
      </c>
    </row>
    <row r="95" spans="1:10">
      <c r="A95" s="114" t="s">
        <v>547</v>
      </c>
      <c r="B95" s="114" t="s">
        <v>407</v>
      </c>
      <c r="C95" s="114" t="s">
        <v>417</v>
      </c>
      <c r="D95" s="114" t="s">
        <v>409</v>
      </c>
      <c r="E95">
        <v>1383</v>
      </c>
      <c r="F95" s="114" t="s">
        <v>549</v>
      </c>
      <c r="G95" s="114" t="s">
        <v>414</v>
      </c>
      <c r="H95" s="114" t="s">
        <v>550</v>
      </c>
      <c r="I95" s="114">
        <v>31</v>
      </c>
      <c r="J95" s="114"/>
    </row>
    <row r="96" spans="1:10">
      <c r="A96" s="114" t="s">
        <v>547</v>
      </c>
      <c r="B96" s="114" t="s">
        <v>407</v>
      </c>
      <c r="C96" s="114" t="s">
        <v>419</v>
      </c>
      <c r="D96" s="114" t="s">
        <v>413</v>
      </c>
      <c r="E96">
        <v>1436</v>
      </c>
      <c r="F96" s="114" t="s">
        <v>551</v>
      </c>
      <c r="G96" s="114" t="s">
        <v>422</v>
      </c>
      <c r="H96" s="114" t="s">
        <v>444</v>
      </c>
      <c r="I96">
        <v>24</v>
      </c>
    </row>
    <row r="97" spans="1:10">
      <c r="A97" s="114" t="s">
        <v>547</v>
      </c>
      <c r="B97" s="114" t="s">
        <v>407</v>
      </c>
      <c r="C97" s="114" t="s">
        <v>417</v>
      </c>
      <c r="D97" s="114" t="s">
        <v>409</v>
      </c>
      <c r="E97">
        <v>1840</v>
      </c>
      <c r="F97" s="114" t="s">
        <v>552</v>
      </c>
      <c r="G97" s="114" t="s">
        <v>418</v>
      </c>
      <c r="H97" s="114" t="s">
        <v>444</v>
      </c>
      <c r="I97">
        <v>63</v>
      </c>
    </row>
    <row r="98" spans="1:10">
      <c r="A98" s="114" t="s">
        <v>547</v>
      </c>
      <c r="B98" s="114" t="s">
        <v>407</v>
      </c>
      <c r="C98" s="114" t="s">
        <v>417</v>
      </c>
      <c r="D98" s="114" t="s">
        <v>409</v>
      </c>
      <c r="E98">
        <v>1873</v>
      </c>
      <c r="F98" s="114" t="s">
        <v>553</v>
      </c>
      <c r="G98" s="114" t="s">
        <v>410</v>
      </c>
      <c r="H98" s="114" t="s">
        <v>444</v>
      </c>
      <c r="I98">
        <v>222</v>
      </c>
    </row>
    <row r="99" spans="1:10">
      <c r="A99" s="114" t="s">
        <v>547</v>
      </c>
      <c r="B99" s="114" t="s">
        <v>407</v>
      </c>
      <c r="C99" s="114" t="s">
        <v>419</v>
      </c>
      <c r="D99" s="114" t="s">
        <v>409</v>
      </c>
      <c r="E99">
        <v>2159</v>
      </c>
      <c r="F99" s="114" t="s">
        <v>554</v>
      </c>
      <c r="G99" s="114" t="s">
        <v>418</v>
      </c>
      <c r="H99" s="114" t="s">
        <v>415</v>
      </c>
      <c r="I99">
        <v>82</v>
      </c>
    </row>
    <row r="100" spans="1:10">
      <c r="A100" s="114" t="s">
        <v>547</v>
      </c>
      <c r="B100" s="114" t="s">
        <v>407</v>
      </c>
      <c r="C100" s="114" t="s">
        <v>417</v>
      </c>
      <c r="D100" s="114" t="s">
        <v>409</v>
      </c>
      <c r="E100">
        <v>2198</v>
      </c>
      <c r="F100" s="114" t="s">
        <v>555</v>
      </c>
      <c r="G100" s="114" t="s">
        <v>410</v>
      </c>
      <c r="H100" s="114" t="s">
        <v>415</v>
      </c>
      <c r="I100" s="114">
        <v>215</v>
      </c>
      <c r="J100" s="114"/>
    </row>
    <row r="101" spans="1:10">
      <c r="A101" s="114" t="s">
        <v>547</v>
      </c>
      <c r="B101" s="114" t="s">
        <v>407</v>
      </c>
      <c r="C101" s="114" t="s">
        <v>417</v>
      </c>
      <c r="D101" s="114" t="s">
        <v>413</v>
      </c>
      <c r="E101">
        <v>2345</v>
      </c>
      <c r="F101" s="114" t="s">
        <v>556</v>
      </c>
      <c r="G101" s="114" t="s">
        <v>418</v>
      </c>
      <c r="H101" s="114" t="s">
        <v>421</v>
      </c>
      <c r="I101" s="114">
        <v>35</v>
      </c>
      <c r="J101" s="114"/>
    </row>
    <row r="102" spans="1:10">
      <c r="A102" s="114" t="s">
        <v>547</v>
      </c>
      <c r="B102" s="114" t="s">
        <v>407</v>
      </c>
      <c r="C102" s="114" t="s">
        <v>412</v>
      </c>
      <c r="D102" s="114" t="s">
        <v>413</v>
      </c>
      <c r="E102">
        <v>2424</v>
      </c>
      <c r="F102" s="114" t="s">
        <v>557</v>
      </c>
      <c r="G102" s="114" t="s">
        <v>410</v>
      </c>
      <c r="H102" s="114" t="s">
        <v>415</v>
      </c>
      <c r="I102">
        <v>43</v>
      </c>
    </row>
    <row r="103" spans="1:10">
      <c r="A103" s="114" t="s">
        <v>547</v>
      </c>
      <c r="B103" s="114" t="s">
        <v>407</v>
      </c>
      <c r="C103" s="114" t="s">
        <v>408</v>
      </c>
      <c r="D103" s="114" t="s">
        <v>409</v>
      </c>
      <c r="E103">
        <v>2776</v>
      </c>
      <c r="F103" s="114" t="s">
        <v>558</v>
      </c>
      <c r="G103" s="114" t="s">
        <v>414</v>
      </c>
      <c r="H103" s="114" t="s">
        <v>416</v>
      </c>
      <c r="I103" s="114">
        <v>20</v>
      </c>
      <c r="J103" s="114"/>
    </row>
    <row r="104" spans="1:10">
      <c r="A104" s="114" t="s">
        <v>547</v>
      </c>
      <c r="B104" s="114" t="s">
        <v>407</v>
      </c>
      <c r="C104" s="114" t="s">
        <v>412</v>
      </c>
      <c r="D104" s="114" t="s">
        <v>413</v>
      </c>
      <c r="E104">
        <v>2978</v>
      </c>
      <c r="F104" s="114" t="s">
        <v>559</v>
      </c>
      <c r="G104" s="114" t="s">
        <v>422</v>
      </c>
      <c r="H104" s="114" t="s">
        <v>436</v>
      </c>
      <c r="I104" s="114">
        <v>159</v>
      </c>
      <c r="J104" s="114"/>
    </row>
    <row r="105" spans="1:10">
      <c r="A105" s="114" t="s">
        <v>547</v>
      </c>
      <c r="B105" s="114" t="s">
        <v>407</v>
      </c>
      <c r="C105" s="114" t="s">
        <v>417</v>
      </c>
      <c r="D105" s="114" t="s">
        <v>409</v>
      </c>
      <c r="E105">
        <v>3038</v>
      </c>
      <c r="F105" s="114" t="s">
        <v>560</v>
      </c>
      <c r="G105" s="114" t="s">
        <v>410</v>
      </c>
      <c r="H105" s="114" t="s">
        <v>416</v>
      </c>
      <c r="I105" s="114" t="s">
        <v>561</v>
      </c>
      <c r="J105" s="114" t="s">
        <v>1105</v>
      </c>
    </row>
    <row r="106" spans="1:10">
      <c r="A106" s="114" t="s">
        <v>547</v>
      </c>
      <c r="B106" s="114" t="s">
        <v>407</v>
      </c>
      <c r="C106" s="114" t="s">
        <v>408</v>
      </c>
      <c r="D106" s="114" t="s">
        <v>409</v>
      </c>
      <c r="E106">
        <v>3159</v>
      </c>
      <c r="F106" s="114" t="s">
        <v>562</v>
      </c>
      <c r="G106" s="114" t="s">
        <v>410</v>
      </c>
      <c r="H106" s="114" t="s">
        <v>420</v>
      </c>
      <c r="I106">
        <v>348</v>
      </c>
    </row>
    <row r="107" spans="1:10">
      <c r="A107" s="114" t="s">
        <v>547</v>
      </c>
      <c r="B107" s="114" t="s">
        <v>407</v>
      </c>
      <c r="C107" s="114" t="s">
        <v>417</v>
      </c>
      <c r="D107" s="114" t="s">
        <v>409</v>
      </c>
      <c r="E107">
        <v>3195</v>
      </c>
      <c r="F107" s="114" t="s">
        <v>563</v>
      </c>
      <c r="G107" s="114" t="s">
        <v>422</v>
      </c>
      <c r="H107" s="114" t="s">
        <v>420</v>
      </c>
      <c r="I107">
        <v>47</v>
      </c>
    </row>
    <row r="108" spans="1:10">
      <c r="A108" s="114" t="s">
        <v>547</v>
      </c>
      <c r="B108" s="114" t="s">
        <v>407</v>
      </c>
      <c r="C108" s="114" t="s">
        <v>417</v>
      </c>
      <c r="D108" s="114" t="s">
        <v>413</v>
      </c>
      <c r="E108">
        <v>3309</v>
      </c>
      <c r="F108" s="114" t="s">
        <v>564</v>
      </c>
      <c r="G108" s="114" t="s">
        <v>497</v>
      </c>
      <c r="H108" s="114" t="s">
        <v>498</v>
      </c>
      <c r="I108" s="114" t="s">
        <v>561</v>
      </c>
      <c r="J108" s="114" t="s">
        <v>1106</v>
      </c>
    </row>
    <row r="109" spans="1:10">
      <c r="A109" s="114" t="s">
        <v>547</v>
      </c>
      <c r="B109" s="114" t="s">
        <v>407</v>
      </c>
      <c r="C109" s="114" t="s">
        <v>412</v>
      </c>
      <c r="D109" s="114" t="s">
        <v>409</v>
      </c>
      <c r="E109">
        <v>3421</v>
      </c>
      <c r="F109" s="114" t="s">
        <v>565</v>
      </c>
      <c r="G109" s="114" t="s">
        <v>410</v>
      </c>
      <c r="H109" s="114" t="s">
        <v>425</v>
      </c>
      <c r="I109">
        <v>260</v>
      </c>
    </row>
    <row r="110" spans="1:10">
      <c r="A110" s="114" t="s">
        <v>547</v>
      </c>
      <c r="B110" s="114" t="s">
        <v>407</v>
      </c>
      <c r="C110" s="114" t="s">
        <v>417</v>
      </c>
      <c r="D110" s="114" t="s">
        <v>409</v>
      </c>
      <c r="E110">
        <v>3480</v>
      </c>
      <c r="F110" s="114" t="s">
        <v>566</v>
      </c>
      <c r="G110" s="114" t="s">
        <v>410</v>
      </c>
      <c r="H110" s="114" t="s">
        <v>436</v>
      </c>
      <c r="I110">
        <v>229</v>
      </c>
    </row>
    <row r="111" spans="1:10">
      <c r="A111" s="114" t="s">
        <v>547</v>
      </c>
      <c r="B111" s="114" t="s">
        <v>407</v>
      </c>
      <c r="C111" s="114" t="s">
        <v>412</v>
      </c>
      <c r="D111" s="114" t="s">
        <v>413</v>
      </c>
      <c r="E111">
        <v>3497</v>
      </c>
      <c r="F111" s="114" t="s">
        <v>567</v>
      </c>
      <c r="G111" s="114" t="s">
        <v>422</v>
      </c>
      <c r="H111" s="114" t="s">
        <v>436</v>
      </c>
      <c r="I111">
        <v>37</v>
      </c>
    </row>
    <row r="112" spans="1:10">
      <c r="A112" s="114" t="s">
        <v>547</v>
      </c>
      <c r="B112" s="114" t="s">
        <v>407</v>
      </c>
      <c r="C112" s="114" t="s">
        <v>417</v>
      </c>
      <c r="D112" s="114" t="s">
        <v>409</v>
      </c>
      <c r="E112">
        <v>3653</v>
      </c>
      <c r="F112" s="114" t="s">
        <v>568</v>
      </c>
      <c r="G112" s="114" t="s">
        <v>422</v>
      </c>
      <c r="H112" s="114" t="s">
        <v>421</v>
      </c>
      <c r="I112">
        <v>165</v>
      </c>
    </row>
    <row r="113" spans="1:10">
      <c r="A113" s="114" t="s">
        <v>547</v>
      </c>
      <c r="B113" s="114" t="s">
        <v>407</v>
      </c>
      <c r="C113" s="114" t="s">
        <v>408</v>
      </c>
      <c r="D113" s="114" t="s">
        <v>413</v>
      </c>
      <c r="E113">
        <v>3665</v>
      </c>
      <c r="F113" s="114" t="s">
        <v>569</v>
      </c>
      <c r="G113" s="114" t="s">
        <v>410</v>
      </c>
      <c r="H113" s="114" t="s">
        <v>421</v>
      </c>
      <c r="I113">
        <v>442</v>
      </c>
    </row>
    <row r="114" spans="1:10">
      <c r="A114" s="114" t="s">
        <v>547</v>
      </c>
      <c r="B114" s="114" t="s">
        <v>407</v>
      </c>
      <c r="C114" s="114" t="s">
        <v>419</v>
      </c>
      <c r="D114" s="114" t="s">
        <v>409</v>
      </c>
      <c r="E114">
        <v>3843</v>
      </c>
      <c r="F114" s="114" t="s">
        <v>570</v>
      </c>
      <c r="G114" s="114" t="s">
        <v>410</v>
      </c>
      <c r="H114" s="114" t="s">
        <v>421</v>
      </c>
      <c r="I114">
        <v>215</v>
      </c>
    </row>
    <row r="115" spans="1:10">
      <c r="A115" s="114" t="s">
        <v>547</v>
      </c>
      <c r="B115" s="114" t="s">
        <v>407</v>
      </c>
      <c r="C115" s="114" t="s">
        <v>408</v>
      </c>
      <c r="D115" s="114" t="s">
        <v>413</v>
      </c>
      <c r="E115">
        <v>3921</v>
      </c>
      <c r="F115" s="114" t="s">
        <v>571</v>
      </c>
      <c r="G115" s="114" t="s">
        <v>410</v>
      </c>
      <c r="H115" s="114" t="s">
        <v>421</v>
      </c>
      <c r="I115">
        <v>154</v>
      </c>
    </row>
    <row r="116" spans="1:10">
      <c r="A116" s="114" t="s">
        <v>547</v>
      </c>
      <c r="B116" s="114" t="s">
        <v>407</v>
      </c>
      <c r="C116" s="114" t="s">
        <v>408</v>
      </c>
      <c r="D116" s="114" t="s">
        <v>409</v>
      </c>
      <c r="E116">
        <v>3931</v>
      </c>
      <c r="F116" s="114" t="s">
        <v>572</v>
      </c>
      <c r="G116" s="114" t="s">
        <v>422</v>
      </c>
      <c r="H116" s="114" t="s">
        <v>421</v>
      </c>
      <c r="I116">
        <v>23</v>
      </c>
    </row>
    <row r="117" spans="1:10">
      <c r="A117" s="114" t="s">
        <v>547</v>
      </c>
      <c r="B117" s="114" t="s">
        <v>407</v>
      </c>
      <c r="C117" s="114" t="s">
        <v>408</v>
      </c>
      <c r="D117" s="114" t="s">
        <v>409</v>
      </c>
      <c r="E117">
        <v>3995</v>
      </c>
      <c r="F117" s="114" t="s">
        <v>573</v>
      </c>
      <c r="G117" s="114" t="s">
        <v>422</v>
      </c>
      <c r="H117" s="114" t="s">
        <v>421</v>
      </c>
      <c r="I117">
        <v>76</v>
      </c>
    </row>
    <row r="118" spans="1:10">
      <c r="A118" s="114" t="s">
        <v>547</v>
      </c>
      <c r="B118" s="114" t="s">
        <v>407</v>
      </c>
      <c r="C118" s="114" t="s">
        <v>408</v>
      </c>
      <c r="D118" s="114" t="s">
        <v>409</v>
      </c>
      <c r="E118">
        <v>4287</v>
      </c>
      <c r="F118" s="114" t="s">
        <v>574</v>
      </c>
      <c r="G118" s="114" t="s">
        <v>414</v>
      </c>
      <c r="H118" s="114" t="s">
        <v>421</v>
      </c>
      <c r="I118" s="114">
        <v>66</v>
      </c>
      <c r="J118" s="114"/>
    </row>
    <row r="119" spans="1:10">
      <c r="A119" s="114" t="s">
        <v>547</v>
      </c>
      <c r="B119" s="114" t="s">
        <v>407</v>
      </c>
      <c r="C119" s="114" t="s">
        <v>419</v>
      </c>
      <c r="D119" s="114" t="s">
        <v>413</v>
      </c>
      <c r="E119">
        <v>4431</v>
      </c>
      <c r="F119" s="114" t="s">
        <v>575</v>
      </c>
      <c r="G119" s="114" t="s">
        <v>422</v>
      </c>
      <c r="H119" s="114" t="s">
        <v>421</v>
      </c>
      <c r="I119" s="114">
        <v>287</v>
      </c>
      <c r="J119" s="114"/>
    </row>
    <row r="120" spans="1:10">
      <c r="A120" s="114" t="s">
        <v>547</v>
      </c>
      <c r="B120" s="114" t="s">
        <v>407</v>
      </c>
      <c r="C120" s="114" t="s">
        <v>408</v>
      </c>
      <c r="D120" s="114" t="s">
        <v>409</v>
      </c>
      <c r="E120">
        <v>4592</v>
      </c>
      <c r="F120" s="114" t="s">
        <v>576</v>
      </c>
      <c r="G120" s="114" t="s">
        <v>422</v>
      </c>
      <c r="H120" s="114" t="s">
        <v>532</v>
      </c>
      <c r="I120" s="114" t="s">
        <v>433</v>
      </c>
      <c r="J120" s="114" t="s">
        <v>1107</v>
      </c>
    </row>
    <row r="121" spans="1:10">
      <c r="A121" s="114" t="s">
        <v>547</v>
      </c>
      <c r="B121" s="114" t="s">
        <v>407</v>
      </c>
      <c r="C121" s="114" t="s">
        <v>412</v>
      </c>
      <c r="D121" s="114" t="s">
        <v>413</v>
      </c>
      <c r="E121">
        <v>4599</v>
      </c>
      <c r="F121" s="114" t="s">
        <v>577</v>
      </c>
      <c r="G121" s="114" t="s">
        <v>422</v>
      </c>
      <c r="H121" s="114" t="s">
        <v>532</v>
      </c>
      <c r="I121">
        <v>483</v>
      </c>
    </row>
    <row r="122" spans="1:10">
      <c r="A122" s="114" t="s">
        <v>547</v>
      </c>
      <c r="B122" s="114" t="s">
        <v>407</v>
      </c>
      <c r="C122" s="114" t="s">
        <v>417</v>
      </c>
      <c r="D122" s="114" t="s">
        <v>409</v>
      </c>
      <c r="E122">
        <v>4627</v>
      </c>
      <c r="F122" s="114" t="s">
        <v>578</v>
      </c>
      <c r="G122" s="114" t="s">
        <v>414</v>
      </c>
      <c r="H122" s="114" t="s">
        <v>423</v>
      </c>
      <c r="I122">
        <v>99</v>
      </c>
    </row>
    <row r="123" spans="1:10">
      <c r="A123" s="114" t="s">
        <v>547</v>
      </c>
      <c r="B123" s="114" t="s">
        <v>407</v>
      </c>
      <c r="C123" s="114" t="s">
        <v>417</v>
      </c>
      <c r="D123" s="114" t="s">
        <v>409</v>
      </c>
      <c r="E123">
        <v>4996</v>
      </c>
      <c r="F123" s="114" t="s">
        <v>579</v>
      </c>
      <c r="G123" s="114" t="s">
        <v>410</v>
      </c>
      <c r="H123" s="114" t="s">
        <v>423</v>
      </c>
      <c r="I123" s="114" t="s">
        <v>465</v>
      </c>
      <c r="J123" s="114" t="s">
        <v>1108</v>
      </c>
    </row>
    <row r="124" spans="1:10">
      <c r="A124" s="114" t="s">
        <v>547</v>
      </c>
      <c r="B124" s="114" t="s">
        <v>407</v>
      </c>
      <c r="C124" s="114" t="s">
        <v>417</v>
      </c>
      <c r="D124" s="114" t="s">
        <v>413</v>
      </c>
      <c r="E124">
        <v>6049</v>
      </c>
      <c r="F124" s="114" t="s">
        <v>580</v>
      </c>
      <c r="G124" s="114" t="s">
        <v>422</v>
      </c>
      <c r="H124" s="114" t="s">
        <v>415</v>
      </c>
      <c r="I124">
        <v>418</v>
      </c>
    </row>
    <row r="125" spans="1:10">
      <c r="A125" s="114" t="s">
        <v>547</v>
      </c>
      <c r="B125" s="114" t="s">
        <v>407</v>
      </c>
      <c r="C125" s="114" t="s">
        <v>412</v>
      </c>
      <c r="D125" s="114" t="s">
        <v>409</v>
      </c>
      <c r="E125">
        <v>6091</v>
      </c>
      <c r="F125" s="114" t="s">
        <v>581</v>
      </c>
      <c r="G125" s="114" t="s">
        <v>418</v>
      </c>
      <c r="H125" s="114" t="s">
        <v>415</v>
      </c>
      <c r="I125">
        <v>74</v>
      </c>
    </row>
    <row r="126" spans="1:10">
      <c r="A126" s="114" t="s">
        <v>547</v>
      </c>
      <c r="B126" s="114" t="s">
        <v>407</v>
      </c>
      <c r="C126" s="114" t="s">
        <v>419</v>
      </c>
      <c r="D126" s="114" t="s">
        <v>409</v>
      </c>
      <c r="E126">
        <v>6192</v>
      </c>
      <c r="F126" s="114" t="s">
        <v>582</v>
      </c>
      <c r="G126" s="114" t="s">
        <v>422</v>
      </c>
      <c r="H126" s="114" t="s">
        <v>415</v>
      </c>
      <c r="I126">
        <v>80</v>
      </c>
    </row>
    <row r="127" spans="1:10">
      <c r="A127" s="114" t="s">
        <v>547</v>
      </c>
      <c r="B127" s="114" t="s">
        <v>407</v>
      </c>
      <c r="C127" s="114" t="s">
        <v>412</v>
      </c>
      <c r="D127" s="114" t="s">
        <v>409</v>
      </c>
      <c r="E127">
        <v>6577</v>
      </c>
      <c r="F127" s="114" t="s">
        <v>583</v>
      </c>
      <c r="G127" s="114" t="s">
        <v>422</v>
      </c>
      <c r="H127" s="114" t="s">
        <v>415</v>
      </c>
      <c r="I127">
        <v>42</v>
      </c>
    </row>
    <row r="128" spans="1:10">
      <c r="A128" s="114" t="s">
        <v>547</v>
      </c>
      <c r="B128" s="114" t="s">
        <v>407</v>
      </c>
      <c r="C128" s="114" t="s">
        <v>419</v>
      </c>
      <c r="D128" s="114" t="s">
        <v>409</v>
      </c>
      <c r="E128">
        <v>6630</v>
      </c>
      <c r="F128" s="114" t="s">
        <v>584</v>
      </c>
      <c r="G128" s="114" t="s">
        <v>410</v>
      </c>
      <c r="H128" s="114" t="s">
        <v>435</v>
      </c>
      <c r="I128">
        <v>403</v>
      </c>
    </row>
    <row r="129" spans="1:10">
      <c r="A129" s="114" t="s">
        <v>547</v>
      </c>
      <c r="B129" s="114" t="s">
        <v>407</v>
      </c>
      <c r="C129" s="114" t="s">
        <v>412</v>
      </c>
      <c r="D129" s="114" t="s">
        <v>409</v>
      </c>
      <c r="E129">
        <v>6721</v>
      </c>
      <c r="F129" s="114" t="s">
        <v>585</v>
      </c>
      <c r="G129" s="114" t="s">
        <v>418</v>
      </c>
      <c r="H129" s="114" t="s">
        <v>435</v>
      </c>
      <c r="I129">
        <v>81</v>
      </c>
    </row>
    <row r="130" spans="1:10">
      <c r="A130" s="114" t="s">
        <v>547</v>
      </c>
      <c r="B130" s="114" t="s">
        <v>407</v>
      </c>
      <c r="C130" s="114" t="s">
        <v>417</v>
      </c>
      <c r="D130" s="114" t="s">
        <v>409</v>
      </c>
      <c r="E130">
        <v>7033</v>
      </c>
      <c r="F130" s="114" t="s">
        <v>586</v>
      </c>
      <c r="G130" s="114" t="s">
        <v>410</v>
      </c>
      <c r="H130" s="114" t="s">
        <v>415</v>
      </c>
      <c r="I130">
        <v>121</v>
      </c>
    </row>
    <row r="131" spans="1:10">
      <c r="A131" s="114" t="s">
        <v>547</v>
      </c>
      <c r="B131" s="114" t="s">
        <v>407</v>
      </c>
      <c r="C131" s="114" t="s">
        <v>408</v>
      </c>
      <c r="D131" s="114" t="s">
        <v>409</v>
      </c>
      <c r="E131">
        <v>7073</v>
      </c>
      <c r="F131" s="114" t="s">
        <v>587</v>
      </c>
      <c r="G131" s="114" t="s">
        <v>422</v>
      </c>
      <c r="H131" s="114" t="s">
        <v>415</v>
      </c>
      <c r="I131" s="114">
        <v>83</v>
      </c>
      <c r="J131" s="114"/>
    </row>
    <row r="132" spans="1:10">
      <c r="A132" s="114" t="s">
        <v>547</v>
      </c>
      <c r="B132" s="114" t="s">
        <v>407</v>
      </c>
      <c r="C132" s="114" t="s">
        <v>417</v>
      </c>
      <c r="D132" s="114" t="s">
        <v>409</v>
      </c>
      <c r="E132">
        <v>7279</v>
      </c>
      <c r="F132" s="114" t="s">
        <v>588</v>
      </c>
      <c r="G132" s="114" t="s">
        <v>418</v>
      </c>
      <c r="H132" s="114" t="s">
        <v>461</v>
      </c>
      <c r="I132" s="114">
        <v>709</v>
      </c>
      <c r="J132" s="114"/>
    </row>
    <row r="133" spans="1:10">
      <c r="A133" s="114" t="s">
        <v>547</v>
      </c>
      <c r="B133" s="114" t="s">
        <v>407</v>
      </c>
      <c r="C133" s="114" t="s">
        <v>419</v>
      </c>
      <c r="D133" s="114" t="s">
        <v>409</v>
      </c>
      <c r="E133">
        <v>7604</v>
      </c>
      <c r="F133" s="114" t="s">
        <v>589</v>
      </c>
      <c r="G133" s="114" t="s">
        <v>418</v>
      </c>
      <c r="H133" s="114" t="s">
        <v>420</v>
      </c>
      <c r="I133">
        <v>206</v>
      </c>
    </row>
    <row r="134" spans="1:10">
      <c r="A134" s="114" t="s">
        <v>547</v>
      </c>
      <c r="B134" s="114" t="s">
        <v>407</v>
      </c>
      <c r="C134" s="114" t="s">
        <v>417</v>
      </c>
      <c r="D134" s="114" t="s">
        <v>413</v>
      </c>
      <c r="E134">
        <v>7605</v>
      </c>
      <c r="F134" s="114" t="s">
        <v>590</v>
      </c>
      <c r="G134" s="114" t="s">
        <v>410</v>
      </c>
      <c r="H134" s="114" t="s">
        <v>420</v>
      </c>
      <c r="I134" s="114">
        <v>250</v>
      </c>
      <c r="J134" s="114"/>
    </row>
    <row r="135" spans="1:10">
      <c r="A135" s="114" t="s">
        <v>547</v>
      </c>
      <c r="B135" s="114" t="s">
        <v>407</v>
      </c>
      <c r="C135" s="114" t="s">
        <v>412</v>
      </c>
      <c r="D135" s="114" t="s">
        <v>413</v>
      </c>
      <c r="E135">
        <v>7682</v>
      </c>
      <c r="F135" s="114" t="s">
        <v>591</v>
      </c>
      <c r="G135" s="114" t="s">
        <v>414</v>
      </c>
      <c r="H135" s="114" t="s">
        <v>420</v>
      </c>
      <c r="I135" s="114">
        <v>26</v>
      </c>
      <c r="J135" s="114"/>
    </row>
    <row r="136" spans="1:10">
      <c r="A136" s="114" t="s">
        <v>547</v>
      </c>
      <c r="B136" s="114" t="s">
        <v>407</v>
      </c>
      <c r="C136" s="114" t="s">
        <v>408</v>
      </c>
      <c r="D136" s="114" t="s">
        <v>409</v>
      </c>
      <c r="E136">
        <v>7683</v>
      </c>
      <c r="F136" s="114" t="s">
        <v>592</v>
      </c>
      <c r="G136" s="114" t="s">
        <v>422</v>
      </c>
      <c r="H136" s="114" t="s">
        <v>420</v>
      </c>
      <c r="I136">
        <v>210</v>
      </c>
    </row>
    <row r="137" spans="1:10">
      <c r="A137" s="114" t="s">
        <v>547</v>
      </c>
      <c r="B137" s="114" t="s">
        <v>407</v>
      </c>
      <c r="C137" s="114" t="s">
        <v>412</v>
      </c>
      <c r="D137" s="114" t="s">
        <v>409</v>
      </c>
      <c r="E137">
        <v>7803</v>
      </c>
      <c r="F137" s="114" t="s">
        <v>593</v>
      </c>
      <c r="G137" s="114" t="s">
        <v>422</v>
      </c>
      <c r="H137" s="114" t="s">
        <v>432</v>
      </c>
      <c r="I137">
        <v>652</v>
      </c>
    </row>
    <row r="138" spans="1:10">
      <c r="A138" s="114" t="s">
        <v>547</v>
      </c>
      <c r="B138" s="114" t="s">
        <v>407</v>
      </c>
      <c r="C138" s="114" t="s">
        <v>417</v>
      </c>
      <c r="D138" s="114" t="s">
        <v>413</v>
      </c>
      <c r="E138">
        <v>7805</v>
      </c>
      <c r="F138" s="114" t="s">
        <v>594</v>
      </c>
      <c r="G138" s="114" t="s">
        <v>414</v>
      </c>
      <c r="H138" s="114" t="s">
        <v>432</v>
      </c>
      <c r="I138">
        <v>32</v>
      </c>
    </row>
    <row r="139" spans="1:10">
      <c r="A139" s="114" t="s">
        <v>547</v>
      </c>
      <c r="B139" s="114" t="s">
        <v>407</v>
      </c>
      <c r="C139" s="114" t="s">
        <v>412</v>
      </c>
      <c r="D139" s="114" t="s">
        <v>409</v>
      </c>
      <c r="E139">
        <v>7810</v>
      </c>
      <c r="F139" s="114" t="s">
        <v>595</v>
      </c>
      <c r="G139" s="114" t="s">
        <v>414</v>
      </c>
      <c r="H139" s="114" t="s">
        <v>432</v>
      </c>
      <c r="I139">
        <v>63</v>
      </c>
    </row>
    <row r="140" spans="1:10">
      <c r="A140" s="114" t="s">
        <v>547</v>
      </c>
      <c r="B140" s="114" t="s">
        <v>407</v>
      </c>
      <c r="C140" s="114" t="s">
        <v>417</v>
      </c>
      <c r="D140" s="114" t="s">
        <v>413</v>
      </c>
      <c r="E140">
        <v>7827</v>
      </c>
      <c r="F140" s="114" t="s">
        <v>596</v>
      </c>
      <c r="G140" s="114" t="s">
        <v>414</v>
      </c>
      <c r="H140" s="114" t="s">
        <v>432</v>
      </c>
      <c r="I140">
        <v>14</v>
      </c>
    </row>
    <row r="141" spans="1:10">
      <c r="A141" s="114" t="s">
        <v>547</v>
      </c>
      <c r="B141" s="114" t="s">
        <v>407</v>
      </c>
      <c r="C141" s="114" t="s">
        <v>412</v>
      </c>
      <c r="D141" s="114" t="s">
        <v>409</v>
      </c>
      <c r="E141">
        <v>7850</v>
      </c>
      <c r="F141" s="114" t="s">
        <v>597</v>
      </c>
      <c r="G141" s="114" t="s">
        <v>414</v>
      </c>
      <c r="H141" s="114" t="s">
        <v>432</v>
      </c>
      <c r="I141">
        <v>22</v>
      </c>
    </row>
    <row r="142" spans="1:10">
      <c r="A142" s="114" t="s">
        <v>547</v>
      </c>
      <c r="B142" s="114" t="s">
        <v>407</v>
      </c>
      <c r="C142" s="114" t="s">
        <v>419</v>
      </c>
      <c r="D142" s="114" t="s">
        <v>409</v>
      </c>
      <c r="E142">
        <v>7899</v>
      </c>
      <c r="F142" s="114" t="s">
        <v>598</v>
      </c>
      <c r="G142" s="114" t="s">
        <v>414</v>
      </c>
      <c r="H142" s="114" t="s">
        <v>423</v>
      </c>
      <c r="I142">
        <v>19</v>
      </c>
    </row>
    <row r="143" spans="1:10">
      <c r="A143" s="114" t="s">
        <v>547</v>
      </c>
      <c r="B143" s="114" t="s">
        <v>407</v>
      </c>
      <c r="C143" s="114" t="s">
        <v>417</v>
      </c>
      <c r="D143" s="114" t="s">
        <v>409</v>
      </c>
      <c r="E143">
        <v>7983</v>
      </c>
      <c r="F143" s="114" t="s">
        <v>599</v>
      </c>
      <c r="G143" s="114" t="s">
        <v>418</v>
      </c>
      <c r="H143" s="114" t="s">
        <v>432</v>
      </c>
      <c r="I143">
        <v>63</v>
      </c>
    </row>
    <row r="144" spans="1:10">
      <c r="A144" s="114" t="s">
        <v>547</v>
      </c>
      <c r="B144" s="114" t="s">
        <v>407</v>
      </c>
      <c r="C144" s="114" t="s">
        <v>408</v>
      </c>
      <c r="D144" s="114" t="s">
        <v>409</v>
      </c>
      <c r="E144">
        <v>8013</v>
      </c>
      <c r="F144" s="114" t="s">
        <v>600</v>
      </c>
      <c r="G144" s="114" t="s">
        <v>410</v>
      </c>
      <c r="H144" s="114" t="s">
        <v>476</v>
      </c>
      <c r="I144">
        <v>36</v>
      </c>
    </row>
    <row r="145" spans="1:10">
      <c r="A145" s="114" t="s">
        <v>547</v>
      </c>
      <c r="B145" s="114" t="s">
        <v>407</v>
      </c>
      <c r="C145" s="114" t="s">
        <v>417</v>
      </c>
      <c r="D145" s="114" t="s">
        <v>409</v>
      </c>
      <c r="E145">
        <v>8079</v>
      </c>
      <c r="F145" s="114" t="s">
        <v>601</v>
      </c>
      <c r="G145" s="114" t="s">
        <v>410</v>
      </c>
      <c r="H145" s="114" t="s">
        <v>416</v>
      </c>
      <c r="I145">
        <v>581</v>
      </c>
    </row>
    <row r="146" spans="1:10">
      <c r="A146" s="114" t="s">
        <v>547</v>
      </c>
      <c r="B146" s="114" t="s">
        <v>407</v>
      </c>
      <c r="C146" s="114" t="s">
        <v>417</v>
      </c>
      <c r="D146" s="114" t="s">
        <v>409</v>
      </c>
      <c r="E146">
        <v>8917</v>
      </c>
      <c r="F146" s="114" t="s">
        <v>602</v>
      </c>
      <c r="G146" s="114" t="s">
        <v>410</v>
      </c>
      <c r="H146" s="114" t="s">
        <v>436</v>
      </c>
      <c r="I146" s="114">
        <v>221</v>
      </c>
      <c r="J146" s="114"/>
    </row>
    <row r="147" spans="1:10">
      <c r="A147" s="114" t="s">
        <v>547</v>
      </c>
      <c r="B147" s="114" t="s">
        <v>407</v>
      </c>
      <c r="C147" s="114" t="s">
        <v>412</v>
      </c>
      <c r="D147" s="114" t="s">
        <v>409</v>
      </c>
      <c r="E147">
        <v>8925</v>
      </c>
      <c r="F147" s="114" t="s">
        <v>603</v>
      </c>
      <c r="G147" s="114" t="s">
        <v>418</v>
      </c>
      <c r="H147" s="114" t="s">
        <v>436</v>
      </c>
      <c r="I147" s="114">
        <v>202</v>
      </c>
      <c r="J147" s="114"/>
    </row>
    <row r="148" spans="1:10">
      <c r="A148" s="114" t="s">
        <v>547</v>
      </c>
      <c r="B148" s="114" t="s">
        <v>407</v>
      </c>
      <c r="C148" s="114" t="s">
        <v>412</v>
      </c>
      <c r="D148" s="114" t="s">
        <v>409</v>
      </c>
      <c r="E148">
        <v>8927</v>
      </c>
      <c r="F148" s="114" t="s">
        <v>604</v>
      </c>
      <c r="G148" s="114" t="s">
        <v>414</v>
      </c>
      <c r="H148" s="114" t="s">
        <v>436</v>
      </c>
      <c r="I148">
        <v>66</v>
      </c>
    </row>
    <row r="149" spans="1:10">
      <c r="A149" s="114" t="s">
        <v>547</v>
      </c>
      <c r="B149" s="114" t="s">
        <v>407</v>
      </c>
      <c r="C149" s="114" t="s">
        <v>417</v>
      </c>
      <c r="D149" s="114" t="s">
        <v>413</v>
      </c>
      <c r="E149">
        <v>8975</v>
      </c>
      <c r="F149" s="114" t="s">
        <v>605</v>
      </c>
      <c r="G149" s="114" t="s">
        <v>497</v>
      </c>
      <c r="H149" s="114" t="s">
        <v>498</v>
      </c>
      <c r="I149" s="114" t="s">
        <v>465</v>
      </c>
      <c r="J149" s="114" t="s">
        <v>1021</v>
      </c>
    </row>
    <row r="150" spans="1:10">
      <c r="A150" s="114" t="s">
        <v>547</v>
      </c>
      <c r="B150" s="114" t="s">
        <v>407</v>
      </c>
      <c r="C150" s="114" t="s">
        <v>417</v>
      </c>
      <c r="D150" s="114" t="s">
        <v>413</v>
      </c>
      <c r="E150">
        <v>8979</v>
      </c>
      <c r="F150" s="114" t="s">
        <v>606</v>
      </c>
      <c r="G150" s="114" t="s">
        <v>497</v>
      </c>
      <c r="H150" s="114" t="s">
        <v>498</v>
      </c>
      <c r="I150" s="114">
        <v>511</v>
      </c>
      <c r="J150" s="114"/>
    </row>
    <row r="151" spans="1:10">
      <c r="A151" s="114" t="s">
        <v>547</v>
      </c>
      <c r="B151" s="114" t="s">
        <v>407</v>
      </c>
      <c r="C151" s="114" t="s">
        <v>417</v>
      </c>
      <c r="D151" s="114" t="s">
        <v>409</v>
      </c>
      <c r="E151">
        <v>9279</v>
      </c>
      <c r="F151" s="114" t="s">
        <v>607</v>
      </c>
      <c r="G151" s="114" t="s">
        <v>422</v>
      </c>
      <c r="H151" s="114" t="s">
        <v>420</v>
      </c>
      <c r="I151">
        <v>232</v>
      </c>
    </row>
    <row r="152" spans="1:10">
      <c r="A152" s="114" t="s">
        <v>547</v>
      </c>
      <c r="B152" s="114" t="s">
        <v>407</v>
      </c>
      <c r="C152" s="114" t="s">
        <v>408</v>
      </c>
      <c r="D152" s="114" t="s">
        <v>409</v>
      </c>
      <c r="E152">
        <v>9637</v>
      </c>
      <c r="F152" s="114" t="s">
        <v>608</v>
      </c>
      <c r="G152" s="114" t="s">
        <v>418</v>
      </c>
      <c r="H152" s="114" t="s">
        <v>415</v>
      </c>
      <c r="I152">
        <v>113</v>
      </c>
    </row>
    <row r="153" spans="1:10">
      <c r="A153" s="114" t="s">
        <v>609</v>
      </c>
      <c r="B153" s="114" t="s">
        <v>469</v>
      </c>
      <c r="C153" s="114" t="s">
        <v>417</v>
      </c>
      <c r="D153" s="114" t="s">
        <v>413</v>
      </c>
      <c r="E153">
        <v>7034</v>
      </c>
      <c r="F153" s="114" t="s">
        <v>610</v>
      </c>
      <c r="G153" s="114" t="s">
        <v>422</v>
      </c>
      <c r="H153" s="114" t="s">
        <v>415</v>
      </c>
      <c r="I153">
        <v>448</v>
      </c>
    </row>
    <row r="154" spans="1:10">
      <c r="A154" s="114" t="s">
        <v>609</v>
      </c>
      <c r="B154" s="114" t="s">
        <v>407</v>
      </c>
      <c r="C154" s="114" t="s">
        <v>417</v>
      </c>
      <c r="D154" s="114" t="s">
        <v>413</v>
      </c>
      <c r="E154">
        <v>3287</v>
      </c>
      <c r="F154" s="114" t="s">
        <v>611</v>
      </c>
      <c r="G154" s="114" t="s">
        <v>497</v>
      </c>
      <c r="H154" s="114" t="s">
        <v>498</v>
      </c>
      <c r="I154" s="114" t="s">
        <v>465</v>
      </c>
      <c r="J154" s="114" t="s">
        <v>1107</v>
      </c>
    </row>
    <row r="155" spans="1:10">
      <c r="A155" s="114" t="s">
        <v>609</v>
      </c>
      <c r="B155" s="114" t="s">
        <v>407</v>
      </c>
      <c r="C155" s="114" t="s">
        <v>417</v>
      </c>
      <c r="D155" s="114" t="s">
        <v>413</v>
      </c>
      <c r="E155">
        <v>3298</v>
      </c>
      <c r="F155" s="114" t="s">
        <v>612</v>
      </c>
      <c r="G155" s="114" t="s">
        <v>497</v>
      </c>
      <c r="H155" s="114" t="s">
        <v>498</v>
      </c>
      <c r="I155" s="114" t="s">
        <v>465</v>
      </c>
      <c r="J155" s="114" t="s">
        <v>1109</v>
      </c>
    </row>
    <row r="156" spans="1:10">
      <c r="A156" s="114" t="s">
        <v>609</v>
      </c>
      <c r="B156" s="114" t="s">
        <v>407</v>
      </c>
      <c r="C156" s="114" t="s">
        <v>417</v>
      </c>
      <c r="D156" s="114" t="s">
        <v>413</v>
      </c>
      <c r="E156">
        <v>3451</v>
      </c>
      <c r="F156" s="114" t="s">
        <v>613</v>
      </c>
      <c r="G156" s="114" t="s">
        <v>497</v>
      </c>
      <c r="H156" s="114" t="s">
        <v>498</v>
      </c>
      <c r="I156">
        <v>444</v>
      </c>
    </row>
    <row r="157" spans="1:10">
      <c r="A157" s="114" t="s">
        <v>609</v>
      </c>
      <c r="B157" s="114" t="s">
        <v>407</v>
      </c>
      <c r="C157" s="114" t="s">
        <v>417</v>
      </c>
      <c r="D157" s="114" t="s">
        <v>409</v>
      </c>
      <c r="E157">
        <v>3804</v>
      </c>
      <c r="F157" s="114" t="s">
        <v>614</v>
      </c>
      <c r="G157" s="114" t="s">
        <v>414</v>
      </c>
      <c r="H157" s="114" t="s">
        <v>421</v>
      </c>
      <c r="I157">
        <v>54</v>
      </c>
    </row>
    <row r="158" spans="1:10">
      <c r="A158" s="114" t="s">
        <v>609</v>
      </c>
      <c r="B158" s="114" t="s">
        <v>407</v>
      </c>
      <c r="C158" s="114" t="s">
        <v>417</v>
      </c>
      <c r="D158" s="114" t="s">
        <v>409</v>
      </c>
      <c r="E158">
        <v>4666</v>
      </c>
      <c r="F158" s="114" t="s">
        <v>615</v>
      </c>
      <c r="G158" s="114" t="s">
        <v>410</v>
      </c>
      <c r="H158" s="114" t="s">
        <v>436</v>
      </c>
      <c r="I158" s="114" t="s">
        <v>650</v>
      </c>
      <c r="J158" s="114" t="s">
        <v>1110</v>
      </c>
    </row>
    <row r="159" spans="1:10">
      <c r="A159" s="114" t="s">
        <v>609</v>
      </c>
      <c r="B159" s="114" t="s">
        <v>407</v>
      </c>
      <c r="C159" s="114" t="s">
        <v>417</v>
      </c>
      <c r="D159" s="114" t="s">
        <v>409</v>
      </c>
      <c r="E159">
        <v>7831</v>
      </c>
      <c r="F159" s="114" t="s">
        <v>616</v>
      </c>
      <c r="G159" s="114" t="s">
        <v>418</v>
      </c>
      <c r="H159" s="114" t="s">
        <v>432</v>
      </c>
      <c r="I159">
        <v>38</v>
      </c>
    </row>
    <row r="160" spans="1:10">
      <c r="A160" s="114" t="s">
        <v>617</v>
      </c>
      <c r="B160" s="114" t="s">
        <v>407</v>
      </c>
      <c r="C160" s="114" t="s">
        <v>419</v>
      </c>
      <c r="D160" s="114" t="s">
        <v>409</v>
      </c>
      <c r="E160">
        <v>2678</v>
      </c>
      <c r="F160" s="114" t="s">
        <v>618</v>
      </c>
      <c r="G160" s="114" t="s">
        <v>410</v>
      </c>
      <c r="H160" s="114" t="s">
        <v>420</v>
      </c>
      <c r="I160" s="114" t="s">
        <v>465</v>
      </c>
      <c r="J160" s="114" t="s">
        <v>1062</v>
      </c>
    </row>
    <row r="161" spans="1:10">
      <c r="A161" s="114" t="s">
        <v>617</v>
      </c>
      <c r="B161" s="114" t="s">
        <v>407</v>
      </c>
      <c r="C161" s="114" t="s">
        <v>419</v>
      </c>
      <c r="D161" s="114" t="s">
        <v>409</v>
      </c>
      <c r="E161">
        <v>3391</v>
      </c>
      <c r="F161" s="114" t="s">
        <v>619</v>
      </c>
      <c r="G161" s="114" t="s">
        <v>410</v>
      </c>
      <c r="H161" s="114" t="s">
        <v>420</v>
      </c>
      <c r="I161" s="114" t="s">
        <v>620</v>
      </c>
      <c r="J161" s="114" t="s">
        <v>1022</v>
      </c>
    </row>
    <row r="162" spans="1:10">
      <c r="A162" s="114" t="s">
        <v>617</v>
      </c>
      <c r="B162" s="114" t="s">
        <v>407</v>
      </c>
      <c r="C162" s="114" t="s">
        <v>417</v>
      </c>
      <c r="D162" s="114" t="s">
        <v>413</v>
      </c>
      <c r="E162">
        <v>8956</v>
      </c>
      <c r="F162" s="114" t="s">
        <v>621</v>
      </c>
      <c r="G162" s="114" t="s">
        <v>497</v>
      </c>
      <c r="H162" s="114" t="s">
        <v>498</v>
      </c>
      <c r="I162" s="114" t="s">
        <v>433</v>
      </c>
      <c r="J162" s="114" t="s">
        <v>1111</v>
      </c>
    </row>
    <row r="163" spans="1:10">
      <c r="A163" s="114" t="s">
        <v>622</v>
      </c>
      <c r="B163" s="114" t="s">
        <v>407</v>
      </c>
      <c r="C163" s="114" t="s">
        <v>417</v>
      </c>
      <c r="D163" s="114" t="s">
        <v>409</v>
      </c>
      <c r="E163">
        <v>2315</v>
      </c>
      <c r="F163" s="114" t="s">
        <v>623</v>
      </c>
      <c r="G163" s="114" t="s">
        <v>414</v>
      </c>
      <c r="H163" s="114" t="s">
        <v>421</v>
      </c>
      <c r="I163">
        <v>97</v>
      </c>
    </row>
    <row r="164" spans="1:10">
      <c r="A164" s="114" t="s">
        <v>624</v>
      </c>
      <c r="B164" s="114" t="s">
        <v>407</v>
      </c>
      <c r="C164" s="114" t="s">
        <v>417</v>
      </c>
      <c r="D164" s="114" t="s">
        <v>413</v>
      </c>
      <c r="E164">
        <v>3308</v>
      </c>
      <c r="F164" s="114" t="s">
        <v>625</v>
      </c>
      <c r="G164" s="114" t="s">
        <v>497</v>
      </c>
      <c r="H164" s="114" t="s">
        <v>498</v>
      </c>
      <c r="I164">
        <v>160</v>
      </c>
    </row>
    <row r="165" spans="1:10">
      <c r="A165" s="114" t="s">
        <v>1112</v>
      </c>
      <c r="B165" s="114" t="s">
        <v>407</v>
      </c>
      <c r="C165" s="114" t="s">
        <v>408</v>
      </c>
      <c r="D165" s="114" t="s">
        <v>409</v>
      </c>
      <c r="E165">
        <v>8227</v>
      </c>
      <c r="F165" s="114" t="s">
        <v>999</v>
      </c>
      <c r="G165" s="114" t="s">
        <v>410</v>
      </c>
      <c r="H165" s="114" t="s">
        <v>420</v>
      </c>
      <c r="I165" s="114" t="s">
        <v>650</v>
      </c>
      <c r="J165" s="114" t="s">
        <v>1113</v>
      </c>
    </row>
    <row r="166" spans="1:10">
      <c r="A166" s="114" t="s">
        <v>626</v>
      </c>
      <c r="B166" s="114" t="s">
        <v>434</v>
      </c>
      <c r="C166" s="114" t="s">
        <v>417</v>
      </c>
      <c r="D166" s="114" t="s">
        <v>409</v>
      </c>
      <c r="E166">
        <v>7965</v>
      </c>
      <c r="F166" s="114" t="s">
        <v>1023</v>
      </c>
      <c r="G166" s="114" t="s">
        <v>410</v>
      </c>
      <c r="H166" s="114" t="s">
        <v>435</v>
      </c>
      <c r="I166" s="114" t="s">
        <v>465</v>
      </c>
      <c r="J166" s="114" t="s">
        <v>1114</v>
      </c>
    </row>
    <row r="167" spans="1:10">
      <c r="A167" s="114" t="s">
        <v>626</v>
      </c>
      <c r="B167" s="114" t="s">
        <v>407</v>
      </c>
      <c r="C167" s="114" t="s">
        <v>412</v>
      </c>
      <c r="D167" s="114" t="s">
        <v>409</v>
      </c>
      <c r="E167">
        <v>3035</v>
      </c>
      <c r="F167" s="114" t="s">
        <v>627</v>
      </c>
      <c r="G167" s="114" t="s">
        <v>414</v>
      </c>
      <c r="H167" s="114" t="s">
        <v>416</v>
      </c>
      <c r="I167">
        <v>21</v>
      </c>
    </row>
    <row r="168" spans="1:10">
      <c r="A168" s="114" t="s">
        <v>626</v>
      </c>
      <c r="B168" s="114" t="s">
        <v>407</v>
      </c>
      <c r="C168" s="114" t="s">
        <v>408</v>
      </c>
      <c r="D168" s="114" t="s">
        <v>409</v>
      </c>
      <c r="E168">
        <v>7624</v>
      </c>
      <c r="F168" s="114" t="s">
        <v>628</v>
      </c>
      <c r="G168" s="114" t="s">
        <v>414</v>
      </c>
      <c r="H168" s="114" t="s">
        <v>416</v>
      </c>
      <c r="I168">
        <v>119</v>
      </c>
    </row>
    <row r="169" spans="1:10">
      <c r="A169" s="114" t="s">
        <v>629</v>
      </c>
      <c r="B169" s="114" t="s">
        <v>630</v>
      </c>
      <c r="C169" s="114" t="s">
        <v>417</v>
      </c>
      <c r="D169" s="114" t="s">
        <v>409</v>
      </c>
      <c r="E169">
        <v>6664</v>
      </c>
      <c r="F169" s="114" t="s">
        <v>631</v>
      </c>
      <c r="G169" s="114" t="s">
        <v>414</v>
      </c>
      <c r="H169" s="114" t="s">
        <v>435</v>
      </c>
      <c r="I169">
        <v>43</v>
      </c>
    </row>
    <row r="170" spans="1:10">
      <c r="A170" s="114" t="s">
        <v>629</v>
      </c>
      <c r="B170" s="114" t="s">
        <v>630</v>
      </c>
      <c r="C170" s="114" t="s">
        <v>408</v>
      </c>
      <c r="D170" s="114" t="s">
        <v>413</v>
      </c>
      <c r="E170">
        <v>7611</v>
      </c>
      <c r="F170" s="114" t="s">
        <v>632</v>
      </c>
      <c r="G170" s="114" t="s">
        <v>410</v>
      </c>
      <c r="H170" s="114" t="s">
        <v>420</v>
      </c>
      <c r="I170">
        <v>832</v>
      </c>
    </row>
    <row r="171" spans="1:10">
      <c r="A171" s="114" t="s">
        <v>629</v>
      </c>
      <c r="B171" s="114" t="s">
        <v>407</v>
      </c>
      <c r="C171" s="114" t="s">
        <v>408</v>
      </c>
      <c r="D171" s="114" t="s">
        <v>409</v>
      </c>
      <c r="E171">
        <v>6279</v>
      </c>
      <c r="F171" s="114" t="s">
        <v>633</v>
      </c>
      <c r="G171" s="114" t="s">
        <v>418</v>
      </c>
      <c r="H171" s="114" t="s">
        <v>431</v>
      </c>
      <c r="I171">
        <v>280</v>
      </c>
    </row>
    <row r="172" spans="1:10">
      <c r="A172" s="114" t="s">
        <v>629</v>
      </c>
      <c r="B172" s="114" t="s">
        <v>407</v>
      </c>
      <c r="C172" s="114" t="s">
        <v>419</v>
      </c>
      <c r="D172" s="114" t="s">
        <v>413</v>
      </c>
      <c r="E172">
        <v>7068</v>
      </c>
      <c r="F172" s="114" t="s">
        <v>634</v>
      </c>
      <c r="G172" s="114" t="s">
        <v>422</v>
      </c>
      <c r="H172" s="114" t="s">
        <v>415</v>
      </c>
      <c r="I172">
        <v>121</v>
      </c>
    </row>
    <row r="173" spans="1:10">
      <c r="A173" s="114" t="s">
        <v>629</v>
      </c>
      <c r="B173" s="114" t="s">
        <v>407</v>
      </c>
      <c r="C173" s="114" t="s">
        <v>419</v>
      </c>
      <c r="D173" s="114" t="s">
        <v>409</v>
      </c>
      <c r="E173">
        <v>7921</v>
      </c>
      <c r="F173" s="114" t="s">
        <v>1115</v>
      </c>
      <c r="G173" s="114" t="s">
        <v>410</v>
      </c>
      <c r="H173" s="114" t="s">
        <v>432</v>
      </c>
      <c r="I173">
        <v>217</v>
      </c>
    </row>
    <row r="174" spans="1:10">
      <c r="A174" s="114" t="s">
        <v>629</v>
      </c>
      <c r="B174" s="114" t="s">
        <v>407</v>
      </c>
      <c r="C174" s="114" t="s">
        <v>408</v>
      </c>
      <c r="D174" s="114" t="s">
        <v>409</v>
      </c>
      <c r="E174">
        <v>9982</v>
      </c>
      <c r="F174" s="114" t="s">
        <v>635</v>
      </c>
      <c r="G174" s="114" t="s">
        <v>410</v>
      </c>
      <c r="H174" s="114" t="s">
        <v>416</v>
      </c>
      <c r="I174">
        <v>184</v>
      </c>
    </row>
    <row r="175" spans="1:10">
      <c r="A175" s="114" t="s">
        <v>636</v>
      </c>
      <c r="B175" s="114" t="s">
        <v>407</v>
      </c>
      <c r="C175" s="114" t="s">
        <v>408</v>
      </c>
      <c r="D175" s="114" t="s">
        <v>409</v>
      </c>
      <c r="E175">
        <v>2186</v>
      </c>
      <c r="F175" s="114" t="s">
        <v>637</v>
      </c>
      <c r="G175" s="114" t="s">
        <v>414</v>
      </c>
      <c r="H175" s="114" t="s">
        <v>415</v>
      </c>
      <c r="I175" s="114">
        <v>95</v>
      </c>
      <c r="J175" s="114"/>
    </row>
    <row r="176" spans="1:10">
      <c r="A176" s="114" t="s">
        <v>636</v>
      </c>
      <c r="B176" s="114" t="s">
        <v>407</v>
      </c>
      <c r="C176" s="114" t="s">
        <v>408</v>
      </c>
      <c r="D176" s="114" t="s">
        <v>409</v>
      </c>
      <c r="E176">
        <v>2685</v>
      </c>
      <c r="F176" s="114" t="s">
        <v>638</v>
      </c>
      <c r="G176" s="114" t="s">
        <v>410</v>
      </c>
      <c r="H176" s="114" t="s">
        <v>420</v>
      </c>
      <c r="I176" s="114" t="s">
        <v>465</v>
      </c>
      <c r="J176" s="114" t="s">
        <v>1116</v>
      </c>
    </row>
    <row r="177" spans="1:10">
      <c r="A177" s="114" t="s">
        <v>636</v>
      </c>
      <c r="B177" s="114" t="s">
        <v>407</v>
      </c>
      <c r="C177" s="114" t="s">
        <v>408</v>
      </c>
      <c r="D177" s="114" t="s">
        <v>409</v>
      </c>
      <c r="E177">
        <v>3919</v>
      </c>
      <c r="F177" s="114" t="s">
        <v>639</v>
      </c>
      <c r="G177" s="114" t="s">
        <v>410</v>
      </c>
      <c r="H177" s="114" t="s">
        <v>421</v>
      </c>
      <c r="I177">
        <v>149</v>
      </c>
    </row>
    <row r="178" spans="1:10">
      <c r="A178" s="114" t="s">
        <v>636</v>
      </c>
      <c r="B178" s="114" t="s">
        <v>407</v>
      </c>
      <c r="C178" s="114" t="s">
        <v>412</v>
      </c>
      <c r="D178" s="114" t="s">
        <v>409</v>
      </c>
      <c r="E178">
        <v>7514</v>
      </c>
      <c r="F178" s="114" t="s">
        <v>1025</v>
      </c>
      <c r="G178" s="114" t="s">
        <v>410</v>
      </c>
      <c r="H178" s="114" t="s">
        <v>420</v>
      </c>
      <c r="I178">
        <v>103</v>
      </c>
    </row>
    <row r="179" spans="1:10">
      <c r="A179" s="114" t="s">
        <v>636</v>
      </c>
      <c r="B179" s="114" t="s">
        <v>407</v>
      </c>
      <c r="C179" s="114" t="s">
        <v>419</v>
      </c>
      <c r="D179" s="114" t="s">
        <v>409</v>
      </c>
      <c r="E179">
        <v>9651</v>
      </c>
      <c r="F179" s="114" t="s">
        <v>640</v>
      </c>
      <c r="G179" s="114" t="s">
        <v>414</v>
      </c>
      <c r="H179" s="114" t="s">
        <v>421</v>
      </c>
      <c r="I179">
        <v>92</v>
      </c>
    </row>
    <row r="180" spans="1:10">
      <c r="A180" s="114" t="s">
        <v>641</v>
      </c>
      <c r="B180" s="114" t="s">
        <v>407</v>
      </c>
      <c r="C180" s="114" t="s">
        <v>408</v>
      </c>
      <c r="D180" s="114" t="s">
        <v>409</v>
      </c>
      <c r="E180">
        <v>1712</v>
      </c>
      <c r="F180" s="114" t="s">
        <v>642</v>
      </c>
      <c r="G180" s="114" t="s">
        <v>410</v>
      </c>
      <c r="H180" s="114" t="s">
        <v>444</v>
      </c>
      <c r="I180" s="114">
        <v>168</v>
      </c>
      <c r="J180" s="114"/>
    </row>
    <row r="181" spans="1:10">
      <c r="A181" s="114" t="s">
        <v>641</v>
      </c>
      <c r="B181" s="114" t="s">
        <v>407</v>
      </c>
      <c r="C181" s="114" t="s">
        <v>408</v>
      </c>
      <c r="D181" s="114" t="s">
        <v>409</v>
      </c>
      <c r="E181">
        <v>9793</v>
      </c>
      <c r="F181" s="114" t="s">
        <v>643</v>
      </c>
      <c r="G181" s="114" t="s">
        <v>410</v>
      </c>
      <c r="H181" s="114" t="s">
        <v>415</v>
      </c>
      <c r="I181" s="114" t="s">
        <v>465</v>
      </c>
      <c r="J181" s="114" t="s">
        <v>1117</v>
      </c>
    </row>
    <row r="182" spans="1:10">
      <c r="A182" s="114" t="s">
        <v>644</v>
      </c>
      <c r="B182" s="114" t="s">
        <v>407</v>
      </c>
      <c r="C182" s="114" t="s">
        <v>419</v>
      </c>
      <c r="D182" s="114" t="s">
        <v>409</v>
      </c>
      <c r="E182">
        <v>2792</v>
      </c>
      <c r="F182" s="114" t="s">
        <v>645</v>
      </c>
      <c r="G182" s="114" t="s">
        <v>410</v>
      </c>
      <c r="H182" s="114" t="s">
        <v>420</v>
      </c>
      <c r="I182" s="114">
        <v>395</v>
      </c>
      <c r="J182" s="114"/>
    </row>
    <row r="183" spans="1:10">
      <c r="A183" s="114" t="s">
        <v>646</v>
      </c>
      <c r="B183" s="114" t="s">
        <v>407</v>
      </c>
      <c r="C183" s="114" t="s">
        <v>408</v>
      </c>
      <c r="D183" s="114" t="s">
        <v>409</v>
      </c>
      <c r="E183">
        <v>4714</v>
      </c>
      <c r="F183" s="114" t="s">
        <v>647</v>
      </c>
      <c r="G183" s="114" t="s">
        <v>410</v>
      </c>
      <c r="H183" s="114" t="s">
        <v>415</v>
      </c>
      <c r="I183">
        <v>636</v>
      </c>
    </row>
    <row r="184" spans="1:10">
      <c r="A184" s="114" t="s">
        <v>648</v>
      </c>
      <c r="B184" s="114" t="s">
        <v>407</v>
      </c>
      <c r="C184" s="114" t="s">
        <v>417</v>
      </c>
      <c r="D184" s="114" t="s">
        <v>409</v>
      </c>
      <c r="E184">
        <v>2809</v>
      </c>
      <c r="F184" s="114" t="s">
        <v>649</v>
      </c>
      <c r="G184" s="114" t="s">
        <v>410</v>
      </c>
      <c r="H184" s="114" t="s">
        <v>411</v>
      </c>
      <c r="I184" s="114" t="s">
        <v>650</v>
      </c>
      <c r="J184" s="114" t="s">
        <v>1118</v>
      </c>
    </row>
    <row r="185" spans="1:10">
      <c r="A185" s="114" t="s">
        <v>648</v>
      </c>
      <c r="B185" s="114" t="s">
        <v>407</v>
      </c>
      <c r="C185" s="114" t="s">
        <v>412</v>
      </c>
      <c r="D185" s="114" t="s">
        <v>409</v>
      </c>
      <c r="E185">
        <v>2927</v>
      </c>
      <c r="F185" s="114" t="s">
        <v>651</v>
      </c>
      <c r="G185" s="114" t="s">
        <v>414</v>
      </c>
      <c r="H185" s="114" t="s">
        <v>411</v>
      </c>
      <c r="I185" s="114">
        <v>94</v>
      </c>
      <c r="J185" s="114"/>
    </row>
    <row r="186" spans="1:10">
      <c r="A186" s="114" t="s">
        <v>648</v>
      </c>
      <c r="B186" s="114" t="s">
        <v>407</v>
      </c>
      <c r="C186" s="114" t="s">
        <v>408</v>
      </c>
      <c r="D186" s="114" t="s">
        <v>409</v>
      </c>
      <c r="E186">
        <v>3396</v>
      </c>
      <c r="F186" s="114" t="s">
        <v>652</v>
      </c>
      <c r="G186" s="114" t="s">
        <v>410</v>
      </c>
      <c r="H186" s="114" t="s">
        <v>420</v>
      </c>
      <c r="I186" s="114">
        <v>103</v>
      </c>
      <c r="J186" s="114"/>
    </row>
    <row r="187" spans="1:10">
      <c r="A187" s="114" t="s">
        <v>648</v>
      </c>
      <c r="B187" s="114" t="s">
        <v>407</v>
      </c>
      <c r="C187" s="114" t="s">
        <v>419</v>
      </c>
      <c r="D187" s="114" t="s">
        <v>409</v>
      </c>
      <c r="E187">
        <v>8908</v>
      </c>
      <c r="F187" s="114" t="s">
        <v>653</v>
      </c>
      <c r="G187" s="114" t="s">
        <v>410</v>
      </c>
      <c r="H187" s="114" t="s">
        <v>436</v>
      </c>
      <c r="I187" s="114">
        <v>151</v>
      </c>
      <c r="J187" s="114"/>
    </row>
    <row r="188" spans="1:10">
      <c r="A188" s="114" t="s">
        <v>648</v>
      </c>
      <c r="B188" s="114" t="s">
        <v>407</v>
      </c>
      <c r="C188" s="114" t="s">
        <v>412</v>
      </c>
      <c r="D188" s="114" t="s">
        <v>409</v>
      </c>
      <c r="E188">
        <v>9983</v>
      </c>
      <c r="F188" s="114" t="s">
        <v>654</v>
      </c>
      <c r="G188" s="114" t="s">
        <v>410</v>
      </c>
      <c r="H188" s="114" t="s">
        <v>420</v>
      </c>
      <c r="I188" s="114" t="s">
        <v>1119</v>
      </c>
      <c r="J188" s="114" t="s">
        <v>1120</v>
      </c>
    </row>
    <row r="189" spans="1:10">
      <c r="A189" s="114" t="s">
        <v>655</v>
      </c>
      <c r="B189" s="114" t="s">
        <v>630</v>
      </c>
      <c r="C189" s="114" t="s">
        <v>408</v>
      </c>
      <c r="D189" s="114" t="s">
        <v>409</v>
      </c>
      <c r="E189">
        <v>3093</v>
      </c>
      <c r="F189" s="114" t="s">
        <v>1121</v>
      </c>
      <c r="G189" s="114" t="s">
        <v>410</v>
      </c>
      <c r="H189" s="114" t="s">
        <v>420</v>
      </c>
      <c r="I189" s="114">
        <v>131</v>
      </c>
      <c r="J189" s="114"/>
    </row>
    <row r="190" spans="1:10">
      <c r="A190" s="114" t="s">
        <v>655</v>
      </c>
      <c r="B190" s="114" t="s">
        <v>630</v>
      </c>
      <c r="C190" s="114" t="s">
        <v>419</v>
      </c>
      <c r="D190" s="114" t="s">
        <v>409</v>
      </c>
      <c r="E190">
        <v>6567</v>
      </c>
      <c r="F190" s="114" t="s">
        <v>656</v>
      </c>
      <c r="G190" s="114" t="s">
        <v>422</v>
      </c>
      <c r="H190" s="114" t="s">
        <v>415</v>
      </c>
      <c r="I190">
        <v>22</v>
      </c>
    </row>
    <row r="191" spans="1:10">
      <c r="A191" s="114" t="s">
        <v>655</v>
      </c>
      <c r="B191" s="114" t="s">
        <v>407</v>
      </c>
      <c r="C191" s="114" t="s">
        <v>408</v>
      </c>
      <c r="D191" s="114" t="s">
        <v>409</v>
      </c>
      <c r="E191">
        <v>2337</v>
      </c>
      <c r="F191" s="114" t="s">
        <v>1122</v>
      </c>
      <c r="G191" s="114" t="s">
        <v>410</v>
      </c>
      <c r="H191" s="114" t="s">
        <v>436</v>
      </c>
      <c r="I191" s="114" t="s">
        <v>433</v>
      </c>
      <c r="J191" s="114" t="s">
        <v>1123</v>
      </c>
    </row>
    <row r="192" spans="1:10">
      <c r="A192" s="114" t="s">
        <v>655</v>
      </c>
      <c r="B192" s="114" t="s">
        <v>407</v>
      </c>
      <c r="C192" s="114" t="s">
        <v>408</v>
      </c>
      <c r="D192" s="114" t="s">
        <v>409</v>
      </c>
      <c r="E192">
        <v>2338</v>
      </c>
      <c r="F192" s="114" t="s">
        <v>657</v>
      </c>
      <c r="G192" s="114" t="s">
        <v>418</v>
      </c>
      <c r="H192" s="114" t="s">
        <v>421</v>
      </c>
      <c r="I192">
        <v>26</v>
      </c>
    </row>
    <row r="193" spans="1:10">
      <c r="A193" s="114" t="s">
        <v>655</v>
      </c>
      <c r="B193" s="114" t="s">
        <v>407</v>
      </c>
      <c r="C193" s="114" t="s">
        <v>408</v>
      </c>
      <c r="D193" s="114" t="s">
        <v>409</v>
      </c>
      <c r="E193">
        <v>2651</v>
      </c>
      <c r="F193" s="114" t="s">
        <v>658</v>
      </c>
      <c r="G193" s="114" t="s">
        <v>410</v>
      </c>
      <c r="H193" s="114" t="s">
        <v>420</v>
      </c>
      <c r="I193" s="114" t="s">
        <v>620</v>
      </c>
      <c r="J193" s="114" t="s">
        <v>1027</v>
      </c>
    </row>
    <row r="194" spans="1:10">
      <c r="A194" s="114" t="s">
        <v>655</v>
      </c>
      <c r="B194" s="114" t="s">
        <v>407</v>
      </c>
      <c r="C194" s="114" t="s">
        <v>408</v>
      </c>
      <c r="D194" s="114" t="s">
        <v>413</v>
      </c>
      <c r="E194">
        <v>2706</v>
      </c>
      <c r="F194" s="114" t="s">
        <v>659</v>
      </c>
      <c r="G194" s="114" t="s">
        <v>414</v>
      </c>
      <c r="H194" s="114" t="s">
        <v>432</v>
      </c>
      <c r="I194">
        <v>117</v>
      </c>
    </row>
    <row r="195" spans="1:10">
      <c r="A195" s="114" t="s">
        <v>655</v>
      </c>
      <c r="B195" s="114" t="s">
        <v>407</v>
      </c>
      <c r="C195" s="114" t="s">
        <v>419</v>
      </c>
      <c r="D195" s="114" t="s">
        <v>409</v>
      </c>
      <c r="E195">
        <v>3349</v>
      </c>
      <c r="F195" s="114" t="s">
        <v>1124</v>
      </c>
      <c r="G195" s="114" t="s">
        <v>410</v>
      </c>
      <c r="H195" s="114" t="s">
        <v>420</v>
      </c>
      <c r="I195" s="114" t="s">
        <v>561</v>
      </c>
      <c r="J195" s="114" t="s">
        <v>1125</v>
      </c>
    </row>
    <row r="196" spans="1:10">
      <c r="A196" s="114" t="s">
        <v>655</v>
      </c>
      <c r="B196" s="114" t="s">
        <v>407</v>
      </c>
      <c r="C196" s="114" t="s">
        <v>408</v>
      </c>
      <c r="D196" s="114" t="s">
        <v>409</v>
      </c>
      <c r="E196">
        <v>3546</v>
      </c>
      <c r="F196" s="114" t="s">
        <v>660</v>
      </c>
      <c r="G196" s="114" t="s">
        <v>410</v>
      </c>
      <c r="H196" s="114" t="s">
        <v>420</v>
      </c>
      <c r="I196">
        <v>266</v>
      </c>
    </row>
    <row r="197" spans="1:10">
      <c r="A197" s="114" t="s">
        <v>655</v>
      </c>
      <c r="B197" s="114" t="s">
        <v>407</v>
      </c>
      <c r="C197" s="114" t="s">
        <v>408</v>
      </c>
      <c r="D197" s="114" t="s">
        <v>409</v>
      </c>
      <c r="E197">
        <v>3922</v>
      </c>
      <c r="F197" s="114" t="s">
        <v>661</v>
      </c>
      <c r="G197" s="114" t="s">
        <v>410</v>
      </c>
      <c r="H197" s="114" t="s">
        <v>421</v>
      </c>
      <c r="I197">
        <v>157</v>
      </c>
    </row>
    <row r="198" spans="1:10">
      <c r="A198" s="114" t="s">
        <v>655</v>
      </c>
      <c r="B198" s="114" t="s">
        <v>407</v>
      </c>
      <c r="C198" s="114" t="s">
        <v>408</v>
      </c>
      <c r="D198" s="114" t="s">
        <v>409</v>
      </c>
      <c r="E198">
        <v>4530</v>
      </c>
      <c r="F198" s="114" t="s">
        <v>1126</v>
      </c>
      <c r="G198" s="114" t="s">
        <v>410</v>
      </c>
      <c r="H198" s="114" t="s">
        <v>532</v>
      </c>
      <c r="I198" s="114" t="s">
        <v>561</v>
      </c>
      <c r="J198" s="114" t="s">
        <v>1127</v>
      </c>
    </row>
    <row r="199" spans="1:10">
      <c r="A199" s="114" t="s">
        <v>655</v>
      </c>
      <c r="B199" s="114" t="s">
        <v>407</v>
      </c>
      <c r="C199" s="114" t="s">
        <v>419</v>
      </c>
      <c r="D199" s="114" t="s">
        <v>409</v>
      </c>
      <c r="E199">
        <v>4829</v>
      </c>
      <c r="F199" s="114" t="s">
        <v>662</v>
      </c>
      <c r="G199" s="114" t="s">
        <v>410</v>
      </c>
      <c r="H199" s="114" t="s">
        <v>421</v>
      </c>
      <c r="I199">
        <v>92</v>
      </c>
    </row>
    <row r="200" spans="1:10">
      <c r="A200" s="114" t="s">
        <v>655</v>
      </c>
      <c r="B200" s="114" t="s">
        <v>407</v>
      </c>
      <c r="C200" s="114" t="s">
        <v>408</v>
      </c>
      <c r="D200" s="114" t="s">
        <v>409</v>
      </c>
      <c r="E200">
        <v>6058</v>
      </c>
      <c r="F200" s="114" t="s">
        <v>663</v>
      </c>
      <c r="G200" s="114" t="s">
        <v>410</v>
      </c>
      <c r="H200" s="114" t="s">
        <v>415</v>
      </c>
      <c r="I200">
        <v>551</v>
      </c>
    </row>
    <row r="201" spans="1:10">
      <c r="A201" s="114" t="s">
        <v>655</v>
      </c>
      <c r="B201" s="114" t="s">
        <v>407</v>
      </c>
      <c r="C201" s="114" t="s">
        <v>417</v>
      </c>
      <c r="D201" s="114" t="s">
        <v>409</v>
      </c>
      <c r="E201">
        <v>6492</v>
      </c>
      <c r="F201" s="114" t="s">
        <v>664</v>
      </c>
      <c r="G201" s="114" t="s">
        <v>418</v>
      </c>
      <c r="H201" s="114" t="s">
        <v>431</v>
      </c>
      <c r="I201" s="114">
        <v>35</v>
      </c>
      <c r="J201" s="114"/>
    </row>
    <row r="202" spans="1:10">
      <c r="A202" s="114" t="s">
        <v>655</v>
      </c>
      <c r="B202" s="114" t="s">
        <v>407</v>
      </c>
      <c r="C202" s="114" t="s">
        <v>408</v>
      </c>
      <c r="D202" s="114" t="s">
        <v>413</v>
      </c>
      <c r="E202">
        <v>6532</v>
      </c>
      <c r="F202" s="114" t="s">
        <v>665</v>
      </c>
      <c r="G202" s="114" t="s">
        <v>410</v>
      </c>
      <c r="H202" s="114" t="s">
        <v>415</v>
      </c>
      <c r="I202">
        <v>914</v>
      </c>
    </row>
    <row r="203" spans="1:10">
      <c r="A203" s="114" t="s">
        <v>655</v>
      </c>
      <c r="B203" s="114" t="s">
        <v>407</v>
      </c>
      <c r="C203" s="114" t="s">
        <v>419</v>
      </c>
      <c r="D203" s="114" t="s">
        <v>409</v>
      </c>
      <c r="E203">
        <v>7420</v>
      </c>
      <c r="F203" s="114" t="s">
        <v>1128</v>
      </c>
      <c r="G203" s="114" t="s">
        <v>410</v>
      </c>
      <c r="H203" s="114" t="s">
        <v>416</v>
      </c>
      <c r="I203">
        <v>165</v>
      </c>
    </row>
    <row r="204" spans="1:10">
      <c r="A204" s="114" t="s">
        <v>655</v>
      </c>
      <c r="B204" s="114" t="s">
        <v>407</v>
      </c>
      <c r="C204" s="114" t="s">
        <v>408</v>
      </c>
      <c r="D204" s="114" t="s">
        <v>409</v>
      </c>
      <c r="E204">
        <v>7453</v>
      </c>
      <c r="F204" s="114" t="s">
        <v>1129</v>
      </c>
      <c r="G204" s="114" t="s">
        <v>410</v>
      </c>
      <c r="H204" s="114" t="s">
        <v>420</v>
      </c>
      <c r="I204" s="114" t="s">
        <v>620</v>
      </c>
      <c r="J204" s="114" t="s">
        <v>1130</v>
      </c>
    </row>
    <row r="205" spans="1:10">
      <c r="A205" s="114" t="s">
        <v>655</v>
      </c>
      <c r="B205" s="114" t="s">
        <v>407</v>
      </c>
      <c r="C205" s="114" t="s">
        <v>419</v>
      </c>
      <c r="D205" s="114" t="s">
        <v>409</v>
      </c>
      <c r="E205">
        <v>7713</v>
      </c>
      <c r="F205" s="114" t="s">
        <v>1131</v>
      </c>
      <c r="G205" s="114" t="s">
        <v>414</v>
      </c>
      <c r="H205" s="114" t="s">
        <v>677</v>
      </c>
      <c r="I205" s="114">
        <v>139</v>
      </c>
      <c r="J205" s="114"/>
    </row>
    <row r="206" spans="1:10">
      <c r="A206" s="114" t="s">
        <v>655</v>
      </c>
      <c r="B206" s="114" t="s">
        <v>407</v>
      </c>
      <c r="C206" s="114" t="s">
        <v>417</v>
      </c>
      <c r="D206" s="114" t="s">
        <v>409</v>
      </c>
      <c r="E206">
        <v>8923</v>
      </c>
      <c r="F206" s="114" t="s">
        <v>666</v>
      </c>
      <c r="G206" s="114" t="s">
        <v>410</v>
      </c>
      <c r="H206" s="114" t="s">
        <v>436</v>
      </c>
      <c r="I206" s="114">
        <v>704</v>
      </c>
      <c r="J206" s="114"/>
    </row>
    <row r="207" spans="1:10">
      <c r="A207" s="114" t="s">
        <v>655</v>
      </c>
      <c r="B207" s="114" t="s">
        <v>407</v>
      </c>
      <c r="C207" s="114" t="s">
        <v>408</v>
      </c>
      <c r="D207" s="114" t="s">
        <v>409</v>
      </c>
      <c r="E207">
        <v>9381</v>
      </c>
      <c r="F207" s="114" t="s">
        <v>1132</v>
      </c>
      <c r="G207" s="114" t="s">
        <v>410</v>
      </c>
      <c r="H207" s="114" t="s">
        <v>927</v>
      </c>
      <c r="I207">
        <v>227</v>
      </c>
    </row>
    <row r="208" spans="1:10">
      <c r="A208" s="114" t="s">
        <v>667</v>
      </c>
      <c r="B208" s="114" t="s">
        <v>1133</v>
      </c>
      <c r="C208" s="114" t="s">
        <v>408</v>
      </c>
      <c r="D208" s="114" t="s">
        <v>413</v>
      </c>
      <c r="E208">
        <v>3415</v>
      </c>
      <c r="F208" s="114" t="s">
        <v>1134</v>
      </c>
      <c r="G208" s="114" t="s">
        <v>410</v>
      </c>
      <c r="H208" s="114" t="s">
        <v>420</v>
      </c>
      <c r="I208" s="114">
        <v>339</v>
      </c>
      <c r="J208" s="114"/>
    </row>
    <row r="209" spans="1:10">
      <c r="A209" s="114" t="s">
        <v>667</v>
      </c>
      <c r="B209" s="114" t="s">
        <v>407</v>
      </c>
      <c r="C209" s="114" t="s">
        <v>417</v>
      </c>
      <c r="D209" s="114" t="s">
        <v>409</v>
      </c>
      <c r="E209">
        <v>2471</v>
      </c>
      <c r="F209" s="114" t="s">
        <v>668</v>
      </c>
      <c r="G209" s="114" t="s">
        <v>410</v>
      </c>
      <c r="H209" s="114" t="s">
        <v>415</v>
      </c>
      <c r="I209" s="114">
        <v>576</v>
      </c>
      <c r="J209" s="114"/>
    </row>
    <row r="210" spans="1:10">
      <c r="A210" s="114" t="s">
        <v>667</v>
      </c>
      <c r="B210" s="114" t="s">
        <v>407</v>
      </c>
      <c r="C210" s="114" t="s">
        <v>408</v>
      </c>
      <c r="D210" s="114" t="s">
        <v>413</v>
      </c>
      <c r="E210">
        <v>2930</v>
      </c>
      <c r="F210" s="114" t="s">
        <v>669</v>
      </c>
      <c r="G210" s="114" t="s">
        <v>410</v>
      </c>
      <c r="H210" s="114" t="s">
        <v>411</v>
      </c>
      <c r="I210" s="114" t="s">
        <v>465</v>
      </c>
      <c r="J210" s="114" t="s">
        <v>1135</v>
      </c>
    </row>
    <row r="211" spans="1:10">
      <c r="A211" s="114" t="s">
        <v>667</v>
      </c>
      <c r="B211" s="114" t="s">
        <v>407</v>
      </c>
      <c r="C211" s="114" t="s">
        <v>408</v>
      </c>
      <c r="D211" s="114" t="s">
        <v>413</v>
      </c>
      <c r="E211">
        <v>3030</v>
      </c>
      <c r="F211" s="114" t="s">
        <v>670</v>
      </c>
      <c r="G211" s="114" t="s">
        <v>410</v>
      </c>
      <c r="H211" s="114" t="s">
        <v>420</v>
      </c>
      <c r="I211">
        <v>116</v>
      </c>
    </row>
    <row r="212" spans="1:10">
      <c r="A212" s="114" t="s">
        <v>667</v>
      </c>
      <c r="B212" s="114" t="s">
        <v>407</v>
      </c>
      <c r="C212" s="114" t="s">
        <v>408</v>
      </c>
      <c r="D212" s="114" t="s">
        <v>409</v>
      </c>
      <c r="E212">
        <v>3479</v>
      </c>
      <c r="F212" s="114" t="s">
        <v>671</v>
      </c>
      <c r="G212" s="114" t="s">
        <v>422</v>
      </c>
      <c r="H212" s="114" t="s">
        <v>436</v>
      </c>
      <c r="I212" s="114" t="s">
        <v>465</v>
      </c>
      <c r="J212" s="114" t="s">
        <v>1136</v>
      </c>
    </row>
    <row r="213" spans="1:10">
      <c r="A213" s="114" t="s">
        <v>667</v>
      </c>
      <c r="B213" s="114" t="s">
        <v>407</v>
      </c>
      <c r="C213" s="114" t="s">
        <v>408</v>
      </c>
      <c r="D213" s="114" t="s">
        <v>409</v>
      </c>
      <c r="E213">
        <v>3562</v>
      </c>
      <c r="F213" s="114" t="s">
        <v>672</v>
      </c>
      <c r="G213" s="114" t="s">
        <v>414</v>
      </c>
      <c r="H213" s="114" t="s">
        <v>416</v>
      </c>
      <c r="I213" s="114">
        <v>38</v>
      </c>
      <c r="J213" s="114"/>
    </row>
    <row r="214" spans="1:10">
      <c r="A214" s="114" t="s">
        <v>667</v>
      </c>
      <c r="B214" s="114" t="s">
        <v>407</v>
      </c>
      <c r="C214" s="114" t="s">
        <v>408</v>
      </c>
      <c r="D214" s="114" t="s">
        <v>409</v>
      </c>
      <c r="E214">
        <v>3678</v>
      </c>
      <c r="F214" s="114" t="s">
        <v>673</v>
      </c>
      <c r="G214" s="114" t="s">
        <v>410</v>
      </c>
      <c r="H214" s="114" t="s">
        <v>421</v>
      </c>
      <c r="I214">
        <v>541</v>
      </c>
    </row>
    <row r="215" spans="1:10">
      <c r="A215" s="114" t="s">
        <v>667</v>
      </c>
      <c r="B215" s="114" t="s">
        <v>407</v>
      </c>
      <c r="C215" s="114" t="s">
        <v>412</v>
      </c>
      <c r="D215" s="114" t="s">
        <v>409</v>
      </c>
      <c r="E215">
        <v>4668</v>
      </c>
      <c r="F215" s="114" t="s">
        <v>674</v>
      </c>
      <c r="G215" s="114" t="s">
        <v>410</v>
      </c>
      <c r="H215" s="114" t="s">
        <v>415</v>
      </c>
      <c r="I215" s="114">
        <v>286</v>
      </c>
      <c r="J215" s="114"/>
    </row>
    <row r="216" spans="1:10">
      <c r="A216" s="114" t="s">
        <v>667</v>
      </c>
      <c r="B216" s="114" t="s">
        <v>407</v>
      </c>
      <c r="C216" s="114" t="s">
        <v>408</v>
      </c>
      <c r="D216" s="114" t="s">
        <v>409</v>
      </c>
      <c r="E216">
        <v>6814</v>
      </c>
      <c r="F216" s="114" t="s">
        <v>675</v>
      </c>
      <c r="G216" s="114" t="s">
        <v>410</v>
      </c>
      <c r="H216" s="114" t="s">
        <v>435</v>
      </c>
      <c r="I216" s="114">
        <v>420</v>
      </c>
      <c r="J216" s="114"/>
    </row>
    <row r="217" spans="1:10">
      <c r="A217" s="114" t="s">
        <v>667</v>
      </c>
      <c r="B217" s="114" t="s">
        <v>407</v>
      </c>
      <c r="C217" s="114" t="s">
        <v>408</v>
      </c>
      <c r="D217" s="114" t="s">
        <v>409</v>
      </c>
      <c r="E217">
        <v>7719</v>
      </c>
      <c r="F217" s="114" t="s">
        <v>676</v>
      </c>
      <c r="G217" s="114" t="s">
        <v>418</v>
      </c>
      <c r="H217" s="114" t="s">
        <v>677</v>
      </c>
      <c r="I217">
        <v>18</v>
      </c>
    </row>
    <row r="218" spans="1:10">
      <c r="A218" s="114" t="s">
        <v>667</v>
      </c>
      <c r="B218" s="114" t="s">
        <v>407</v>
      </c>
      <c r="C218" s="114" t="s">
        <v>408</v>
      </c>
      <c r="D218" s="114" t="s">
        <v>409</v>
      </c>
      <c r="E218">
        <v>9602</v>
      </c>
      <c r="F218" s="114" t="s">
        <v>678</v>
      </c>
      <c r="G218" s="114" t="s">
        <v>410</v>
      </c>
      <c r="H218" s="114" t="s">
        <v>421</v>
      </c>
      <c r="I218" s="114" t="s">
        <v>679</v>
      </c>
      <c r="J218" s="114" t="s">
        <v>1057</v>
      </c>
    </row>
    <row r="219" spans="1:10">
      <c r="A219" s="114" t="s">
        <v>667</v>
      </c>
      <c r="B219" s="114" t="s">
        <v>407</v>
      </c>
      <c r="C219" s="114" t="s">
        <v>408</v>
      </c>
      <c r="D219" s="114" t="s">
        <v>409</v>
      </c>
      <c r="E219">
        <v>9945</v>
      </c>
      <c r="F219" s="114" t="s">
        <v>1137</v>
      </c>
      <c r="G219" s="114" t="s">
        <v>410</v>
      </c>
      <c r="H219" s="114" t="s">
        <v>420</v>
      </c>
      <c r="I219">
        <v>854</v>
      </c>
    </row>
    <row r="220" spans="1:10">
      <c r="A220" s="114" t="s">
        <v>680</v>
      </c>
      <c r="B220" s="114" t="s">
        <v>407</v>
      </c>
      <c r="C220" s="114" t="s">
        <v>417</v>
      </c>
      <c r="D220" s="114" t="s">
        <v>409</v>
      </c>
      <c r="E220">
        <v>3907</v>
      </c>
      <c r="F220" s="114" t="s">
        <v>681</v>
      </c>
      <c r="G220" s="114" t="s">
        <v>422</v>
      </c>
      <c r="H220" s="114" t="s">
        <v>421</v>
      </c>
      <c r="I220">
        <v>52</v>
      </c>
    </row>
    <row r="221" spans="1:10">
      <c r="A221" s="114" t="s">
        <v>680</v>
      </c>
      <c r="B221" s="114" t="s">
        <v>407</v>
      </c>
      <c r="C221" s="114" t="s">
        <v>408</v>
      </c>
      <c r="D221" s="114" t="s">
        <v>409</v>
      </c>
      <c r="E221">
        <v>6578</v>
      </c>
      <c r="F221" s="114" t="s">
        <v>682</v>
      </c>
      <c r="G221" s="114" t="s">
        <v>418</v>
      </c>
      <c r="H221" s="114" t="s">
        <v>415</v>
      </c>
      <c r="I221">
        <v>28</v>
      </c>
    </row>
    <row r="222" spans="1:10">
      <c r="A222" s="114" t="s">
        <v>680</v>
      </c>
      <c r="B222" s="114" t="s">
        <v>407</v>
      </c>
      <c r="C222" s="114" t="s">
        <v>408</v>
      </c>
      <c r="D222" s="114" t="s">
        <v>413</v>
      </c>
      <c r="E222">
        <v>7610</v>
      </c>
      <c r="F222" s="114" t="s">
        <v>683</v>
      </c>
      <c r="G222" s="114" t="s">
        <v>414</v>
      </c>
      <c r="H222" s="114" t="s">
        <v>420</v>
      </c>
      <c r="I222">
        <v>24</v>
      </c>
    </row>
    <row r="223" spans="1:10">
      <c r="A223" s="114" t="s">
        <v>684</v>
      </c>
      <c r="B223" s="114" t="s">
        <v>407</v>
      </c>
      <c r="C223" s="114" t="s">
        <v>417</v>
      </c>
      <c r="D223" s="114" t="s">
        <v>413</v>
      </c>
      <c r="E223">
        <v>3279</v>
      </c>
      <c r="F223" s="114" t="s">
        <v>685</v>
      </c>
      <c r="G223" s="114" t="s">
        <v>497</v>
      </c>
      <c r="H223" s="114" t="s">
        <v>498</v>
      </c>
      <c r="I223" s="114" t="s">
        <v>561</v>
      </c>
      <c r="J223" s="114" t="s">
        <v>1138</v>
      </c>
    </row>
    <row r="224" spans="1:10">
      <c r="A224" s="114" t="s">
        <v>684</v>
      </c>
      <c r="B224" s="114" t="s">
        <v>407</v>
      </c>
      <c r="C224" s="114" t="s">
        <v>417</v>
      </c>
      <c r="D224" s="114" t="s">
        <v>409</v>
      </c>
      <c r="E224">
        <v>6634</v>
      </c>
      <c r="F224" s="114" t="s">
        <v>686</v>
      </c>
      <c r="G224" s="114" t="s">
        <v>414</v>
      </c>
      <c r="H224" s="114" t="s">
        <v>435</v>
      </c>
      <c r="I224">
        <v>31</v>
      </c>
    </row>
    <row r="225" spans="1:10">
      <c r="A225" s="114" t="s">
        <v>684</v>
      </c>
      <c r="B225" s="114" t="s">
        <v>407</v>
      </c>
      <c r="C225" s="114" t="s">
        <v>417</v>
      </c>
      <c r="D225" s="114" t="s">
        <v>413</v>
      </c>
      <c r="E225">
        <v>7501</v>
      </c>
      <c r="F225" s="114" t="s">
        <v>687</v>
      </c>
      <c r="G225" s="114" t="s">
        <v>414</v>
      </c>
      <c r="H225" s="114" t="s">
        <v>416</v>
      </c>
      <c r="I225">
        <v>19</v>
      </c>
    </row>
    <row r="226" spans="1:10">
      <c r="A226" s="114" t="s">
        <v>688</v>
      </c>
      <c r="B226" s="114" t="s">
        <v>407</v>
      </c>
      <c r="C226" s="114" t="s">
        <v>408</v>
      </c>
      <c r="D226" s="114" t="s">
        <v>409</v>
      </c>
      <c r="E226">
        <v>6146</v>
      </c>
      <c r="F226" s="114" t="s">
        <v>689</v>
      </c>
      <c r="G226" s="114" t="s">
        <v>410</v>
      </c>
      <c r="H226" s="114" t="s">
        <v>431</v>
      </c>
      <c r="I226" s="114" t="s">
        <v>679</v>
      </c>
      <c r="J226" s="114" t="s">
        <v>1139</v>
      </c>
    </row>
    <row r="227" spans="1:10">
      <c r="A227" s="114" t="s">
        <v>688</v>
      </c>
      <c r="B227" s="114" t="s">
        <v>407</v>
      </c>
      <c r="C227" s="114" t="s">
        <v>417</v>
      </c>
      <c r="D227" s="114" t="s">
        <v>413</v>
      </c>
      <c r="E227">
        <v>8977</v>
      </c>
      <c r="F227" s="114" t="s">
        <v>1140</v>
      </c>
      <c r="G227" s="114" t="s">
        <v>497</v>
      </c>
      <c r="H227" s="114" t="s">
        <v>498</v>
      </c>
      <c r="I227" s="114" t="s">
        <v>465</v>
      </c>
      <c r="J227" s="114" t="s">
        <v>1141</v>
      </c>
    </row>
    <row r="228" spans="1:10">
      <c r="A228" s="114" t="s">
        <v>690</v>
      </c>
      <c r="B228" s="114" t="s">
        <v>407</v>
      </c>
      <c r="C228" s="114" t="s">
        <v>408</v>
      </c>
      <c r="D228" s="114" t="s">
        <v>409</v>
      </c>
      <c r="E228">
        <v>9433</v>
      </c>
      <c r="F228" s="114" t="s">
        <v>691</v>
      </c>
      <c r="G228" s="114" t="s">
        <v>410</v>
      </c>
      <c r="H228" s="114" t="s">
        <v>421</v>
      </c>
      <c r="I228" s="114" t="s">
        <v>692</v>
      </c>
      <c r="J228" s="114" t="s">
        <v>1142</v>
      </c>
    </row>
    <row r="229" spans="1:10">
      <c r="A229" s="114" t="s">
        <v>693</v>
      </c>
      <c r="B229" s="114" t="s">
        <v>630</v>
      </c>
      <c r="C229" s="114" t="s">
        <v>408</v>
      </c>
      <c r="D229" s="114" t="s">
        <v>413</v>
      </c>
      <c r="E229">
        <v>4973</v>
      </c>
      <c r="F229" s="114" t="s">
        <v>694</v>
      </c>
      <c r="G229" s="114" t="s">
        <v>410</v>
      </c>
      <c r="H229" s="114" t="s">
        <v>423</v>
      </c>
      <c r="I229">
        <v>165</v>
      </c>
    </row>
    <row r="230" spans="1:10">
      <c r="A230" s="114" t="s">
        <v>695</v>
      </c>
      <c r="B230" s="114" t="s">
        <v>407</v>
      </c>
      <c r="C230" s="114" t="s">
        <v>408</v>
      </c>
      <c r="D230" s="114" t="s">
        <v>409</v>
      </c>
      <c r="E230">
        <v>4462</v>
      </c>
      <c r="F230" s="114" t="s">
        <v>696</v>
      </c>
      <c r="G230" s="114" t="s">
        <v>410</v>
      </c>
      <c r="H230" s="114" t="s">
        <v>423</v>
      </c>
      <c r="I230">
        <v>155</v>
      </c>
    </row>
    <row r="231" spans="1:10">
      <c r="A231" s="114" t="s">
        <v>697</v>
      </c>
      <c r="B231" s="114" t="s">
        <v>407</v>
      </c>
      <c r="C231" s="114" t="s">
        <v>408</v>
      </c>
      <c r="D231" s="114" t="s">
        <v>409</v>
      </c>
      <c r="E231">
        <v>9039</v>
      </c>
      <c r="F231" s="114" t="s">
        <v>698</v>
      </c>
      <c r="G231" s="114" t="s">
        <v>410</v>
      </c>
      <c r="H231" s="114" t="s">
        <v>699</v>
      </c>
      <c r="I231" s="114" t="s">
        <v>465</v>
      </c>
      <c r="J231" s="114" t="s">
        <v>1143</v>
      </c>
    </row>
    <row r="232" spans="1:10">
      <c r="A232" s="114" t="s">
        <v>700</v>
      </c>
      <c r="B232" s="114" t="s">
        <v>1144</v>
      </c>
      <c r="C232" s="114" t="s">
        <v>408</v>
      </c>
      <c r="D232" s="114" t="s">
        <v>409</v>
      </c>
      <c r="E232">
        <v>6470</v>
      </c>
      <c r="F232" s="114" t="s">
        <v>1145</v>
      </c>
      <c r="G232" s="114" t="s">
        <v>410</v>
      </c>
      <c r="H232" s="114" t="s">
        <v>431</v>
      </c>
      <c r="I232">
        <v>249</v>
      </c>
    </row>
    <row r="233" spans="1:10">
      <c r="A233" s="114" t="s">
        <v>700</v>
      </c>
      <c r="B233" s="114" t="s">
        <v>630</v>
      </c>
      <c r="C233" s="114" t="s">
        <v>408</v>
      </c>
      <c r="D233" s="114" t="s">
        <v>409</v>
      </c>
      <c r="E233">
        <v>2802</v>
      </c>
      <c r="F233" s="114" t="s">
        <v>1146</v>
      </c>
      <c r="G233" s="114" t="s">
        <v>410</v>
      </c>
      <c r="H233" s="114" t="s">
        <v>411</v>
      </c>
      <c r="I233" s="114" t="s">
        <v>702</v>
      </c>
      <c r="J233" s="114" t="s">
        <v>1147</v>
      </c>
    </row>
    <row r="234" spans="1:10">
      <c r="A234" s="114" t="s">
        <v>700</v>
      </c>
      <c r="B234" s="114" t="s">
        <v>407</v>
      </c>
      <c r="C234" s="114" t="s">
        <v>408</v>
      </c>
      <c r="D234" s="114" t="s">
        <v>409</v>
      </c>
      <c r="E234">
        <v>1878</v>
      </c>
      <c r="F234" s="114" t="s">
        <v>701</v>
      </c>
      <c r="G234" s="114" t="s">
        <v>410</v>
      </c>
      <c r="H234" s="114" t="s">
        <v>444</v>
      </c>
      <c r="I234" s="114" t="s">
        <v>702</v>
      </c>
      <c r="J234" s="114" t="s">
        <v>1061</v>
      </c>
    </row>
    <row r="235" spans="1:10">
      <c r="A235" s="114" t="s">
        <v>700</v>
      </c>
      <c r="B235" s="114" t="s">
        <v>407</v>
      </c>
      <c r="C235" s="114" t="s">
        <v>408</v>
      </c>
      <c r="D235" s="114" t="s">
        <v>409</v>
      </c>
      <c r="E235">
        <v>2127</v>
      </c>
      <c r="F235" s="114" t="s">
        <v>1030</v>
      </c>
      <c r="G235" s="114" t="s">
        <v>410</v>
      </c>
      <c r="H235" s="114" t="s">
        <v>415</v>
      </c>
      <c r="I235" s="114" t="s">
        <v>620</v>
      </c>
      <c r="J235" s="114" t="s">
        <v>1148</v>
      </c>
    </row>
    <row r="236" spans="1:10">
      <c r="A236" s="114" t="s">
        <v>700</v>
      </c>
      <c r="B236" s="114" t="s">
        <v>407</v>
      </c>
      <c r="C236" s="114" t="s">
        <v>408</v>
      </c>
      <c r="D236" s="114" t="s">
        <v>409</v>
      </c>
      <c r="E236">
        <v>2412</v>
      </c>
      <c r="F236" s="114" t="s">
        <v>1031</v>
      </c>
      <c r="G236" s="114" t="s">
        <v>410</v>
      </c>
      <c r="H236" s="114" t="s">
        <v>415</v>
      </c>
      <c r="I236" s="114" t="s">
        <v>650</v>
      </c>
      <c r="J236" s="114" t="s">
        <v>1149</v>
      </c>
    </row>
    <row r="237" spans="1:10">
      <c r="A237" s="114" t="s">
        <v>700</v>
      </c>
      <c r="B237" s="114" t="s">
        <v>407</v>
      </c>
      <c r="C237" s="114" t="s">
        <v>408</v>
      </c>
      <c r="D237" s="114" t="s">
        <v>409</v>
      </c>
      <c r="E237">
        <v>2737</v>
      </c>
      <c r="F237" s="114" t="s">
        <v>703</v>
      </c>
      <c r="G237" s="114" t="s">
        <v>410</v>
      </c>
      <c r="H237" s="114" t="s">
        <v>416</v>
      </c>
      <c r="I237" s="114">
        <v>193</v>
      </c>
      <c r="J237" s="114"/>
    </row>
    <row r="238" spans="1:10">
      <c r="A238" s="114" t="s">
        <v>700</v>
      </c>
      <c r="B238" s="114" t="s">
        <v>407</v>
      </c>
      <c r="C238" s="114" t="s">
        <v>417</v>
      </c>
      <c r="D238" s="114" t="s">
        <v>409</v>
      </c>
      <c r="E238">
        <v>3003</v>
      </c>
      <c r="F238" s="114" t="s">
        <v>1150</v>
      </c>
      <c r="G238" s="114" t="s">
        <v>410</v>
      </c>
      <c r="H238" s="114" t="s">
        <v>436</v>
      </c>
      <c r="I238" s="114" t="s">
        <v>679</v>
      </c>
      <c r="J238" s="114" t="s">
        <v>1028</v>
      </c>
    </row>
    <row r="239" spans="1:10">
      <c r="A239" s="114" t="s">
        <v>700</v>
      </c>
      <c r="B239" s="114" t="s">
        <v>407</v>
      </c>
      <c r="C239" s="114" t="s">
        <v>408</v>
      </c>
      <c r="D239" s="114" t="s">
        <v>409</v>
      </c>
      <c r="E239">
        <v>3167</v>
      </c>
      <c r="F239" s="114" t="s">
        <v>1151</v>
      </c>
      <c r="G239" s="114" t="s">
        <v>410</v>
      </c>
      <c r="H239" s="114" t="s">
        <v>416</v>
      </c>
      <c r="I239" s="114" t="s">
        <v>465</v>
      </c>
      <c r="J239" s="114" t="s">
        <v>1152</v>
      </c>
    </row>
    <row r="240" spans="1:10">
      <c r="A240" s="114" t="s">
        <v>700</v>
      </c>
      <c r="B240" s="114" t="s">
        <v>407</v>
      </c>
      <c r="C240" s="114" t="s">
        <v>408</v>
      </c>
      <c r="D240" s="114" t="s">
        <v>409</v>
      </c>
      <c r="E240">
        <v>3388</v>
      </c>
      <c r="F240" s="114" t="s">
        <v>1153</v>
      </c>
      <c r="G240" s="114" t="s">
        <v>410</v>
      </c>
      <c r="H240" s="114" t="s">
        <v>416</v>
      </c>
      <c r="I240" s="114">
        <v>190</v>
      </c>
      <c r="J240" s="114"/>
    </row>
    <row r="241" spans="1:10">
      <c r="A241" s="114" t="s">
        <v>700</v>
      </c>
      <c r="B241" s="114" t="s">
        <v>407</v>
      </c>
      <c r="C241" s="114" t="s">
        <v>408</v>
      </c>
      <c r="D241" s="114" t="s">
        <v>409</v>
      </c>
      <c r="E241">
        <v>3640</v>
      </c>
      <c r="F241" s="114" t="s">
        <v>1154</v>
      </c>
      <c r="G241" s="114" t="s">
        <v>410</v>
      </c>
      <c r="H241" s="114" t="s">
        <v>421</v>
      </c>
      <c r="I241" s="114">
        <v>128</v>
      </c>
      <c r="J241" s="114"/>
    </row>
    <row r="242" spans="1:10">
      <c r="A242" s="114" t="s">
        <v>700</v>
      </c>
      <c r="B242" s="114" t="s">
        <v>407</v>
      </c>
      <c r="C242" s="114" t="s">
        <v>408</v>
      </c>
      <c r="D242" s="114" t="s">
        <v>409</v>
      </c>
      <c r="E242">
        <v>8771</v>
      </c>
      <c r="F242" s="114" t="s">
        <v>704</v>
      </c>
      <c r="G242" s="114" t="s">
        <v>410</v>
      </c>
      <c r="H242" s="114" t="s">
        <v>482</v>
      </c>
      <c r="I242" s="114">
        <v>601</v>
      </c>
      <c r="J242" s="114"/>
    </row>
    <row r="243" spans="1:10">
      <c r="A243" s="114" t="s">
        <v>700</v>
      </c>
      <c r="B243" s="114" t="s">
        <v>407</v>
      </c>
      <c r="C243" s="114" t="s">
        <v>408</v>
      </c>
      <c r="D243" s="114" t="s">
        <v>409</v>
      </c>
      <c r="E243">
        <v>9020</v>
      </c>
      <c r="F243" s="114" t="s">
        <v>1155</v>
      </c>
      <c r="G243" s="114" t="s">
        <v>410</v>
      </c>
      <c r="H243" s="114" t="s">
        <v>699</v>
      </c>
      <c r="I243" s="114" t="s">
        <v>1156</v>
      </c>
      <c r="J243" s="114" t="s">
        <v>1157</v>
      </c>
    </row>
    <row r="244" spans="1:10">
      <c r="A244" s="114" t="s">
        <v>700</v>
      </c>
      <c r="B244" s="114" t="s">
        <v>407</v>
      </c>
      <c r="C244" s="114" t="s">
        <v>408</v>
      </c>
      <c r="D244" s="114" t="s">
        <v>409</v>
      </c>
      <c r="E244">
        <v>9037</v>
      </c>
      <c r="F244" s="114" t="s">
        <v>705</v>
      </c>
      <c r="G244" s="114" t="s">
        <v>410</v>
      </c>
      <c r="H244" s="114" t="s">
        <v>699</v>
      </c>
      <c r="I244" s="114">
        <v>671</v>
      </c>
      <c r="J244" s="114"/>
    </row>
    <row r="245" spans="1:10">
      <c r="A245" s="114" t="s">
        <v>700</v>
      </c>
      <c r="B245" s="114" t="s">
        <v>407</v>
      </c>
      <c r="C245" s="114" t="s">
        <v>408</v>
      </c>
      <c r="D245" s="114" t="s">
        <v>409</v>
      </c>
      <c r="E245">
        <v>9995</v>
      </c>
      <c r="F245" s="114" t="s">
        <v>706</v>
      </c>
      <c r="G245" s="114" t="s">
        <v>410</v>
      </c>
      <c r="H245" s="114" t="s">
        <v>416</v>
      </c>
      <c r="I245" s="114">
        <v>119</v>
      </c>
      <c r="J245" s="114"/>
    </row>
    <row r="246" spans="1:10">
      <c r="A246" s="114" t="s">
        <v>707</v>
      </c>
      <c r="B246" s="114" t="s">
        <v>630</v>
      </c>
      <c r="C246" s="114" t="s">
        <v>408</v>
      </c>
      <c r="D246" s="114" t="s">
        <v>409</v>
      </c>
      <c r="E246">
        <v>3433</v>
      </c>
      <c r="F246" s="114" t="s">
        <v>1158</v>
      </c>
      <c r="G246" s="114" t="s">
        <v>410</v>
      </c>
      <c r="H246" s="114" t="s">
        <v>425</v>
      </c>
      <c r="I246" s="114">
        <v>684</v>
      </c>
      <c r="J246" s="114"/>
    </row>
    <row r="247" spans="1:10">
      <c r="A247" s="114" t="s">
        <v>707</v>
      </c>
      <c r="B247" s="114" t="s">
        <v>407</v>
      </c>
      <c r="C247" s="114" t="s">
        <v>408</v>
      </c>
      <c r="D247" s="114" t="s">
        <v>409</v>
      </c>
      <c r="E247">
        <v>2175</v>
      </c>
      <c r="F247" s="114" t="s">
        <v>1032</v>
      </c>
      <c r="G247" s="114" t="s">
        <v>410</v>
      </c>
      <c r="H247" s="114" t="s">
        <v>415</v>
      </c>
      <c r="I247" s="114" t="s">
        <v>433</v>
      </c>
      <c r="J247" s="114" t="s">
        <v>1159</v>
      </c>
    </row>
    <row r="248" spans="1:10">
      <c r="A248" s="114" t="s">
        <v>707</v>
      </c>
      <c r="B248" s="114" t="s">
        <v>407</v>
      </c>
      <c r="C248" s="114" t="s">
        <v>408</v>
      </c>
      <c r="D248" s="114" t="s">
        <v>409</v>
      </c>
      <c r="E248">
        <v>2220</v>
      </c>
      <c r="F248" s="114" t="s">
        <v>1033</v>
      </c>
      <c r="G248" s="114" t="s">
        <v>410</v>
      </c>
      <c r="H248" s="114" t="s">
        <v>411</v>
      </c>
      <c r="I248" s="114" t="s">
        <v>465</v>
      </c>
      <c r="J248" s="114" t="s">
        <v>1160</v>
      </c>
    </row>
    <row r="249" spans="1:10">
      <c r="A249" s="114" t="s">
        <v>707</v>
      </c>
      <c r="B249" s="114" t="s">
        <v>407</v>
      </c>
      <c r="C249" s="114" t="s">
        <v>408</v>
      </c>
      <c r="D249" s="114" t="s">
        <v>409</v>
      </c>
      <c r="E249">
        <v>2331</v>
      </c>
      <c r="F249" s="114" t="s">
        <v>1034</v>
      </c>
      <c r="G249" s="114" t="s">
        <v>410</v>
      </c>
      <c r="H249" s="114" t="s">
        <v>415</v>
      </c>
      <c r="I249" s="114" t="s">
        <v>427</v>
      </c>
      <c r="J249" s="114" t="s">
        <v>1161</v>
      </c>
    </row>
    <row r="250" spans="1:10">
      <c r="A250" s="114" t="s">
        <v>707</v>
      </c>
      <c r="B250" s="114" t="s">
        <v>407</v>
      </c>
      <c r="C250" s="114" t="s">
        <v>408</v>
      </c>
      <c r="D250" s="114" t="s">
        <v>409</v>
      </c>
      <c r="E250">
        <v>2497</v>
      </c>
      <c r="F250" s="114" t="s">
        <v>1162</v>
      </c>
      <c r="G250" s="114" t="s">
        <v>422</v>
      </c>
      <c r="H250" s="114" t="s">
        <v>415</v>
      </c>
      <c r="I250">
        <v>347</v>
      </c>
    </row>
    <row r="251" spans="1:10">
      <c r="A251" s="114" t="s">
        <v>707</v>
      </c>
      <c r="B251" s="114" t="s">
        <v>407</v>
      </c>
      <c r="C251" s="114" t="s">
        <v>408</v>
      </c>
      <c r="D251" s="114" t="s">
        <v>409</v>
      </c>
      <c r="E251">
        <v>2715</v>
      </c>
      <c r="F251" s="114" t="s">
        <v>708</v>
      </c>
      <c r="G251" s="114" t="s">
        <v>410</v>
      </c>
      <c r="H251" s="114" t="s">
        <v>416</v>
      </c>
      <c r="I251">
        <v>452</v>
      </c>
    </row>
    <row r="252" spans="1:10">
      <c r="A252" s="114" t="s">
        <v>707</v>
      </c>
      <c r="B252" s="114" t="s">
        <v>407</v>
      </c>
      <c r="C252" s="114" t="s">
        <v>408</v>
      </c>
      <c r="D252" s="114" t="s">
        <v>413</v>
      </c>
      <c r="E252">
        <v>2892</v>
      </c>
      <c r="F252" s="114" t="s">
        <v>709</v>
      </c>
      <c r="G252" s="114" t="s">
        <v>418</v>
      </c>
      <c r="H252" s="114" t="s">
        <v>411</v>
      </c>
      <c r="I252">
        <v>85</v>
      </c>
    </row>
    <row r="253" spans="1:10">
      <c r="A253" s="114" t="s">
        <v>707</v>
      </c>
      <c r="B253" s="114" t="s">
        <v>407</v>
      </c>
      <c r="C253" s="114" t="s">
        <v>408</v>
      </c>
      <c r="D253" s="114" t="s">
        <v>409</v>
      </c>
      <c r="E253">
        <v>3023</v>
      </c>
      <c r="F253" s="114" t="s">
        <v>710</v>
      </c>
      <c r="G253" s="114" t="s">
        <v>410</v>
      </c>
      <c r="H253" s="114" t="s">
        <v>416</v>
      </c>
      <c r="I253" s="114">
        <v>114</v>
      </c>
      <c r="J253" s="114"/>
    </row>
    <row r="254" spans="1:10">
      <c r="A254" s="114" t="s">
        <v>707</v>
      </c>
      <c r="B254" s="114" t="s">
        <v>407</v>
      </c>
      <c r="C254" s="114" t="s">
        <v>408</v>
      </c>
      <c r="D254" s="114" t="s">
        <v>409</v>
      </c>
      <c r="E254">
        <v>3092</v>
      </c>
      <c r="F254" s="114" t="s">
        <v>1163</v>
      </c>
      <c r="G254" s="114" t="s">
        <v>410</v>
      </c>
      <c r="H254" s="114" t="s">
        <v>420</v>
      </c>
      <c r="I254" s="114" t="s">
        <v>620</v>
      </c>
      <c r="J254" s="114" t="s">
        <v>1164</v>
      </c>
    </row>
    <row r="255" spans="1:10">
      <c r="A255" s="114" t="s">
        <v>707</v>
      </c>
      <c r="B255" s="114" t="s">
        <v>407</v>
      </c>
      <c r="C255" s="114" t="s">
        <v>408</v>
      </c>
      <c r="D255" s="114" t="s">
        <v>409</v>
      </c>
      <c r="E255">
        <v>3098</v>
      </c>
      <c r="F255" s="114" t="s">
        <v>1165</v>
      </c>
      <c r="G255" s="114" t="s">
        <v>410</v>
      </c>
      <c r="H255" s="114" t="s">
        <v>420</v>
      </c>
      <c r="I255" s="114" t="s">
        <v>465</v>
      </c>
      <c r="J255" s="114" t="s">
        <v>1166</v>
      </c>
    </row>
    <row r="256" spans="1:10">
      <c r="A256" s="114" t="s">
        <v>707</v>
      </c>
      <c r="B256" s="114" t="s">
        <v>407</v>
      </c>
      <c r="C256" s="114" t="s">
        <v>408</v>
      </c>
      <c r="D256" s="114" t="s">
        <v>413</v>
      </c>
      <c r="E256">
        <v>3137</v>
      </c>
      <c r="F256" s="114" t="s">
        <v>1167</v>
      </c>
      <c r="G256" s="114" t="s">
        <v>422</v>
      </c>
      <c r="H256" s="114" t="s">
        <v>420</v>
      </c>
      <c r="I256" s="114">
        <v>74</v>
      </c>
      <c r="J256" s="114"/>
    </row>
    <row r="257" spans="1:10">
      <c r="A257" s="114" t="s">
        <v>707</v>
      </c>
      <c r="B257" s="114" t="s">
        <v>407</v>
      </c>
      <c r="C257" s="114" t="s">
        <v>408</v>
      </c>
      <c r="D257" s="114" t="s">
        <v>409</v>
      </c>
      <c r="E257">
        <v>3513</v>
      </c>
      <c r="F257" s="114" t="s">
        <v>1168</v>
      </c>
      <c r="G257" s="114" t="s">
        <v>410</v>
      </c>
      <c r="H257" s="114" t="s">
        <v>476</v>
      </c>
      <c r="I257">
        <v>73</v>
      </c>
    </row>
    <row r="258" spans="1:10">
      <c r="A258" s="114" t="s">
        <v>707</v>
      </c>
      <c r="B258" s="114" t="s">
        <v>407</v>
      </c>
      <c r="C258" s="114" t="s">
        <v>408</v>
      </c>
      <c r="D258" s="114" t="s">
        <v>409</v>
      </c>
      <c r="E258">
        <v>3591</v>
      </c>
      <c r="F258" s="114" t="s">
        <v>1169</v>
      </c>
      <c r="G258" s="114" t="s">
        <v>410</v>
      </c>
      <c r="H258" s="114" t="s">
        <v>476</v>
      </c>
      <c r="I258" s="114" t="s">
        <v>433</v>
      </c>
      <c r="J258" s="114" t="s">
        <v>1170</v>
      </c>
    </row>
    <row r="259" spans="1:10">
      <c r="A259" s="114" t="s">
        <v>707</v>
      </c>
      <c r="B259" s="114" t="s">
        <v>407</v>
      </c>
      <c r="C259" s="114" t="s">
        <v>408</v>
      </c>
      <c r="D259" s="114" t="s">
        <v>409</v>
      </c>
      <c r="E259">
        <v>3666</v>
      </c>
      <c r="F259" s="114" t="s">
        <v>1171</v>
      </c>
      <c r="G259" s="114" t="s">
        <v>410</v>
      </c>
      <c r="H259" s="114" t="s">
        <v>421</v>
      </c>
      <c r="I259">
        <v>105</v>
      </c>
    </row>
    <row r="260" spans="1:10">
      <c r="A260" s="114" t="s">
        <v>707</v>
      </c>
      <c r="B260" s="114" t="s">
        <v>407</v>
      </c>
      <c r="C260" s="114" t="s">
        <v>408</v>
      </c>
      <c r="D260" s="114" t="s">
        <v>409</v>
      </c>
      <c r="E260">
        <v>3762</v>
      </c>
      <c r="F260" s="114" t="s">
        <v>711</v>
      </c>
      <c r="G260" s="114" t="s">
        <v>410</v>
      </c>
      <c r="H260" s="114" t="s">
        <v>421</v>
      </c>
      <c r="I260" s="114">
        <v>530</v>
      </c>
      <c r="J260" s="114"/>
    </row>
    <row r="261" spans="1:10">
      <c r="A261" s="114" t="s">
        <v>707</v>
      </c>
      <c r="B261" s="114" t="s">
        <v>407</v>
      </c>
      <c r="C261" s="114" t="s">
        <v>408</v>
      </c>
      <c r="D261" s="114" t="s">
        <v>413</v>
      </c>
      <c r="E261">
        <v>3841</v>
      </c>
      <c r="F261" s="114" t="s">
        <v>712</v>
      </c>
      <c r="G261" s="114" t="s">
        <v>414</v>
      </c>
      <c r="H261" s="114" t="s">
        <v>421</v>
      </c>
      <c r="I261" s="114">
        <v>22</v>
      </c>
      <c r="J261" s="114"/>
    </row>
    <row r="262" spans="1:10">
      <c r="A262" s="114" t="s">
        <v>707</v>
      </c>
      <c r="B262" s="114" t="s">
        <v>407</v>
      </c>
      <c r="C262" s="114" t="s">
        <v>408</v>
      </c>
      <c r="D262" s="114" t="s">
        <v>409</v>
      </c>
      <c r="E262">
        <v>4310</v>
      </c>
      <c r="F262" s="114" t="s">
        <v>713</v>
      </c>
      <c r="G262" s="114" t="s">
        <v>410</v>
      </c>
      <c r="H262" s="114" t="s">
        <v>415</v>
      </c>
      <c r="I262" s="114">
        <v>173</v>
      </c>
      <c r="J262" s="114"/>
    </row>
    <row r="263" spans="1:10">
      <c r="A263" s="114" t="s">
        <v>707</v>
      </c>
      <c r="B263" s="114" t="s">
        <v>407</v>
      </c>
      <c r="C263" s="114" t="s">
        <v>408</v>
      </c>
      <c r="D263" s="114" t="s">
        <v>409</v>
      </c>
      <c r="E263">
        <v>4368</v>
      </c>
      <c r="F263" s="114" t="s">
        <v>714</v>
      </c>
      <c r="G263" s="114" t="s">
        <v>410</v>
      </c>
      <c r="H263" s="114" t="s">
        <v>423</v>
      </c>
      <c r="I263" s="114" t="s">
        <v>465</v>
      </c>
      <c r="J263" s="114" t="s">
        <v>1172</v>
      </c>
    </row>
    <row r="264" spans="1:10">
      <c r="A264" s="114" t="s">
        <v>707</v>
      </c>
      <c r="B264" s="114" t="s">
        <v>407</v>
      </c>
      <c r="C264" s="114" t="s">
        <v>408</v>
      </c>
      <c r="D264" s="114" t="s">
        <v>409</v>
      </c>
      <c r="E264">
        <v>4816</v>
      </c>
      <c r="F264" s="114" t="s">
        <v>1173</v>
      </c>
      <c r="G264" s="114" t="s">
        <v>414</v>
      </c>
      <c r="H264" s="114" t="s">
        <v>421</v>
      </c>
      <c r="I264" s="114" t="s">
        <v>433</v>
      </c>
      <c r="J264" s="114" t="s">
        <v>1039</v>
      </c>
    </row>
    <row r="265" spans="1:10">
      <c r="A265" s="114" t="s">
        <v>707</v>
      </c>
      <c r="B265" s="114" t="s">
        <v>407</v>
      </c>
      <c r="C265" s="114" t="s">
        <v>408</v>
      </c>
      <c r="D265" s="114" t="s">
        <v>409</v>
      </c>
      <c r="E265">
        <v>5332</v>
      </c>
      <c r="F265" s="114" t="s">
        <v>1174</v>
      </c>
      <c r="G265" s="114" t="s">
        <v>410</v>
      </c>
      <c r="H265" s="114" t="s">
        <v>518</v>
      </c>
      <c r="I265" s="114" t="s">
        <v>679</v>
      </c>
      <c r="J265" s="114" t="s">
        <v>1064</v>
      </c>
    </row>
    <row r="266" spans="1:10">
      <c r="A266" s="114" t="s">
        <v>707</v>
      </c>
      <c r="B266" s="114" t="s">
        <v>407</v>
      </c>
      <c r="C266" s="114" t="s">
        <v>408</v>
      </c>
      <c r="D266" s="114" t="s">
        <v>409</v>
      </c>
      <c r="E266">
        <v>5727</v>
      </c>
      <c r="F266" s="114" t="s">
        <v>715</v>
      </c>
      <c r="G266" s="114" t="s">
        <v>410</v>
      </c>
      <c r="H266" s="114" t="s">
        <v>716</v>
      </c>
      <c r="I266" s="114">
        <v>682</v>
      </c>
      <c r="J266" s="114"/>
    </row>
    <row r="267" spans="1:10">
      <c r="A267" s="114" t="s">
        <v>707</v>
      </c>
      <c r="B267" s="114" t="s">
        <v>407</v>
      </c>
      <c r="C267" s="114" t="s">
        <v>419</v>
      </c>
      <c r="D267" s="114" t="s">
        <v>409</v>
      </c>
      <c r="E267">
        <v>6028</v>
      </c>
      <c r="F267" s="114" t="s">
        <v>1035</v>
      </c>
      <c r="G267" s="114" t="s">
        <v>410</v>
      </c>
      <c r="H267" s="114" t="s">
        <v>415</v>
      </c>
      <c r="I267" s="114" t="s">
        <v>433</v>
      </c>
      <c r="J267" s="114" t="s">
        <v>1175</v>
      </c>
    </row>
    <row r="268" spans="1:10">
      <c r="A268" s="114" t="s">
        <v>707</v>
      </c>
      <c r="B268" s="114" t="s">
        <v>407</v>
      </c>
      <c r="C268" s="114" t="s">
        <v>408</v>
      </c>
      <c r="D268" s="114" t="s">
        <v>409</v>
      </c>
      <c r="E268">
        <v>6322</v>
      </c>
      <c r="F268" s="114" t="s">
        <v>717</v>
      </c>
      <c r="G268" s="114" t="s">
        <v>418</v>
      </c>
      <c r="H268" s="114" t="s">
        <v>431</v>
      </c>
      <c r="I268" s="114">
        <v>127</v>
      </c>
      <c r="J268" s="114"/>
    </row>
    <row r="269" spans="1:10">
      <c r="A269" s="114" t="s">
        <v>707</v>
      </c>
      <c r="B269" s="114" t="s">
        <v>407</v>
      </c>
      <c r="C269" s="114" t="s">
        <v>408</v>
      </c>
      <c r="D269" s="114" t="s">
        <v>409</v>
      </c>
      <c r="E269">
        <v>6659</v>
      </c>
      <c r="F269" s="114" t="s">
        <v>718</v>
      </c>
      <c r="G269" s="114" t="s">
        <v>414</v>
      </c>
      <c r="H269" s="114" t="s">
        <v>435</v>
      </c>
      <c r="I269">
        <v>18</v>
      </c>
    </row>
    <row r="270" spans="1:10">
      <c r="A270" s="114" t="s">
        <v>707</v>
      </c>
      <c r="B270" s="114" t="s">
        <v>407</v>
      </c>
      <c r="C270" s="114" t="s">
        <v>408</v>
      </c>
      <c r="D270" s="114" t="s">
        <v>409</v>
      </c>
      <c r="E270">
        <v>6925</v>
      </c>
      <c r="F270" s="114" t="s">
        <v>719</v>
      </c>
      <c r="G270" s="114" t="s">
        <v>410</v>
      </c>
      <c r="H270" s="114" t="s">
        <v>435</v>
      </c>
      <c r="I270" s="114" t="s">
        <v>433</v>
      </c>
      <c r="J270" s="114" t="s">
        <v>1176</v>
      </c>
    </row>
    <row r="271" spans="1:10">
      <c r="A271" s="114" t="s">
        <v>707</v>
      </c>
      <c r="B271" s="114" t="s">
        <v>407</v>
      </c>
      <c r="C271" s="114" t="s">
        <v>408</v>
      </c>
      <c r="D271" s="114" t="s">
        <v>409</v>
      </c>
      <c r="E271">
        <v>7282</v>
      </c>
      <c r="F271" s="114" t="s">
        <v>720</v>
      </c>
      <c r="G271" s="114" t="s">
        <v>410</v>
      </c>
      <c r="H271" s="114" t="s">
        <v>461</v>
      </c>
      <c r="I271" s="114" t="s">
        <v>650</v>
      </c>
      <c r="J271" s="114" t="s">
        <v>1177</v>
      </c>
    </row>
    <row r="272" spans="1:10">
      <c r="A272" s="114" t="s">
        <v>707</v>
      </c>
      <c r="B272" s="114" t="s">
        <v>407</v>
      </c>
      <c r="C272" s="114" t="s">
        <v>408</v>
      </c>
      <c r="D272" s="114" t="s">
        <v>409</v>
      </c>
      <c r="E272">
        <v>7510</v>
      </c>
      <c r="F272" s="114" t="s">
        <v>721</v>
      </c>
      <c r="G272" s="114" t="s">
        <v>410</v>
      </c>
      <c r="H272" s="114" t="s">
        <v>416</v>
      </c>
      <c r="I272" s="114">
        <v>212</v>
      </c>
      <c r="J272" s="114"/>
    </row>
    <row r="273" spans="1:10">
      <c r="A273" s="114" t="s">
        <v>707</v>
      </c>
      <c r="B273" s="114" t="s">
        <v>407</v>
      </c>
      <c r="C273" s="114" t="s">
        <v>408</v>
      </c>
      <c r="D273" s="114" t="s">
        <v>409</v>
      </c>
      <c r="E273">
        <v>7600</v>
      </c>
      <c r="F273" s="114" t="s">
        <v>722</v>
      </c>
      <c r="G273" s="114" t="s">
        <v>410</v>
      </c>
      <c r="H273" s="114" t="s">
        <v>677</v>
      </c>
      <c r="I273" s="114">
        <v>616</v>
      </c>
      <c r="J273" s="114"/>
    </row>
    <row r="274" spans="1:10">
      <c r="A274" s="114" t="s">
        <v>707</v>
      </c>
      <c r="B274" s="114" t="s">
        <v>407</v>
      </c>
      <c r="C274" s="114" t="s">
        <v>408</v>
      </c>
      <c r="D274" s="114" t="s">
        <v>409</v>
      </c>
      <c r="E274">
        <v>7838</v>
      </c>
      <c r="F274" s="114" t="s">
        <v>723</v>
      </c>
      <c r="G274" s="114" t="s">
        <v>410</v>
      </c>
      <c r="H274" s="114" t="s">
        <v>432</v>
      </c>
      <c r="I274">
        <v>79</v>
      </c>
    </row>
    <row r="275" spans="1:10">
      <c r="A275" s="114" t="s">
        <v>707</v>
      </c>
      <c r="B275" s="114" t="s">
        <v>407</v>
      </c>
      <c r="C275" s="114" t="s">
        <v>408</v>
      </c>
      <c r="D275" s="114" t="s">
        <v>409</v>
      </c>
      <c r="E275">
        <v>7925</v>
      </c>
      <c r="F275" s="114" t="s">
        <v>724</v>
      </c>
      <c r="G275" s="114" t="s">
        <v>410</v>
      </c>
      <c r="H275" s="114" t="s">
        <v>423</v>
      </c>
      <c r="I275" s="114">
        <v>187</v>
      </c>
      <c r="J275" s="114"/>
    </row>
    <row r="276" spans="1:10">
      <c r="A276" s="114" t="s">
        <v>707</v>
      </c>
      <c r="B276" s="114" t="s">
        <v>407</v>
      </c>
      <c r="C276" s="114" t="s">
        <v>408</v>
      </c>
      <c r="D276" s="114" t="s">
        <v>409</v>
      </c>
      <c r="E276">
        <v>8806</v>
      </c>
      <c r="F276" s="114" t="s">
        <v>725</v>
      </c>
      <c r="G276" s="114" t="s">
        <v>410</v>
      </c>
      <c r="H276" s="114" t="s">
        <v>436</v>
      </c>
      <c r="I276" s="114" t="s">
        <v>465</v>
      </c>
      <c r="J276" s="114" t="s">
        <v>823</v>
      </c>
    </row>
    <row r="277" spans="1:10">
      <c r="A277" s="114" t="s">
        <v>726</v>
      </c>
      <c r="B277" s="114" t="s">
        <v>407</v>
      </c>
      <c r="C277" s="114" t="s">
        <v>408</v>
      </c>
      <c r="D277" s="114" t="s">
        <v>413</v>
      </c>
      <c r="E277">
        <v>1379</v>
      </c>
      <c r="F277" s="114" t="s">
        <v>727</v>
      </c>
      <c r="G277" s="114" t="s">
        <v>410</v>
      </c>
      <c r="H277" s="114" t="s">
        <v>550</v>
      </c>
      <c r="I277" s="114">
        <v>664</v>
      </c>
      <c r="J277" s="114"/>
    </row>
    <row r="278" spans="1:10">
      <c r="A278" s="114" t="s">
        <v>726</v>
      </c>
      <c r="B278" s="114" t="s">
        <v>407</v>
      </c>
      <c r="C278" s="114" t="s">
        <v>408</v>
      </c>
      <c r="D278" s="114" t="s">
        <v>409</v>
      </c>
      <c r="E278">
        <v>2676</v>
      </c>
      <c r="F278" s="114" t="s">
        <v>1178</v>
      </c>
      <c r="G278" s="114" t="s">
        <v>410</v>
      </c>
      <c r="H278" s="114" t="s">
        <v>416</v>
      </c>
      <c r="I278">
        <v>111</v>
      </c>
    </row>
    <row r="279" spans="1:10">
      <c r="A279" s="114" t="s">
        <v>726</v>
      </c>
      <c r="B279" s="114" t="s">
        <v>407</v>
      </c>
      <c r="C279" s="114" t="s">
        <v>408</v>
      </c>
      <c r="D279" s="114" t="s">
        <v>409</v>
      </c>
      <c r="E279">
        <v>2907</v>
      </c>
      <c r="F279" s="114" t="s">
        <v>728</v>
      </c>
      <c r="G279" s="114" t="s">
        <v>418</v>
      </c>
      <c r="H279" s="114" t="s">
        <v>411</v>
      </c>
      <c r="I279">
        <v>63</v>
      </c>
    </row>
    <row r="280" spans="1:10">
      <c r="A280" s="114" t="s">
        <v>726</v>
      </c>
      <c r="B280" s="114" t="s">
        <v>407</v>
      </c>
      <c r="C280" s="114" t="s">
        <v>408</v>
      </c>
      <c r="D280" s="114" t="s">
        <v>409</v>
      </c>
      <c r="E280">
        <v>3024</v>
      </c>
      <c r="F280" s="114" t="s">
        <v>1179</v>
      </c>
      <c r="G280" s="114" t="s">
        <v>414</v>
      </c>
      <c r="H280" s="114" t="s">
        <v>416</v>
      </c>
      <c r="I280" s="114">
        <v>28</v>
      </c>
      <c r="J280" s="114"/>
    </row>
    <row r="281" spans="1:10">
      <c r="A281" s="114" t="s">
        <v>726</v>
      </c>
      <c r="B281" s="114" t="s">
        <v>407</v>
      </c>
      <c r="C281" s="114" t="s">
        <v>408</v>
      </c>
      <c r="D281" s="114" t="s">
        <v>413</v>
      </c>
      <c r="E281">
        <v>3484</v>
      </c>
      <c r="F281" s="114" t="s">
        <v>1180</v>
      </c>
      <c r="G281" s="114" t="s">
        <v>410</v>
      </c>
      <c r="H281" s="114" t="s">
        <v>436</v>
      </c>
      <c r="I281" s="114">
        <v>195</v>
      </c>
      <c r="J281" s="114"/>
    </row>
    <row r="282" spans="1:10">
      <c r="A282" s="114" t="s">
        <v>726</v>
      </c>
      <c r="B282" s="114" t="s">
        <v>407</v>
      </c>
      <c r="C282" s="114" t="s">
        <v>408</v>
      </c>
      <c r="D282" s="114" t="s">
        <v>409</v>
      </c>
      <c r="E282">
        <v>3612</v>
      </c>
      <c r="F282" s="114" t="s">
        <v>729</v>
      </c>
      <c r="G282" s="114" t="s">
        <v>410</v>
      </c>
      <c r="H282" s="114" t="s">
        <v>476</v>
      </c>
      <c r="I282">
        <v>960</v>
      </c>
    </row>
    <row r="283" spans="1:10">
      <c r="A283" s="114" t="s">
        <v>726</v>
      </c>
      <c r="B283" s="114" t="s">
        <v>407</v>
      </c>
      <c r="C283" s="114" t="s">
        <v>408</v>
      </c>
      <c r="D283" s="114" t="s">
        <v>409</v>
      </c>
      <c r="E283">
        <v>4521</v>
      </c>
      <c r="F283" s="114" t="s">
        <v>1181</v>
      </c>
      <c r="G283" s="114" t="s">
        <v>410</v>
      </c>
      <c r="H283" s="114" t="s">
        <v>532</v>
      </c>
      <c r="I283" s="114" t="s">
        <v>433</v>
      </c>
      <c r="J283" s="114" t="s">
        <v>1182</v>
      </c>
    </row>
    <row r="284" spans="1:10">
      <c r="A284" s="114" t="s">
        <v>726</v>
      </c>
      <c r="B284" s="114" t="s">
        <v>407</v>
      </c>
      <c r="C284" s="114" t="s">
        <v>419</v>
      </c>
      <c r="D284" s="114" t="s">
        <v>409</v>
      </c>
      <c r="E284">
        <v>6920</v>
      </c>
      <c r="F284" s="114" t="s">
        <v>1037</v>
      </c>
      <c r="G284" s="114" t="s">
        <v>410</v>
      </c>
      <c r="H284" s="114" t="s">
        <v>435</v>
      </c>
      <c r="I284" s="114" t="s">
        <v>561</v>
      </c>
      <c r="J284" s="114" t="s">
        <v>1183</v>
      </c>
    </row>
    <row r="285" spans="1:10">
      <c r="A285" s="114" t="s">
        <v>726</v>
      </c>
      <c r="B285" s="114" t="s">
        <v>407</v>
      </c>
      <c r="C285" s="114" t="s">
        <v>408</v>
      </c>
      <c r="D285" s="114" t="s">
        <v>413</v>
      </c>
      <c r="E285">
        <v>7506</v>
      </c>
      <c r="F285" s="114" t="s">
        <v>730</v>
      </c>
      <c r="G285" s="114" t="s">
        <v>410</v>
      </c>
      <c r="H285" s="114" t="s">
        <v>420</v>
      </c>
      <c r="I285" s="114">
        <v>78</v>
      </c>
      <c r="J285" s="114"/>
    </row>
    <row r="286" spans="1:10">
      <c r="A286" s="114" t="s">
        <v>726</v>
      </c>
      <c r="B286" s="114" t="s">
        <v>407</v>
      </c>
      <c r="C286" s="114" t="s">
        <v>408</v>
      </c>
      <c r="D286" s="114" t="s">
        <v>409</v>
      </c>
      <c r="E286">
        <v>7859</v>
      </c>
      <c r="F286" s="114" t="s">
        <v>731</v>
      </c>
      <c r="G286" s="114" t="s">
        <v>418</v>
      </c>
      <c r="H286" s="114" t="s">
        <v>432</v>
      </c>
      <c r="I286">
        <v>25</v>
      </c>
    </row>
    <row r="287" spans="1:10">
      <c r="A287" s="114" t="s">
        <v>726</v>
      </c>
      <c r="B287" s="114" t="s">
        <v>407</v>
      </c>
      <c r="C287" s="114" t="s">
        <v>408</v>
      </c>
      <c r="D287" s="114" t="s">
        <v>409</v>
      </c>
      <c r="E287">
        <v>9008</v>
      </c>
      <c r="F287" s="114" t="s">
        <v>1184</v>
      </c>
      <c r="G287" s="114" t="s">
        <v>410</v>
      </c>
      <c r="H287" s="114" t="s">
        <v>699</v>
      </c>
      <c r="I287" s="114" t="s">
        <v>679</v>
      </c>
      <c r="J287" s="114" t="s">
        <v>1185</v>
      </c>
    </row>
    <row r="288" spans="1:10">
      <c r="A288" s="114" t="s">
        <v>732</v>
      </c>
      <c r="B288" s="114" t="s">
        <v>630</v>
      </c>
      <c r="C288" s="114" t="s">
        <v>408</v>
      </c>
      <c r="D288" s="114" t="s">
        <v>409</v>
      </c>
      <c r="E288">
        <v>2607</v>
      </c>
      <c r="F288" s="114" t="s">
        <v>1186</v>
      </c>
      <c r="G288" s="114" t="s">
        <v>410</v>
      </c>
      <c r="H288" s="114" t="s">
        <v>411</v>
      </c>
      <c r="I288" s="114" t="s">
        <v>433</v>
      </c>
      <c r="J288" s="114" t="s">
        <v>1026</v>
      </c>
    </row>
    <row r="289" spans="1:10">
      <c r="A289" s="114" t="s">
        <v>732</v>
      </c>
      <c r="B289" s="114" t="s">
        <v>630</v>
      </c>
      <c r="C289" s="114" t="s">
        <v>408</v>
      </c>
      <c r="D289" s="114" t="s">
        <v>409</v>
      </c>
      <c r="E289">
        <v>4502</v>
      </c>
      <c r="F289" s="114" t="s">
        <v>733</v>
      </c>
      <c r="G289" s="114" t="s">
        <v>410</v>
      </c>
      <c r="H289" s="114" t="s">
        <v>532</v>
      </c>
      <c r="I289" s="114" t="s">
        <v>1187</v>
      </c>
      <c r="J289" s="114" t="s">
        <v>1188</v>
      </c>
    </row>
    <row r="290" spans="1:10">
      <c r="A290" s="114" t="s">
        <v>732</v>
      </c>
      <c r="B290" s="114" t="s">
        <v>407</v>
      </c>
      <c r="C290" s="114" t="s">
        <v>408</v>
      </c>
      <c r="D290" s="114" t="s">
        <v>409</v>
      </c>
      <c r="E290">
        <v>2117</v>
      </c>
      <c r="F290" s="114" t="s">
        <v>1038</v>
      </c>
      <c r="G290" s="114" t="s">
        <v>410</v>
      </c>
      <c r="H290" s="114" t="s">
        <v>411</v>
      </c>
      <c r="I290" s="114">
        <v>458</v>
      </c>
      <c r="J290" s="114"/>
    </row>
    <row r="291" spans="1:10">
      <c r="A291" s="114" t="s">
        <v>732</v>
      </c>
      <c r="B291" s="114" t="s">
        <v>407</v>
      </c>
      <c r="C291" s="114" t="s">
        <v>417</v>
      </c>
      <c r="D291" s="114" t="s">
        <v>413</v>
      </c>
      <c r="E291">
        <v>2268</v>
      </c>
      <c r="F291" s="114" t="s">
        <v>734</v>
      </c>
      <c r="G291" s="114" t="s">
        <v>414</v>
      </c>
      <c r="H291" s="114" t="s">
        <v>411</v>
      </c>
      <c r="I291" s="114">
        <v>388</v>
      </c>
      <c r="J291" s="114"/>
    </row>
    <row r="292" spans="1:10">
      <c r="A292" s="114" t="s">
        <v>732</v>
      </c>
      <c r="B292" s="114" t="s">
        <v>407</v>
      </c>
      <c r="C292" s="114" t="s">
        <v>419</v>
      </c>
      <c r="D292" s="114" t="s">
        <v>413</v>
      </c>
      <c r="E292">
        <v>2428</v>
      </c>
      <c r="F292" s="114" t="s">
        <v>1189</v>
      </c>
      <c r="G292" s="114" t="s">
        <v>410</v>
      </c>
      <c r="H292" s="114" t="s">
        <v>415</v>
      </c>
      <c r="I292" s="114">
        <v>159</v>
      </c>
      <c r="J292" s="114"/>
    </row>
    <row r="293" spans="1:10">
      <c r="A293" s="114" t="s">
        <v>732</v>
      </c>
      <c r="B293" s="114" t="s">
        <v>407</v>
      </c>
      <c r="C293" s="114" t="s">
        <v>408</v>
      </c>
      <c r="D293" s="114" t="s">
        <v>409</v>
      </c>
      <c r="E293">
        <v>2871</v>
      </c>
      <c r="F293" s="114" t="s">
        <v>1190</v>
      </c>
      <c r="G293" s="114" t="s">
        <v>410</v>
      </c>
      <c r="H293" s="114" t="s">
        <v>411</v>
      </c>
      <c r="I293" s="114" t="s">
        <v>650</v>
      </c>
      <c r="J293" s="114" t="s">
        <v>1183</v>
      </c>
    </row>
    <row r="294" spans="1:10">
      <c r="A294" s="114" t="s">
        <v>732</v>
      </c>
      <c r="B294" s="114" t="s">
        <v>407</v>
      </c>
      <c r="C294" s="114" t="s">
        <v>408</v>
      </c>
      <c r="D294" s="114" t="s">
        <v>409</v>
      </c>
      <c r="E294">
        <v>6151</v>
      </c>
      <c r="F294" s="114" t="s">
        <v>735</v>
      </c>
      <c r="G294" s="114" t="s">
        <v>410</v>
      </c>
      <c r="H294" s="114" t="s">
        <v>431</v>
      </c>
      <c r="I294">
        <v>473</v>
      </c>
    </row>
    <row r="295" spans="1:10">
      <c r="A295" s="114" t="s">
        <v>732</v>
      </c>
      <c r="B295" s="114" t="s">
        <v>407</v>
      </c>
      <c r="C295" s="114" t="s">
        <v>408</v>
      </c>
      <c r="D295" s="114" t="s">
        <v>409</v>
      </c>
      <c r="E295">
        <v>7419</v>
      </c>
      <c r="F295" s="114" t="s">
        <v>736</v>
      </c>
      <c r="G295" s="114" t="s">
        <v>410</v>
      </c>
      <c r="H295" s="114" t="s">
        <v>420</v>
      </c>
      <c r="I295" s="114" t="s">
        <v>465</v>
      </c>
      <c r="J295" s="114" t="s">
        <v>1191</v>
      </c>
    </row>
    <row r="296" spans="1:10">
      <c r="A296" s="114" t="s">
        <v>732</v>
      </c>
      <c r="B296" s="114" t="s">
        <v>407</v>
      </c>
      <c r="C296" s="114" t="s">
        <v>419</v>
      </c>
      <c r="D296" s="114" t="s">
        <v>409</v>
      </c>
      <c r="E296">
        <v>8945</v>
      </c>
      <c r="F296" s="114" t="s">
        <v>1040</v>
      </c>
      <c r="G296" s="114" t="s">
        <v>410</v>
      </c>
      <c r="H296" s="114" t="s">
        <v>436</v>
      </c>
      <c r="I296">
        <v>130</v>
      </c>
    </row>
    <row r="297" spans="1:10">
      <c r="A297" s="114" t="s">
        <v>737</v>
      </c>
      <c r="B297" s="114" t="s">
        <v>407</v>
      </c>
      <c r="C297" s="114" t="s">
        <v>408</v>
      </c>
      <c r="D297" s="114" t="s">
        <v>409</v>
      </c>
      <c r="E297">
        <v>2130</v>
      </c>
      <c r="F297" s="114" t="s">
        <v>738</v>
      </c>
      <c r="G297" s="114" t="s">
        <v>410</v>
      </c>
      <c r="H297" s="114" t="s">
        <v>415</v>
      </c>
      <c r="I297" s="114">
        <v>307</v>
      </c>
      <c r="J297" s="114"/>
    </row>
    <row r="298" spans="1:10">
      <c r="A298" s="114" t="s">
        <v>737</v>
      </c>
      <c r="B298" s="114" t="s">
        <v>407</v>
      </c>
      <c r="C298" s="114" t="s">
        <v>408</v>
      </c>
      <c r="D298" s="114" t="s">
        <v>413</v>
      </c>
      <c r="E298">
        <v>3464</v>
      </c>
      <c r="F298" s="114" t="s">
        <v>897</v>
      </c>
      <c r="G298" s="114" t="s">
        <v>410</v>
      </c>
      <c r="H298" s="114" t="s">
        <v>436</v>
      </c>
      <c r="I298" s="114">
        <v>83</v>
      </c>
      <c r="J298" s="114"/>
    </row>
    <row r="299" spans="1:10">
      <c r="A299" s="114" t="s">
        <v>737</v>
      </c>
      <c r="B299" s="114" t="s">
        <v>407</v>
      </c>
      <c r="C299" s="114" t="s">
        <v>408</v>
      </c>
      <c r="D299" s="114" t="s">
        <v>413</v>
      </c>
      <c r="E299">
        <v>6678</v>
      </c>
      <c r="F299" s="114" t="s">
        <v>739</v>
      </c>
      <c r="G299" s="114" t="s">
        <v>410</v>
      </c>
      <c r="H299" s="114" t="s">
        <v>435</v>
      </c>
      <c r="I299" s="114">
        <v>182</v>
      </c>
      <c r="J299" s="114"/>
    </row>
    <row r="300" spans="1:10">
      <c r="A300" s="114" t="s">
        <v>737</v>
      </c>
      <c r="B300" s="114" t="s">
        <v>407</v>
      </c>
      <c r="C300" s="114" t="s">
        <v>408</v>
      </c>
      <c r="D300" s="114" t="s">
        <v>409</v>
      </c>
      <c r="E300">
        <v>6875</v>
      </c>
      <c r="F300" s="114" t="s">
        <v>740</v>
      </c>
      <c r="G300" s="114" t="s">
        <v>410</v>
      </c>
      <c r="H300" s="114" t="s">
        <v>435</v>
      </c>
      <c r="I300">
        <v>555</v>
      </c>
    </row>
    <row r="301" spans="1:10">
      <c r="A301" s="114" t="s">
        <v>737</v>
      </c>
      <c r="B301" s="114" t="s">
        <v>407</v>
      </c>
      <c r="C301" s="114" t="s">
        <v>419</v>
      </c>
      <c r="D301" s="114" t="s">
        <v>409</v>
      </c>
      <c r="E301">
        <v>7532</v>
      </c>
      <c r="F301" s="114" t="s">
        <v>1041</v>
      </c>
      <c r="G301" s="114" t="s">
        <v>410</v>
      </c>
      <c r="H301" s="114" t="s">
        <v>420</v>
      </c>
      <c r="I301" s="114" t="s">
        <v>837</v>
      </c>
      <c r="J301" s="114" t="s">
        <v>1192</v>
      </c>
    </row>
    <row r="302" spans="1:10">
      <c r="A302" s="114" t="s">
        <v>741</v>
      </c>
      <c r="B302" s="114" t="s">
        <v>630</v>
      </c>
      <c r="C302" s="114" t="s">
        <v>417</v>
      </c>
      <c r="D302" s="114" t="s">
        <v>409</v>
      </c>
      <c r="E302">
        <v>2914</v>
      </c>
      <c r="F302" s="114" t="s">
        <v>1042</v>
      </c>
      <c r="G302" s="114" t="s">
        <v>410</v>
      </c>
      <c r="H302" s="114" t="s">
        <v>411</v>
      </c>
      <c r="I302" s="114" t="s">
        <v>1193</v>
      </c>
      <c r="J302" s="114" t="s">
        <v>1194</v>
      </c>
    </row>
    <row r="303" spans="1:10">
      <c r="A303" s="114" t="s">
        <v>741</v>
      </c>
      <c r="B303" s="114" t="s">
        <v>630</v>
      </c>
      <c r="C303" s="114" t="s">
        <v>419</v>
      </c>
      <c r="D303" s="114" t="s">
        <v>409</v>
      </c>
      <c r="E303">
        <v>4385</v>
      </c>
      <c r="F303" s="114" t="s">
        <v>1195</v>
      </c>
      <c r="G303" s="114" t="s">
        <v>422</v>
      </c>
      <c r="H303" s="114" t="s">
        <v>421</v>
      </c>
      <c r="I303" s="114" t="s">
        <v>650</v>
      </c>
      <c r="J303" s="114" t="s">
        <v>842</v>
      </c>
    </row>
    <row r="304" spans="1:10">
      <c r="A304" s="114" t="s">
        <v>741</v>
      </c>
      <c r="B304" s="114" t="s">
        <v>407</v>
      </c>
      <c r="C304" s="114" t="s">
        <v>408</v>
      </c>
      <c r="D304" s="114" t="s">
        <v>409</v>
      </c>
      <c r="E304">
        <v>2372</v>
      </c>
      <c r="F304" s="114" t="s">
        <v>742</v>
      </c>
      <c r="G304" s="114" t="s">
        <v>410</v>
      </c>
      <c r="H304" s="114" t="s">
        <v>415</v>
      </c>
      <c r="I304" s="114">
        <v>177</v>
      </c>
      <c r="J304" s="114"/>
    </row>
    <row r="305" spans="1:10">
      <c r="A305" s="114" t="s">
        <v>741</v>
      </c>
      <c r="B305" s="114" t="s">
        <v>407</v>
      </c>
      <c r="C305" s="114" t="s">
        <v>408</v>
      </c>
      <c r="D305" s="114" t="s">
        <v>409</v>
      </c>
      <c r="E305">
        <v>2487</v>
      </c>
      <c r="F305" s="114" t="s">
        <v>1196</v>
      </c>
      <c r="G305" s="114" t="s">
        <v>410</v>
      </c>
      <c r="H305" s="114" t="s">
        <v>415</v>
      </c>
      <c r="I305">
        <v>88</v>
      </c>
    </row>
    <row r="306" spans="1:10">
      <c r="A306" s="114" t="s">
        <v>741</v>
      </c>
      <c r="B306" s="114" t="s">
        <v>407</v>
      </c>
      <c r="C306" s="114" t="s">
        <v>419</v>
      </c>
      <c r="D306" s="114" t="s">
        <v>409</v>
      </c>
      <c r="E306">
        <v>3242</v>
      </c>
      <c r="F306" s="114" t="s">
        <v>743</v>
      </c>
      <c r="G306" s="114" t="s">
        <v>414</v>
      </c>
      <c r="H306" s="114" t="s">
        <v>436</v>
      </c>
      <c r="I306" s="114">
        <v>89</v>
      </c>
      <c r="J306" s="114"/>
    </row>
    <row r="307" spans="1:10">
      <c r="A307" s="114" t="s">
        <v>741</v>
      </c>
      <c r="B307" s="114" t="s">
        <v>407</v>
      </c>
      <c r="C307" s="114" t="s">
        <v>408</v>
      </c>
      <c r="D307" s="114" t="s">
        <v>413</v>
      </c>
      <c r="E307">
        <v>3634</v>
      </c>
      <c r="F307" s="114" t="s">
        <v>1197</v>
      </c>
      <c r="G307" s="114" t="s">
        <v>422</v>
      </c>
      <c r="H307" s="114" t="s">
        <v>421</v>
      </c>
      <c r="I307" s="114">
        <v>30</v>
      </c>
      <c r="J307" s="114"/>
    </row>
    <row r="308" spans="1:10">
      <c r="A308" s="114" t="s">
        <v>741</v>
      </c>
      <c r="B308" s="114" t="s">
        <v>407</v>
      </c>
      <c r="C308" s="114" t="s">
        <v>408</v>
      </c>
      <c r="D308" s="114" t="s">
        <v>413</v>
      </c>
      <c r="E308">
        <v>3837</v>
      </c>
      <c r="F308" s="114" t="s">
        <v>1198</v>
      </c>
      <c r="G308" s="114" t="s">
        <v>410</v>
      </c>
      <c r="H308" s="114" t="s">
        <v>421</v>
      </c>
      <c r="I308">
        <v>218</v>
      </c>
    </row>
    <row r="309" spans="1:10">
      <c r="A309" s="114" t="s">
        <v>741</v>
      </c>
      <c r="B309" s="114" t="s">
        <v>407</v>
      </c>
      <c r="C309" s="114" t="s">
        <v>408</v>
      </c>
      <c r="D309" s="114" t="s">
        <v>409</v>
      </c>
      <c r="E309">
        <v>4626</v>
      </c>
      <c r="F309" s="114" t="s">
        <v>744</v>
      </c>
      <c r="G309" s="114" t="s">
        <v>410</v>
      </c>
      <c r="H309" s="114" t="s">
        <v>423</v>
      </c>
      <c r="I309" s="114" t="s">
        <v>465</v>
      </c>
      <c r="J309" s="114" t="s">
        <v>1199</v>
      </c>
    </row>
    <row r="310" spans="1:10">
      <c r="A310" s="114" t="s">
        <v>741</v>
      </c>
      <c r="B310" s="114" t="s">
        <v>407</v>
      </c>
      <c r="C310" s="114" t="s">
        <v>408</v>
      </c>
      <c r="D310" s="114" t="s">
        <v>409</v>
      </c>
      <c r="E310">
        <v>6569</v>
      </c>
      <c r="F310" s="114" t="s">
        <v>745</v>
      </c>
      <c r="G310" s="114" t="s">
        <v>410</v>
      </c>
      <c r="H310" s="114" t="s">
        <v>415</v>
      </c>
      <c r="I310" s="114">
        <v>367</v>
      </c>
      <c r="J310" s="114"/>
    </row>
    <row r="311" spans="1:10">
      <c r="A311" s="114" t="s">
        <v>741</v>
      </c>
      <c r="B311" s="114" t="s">
        <v>407</v>
      </c>
      <c r="C311" s="114" t="s">
        <v>408</v>
      </c>
      <c r="D311" s="114" t="s">
        <v>409</v>
      </c>
      <c r="E311">
        <v>7703</v>
      </c>
      <c r="F311" s="114" t="s">
        <v>746</v>
      </c>
      <c r="G311" s="114" t="s">
        <v>418</v>
      </c>
      <c r="H311" s="114" t="s">
        <v>677</v>
      </c>
      <c r="I311">
        <v>209</v>
      </c>
    </row>
    <row r="312" spans="1:10">
      <c r="A312" s="114" t="s">
        <v>741</v>
      </c>
      <c r="B312" s="114" t="s">
        <v>407</v>
      </c>
      <c r="C312" s="114" t="s">
        <v>408</v>
      </c>
      <c r="D312" s="114" t="s">
        <v>409</v>
      </c>
      <c r="E312">
        <v>7952</v>
      </c>
      <c r="F312" s="114" t="s">
        <v>747</v>
      </c>
      <c r="G312" s="114" t="s">
        <v>410</v>
      </c>
      <c r="H312" s="114" t="s">
        <v>432</v>
      </c>
      <c r="I312">
        <v>330</v>
      </c>
    </row>
    <row r="313" spans="1:10">
      <c r="A313" s="114" t="s">
        <v>748</v>
      </c>
      <c r="B313" s="114" t="s">
        <v>630</v>
      </c>
      <c r="C313" s="114" t="s">
        <v>408</v>
      </c>
      <c r="D313" s="114" t="s">
        <v>409</v>
      </c>
      <c r="E313">
        <v>8093</v>
      </c>
      <c r="F313" s="114" t="s">
        <v>1200</v>
      </c>
      <c r="G313" s="114" t="s">
        <v>410</v>
      </c>
      <c r="H313" s="114" t="s">
        <v>416</v>
      </c>
      <c r="I313">
        <v>143</v>
      </c>
    </row>
    <row r="314" spans="1:10">
      <c r="A314" s="114" t="s">
        <v>748</v>
      </c>
      <c r="B314" s="114" t="s">
        <v>407</v>
      </c>
      <c r="C314" s="114" t="s">
        <v>408</v>
      </c>
      <c r="D314" s="114" t="s">
        <v>409</v>
      </c>
      <c r="E314">
        <v>1801</v>
      </c>
      <c r="F314" s="114" t="s">
        <v>749</v>
      </c>
      <c r="G314" s="114" t="s">
        <v>410</v>
      </c>
      <c r="H314" s="114" t="s">
        <v>444</v>
      </c>
      <c r="I314" s="114" t="s">
        <v>750</v>
      </c>
      <c r="J314" s="114" t="s">
        <v>1201</v>
      </c>
    </row>
    <row r="315" spans="1:10">
      <c r="A315" s="114" t="s">
        <v>748</v>
      </c>
      <c r="B315" s="114" t="s">
        <v>407</v>
      </c>
      <c r="C315" s="114" t="s">
        <v>408</v>
      </c>
      <c r="D315" s="114" t="s">
        <v>409</v>
      </c>
      <c r="E315">
        <v>1813</v>
      </c>
      <c r="F315" s="114" t="s">
        <v>751</v>
      </c>
      <c r="G315" s="114" t="s">
        <v>410</v>
      </c>
      <c r="H315" s="114" t="s">
        <v>444</v>
      </c>
      <c r="I315">
        <v>258</v>
      </c>
    </row>
    <row r="316" spans="1:10">
      <c r="A316" s="114" t="s">
        <v>748</v>
      </c>
      <c r="B316" s="114" t="s">
        <v>407</v>
      </c>
      <c r="C316" s="114" t="s">
        <v>408</v>
      </c>
      <c r="D316" s="114" t="s">
        <v>409</v>
      </c>
      <c r="E316">
        <v>1835</v>
      </c>
      <c r="F316" s="114" t="s">
        <v>752</v>
      </c>
      <c r="G316" s="114" t="s">
        <v>410</v>
      </c>
      <c r="H316" s="114" t="s">
        <v>444</v>
      </c>
      <c r="I316" s="114" t="s">
        <v>465</v>
      </c>
      <c r="J316" s="114" t="s">
        <v>1202</v>
      </c>
    </row>
    <row r="317" spans="1:10">
      <c r="A317" s="114" t="s">
        <v>748</v>
      </c>
      <c r="B317" s="114" t="s">
        <v>407</v>
      </c>
      <c r="C317" s="114" t="s">
        <v>408</v>
      </c>
      <c r="D317" s="114" t="s">
        <v>413</v>
      </c>
      <c r="E317">
        <v>1853</v>
      </c>
      <c r="F317" s="114" t="s">
        <v>753</v>
      </c>
      <c r="G317" s="114" t="s">
        <v>418</v>
      </c>
      <c r="H317" s="114" t="s">
        <v>444</v>
      </c>
      <c r="I317" s="114">
        <v>104</v>
      </c>
      <c r="J317" s="114"/>
    </row>
    <row r="318" spans="1:10">
      <c r="A318" s="114" t="s">
        <v>748</v>
      </c>
      <c r="B318" s="114" t="s">
        <v>407</v>
      </c>
      <c r="C318" s="114" t="s">
        <v>408</v>
      </c>
      <c r="D318" s="114" t="s">
        <v>409</v>
      </c>
      <c r="E318">
        <v>1909</v>
      </c>
      <c r="F318" s="114" t="s">
        <v>754</v>
      </c>
      <c r="G318" s="114" t="s">
        <v>410</v>
      </c>
      <c r="H318" s="114" t="s">
        <v>431</v>
      </c>
      <c r="I318">
        <v>113</v>
      </c>
    </row>
    <row r="319" spans="1:10">
      <c r="A319" s="114" t="s">
        <v>748</v>
      </c>
      <c r="B319" s="114" t="s">
        <v>407</v>
      </c>
      <c r="C319" s="114" t="s">
        <v>408</v>
      </c>
      <c r="D319" s="114" t="s">
        <v>409</v>
      </c>
      <c r="E319">
        <v>1961</v>
      </c>
      <c r="F319" s="114" t="s">
        <v>755</v>
      </c>
      <c r="G319" s="114" t="s">
        <v>410</v>
      </c>
      <c r="H319" s="114" t="s">
        <v>444</v>
      </c>
      <c r="I319" s="114">
        <v>904</v>
      </c>
      <c r="J319" s="114"/>
    </row>
    <row r="320" spans="1:10">
      <c r="A320" s="114" t="s">
        <v>748</v>
      </c>
      <c r="B320" s="114" t="s">
        <v>407</v>
      </c>
      <c r="C320" s="114" t="s">
        <v>408</v>
      </c>
      <c r="D320" s="114" t="s">
        <v>409</v>
      </c>
      <c r="E320">
        <v>1969</v>
      </c>
      <c r="F320" s="114" t="s">
        <v>756</v>
      </c>
      <c r="G320" s="114" t="s">
        <v>410</v>
      </c>
      <c r="H320" s="114" t="s">
        <v>444</v>
      </c>
      <c r="I320" s="114" t="s">
        <v>465</v>
      </c>
      <c r="J320" s="114" t="s">
        <v>1203</v>
      </c>
    </row>
    <row r="321" spans="1:10">
      <c r="A321" s="114" t="s">
        <v>748</v>
      </c>
      <c r="B321" s="114" t="s">
        <v>407</v>
      </c>
      <c r="C321" s="114" t="s">
        <v>408</v>
      </c>
      <c r="D321" s="114" t="s">
        <v>409</v>
      </c>
      <c r="E321">
        <v>2307</v>
      </c>
      <c r="F321" s="114" t="s">
        <v>1204</v>
      </c>
      <c r="G321" s="114" t="s">
        <v>410</v>
      </c>
      <c r="H321" s="114" t="s">
        <v>421</v>
      </c>
      <c r="I321">
        <v>96</v>
      </c>
    </row>
    <row r="322" spans="1:10">
      <c r="A322" s="114" t="s">
        <v>748</v>
      </c>
      <c r="B322" s="114" t="s">
        <v>407</v>
      </c>
      <c r="C322" s="114" t="s">
        <v>408</v>
      </c>
      <c r="D322" s="114" t="s">
        <v>409</v>
      </c>
      <c r="E322">
        <v>2475</v>
      </c>
      <c r="F322" s="114" t="s">
        <v>1205</v>
      </c>
      <c r="G322" s="114" t="s">
        <v>410</v>
      </c>
      <c r="H322" s="114" t="s">
        <v>415</v>
      </c>
      <c r="I322" s="114">
        <v>512</v>
      </c>
      <c r="J322" s="114"/>
    </row>
    <row r="323" spans="1:10">
      <c r="A323" s="114" t="s">
        <v>748</v>
      </c>
      <c r="B323" s="114" t="s">
        <v>407</v>
      </c>
      <c r="C323" s="114" t="s">
        <v>408</v>
      </c>
      <c r="D323" s="114" t="s">
        <v>409</v>
      </c>
      <c r="E323">
        <v>2480</v>
      </c>
      <c r="F323" s="114" t="s">
        <v>1206</v>
      </c>
      <c r="G323" s="114" t="s">
        <v>414</v>
      </c>
      <c r="H323" s="114" t="s">
        <v>415</v>
      </c>
      <c r="I323" s="114">
        <v>63</v>
      </c>
      <c r="J323" s="114"/>
    </row>
    <row r="324" spans="1:10">
      <c r="A324" s="114" t="s">
        <v>748</v>
      </c>
      <c r="B324" s="114" t="s">
        <v>407</v>
      </c>
      <c r="C324" s="114" t="s">
        <v>408</v>
      </c>
      <c r="D324" s="114" t="s">
        <v>409</v>
      </c>
      <c r="E324">
        <v>2815</v>
      </c>
      <c r="F324" s="114" t="s">
        <v>757</v>
      </c>
      <c r="G324" s="114" t="s">
        <v>410</v>
      </c>
      <c r="H324" s="114" t="s">
        <v>411</v>
      </c>
      <c r="I324" s="114" t="s">
        <v>433</v>
      </c>
      <c r="J324" s="114" t="s">
        <v>1207</v>
      </c>
    </row>
    <row r="325" spans="1:10">
      <c r="A325" s="114" t="s">
        <v>748</v>
      </c>
      <c r="B325" s="114" t="s">
        <v>407</v>
      </c>
      <c r="C325" s="114" t="s">
        <v>408</v>
      </c>
      <c r="D325" s="114" t="s">
        <v>409</v>
      </c>
      <c r="E325">
        <v>2911</v>
      </c>
      <c r="F325" s="114" t="s">
        <v>1208</v>
      </c>
      <c r="G325" s="114" t="s">
        <v>418</v>
      </c>
      <c r="H325" s="114" t="s">
        <v>411</v>
      </c>
      <c r="I325">
        <v>38</v>
      </c>
    </row>
    <row r="326" spans="1:10">
      <c r="A326" s="114" t="s">
        <v>748</v>
      </c>
      <c r="B326" s="114" t="s">
        <v>407</v>
      </c>
      <c r="C326" s="114" t="s">
        <v>408</v>
      </c>
      <c r="D326" s="114" t="s">
        <v>409</v>
      </c>
      <c r="E326">
        <v>3109</v>
      </c>
      <c r="F326" s="114" t="s">
        <v>758</v>
      </c>
      <c r="G326" s="114" t="s">
        <v>410</v>
      </c>
      <c r="H326" s="114" t="s">
        <v>476</v>
      </c>
      <c r="I326">
        <v>112</v>
      </c>
    </row>
    <row r="327" spans="1:10">
      <c r="A327" s="114" t="s">
        <v>748</v>
      </c>
      <c r="B327" s="114" t="s">
        <v>407</v>
      </c>
      <c r="C327" s="114" t="s">
        <v>417</v>
      </c>
      <c r="D327" s="114" t="s">
        <v>409</v>
      </c>
      <c r="E327">
        <v>3482</v>
      </c>
      <c r="F327" s="114" t="s">
        <v>1209</v>
      </c>
      <c r="G327" s="114" t="s">
        <v>422</v>
      </c>
      <c r="H327" s="114" t="s">
        <v>436</v>
      </c>
      <c r="I327" s="114">
        <v>204</v>
      </c>
      <c r="J327" s="114"/>
    </row>
    <row r="328" spans="1:10">
      <c r="A328" s="114" t="s">
        <v>748</v>
      </c>
      <c r="B328" s="114" t="s">
        <v>407</v>
      </c>
      <c r="C328" s="114" t="s">
        <v>412</v>
      </c>
      <c r="D328" s="114" t="s">
        <v>409</v>
      </c>
      <c r="E328">
        <v>3690</v>
      </c>
      <c r="F328" s="114" t="s">
        <v>1210</v>
      </c>
      <c r="G328" s="114" t="s">
        <v>422</v>
      </c>
      <c r="H328" s="114" t="s">
        <v>421</v>
      </c>
      <c r="I328">
        <v>80</v>
      </c>
    </row>
    <row r="329" spans="1:10">
      <c r="A329" s="114" t="s">
        <v>748</v>
      </c>
      <c r="B329" s="114" t="s">
        <v>407</v>
      </c>
      <c r="C329" s="114" t="s">
        <v>408</v>
      </c>
      <c r="D329" s="114" t="s">
        <v>409</v>
      </c>
      <c r="E329">
        <v>3766</v>
      </c>
      <c r="F329" s="114" t="s">
        <v>759</v>
      </c>
      <c r="G329" s="114" t="s">
        <v>414</v>
      </c>
      <c r="H329" s="114" t="s">
        <v>421</v>
      </c>
      <c r="I329">
        <v>25</v>
      </c>
    </row>
    <row r="330" spans="1:10">
      <c r="A330" s="114" t="s">
        <v>748</v>
      </c>
      <c r="B330" s="114" t="s">
        <v>407</v>
      </c>
      <c r="C330" s="114" t="s">
        <v>408</v>
      </c>
      <c r="D330" s="114" t="s">
        <v>409</v>
      </c>
      <c r="E330">
        <v>4540</v>
      </c>
      <c r="F330" s="114" t="s">
        <v>760</v>
      </c>
      <c r="G330" s="114" t="s">
        <v>410</v>
      </c>
      <c r="H330" s="114" t="s">
        <v>532</v>
      </c>
      <c r="I330" s="114" t="s">
        <v>433</v>
      </c>
      <c r="J330" s="114" t="s">
        <v>1211</v>
      </c>
    </row>
    <row r="331" spans="1:10">
      <c r="A331" s="114" t="s">
        <v>748</v>
      </c>
      <c r="B331" s="114" t="s">
        <v>407</v>
      </c>
      <c r="C331" s="114" t="s">
        <v>417</v>
      </c>
      <c r="D331" s="114" t="s">
        <v>413</v>
      </c>
      <c r="E331">
        <v>4588</v>
      </c>
      <c r="F331" s="114" t="s">
        <v>761</v>
      </c>
      <c r="G331" s="114" t="s">
        <v>422</v>
      </c>
      <c r="H331" s="114" t="s">
        <v>532</v>
      </c>
      <c r="I331">
        <v>274</v>
      </c>
    </row>
    <row r="332" spans="1:10">
      <c r="A332" s="114" t="s">
        <v>748</v>
      </c>
      <c r="B332" s="114" t="s">
        <v>407</v>
      </c>
      <c r="C332" s="114" t="s">
        <v>408</v>
      </c>
      <c r="D332" s="114" t="s">
        <v>409</v>
      </c>
      <c r="E332">
        <v>4777</v>
      </c>
      <c r="F332" s="114" t="s">
        <v>762</v>
      </c>
      <c r="G332" s="114" t="s">
        <v>414</v>
      </c>
      <c r="H332" s="114" t="s">
        <v>421</v>
      </c>
      <c r="I332" s="114">
        <v>52</v>
      </c>
      <c r="J332" s="114"/>
    </row>
    <row r="333" spans="1:10">
      <c r="A333" s="114" t="s">
        <v>748</v>
      </c>
      <c r="B333" s="114" t="s">
        <v>407</v>
      </c>
      <c r="C333" s="114" t="s">
        <v>408</v>
      </c>
      <c r="D333" s="114" t="s">
        <v>413</v>
      </c>
      <c r="E333">
        <v>4970</v>
      </c>
      <c r="F333" s="114" t="s">
        <v>1212</v>
      </c>
      <c r="G333" s="114" t="s">
        <v>414</v>
      </c>
      <c r="H333" s="114" t="s">
        <v>423</v>
      </c>
      <c r="I333">
        <v>287</v>
      </c>
    </row>
    <row r="334" spans="1:10">
      <c r="A334" s="114" t="s">
        <v>748</v>
      </c>
      <c r="B334" s="114" t="s">
        <v>407</v>
      </c>
      <c r="C334" s="114" t="s">
        <v>408</v>
      </c>
      <c r="D334" s="114" t="s">
        <v>409</v>
      </c>
      <c r="E334">
        <v>5602</v>
      </c>
      <c r="F334" s="114" t="s">
        <v>1213</v>
      </c>
      <c r="G334" s="114" t="s">
        <v>410</v>
      </c>
      <c r="H334" s="114" t="s">
        <v>1214</v>
      </c>
      <c r="I334" s="114">
        <v>259</v>
      </c>
      <c r="J334" s="114"/>
    </row>
    <row r="335" spans="1:10">
      <c r="A335" s="114" t="s">
        <v>748</v>
      </c>
      <c r="B335" s="114" t="s">
        <v>407</v>
      </c>
      <c r="C335" s="114" t="s">
        <v>408</v>
      </c>
      <c r="D335" s="114" t="s">
        <v>409</v>
      </c>
      <c r="E335">
        <v>5713</v>
      </c>
      <c r="F335" s="114" t="s">
        <v>763</v>
      </c>
      <c r="G335" s="114" t="s">
        <v>410</v>
      </c>
      <c r="H335" s="114" t="s">
        <v>716</v>
      </c>
      <c r="I335" s="114" t="s">
        <v>750</v>
      </c>
      <c r="J335" s="114" t="s">
        <v>1215</v>
      </c>
    </row>
    <row r="336" spans="1:10">
      <c r="A336" s="114" t="s">
        <v>748</v>
      </c>
      <c r="B336" s="114" t="s">
        <v>407</v>
      </c>
      <c r="C336" s="114" t="s">
        <v>408</v>
      </c>
      <c r="D336" s="114" t="s">
        <v>409</v>
      </c>
      <c r="E336">
        <v>6485</v>
      </c>
      <c r="F336" s="114" t="s">
        <v>764</v>
      </c>
      <c r="G336" s="114" t="s">
        <v>410</v>
      </c>
      <c r="H336" s="114" t="s">
        <v>431</v>
      </c>
      <c r="I336">
        <v>260</v>
      </c>
    </row>
    <row r="337" spans="1:10">
      <c r="A337" s="114" t="s">
        <v>748</v>
      </c>
      <c r="B337" s="114" t="s">
        <v>407</v>
      </c>
      <c r="C337" s="114" t="s">
        <v>417</v>
      </c>
      <c r="D337" s="114" t="s">
        <v>409</v>
      </c>
      <c r="E337">
        <v>6929</v>
      </c>
      <c r="F337" s="114" t="s">
        <v>765</v>
      </c>
      <c r="G337" s="114" t="s">
        <v>410</v>
      </c>
      <c r="H337" s="114" t="s">
        <v>435</v>
      </c>
      <c r="I337" s="114">
        <v>770</v>
      </c>
      <c r="J337" s="114"/>
    </row>
    <row r="338" spans="1:10">
      <c r="A338" s="114" t="s">
        <v>748</v>
      </c>
      <c r="B338" s="114" t="s">
        <v>407</v>
      </c>
      <c r="C338" s="114" t="s">
        <v>408</v>
      </c>
      <c r="D338" s="114" t="s">
        <v>409</v>
      </c>
      <c r="E338">
        <v>7480</v>
      </c>
      <c r="F338" s="114" t="s">
        <v>766</v>
      </c>
      <c r="G338" s="114" t="s">
        <v>410</v>
      </c>
      <c r="H338" s="114" t="s">
        <v>416</v>
      </c>
      <c r="I338">
        <v>214</v>
      </c>
    </row>
    <row r="339" spans="1:10">
      <c r="A339" s="114" t="s">
        <v>748</v>
      </c>
      <c r="B339" s="114" t="s">
        <v>407</v>
      </c>
      <c r="C339" s="114" t="s">
        <v>408</v>
      </c>
      <c r="D339" s="114" t="s">
        <v>409</v>
      </c>
      <c r="E339">
        <v>9880</v>
      </c>
      <c r="F339" s="114" t="s">
        <v>767</v>
      </c>
      <c r="G339" s="114" t="s">
        <v>410</v>
      </c>
      <c r="H339" s="114" t="s">
        <v>416</v>
      </c>
      <c r="I339" s="114">
        <v>167</v>
      </c>
      <c r="J339" s="114"/>
    </row>
    <row r="340" spans="1:10">
      <c r="A340" s="114" t="s">
        <v>748</v>
      </c>
      <c r="B340" s="114" t="s">
        <v>407</v>
      </c>
      <c r="C340" s="114" t="s">
        <v>408</v>
      </c>
      <c r="D340" s="114" t="s">
        <v>409</v>
      </c>
      <c r="E340">
        <v>9994</v>
      </c>
      <c r="F340" s="114" t="s">
        <v>768</v>
      </c>
      <c r="G340" s="114" t="s">
        <v>410</v>
      </c>
      <c r="H340" s="114" t="s">
        <v>420</v>
      </c>
      <c r="I340">
        <v>241</v>
      </c>
    </row>
    <row r="341" spans="1:10">
      <c r="A341" s="114" t="s">
        <v>769</v>
      </c>
      <c r="B341" s="114" t="s">
        <v>407</v>
      </c>
      <c r="C341" s="114" t="s">
        <v>408</v>
      </c>
      <c r="D341" s="114" t="s">
        <v>409</v>
      </c>
      <c r="E341">
        <v>1979</v>
      </c>
      <c r="F341" s="114" t="s">
        <v>770</v>
      </c>
      <c r="G341" s="114" t="s">
        <v>410</v>
      </c>
      <c r="H341" s="114" t="s">
        <v>444</v>
      </c>
      <c r="I341" s="114" t="s">
        <v>465</v>
      </c>
      <c r="J341" s="114" t="s">
        <v>1216</v>
      </c>
    </row>
    <row r="342" spans="1:10">
      <c r="A342" s="114" t="s">
        <v>769</v>
      </c>
      <c r="B342" s="114" t="s">
        <v>407</v>
      </c>
      <c r="C342" s="114" t="s">
        <v>408</v>
      </c>
      <c r="D342" s="114" t="s">
        <v>409</v>
      </c>
      <c r="E342">
        <v>2201</v>
      </c>
      <c r="F342" s="114" t="s">
        <v>1043</v>
      </c>
      <c r="G342" s="114" t="s">
        <v>410</v>
      </c>
      <c r="H342" s="114" t="s">
        <v>411</v>
      </c>
      <c r="I342" s="114" t="s">
        <v>650</v>
      </c>
      <c r="J342" s="114" t="s">
        <v>1217</v>
      </c>
    </row>
    <row r="343" spans="1:10">
      <c r="A343" s="114" t="s">
        <v>769</v>
      </c>
      <c r="B343" s="114" t="s">
        <v>407</v>
      </c>
      <c r="C343" s="114" t="s">
        <v>417</v>
      </c>
      <c r="D343" s="114" t="s">
        <v>409</v>
      </c>
      <c r="E343">
        <v>2384</v>
      </c>
      <c r="F343" s="114" t="s">
        <v>1044</v>
      </c>
      <c r="G343" s="114" t="s">
        <v>410</v>
      </c>
      <c r="H343" s="114" t="s">
        <v>699</v>
      </c>
      <c r="I343">
        <v>778</v>
      </c>
    </row>
    <row r="344" spans="1:10">
      <c r="A344" s="114" t="s">
        <v>769</v>
      </c>
      <c r="B344" s="114" t="s">
        <v>407</v>
      </c>
      <c r="C344" s="114" t="s">
        <v>408</v>
      </c>
      <c r="D344" s="114" t="s">
        <v>409</v>
      </c>
      <c r="E344">
        <v>2398</v>
      </c>
      <c r="F344" s="114" t="s">
        <v>1045</v>
      </c>
      <c r="G344" s="114" t="s">
        <v>410</v>
      </c>
      <c r="H344" s="114" t="s">
        <v>415</v>
      </c>
      <c r="I344" s="114">
        <v>409</v>
      </c>
      <c r="J344" s="114"/>
    </row>
    <row r="345" spans="1:10">
      <c r="A345" s="114" t="s">
        <v>769</v>
      </c>
      <c r="B345" s="114" t="s">
        <v>407</v>
      </c>
      <c r="C345" s="114" t="s">
        <v>408</v>
      </c>
      <c r="D345" s="114" t="s">
        <v>409</v>
      </c>
      <c r="E345">
        <v>6324</v>
      </c>
      <c r="F345" s="114" t="s">
        <v>1218</v>
      </c>
      <c r="G345" s="114" t="s">
        <v>414</v>
      </c>
      <c r="H345" s="114" t="s">
        <v>431</v>
      </c>
      <c r="I345" s="114" t="s">
        <v>561</v>
      </c>
      <c r="J345" s="114" t="s">
        <v>1219</v>
      </c>
    </row>
    <row r="346" spans="1:10">
      <c r="A346" s="114" t="s">
        <v>769</v>
      </c>
      <c r="B346" s="114" t="s">
        <v>407</v>
      </c>
      <c r="C346" s="114" t="s">
        <v>419</v>
      </c>
      <c r="D346" s="114" t="s">
        <v>409</v>
      </c>
      <c r="E346">
        <v>7320</v>
      </c>
      <c r="F346" s="114" t="s">
        <v>1046</v>
      </c>
      <c r="G346" s="114" t="s">
        <v>422</v>
      </c>
      <c r="H346" s="114" t="s">
        <v>482</v>
      </c>
      <c r="I346" s="114">
        <v>59</v>
      </c>
      <c r="J346" s="114"/>
    </row>
    <row r="347" spans="1:10">
      <c r="A347" s="114" t="s">
        <v>769</v>
      </c>
      <c r="B347" s="114" t="s">
        <v>407</v>
      </c>
      <c r="C347" s="114" t="s">
        <v>408</v>
      </c>
      <c r="D347" s="114" t="s">
        <v>409</v>
      </c>
      <c r="E347">
        <v>8108</v>
      </c>
      <c r="F347" s="114" t="s">
        <v>771</v>
      </c>
      <c r="G347" s="114" t="s">
        <v>772</v>
      </c>
      <c r="H347" s="114" t="s">
        <v>416</v>
      </c>
      <c r="I347" s="114">
        <v>267</v>
      </c>
      <c r="J347" s="114"/>
    </row>
    <row r="348" spans="1:10">
      <c r="A348" s="114" t="s">
        <v>773</v>
      </c>
      <c r="B348" s="114" t="s">
        <v>407</v>
      </c>
      <c r="C348" s="114" t="s">
        <v>408</v>
      </c>
      <c r="D348" s="114" t="s">
        <v>409</v>
      </c>
      <c r="E348">
        <v>1762</v>
      </c>
      <c r="F348" s="114" t="s">
        <v>774</v>
      </c>
      <c r="G348" s="114" t="s">
        <v>410</v>
      </c>
      <c r="H348" s="114" t="s">
        <v>444</v>
      </c>
      <c r="I348" s="114" t="s">
        <v>465</v>
      </c>
      <c r="J348" s="114" t="s">
        <v>1220</v>
      </c>
    </row>
    <row r="349" spans="1:10">
      <c r="A349" s="114" t="s">
        <v>773</v>
      </c>
      <c r="B349" s="114" t="s">
        <v>407</v>
      </c>
      <c r="C349" s="114" t="s">
        <v>408</v>
      </c>
      <c r="D349" s="114" t="s">
        <v>409</v>
      </c>
      <c r="E349">
        <v>1821</v>
      </c>
      <c r="F349" s="114" t="s">
        <v>775</v>
      </c>
      <c r="G349" s="114" t="s">
        <v>410</v>
      </c>
      <c r="H349" s="114" t="s">
        <v>444</v>
      </c>
      <c r="I349" s="114">
        <v>992</v>
      </c>
      <c r="J349" s="114"/>
    </row>
    <row r="350" spans="1:10">
      <c r="A350" s="114" t="s">
        <v>773</v>
      </c>
      <c r="B350" s="114" t="s">
        <v>407</v>
      </c>
      <c r="C350" s="114" t="s">
        <v>408</v>
      </c>
      <c r="D350" s="114" t="s">
        <v>409</v>
      </c>
      <c r="E350">
        <v>2196</v>
      </c>
      <c r="F350" s="114" t="s">
        <v>1048</v>
      </c>
      <c r="G350" s="114" t="s">
        <v>410</v>
      </c>
      <c r="H350" s="114" t="s">
        <v>415</v>
      </c>
      <c r="I350" s="114">
        <v>95</v>
      </c>
      <c r="J350" s="114"/>
    </row>
    <row r="351" spans="1:10">
      <c r="A351" s="114" t="s">
        <v>773</v>
      </c>
      <c r="B351" s="114" t="s">
        <v>407</v>
      </c>
      <c r="C351" s="114" t="s">
        <v>417</v>
      </c>
      <c r="D351" s="114" t="s">
        <v>409</v>
      </c>
      <c r="E351">
        <v>2436</v>
      </c>
      <c r="F351" s="114" t="s">
        <v>1049</v>
      </c>
      <c r="G351" s="114" t="s">
        <v>414</v>
      </c>
      <c r="H351" s="114" t="s">
        <v>415</v>
      </c>
      <c r="I351" s="114">
        <v>60</v>
      </c>
      <c r="J351" s="114"/>
    </row>
    <row r="352" spans="1:10">
      <c r="A352" s="114" t="s">
        <v>773</v>
      </c>
      <c r="B352" s="114" t="s">
        <v>407</v>
      </c>
      <c r="C352" s="114" t="s">
        <v>408</v>
      </c>
      <c r="D352" s="114" t="s">
        <v>409</v>
      </c>
      <c r="E352">
        <v>2705</v>
      </c>
      <c r="F352" s="114" t="s">
        <v>776</v>
      </c>
      <c r="G352" s="114" t="s">
        <v>414</v>
      </c>
      <c r="H352" s="114" t="s">
        <v>420</v>
      </c>
      <c r="I352" s="114">
        <v>175</v>
      </c>
      <c r="J352" s="114"/>
    </row>
    <row r="353" spans="1:10">
      <c r="A353" s="114" t="s">
        <v>773</v>
      </c>
      <c r="B353" s="114" t="s">
        <v>407</v>
      </c>
      <c r="C353" s="114" t="s">
        <v>417</v>
      </c>
      <c r="D353" s="114" t="s">
        <v>409</v>
      </c>
      <c r="E353">
        <v>3784</v>
      </c>
      <c r="F353" s="114" t="s">
        <v>1221</v>
      </c>
      <c r="G353" s="114" t="s">
        <v>410</v>
      </c>
      <c r="H353" s="114" t="s">
        <v>421</v>
      </c>
      <c r="I353" s="114">
        <v>224</v>
      </c>
      <c r="J353" s="114"/>
    </row>
    <row r="354" spans="1:10">
      <c r="A354" s="114" t="s">
        <v>773</v>
      </c>
      <c r="B354" s="114" t="s">
        <v>407</v>
      </c>
      <c r="C354" s="114" t="s">
        <v>408</v>
      </c>
      <c r="D354" s="114" t="s">
        <v>409</v>
      </c>
      <c r="E354">
        <v>5714</v>
      </c>
      <c r="F354" s="114" t="s">
        <v>777</v>
      </c>
      <c r="G354" s="114" t="s">
        <v>410</v>
      </c>
      <c r="H354" s="114" t="s">
        <v>716</v>
      </c>
      <c r="I354" s="114" t="s">
        <v>433</v>
      </c>
      <c r="J354" s="114" t="s">
        <v>1222</v>
      </c>
    </row>
    <row r="355" spans="1:10">
      <c r="A355" s="114" t="s">
        <v>773</v>
      </c>
      <c r="B355" s="114" t="s">
        <v>407</v>
      </c>
      <c r="C355" s="114" t="s">
        <v>417</v>
      </c>
      <c r="D355" s="114" t="s">
        <v>409</v>
      </c>
      <c r="E355">
        <v>6627</v>
      </c>
      <c r="F355" s="114" t="s">
        <v>1223</v>
      </c>
      <c r="G355" s="114" t="s">
        <v>422</v>
      </c>
      <c r="H355" s="114" t="s">
        <v>435</v>
      </c>
      <c r="I355" s="114">
        <v>72</v>
      </c>
      <c r="J355" s="114"/>
    </row>
    <row r="356" spans="1:10">
      <c r="A356" s="114" t="s">
        <v>773</v>
      </c>
      <c r="B356" s="114" t="s">
        <v>407</v>
      </c>
      <c r="C356" s="114" t="s">
        <v>408</v>
      </c>
      <c r="D356" s="114" t="s">
        <v>409</v>
      </c>
      <c r="E356">
        <v>7294</v>
      </c>
      <c r="F356" s="114" t="s">
        <v>778</v>
      </c>
      <c r="G356" s="114" t="s">
        <v>410</v>
      </c>
      <c r="H356" s="114" t="s">
        <v>461</v>
      </c>
      <c r="I356" s="114">
        <v>364</v>
      </c>
      <c r="J356" s="114"/>
    </row>
    <row r="357" spans="1:10">
      <c r="A357" s="114" t="s">
        <v>773</v>
      </c>
      <c r="B357" s="114" t="s">
        <v>407</v>
      </c>
      <c r="C357" s="114" t="s">
        <v>408</v>
      </c>
      <c r="D357" s="114" t="s">
        <v>409</v>
      </c>
      <c r="E357">
        <v>9964</v>
      </c>
      <c r="F357" s="114" t="s">
        <v>779</v>
      </c>
      <c r="G357" s="114" t="s">
        <v>414</v>
      </c>
      <c r="H357" s="114" t="s">
        <v>416</v>
      </c>
      <c r="I357" s="114">
        <v>201</v>
      </c>
      <c r="J357" s="114"/>
    </row>
    <row r="358" spans="1:10">
      <c r="A358" s="114" t="s">
        <v>780</v>
      </c>
      <c r="B358" s="114" t="s">
        <v>407</v>
      </c>
      <c r="C358" s="114" t="s">
        <v>408</v>
      </c>
      <c r="D358" s="114" t="s">
        <v>409</v>
      </c>
      <c r="E358">
        <v>1384</v>
      </c>
      <c r="F358" s="114" t="s">
        <v>781</v>
      </c>
      <c r="G358" s="114" t="s">
        <v>410</v>
      </c>
      <c r="H358" s="114" t="s">
        <v>550</v>
      </c>
      <c r="I358" s="114">
        <v>56</v>
      </c>
      <c r="J358" s="114"/>
    </row>
    <row r="359" spans="1:10">
      <c r="A359" s="114" t="s">
        <v>780</v>
      </c>
      <c r="B359" s="114" t="s">
        <v>407</v>
      </c>
      <c r="C359" s="114" t="s">
        <v>417</v>
      </c>
      <c r="D359" s="114" t="s">
        <v>409</v>
      </c>
      <c r="E359">
        <v>2150</v>
      </c>
      <c r="F359" s="114" t="s">
        <v>782</v>
      </c>
      <c r="G359" s="114" t="s">
        <v>422</v>
      </c>
      <c r="H359" s="114" t="s">
        <v>415</v>
      </c>
      <c r="I359" s="114">
        <v>88</v>
      </c>
      <c r="J359" s="114"/>
    </row>
    <row r="360" spans="1:10">
      <c r="A360" s="114" t="s">
        <v>780</v>
      </c>
      <c r="B360" s="114" t="s">
        <v>407</v>
      </c>
      <c r="C360" s="114" t="s">
        <v>417</v>
      </c>
      <c r="D360" s="114" t="s">
        <v>409</v>
      </c>
      <c r="E360">
        <v>2170</v>
      </c>
      <c r="F360" s="114" t="s">
        <v>783</v>
      </c>
      <c r="G360" s="114" t="s">
        <v>410</v>
      </c>
      <c r="H360" s="114" t="s">
        <v>415</v>
      </c>
      <c r="I360">
        <v>755</v>
      </c>
    </row>
    <row r="361" spans="1:10">
      <c r="A361" s="114" t="s">
        <v>780</v>
      </c>
      <c r="B361" s="114" t="s">
        <v>407</v>
      </c>
      <c r="C361" s="114" t="s">
        <v>412</v>
      </c>
      <c r="D361" s="114" t="s">
        <v>409</v>
      </c>
      <c r="E361">
        <v>2185</v>
      </c>
      <c r="F361" s="114" t="s">
        <v>1050</v>
      </c>
      <c r="G361" s="114" t="s">
        <v>414</v>
      </c>
      <c r="H361" s="114" t="s">
        <v>415</v>
      </c>
      <c r="I361">
        <v>166</v>
      </c>
    </row>
    <row r="362" spans="1:10">
      <c r="A362" s="114" t="s">
        <v>780</v>
      </c>
      <c r="B362" s="114" t="s">
        <v>407</v>
      </c>
      <c r="C362" s="114" t="s">
        <v>408</v>
      </c>
      <c r="D362" s="114" t="s">
        <v>409</v>
      </c>
      <c r="E362">
        <v>2323</v>
      </c>
      <c r="F362" s="114" t="s">
        <v>1051</v>
      </c>
      <c r="G362" s="114" t="s">
        <v>414</v>
      </c>
      <c r="H362" s="114" t="s">
        <v>421</v>
      </c>
      <c r="I362" s="114">
        <v>14</v>
      </c>
      <c r="J362" s="114"/>
    </row>
    <row r="363" spans="1:10">
      <c r="A363" s="114" t="s">
        <v>780</v>
      </c>
      <c r="B363" s="114" t="s">
        <v>407</v>
      </c>
      <c r="C363" s="114" t="s">
        <v>408</v>
      </c>
      <c r="D363" s="114" t="s">
        <v>409</v>
      </c>
      <c r="E363">
        <v>2654</v>
      </c>
      <c r="F363" s="114" t="s">
        <v>784</v>
      </c>
      <c r="G363" s="114" t="s">
        <v>418</v>
      </c>
      <c r="H363" s="114" t="s">
        <v>420</v>
      </c>
      <c r="I363">
        <v>84</v>
      </c>
    </row>
    <row r="364" spans="1:10">
      <c r="A364" s="114" t="s">
        <v>780</v>
      </c>
      <c r="B364" s="114" t="s">
        <v>407</v>
      </c>
      <c r="C364" s="114" t="s">
        <v>408</v>
      </c>
      <c r="D364" s="114" t="s">
        <v>409</v>
      </c>
      <c r="E364">
        <v>3182</v>
      </c>
      <c r="F364" s="114" t="s">
        <v>785</v>
      </c>
      <c r="G364" s="114" t="s">
        <v>422</v>
      </c>
      <c r="H364" s="114" t="s">
        <v>420</v>
      </c>
      <c r="I364">
        <v>447</v>
      </c>
    </row>
    <row r="365" spans="1:10">
      <c r="A365" s="114" t="s">
        <v>780</v>
      </c>
      <c r="B365" s="114" t="s">
        <v>407</v>
      </c>
      <c r="C365" s="114" t="s">
        <v>408</v>
      </c>
      <c r="D365" s="114" t="s">
        <v>413</v>
      </c>
      <c r="E365">
        <v>3477</v>
      </c>
      <c r="F365" s="114" t="s">
        <v>1224</v>
      </c>
      <c r="G365" s="114" t="s">
        <v>422</v>
      </c>
      <c r="H365" s="114" t="s">
        <v>436</v>
      </c>
      <c r="I365" s="114">
        <v>20</v>
      </c>
      <c r="J365" s="114"/>
    </row>
    <row r="366" spans="1:10">
      <c r="A366" s="114" t="s">
        <v>780</v>
      </c>
      <c r="B366" s="114" t="s">
        <v>407</v>
      </c>
      <c r="C366" s="114" t="s">
        <v>417</v>
      </c>
      <c r="D366" s="114" t="s">
        <v>409</v>
      </c>
      <c r="E366">
        <v>3649</v>
      </c>
      <c r="F366" s="114" t="s">
        <v>1225</v>
      </c>
      <c r="G366" s="114" t="s">
        <v>410</v>
      </c>
      <c r="H366" s="114" t="s">
        <v>421</v>
      </c>
      <c r="I366" s="114">
        <v>348</v>
      </c>
      <c r="J366" s="114"/>
    </row>
    <row r="367" spans="1:10">
      <c r="A367" s="114" t="s">
        <v>780</v>
      </c>
      <c r="B367" s="114" t="s">
        <v>407</v>
      </c>
      <c r="C367" s="114" t="s">
        <v>417</v>
      </c>
      <c r="D367" s="114" t="s">
        <v>409</v>
      </c>
      <c r="E367">
        <v>3664</v>
      </c>
      <c r="F367" s="114" t="s">
        <v>1226</v>
      </c>
      <c r="G367" s="114" t="s">
        <v>422</v>
      </c>
      <c r="H367" s="114" t="s">
        <v>421</v>
      </c>
      <c r="I367" s="114">
        <v>60</v>
      </c>
      <c r="J367" s="114"/>
    </row>
    <row r="368" spans="1:10">
      <c r="A368" s="114" t="s">
        <v>780</v>
      </c>
      <c r="B368" s="114" t="s">
        <v>407</v>
      </c>
      <c r="C368" s="114" t="s">
        <v>408</v>
      </c>
      <c r="D368" s="114" t="s">
        <v>409</v>
      </c>
      <c r="E368">
        <v>3934</v>
      </c>
      <c r="F368" s="114" t="s">
        <v>786</v>
      </c>
      <c r="G368" s="114" t="s">
        <v>410</v>
      </c>
      <c r="H368" s="114" t="s">
        <v>421</v>
      </c>
      <c r="I368">
        <v>88</v>
      </c>
    </row>
    <row r="369" spans="1:10">
      <c r="A369" s="114" t="s">
        <v>780</v>
      </c>
      <c r="B369" s="114" t="s">
        <v>407</v>
      </c>
      <c r="C369" s="114" t="s">
        <v>419</v>
      </c>
      <c r="D369" s="114" t="s">
        <v>409</v>
      </c>
      <c r="E369">
        <v>3960</v>
      </c>
      <c r="F369" s="114" t="s">
        <v>787</v>
      </c>
      <c r="G369" s="114" t="s">
        <v>422</v>
      </c>
      <c r="H369" s="114" t="s">
        <v>421</v>
      </c>
      <c r="I369" s="114">
        <v>27</v>
      </c>
      <c r="J369" s="114"/>
    </row>
    <row r="370" spans="1:10">
      <c r="A370" s="114" t="s">
        <v>780</v>
      </c>
      <c r="B370" s="114" t="s">
        <v>407</v>
      </c>
      <c r="C370" s="114" t="s">
        <v>417</v>
      </c>
      <c r="D370" s="114" t="s">
        <v>409</v>
      </c>
      <c r="E370">
        <v>4755</v>
      </c>
      <c r="F370" s="114" t="s">
        <v>788</v>
      </c>
      <c r="G370" s="114" t="s">
        <v>410</v>
      </c>
      <c r="H370" s="114" t="s">
        <v>415</v>
      </c>
      <c r="I370" s="114" t="s">
        <v>789</v>
      </c>
      <c r="J370" s="114" t="s">
        <v>1227</v>
      </c>
    </row>
    <row r="371" spans="1:10">
      <c r="A371" s="114" t="s">
        <v>780</v>
      </c>
      <c r="B371" s="114" t="s">
        <v>407</v>
      </c>
      <c r="C371" s="114" t="s">
        <v>408</v>
      </c>
      <c r="D371" s="114" t="s">
        <v>409</v>
      </c>
      <c r="E371">
        <v>5304</v>
      </c>
      <c r="F371" s="114" t="s">
        <v>790</v>
      </c>
      <c r="G371" s="114" t="s">
        <v>418</v>
      </c>
      <c r="H371" s="114" t="s">
        <v>518</v>
      </c>
      <c r="I371" s="114">
        <v>373</v>
      </c>
      <c r="J371" s="114"/>
    </row>
    <row r="372" spans="1:10">
      <c r="A372" s="114" t="s">
        <v>780</v>
      </c>
      <c r="B372" s="114" t="s">
        <v>407</v>
      </c>
      <c r="C372" s="114" t="s">
        <v>408</v>
      </c>
      <c r="D372" s="114" t="s">
        <v>409</v>
      </c>
      <c r="E372">
        <v>6033</v>
      </c>
      <c r="F372" s="114" t="s">
        <v>791</v>
      </c>
      <c r="G372" s="114" t="s">
        <v>422</v>
      </c>
      <c r="H372" s="114" t="s">
        <v>415</v>
      </c>
      <c r="I372" s="114">
        <v>112</v>
      </c>
      <c r="J372" s="114"/>
    </row>
    <row r="373" spans="1:10">
      <c r="A373" s="114" t="s">
        <v>780</v>
      </c>
      <c r="B373" s="114" t="s">
        <v>407</v>
      </c>
      <c r="C373" s="114" t="s">
        <v>408</v>
      </c>
      <c r="D373" s="114" t="s">
        <v>409</v>
      </c>
      <c r="E373">
        <v>6125</v>
      </c>
      <c r="F373" s="114" t="s">
        <v>1052</v>
      </c>
      <c r="G373" s="114" t="s">
        <v>418</v>
      </c>
      <c r="H373" s="114" t="s">
        <v>431</v>
      </c>
      <c r="I373">
        <v>148</v>
      </c>
    </row>
    <row r="374" spans="1:10">
      <c r="A374" s="114" t="s">
        <v>780</v>
      </c>
      <c r="B374" s="114" t="s">
        <v>407</v>
      </c>
      <c r="C374" s="114" t="s">
        <v>408</v>
      </c>
      <c r="D374" s="114" t="s">
        <v>409</v>
      </c>
      <c r="E374">
        <v>6303</v>
      </c>
      <c r="F374" s="114" t="s">
        <v>1228</v>
      </c>
      <c r="G374" s="114" t="s">
        <v>418</v>
      </c>
      <c r="H374" s="114" t="s">
        <v>431</v>
      </c>
      <c r="I374" s="114">
        <v>74</v>
      </c>
      <c r="J374" s="114"/>
    </row>
    <row r="375" spans="1:10">
      <c r="A375" s="114" t="s">
        <v>780</v>
      </c>
      <c r="B375" s="114" t="s">
        <v>407</v>
      </c>
      <c r="C375" s="114" t="s">
        <v>408</v>
      </c>
      <c r="D375" s="114" t="s">
        <v>409</v>
      </c>
      <c r="E375">
        <v>7070</v>
      </c>
      <c r="F375" s="114" t="s">
        <v>792</v>
      </c>
      <c r="G375" s="114" t="s">
        <v>414</v>
      </c>
      <c r="H375" s="114" t="s">
        <v>415</v>
      </c>
      <c r="I375">
        <v>42</v>
      </c>
    </row>
    <row r="376" spans="1:10">
      <c r="A376" s="114" t="s">
        <v>780</v>
      </c>
      <c r="B376" s="114" t="s">
        <v>407</v>
      </c>
      <c r="C376" s="114" t="s">
        <v>408</v>
      </c>
      <c r="D376" s="114" t="s">
        <v>409</v>
      </c>
      <c r="E376">
        <v>7780</v>
      </c>
      <c r="F376" s="114" t="s">
        <v>793</v>
      </c>
      <c r="G376" s="114" t="s">
        <v>410</v>
      </c>
      <c r="H376" s="114" t="s">
        <v>677</v>
      </c>
      <c r="I376" s="114" t="s">
        <v>465</v>
      </c>
      <c r="J376" s="114" t="s">
        <v>1229</v>
      </c>
    </row>
    <row r="377" spans="1:10">
      <c r="A377" s="114" t="s">
        <v>780</v>
      </c>
      <c r="B377" s="114" t="s">
        <v>407</v>
      </c>
      <c r="C377" s="114" t="s">
        <v>408</v>
      </c>
      <c r="D377" s="114" t="s">
        <v>409</v>
      </c>
      <c r="E377">
        <v>9707</v>
      </c>
      <c r="F377" s="114" t="s">
        <v>794</v>
      </c>
      <c r="G377" s="114" t="s">
        <v>414</v>
      </c>
      <c r="H377" s="114" t="s">
        <v>415</v>
      </c>
      <c r="I377" s="114">
        <v>131</v>
      </c>
      <c r="J377" s="114"/>
    </row>
    <row r="378" spans="1:10">
      <c r="A378" s="114" t="s">
        <v>795</v>
      </c>
      <c r="B378" s="114" t="s">
        <v>407</v>
      </c>
      <c r="C378" s="114" t="s">
        <v>408</v>
      </c>
      <c r="D378" s="114" t="s">
        <v>409</v>
      </c>
      <c r="E378">
        <v>2181</v>
      </c>
      <c r="F378" s="114" t="s">
        <v>1053</v>
      </c>
      <c r="G378" s="114" t="s">
        <v>410</v>
      </c>
      <c r="H378" s="114" t="s">
        <v>415</v>
      </c>
      <c r="I378" s="114" t="s">
        <v>561</v>
      </c>
      <c r="J378" s="114" t="s">
        <v>1230</v>
      </c>
    </row>
    <row r="379" spans="1:10">
      <c r="A379" s="114" t="s">
        <v>795</v>
      </c>
      <c r="B379" s="114" t="s">
        <v>407</v>
      </c>
      <c r="C379" s="114" t="s">
        <v>408</v>
      </c>
      <c r="D379" s="114" t="s">
        <v>413</v>
      </c>
      <c r="E379">
        <v>2334</v>
      </c>
      <c r="F379" s="114" t="s">
        <v>1054</v>
      </c>
      <c r="G379" s="114" t="s">
        <v>422</v>
      </c>
      <c r="H379" s="114" t="s">
        <v>415</v>
      </c>
      <c r="I379" s="114">
        <v>53</v>
      </c>
      <c r="J379" s="114"/>
    </row>
    <row r="380" spans="1:10">
      <c r="A380" s="114" t="s">
        <v>795</v>
      </c>
      <c r="B380" s="114" t="s">
        <v>407</v>
      </c>
      <c r="C380" s="114" t="s">
        <v>417</v>
      </c>
      <c r="D380" s="114" t="s">
        <v>409</v>
      </c>
      <c r="E380">
        <v>2492</v>
      </c>
      <c r="F380" s="114" t="s">
        <v>1231</v>
      </c>
      <c r="G380" s="114" t="s">
        <v>410</v>
      </c>
      <c r="H380" s="114" t="s">
        <v>415</v>
      </c>
      <c r="I380" s="114" t="s">
        <v>433</v>
      </c>
      <c r="J380" s="114" t="s">
        <v>1232</v>
      </c>
    </row>
    <row r="381" spans="1:10">
      <c r="A381" s="114" t="s">
        <v>795</v>
      </c>
      <c r="B381" s="114" t="s">
        <v>407</v>
      </c>
      <c r="C381" s="114" t="s">
        <v>419</v>
      </c>
      <c r="D381" s="114" t="s">
        <v>409</v>
      </c>
      <c r="E381">
        <v>3135</v>
      </c>
      <c r="F381" s="114" t="s">
        <v>796</v>
      </c>
      <c r="G381" s="114" t="s">
        <v>422</v>
      </c>
      <c r="H381" s="114" t="s">
        <v>420</v>
      </c>
      <c r="I381" s="114">
        <v>171</v>
      </c>
      <c r="J381" s="114"/>
    </row>
    <row r="382" spans="1:10">
      <c r="A382" s="114" t="s">
        <v>795</v>
      </c>
      <c r="B382" s="114" t="s">
        <v>407</v>
      </c>
      <c r="C382" s="114" t="s">
        <v>408</v>
      </c>
      <c r="D382" s="114" t="s">
        <v>409</v>
      </c>
      <c r="E382">
        <v>3184</v>
      </c>
      <c r="F382" s="114" t="s">
        <v>1233</v>
      </c>
      <c r="G382" s="114" t="s">
        <v>418</v>
      </c>
      <c r="H382" s="114" t="s">
        <v>420</v>
      </c>
      <c r="I382" s="114">
        <v>34</v>
      </c>
      <c r="J382" s="114"/>
    </row>
    <row r="383" spans="1:10">
      <c r="A383" s="114" t="s">
        <v>795</v>
      </c>
      <c r="B383" s="114" t="s">
        <v>407</v>
      </c>
      <c r="C383" s="114" t="s">
        <v>408</v>
      </c>
      <c r="D383" s="114" t="s">
        <v>413</v>
      </c>
      <c r="E383">
        <v>3489</v>
      </c>
      <c r="F383" s="114" t="s">
        <v>1234</v>
      </c>
      <c r="G383" s="114" t="s">
        <v>422</v>
      </c>
      <c r="H383" s="114" t="s">
        <v>436</v>
      </c>
      <c r="I383" s="114">
        <v>64</v>
      </c>
      <c r="J383" s="114"/>
    </row>
    <row r="384" spans="1:10">
      <c r="A384" s="114" t="s">
        <v>795</v>
      </c>
      <c r="B384" s="114" t="s">
        <v>407</v>
      </c>
      <c r="C384" s="114" t="s">
        <v>408</v>
      </c>
      <c r="D384" s="114" t="s">
        <v>409</v>
      </c>
      <c r="E384">
        <v>4620</v>
      </c>
      <c r="F384" s="114" t="s">
        <v>797</v>
      </c>
      <c r="G384" s="114" t="s">
        <v>410</v>
      </c>
      <c r="H384" s="114" t="s">
        <v>423</v>
      </c>
      <c r="I384" s="114">
        <v>186</v>
      </c>
      <c r="J384" s="114"/>
    </row>
    <row r="385" spans="1:10">
      <c r="A385" s="114" t="s">
        <v>795</v>
      </c>
      <c r="B385" s="114" t="s">
        <v>407</v>
      </c>
      <c r="C385" s="114" t="s">
        <v>417</v>
      </c>
      <c r="D385" s="114" t="s">
        <v>409</v>
      </c>
      <c r="E385">
        <v>6141</v>
      </c>
      <c r="F385" s="114" t="s">
        <v>798</v>
      </c>
      <c r="G385" s="114" t="s">
        <v>410</v>
      </c>
      <c r="H385" s="114" t="s">
        <v>431</v>
      </c>
      <c r="I385" s="114" t="s">
        <v>433</v>
      </c>
      <c r="J385" s="114" t="s">
        <v>1235</v>
      </c>
    </row>
    <row r="386" spans="1:10">
      <c r="A386" s="114" t="s">
        <v>795</v>
      </c>
      <c r="B386" s="114" t="s">
        <v>407</v>
      </c>
      <c r="C386" s="114" t="s">
        <v>408</v>
      </c>
      <c r="D386" s="114" t="s">
        <v>409</v>
      </c>
      <c r="E386">
        <v>6247</v>
      </c>
      <c r="F386" s="114" t="s">
        <v>799</v>
      </c>
      <c r="G386" s="114" t="s">
        <v>410</v>
      </c>
      <c r="H386" s="114" t="s">
        <v>431</v>
      </c>
      <c r="I386">
        <v>326</v>
      </c>
    </row>
    <row r="387" spans="1:10">
      <c r="A387" s="114" t="s">
        <v>795</v>
      </c>
      <c r="B387" s="114" t="s">
        <v>407</v>
      </c>
      <c r="C387" s="114" t="s">
        <v>408</v>
      </c>
      <c r="D387" s="114" t="s">
        <v>409</v>
      </c>
      <c r="E387">
        <v>7199</v>
      </c>
      <c r="F387" s="114" t="s">
        <v>800</v>
      </c>
      <c r="G387" s="114" t="s">
        <v>410</v>
      </c>
      <c r="H387" s="114" t="s">
        <v>482</v>
      </c>
      <c r="I387">
        <v>308</v>
      </c>
    </row>
    <row r="388" spans="1:10">
      <c r="A388" s="114" t="s">
        <v>801</v>
      </c>
      <c r="B388" s="114" t="s">
        <v>407</v>
      </c>
      <c r="C388" s="114" t="s">
        <v>417</v>
      </c>
      <c r="D388" s="114" t="s">
        <v>413</v>
      </c>
      <c r="E388">
        <v>8985</v>
      </c>
      <c r="F388" s="114" t="s">
        <v>802</v>
      </c>
      <c r="G388" s="114" t="s">
        <v>497</v>
      </c>
      <c r="H388" s="114" t="s">
        <v>498</v>
      </c>
      <c r="I388" s="114" t="s">
        <v>650</v>
      </c>
      <c r="J388" s="114" t="s">
        <v>1236</v>
      </c>
    </row>
    <row r="389" spans="1:10">
      <c r="A389" s="114" t="s">
        <v>1237</v>
      </c>
      <c r="B389" s="114" t="s">
        <v>407</v>
      </c>
      <c r="C389" s="114" t="s">
        <v>408</v>
      </c>
      <c r="D389" s="114" t="s">
        <v>409</v>
      </c>
      <c r="E389">
        <v>2593</v>
      </c>
      <c r="F389" s="114" t="s">
        <v>426</v>
      </c>
      <c r="G389" s="114" t="s">
        <v>410</v>
      </c>
      <c r="H389" s="114" t="s">
        <v>411</v>
      </c>
      <c r="I389" s="114" t="s">
        <v>561</v>
      </c>
      <c r="J389" s="114" t="s">
        <v>1238</v>
      </c>
    </row>
    <row r="390" spans="1:10">
      <c r="A390" s="114" t="s">
        <v>1237</v>
      </c>
      <c r="B390" s="114" t="s">
        <v>407</v>
      </c>
      <c r="C390" s="114" t="s">
        <v>419</v>
      </c>
      <c r="D390" s="114" t="s">
        <v>409</v>
      </c>
      <c r="E390">
        <v>6267</v>
      </c>
      <c r="F390" s="114" t="s">
        <v>430</v>
      </c>
      <c r="G390" s="114" t="s">
        <v>414</v>
      </c>
      <c r="H390" s="114" t="s">
        <v>431</v>
      </c>
      <c r="I390" s="114">
        <v>36</v>
      </c>
      <c r="J390" s="114"/>
    </row>
    <row r="391" spans="1:10">
      <c r="A391" s="114" t="s">
        <v>1239</v>
      </c>
      <c r="B391" s="114" t="s">
        <v>407</v>
      </c>
      <c r="C391" s="114" t="s">
        <v>408</v>
      </c>
      <c r="D391" s="114" t="s">
        <v>409</v>
      </c>
      <c r="E391">
        <v>4750</v>
      </c>
      <c r="F391" s="114" t="s">
        <v>424</v>
      </c>
      <c r="G391" s="114" t="s">
        <v>418</v>
      </c>
      <c r="H391" s="114" t="s">
        <v>415</v>
      </c>
      <c r="I391">
        <v>52</v>
      </c>
    </row>
    <row r="392" spans="1:10">
      <c r="A392" s="114" t="s">
        <v>803</v>
      </c>
      <c r="B392" s="114" t="s">
        <v>407</v>
      </c>
      <c r="C392" s="114" t="s">
        <v>408</v>
      </c>
      <c r="D392" s="114" t="s">
        <v>413</v>
      </c>
      <c r="E392">
        <v>1723</v>
      </c>
      <c r="F392" s="114" t="s">
        <v>804</v>
      </c>
      <c r="G392" s="114" t="s">
        <v>414</v>
      </c>
      <c r="H392" s="114" t="s">
        <v>444</v>
      </c>
      <c r="I392">
        <v>250</v>
      </c>
    </row>
    <row r="393" spans="1:10">
      <c r="A393" s="114" t="s">
        <v>803</v>
      </c>
      <c r="B393" s="114" t="s">
        <v>407</v>
      </c>
      <c r="C393" s="114" t="s">
        <v>408</v>
      </c>
      <c r="D393" s="114" t="s">
        <v>409</v>
      </c>
      <c r="E393">
        <v>1941</v>
      </c>
      <c r="F393" s="114" t="s">
        <v>805</v>
      </c>
      <c r="G393" s="114" t="s">
        <v>410</v>
      </c>
      <c r="H393" s="114" t="s">
        <v>444</v>
      </c>
      <c r="I393" s="114" t="s">
        <v>465</v>
      </c>
      <c r="J393" s="114" t="s">
        <v>1240</v>
      </c>
    </row>
    <row r="394" spans="1:10">
      <c r="A394" s="114" t="s">
        <v>803</v>
      </c>
      <c r="B394" s="114" t="s">
        <v>407</v>
      </c>
      <c r="C394" s="114" t="s">
        <v>408</v>
      </c>
      <c r="D394" s="114" t="s">
        <v>409</v>
      </c>
      <c r="E394">
        <v>1946</v>
      </c>
      <c r="F394" s="114" t="s">
        <v>806</v>
      </c>
      <c r="G394" s="114" t="s">
        <v>410</v>
      </c>
      <c r="H394" s="114" t="s">
        <v>444</v>
      </c>
      <c r="I394" s="114">
        <v>703</v>
      </c>
      <c r="J394" s="114"/>
    </row>
    <row r="395" spans="1:10">
      <c r="A395" s="114" t="s">
        <v>803</v>
      </c>
      <c r="B395" s="114" t="s">
        <v>407</v>
      </c>
      <c r="C395" s="114" t="s">
        <v>408</v>
      </c>
      <c r="D395" s="114" t="s">
        <v>409</v>
      </c>
      <c r="E395">
        <v>1959</v>
      </c>
      <c r="F395" s="114" t="s">
        <v>807</v>
      </c>
      <c r="G395" s="114" t="s">
        <v>410</v>
      </c>
      <c r="H395" s="114" t="s">
        <v>444</v>
      </c>
      <c r="I395" s="114" t="s">
        <v>433</v>
      </c>
      <c r="J395" s="114" t="s">
        <v>1028</v>
      </c>
    </row>
    <row r="396" spans="1:10">
      <c r="A396" s="114" t="s">
        <v>803</v>
      </c>
      <c r="B396" s="114" t="s">
        <v>407</v>
      </c>
      <c r="C396" s="114" t="s">
        <v>408</v>
      </c>
      <c r="D396" s="114" t="s">
        <v>409</v>
      </c>
      <c r="E396">
        <v>2148</v>
      </c>
      <c r="F396" s="114" t="s">
        <v>1055</v>
      </c>
      <c r="G396" s="114" t="s">
        <v>410</v>
      </c>
      <c r="H396" s="114" t="s">
        <v>415</v>
      </c>
      <c r="I396">
        <v>157</v>
      </c>
    </row>
    <row r="397" spans="1:10">
      <c r="A397" s="114" t="s">
        <v>803</v>
      </c>
      <c r="B397" s="114" t="s">
        <v>407</v>
      </c>
      <c r="C397" s="114" t="s">
        <v>408</v>
      </c>
      <c r="D397" s="114" t="s">
        <v>409</v>
      </c>
      <c r="E397">
        <v>2326</v>
      </c>
      <c r="F397" s="114" t="s">
        <v>1056</v>
      </c>
      <c r="G397" s="114" t="s">
        <v>410</v>
      </c>
      <c r="H397" s="114" t="s">
        <v>421</v>
      </c>
      <c r="I397">
        <v>832</v>
      </c>
    </row>
    <row r="398" spans="1:10">
      <c r="A398" s="114" t="s">
        <v>803</v>
      </c>
      <c r="B398" s="114" t="s">
        <v>407</v>
      </c>
      <c r="C398" s="114" t="s">
        <v>408</v>
      </c>
      <c r="D398" s="114" t="s">
        <v>413</v>
      </c>
      <c r="E398">
        <v>2332</v>
      </c>
      <c r="F398" s="114" t="s">
        <v>808</v>
      </c>
      <c r="G398" s="114" t="s">
        <v>414</v>
      </c>
      <c r="H398" s="114" t="s">
        <v>421</v>
      </c>
      <c r="I398" s="114">
        <v>62</v>
      </c>
      <c r="J398" s="114"/>
    </row>
    <row r="399" spans="1:10">
      <c r="A399" s="114" t="s">
        <v>803</v>
      </c>
      <c r="B399" s="114" t="s">
        <v>407</v>
      </c>
      <c r="C399" s="114" t="s">
        <v>408</v>
      </c>
      <c r="D399" s="114" t="s">
        <v>409</v>
      </c>
      <c r="E399">
        <v>3116</v>
      </c>
      <c r="F399" s="114" t="s">
        <v>1241</v>
      </c>
      <c r="G399" s="114" t="s">
        <v>410</v>
      </c>
      <c r="H399" s="114" t="s">
        <v>461</v>
      </c>
      <c r="I399" s="114" t="s">
        <v>650</v>
      </c>
      <c r="J399" s="114" t="s">
        <v>1242</v>
      </c>
    </row>
    <row r="400" spans="1:10">
      <c r="A400" s="114" t="s">
        <v>803</v>
      </c>
      <c r="B400" s="114" t="s">
        <v>407</v>
      </c>
      <c r="C400" s="114" t="s">
        <v>408</v>
      </c>
      <c r="D400" s="114" t="s">
        <v>409</v>
      </c>
      <c r="E400">
        <v>3132</v>
      </c>
      <c r="F400" s="114" t="s">
        <v>1243</v>
      </c>
      <c r="G400" s="114" t="s">
        <v>410</v>
      </c>
      <c r="H400" s="114" t="s">
        <v>416</v>
      </c>
      <c r="I400" s="114" t="s">
        <v>465</v>
      </c>
      <c r="J400" s="114" t="s">
        <v>1244</v>
      </c>
    </row>
    <row r="401" spans="1:10">
      <c r="A401" s="114" t="s">
        <v>803</v>
      </c>
      <c r="B401" s="114" t="s">
        <v>407</v>
      </c>
      <c r="C401" s="114" t="s">
        <v>408</v>
      </c>
      <c r="D401" s="114" t="s">
        <v>413</v>
      </c>
      <c r="E401">
        <v>3177</v>
      </c>
      <c r="F401" s="114" t="s">
        <v>809</v>
      </c>
      <c r="G401" s="114" t="s">
        <v>414</v>
      </c>
      <c r="H401" s="114" t="s">
        <v>420</v>
      </c>
      <c r="I401" s="114">
        <v>22</v>
      </c>
      <c r="J401" s="114"/>
    </row>
    <row r="402" spans="1:10">
      <c r="A402" s="114" t="s">
        <v>803</v>
      </c>
      <c r="B402" s="114" t="s">
        <v>407</v>
      </c>
      <c r="C402" s="114" t="s">
        <v>408</v>
      </c>
      <c r="D402" s="114" t="s">
        <v>409</v>
      </c>
      <c r="E402">
        <v>3231</v>
      </c>
      <c r="F402" s="114" t="s">
        <v>810</v>
      </c>
      <c r="G402" s="114" t="s">
        <v>410</v>
      </c>
      <c r="H402" s="114" t="s">
        <v>436</v>
      </c>
      <c r="I402" s="114" t="s">
        <v>427</v>
      </c>
      <c r="J402" s="114" t="s">
        <v>1245</v>
      </c>
    </row>
    <row r="403" spans="1:10">
      <c r="A403" s="114" t="s">
        <v>803</v>
      </c>
      <c r="B403" s="114" t="s">
        <v>407</v>
      </c>
      <c r="C403" s="114" t="s">
        <v>408</v>
      </c>
      <c r="D403" s="114" t="s">
        <v>413</v>
      </c>
      <c r="E403">
        <v>3564</v>
      </c>
      <c r="F403" s="114" t="s">
        <v>1246</v>
      </c>
      <c r="G403" s="114" t="s">
        <v>410</v>
      </c>
      <c r="H403" s="114" t="s">
        <v>420</v>
      </c>
      <c r="I403">
        <v>867</v>
      </c>
    </row>
    <row r="404" spans="1:10">
      <c r="A404" s="114" t="s">
        <v>803</v>
      </c>
      <c r="B404" s="114" t="s">
        <v>407</v>
      </c>
      <c r="C404" s="114" t="s">
        <v>408</v>
      </c>
      <c r="D404" s="114" t="s">
        <v>413</v>
      </c>
      <c r="E404">
        <v>3658</v>
      </c>
      <c r="F404" s="114" t="s">
        <v>1247</v>
      </c>
      <c r="G404" s="114" t="s">
        <v>410</v>
      </c>
      <c r="H404" s="114" t="s">
        <v>421</v>
      </c>
      <c r="I404">
        <v>112</v>
      </c>
    </row>
    <row r="405" spans="1:10">
      <c r="A405" s="114" t="s">
        <v>803</v>
      </c>
      <c r="B405" s="114" t="s">
        <v>407</v>
      </c>
      <c r="C405" s="114" t="s">
        <v>408</v>
      </c>
      <c r="D405" s="114" t="s">
        <v>409</v>
      </c>
      <c r="E405">
        <v>3778</v>
      </c>
      <c r="F405" s="114" t="s">
        <v>1248</v>
      </c>
      <c r="G405" s="114" t="s">
        <v>410</v>
      </c>
      <c r="H405" s="114" t="s">
        <v>421</v>
      </c>
      <c r="I405">
        <v>251</v>
      </c>
    </row>
    <row r="406" spans="1:10">
      <c r="A406" s="114" t="s">
        <v>803</v>
      </c>
      <c r="B406" s="114" t="s">
        <v>407</v>
      </c>
      <c r="C406" s="114" t="s">
        <v>408</v>
      </c>
      <c r="D406" s="114" t="s">
        <v>413</v>
      </c>
      <c r="E406">
        <v>4333</v>
      </c>
      <c r="F406" s="114" t="s">
        <v>811</v>
      </c>
      <c r="G406" s="114" t="s">
        <v>410</v>
      </c>
      <c r="H406" s="114" t="s">
        <v>421</v>
      </c>
      <c r="I406">
        <v>133</v>
      </c>
    </row>
    <row r="407" spans="1:10">
      <c r="A407" s="114" t="s">
        <v>803</v>
      </c>
      <c r="B407" s="114" t="s">
        <v>407</v>
      </c>
      <c r="C407" s="114" t="s">
        <v>412</v>
      </c>
      <c r="D407" s="114" t="s">
        <v>413</v>
      </c>
      <c r="E407">
        <v>4393</v>
      </c>
      <c r="F407" s="114" t="s">
        <v>812</v>
      </c>
      <c r="G407" s="114" t="s">
        <v>422</v>
      </c>
      <c r="H407" s="114" t="s">
        <v>421</v>
      </c>
      <c r="I407" s="114">
        <v>115</v>
      </c>
      <c r="J407" s="114"/>
    </row>
    <row r="408" spans="1:10">
      <c r="A408" s="114" t="s">
        <v>803</v>
      </c>
      <c r="B408" s="114" t="s">
        <v>407</v>
      </c>
      <c r="C408" s="114" t="s">
        <v>408</v>
      </c>
      <c r="D408" s="114" t="s">
        <v>409</v>
      </c>
      <c r="E408">
        <v>4557</v>
      </c>
      <c r="F408" s="114" t="s">
        <v>813</v>
      </c>
      <c r="G408" s="114" t="s">
        <v>414</v>
      </c>
      <c r="H408" s="114" t="s">
        <v>532</v>
      </c>
      <c r="I408">
        <v>234</v>
      </c>
    </row>
    <row r="409" spans="1:10">
      <c r="A409" s="114" t="s">
        <v>803</v>
      </c>
      <c r="B409" s="114" t="s">
        <v>407</v>
      </c>
      <c r="C409" s="114" t="s">
        <v>408</v>
      </c>
      <c r="D409" s="114" t="s">
        <v>409</v>
      </c>
      <c r="E409">
        <v>4684</v>
      </c>
      <c r="F409" s="114" t="s">
        <v>814</v>
      </c>
      <c r="G409" s="114" t="s">
        <v>410</v>
      </c>
      <c r="H409" s="114" t="s">
        <v>421</v>
      </c>
      <c r="I409" s="114" t="s">
        <v>815</v>
      </c>
      <c r="J409" s="114" t="s">
        <v>1249</v>
      </c>
    </row>
    <row r="410" spans="1:10">
      <c r="A410" s="114" t="s">
        <v>803</v>
      </c>
      <c r="B410" s="114" t="s">
        <v>407</v>
      </c>
      <c r="C410" s="114" t="s">
        <v>408</v>
      </c>
      <c r="D410" s="114" t="s">
        <v>409</v>
      </c>
      <c r="E410">
        <v>4689</v>
      </c>
      <c r="F410" s="114" t="s">
        <v>816</v>
      </c>
      <c r="G410" s="114" t="s">
        <v>410</v>
      </c>
      <c r="H410" s="114" t="s">
        <v>421</v>
      </c>
      <c r="I410" s="114" t="s">
        <v>817</v>
      </c>
      <c r="J410" s="114" t="s">
        <v>1250</v>
      </c>
    </row>
    <row r="411" spans="1:10">
      <c r="A411" s="114" t="s">
        <v>803</v>
      </c>
      <c r="B411" s="114" t="s">
        <v>407</v>
      </c>
      <c r="C411" s="114" t="s">
        <v>408</v>
      </c>
      <c r="D411" s="114" t="s">
        <v>413</v>
      </c>
      <c r="E411">
        <v>6022</v>
      </c>
      <c r="F411" s="114" t="s">
        <v>818</v>
      </c>
      <c r="G411" s="114" t="s">
        <v>418</v>
      </c>
      <c r="H411" s="114" t="s">
        <v>431</v>
      </c>
      <c r="I411">
        <v>28</v>
      </c>
    </row>
    <row r="412" spans="1:10">
      <c r="A412" s="114" t="s">
        <v>803</v>
      </c>
      <c r="B412" s="114" t="s">
        <v>407</v>
      </c>
      <c r="C412" s="114" t="s">
        <v>408</v>
      </c>
      <c r="D412" s="114" t="s">
        <v>409</v>
      </c>
      <c r="E412">
        <v>6201</v>
      </c>
      <c r="F412" s="114" t="s">
        <v>819</v>
      </c>
      <c r="G412" s="114" t="s">
        <v>410</v>
      </c>
      <c r="H412" s="114" t="s">
        <v>461</v>
      </c>
      <c r="I412" s="114" t="s">
        <v>1251</v>
      </c>
      <c r="J412" s="114" t="s">
        <v>1252</v>
      </c>
    </row>
    <row r="413" spans="1:10">
      <c r="A413" s="114" t="s">
        <v>803</v>
      </c>
      <c r="B413" s="114" t="s">
        <v>407</v>
      </c>
      <c r="C413" s="114" t="s">
        <v>408</v>
      </c>
      <c r="D413" s="114" t="s">
        <v>409</v>
      </c>
      <c r="E413">
        <v>6301</v>
      </c>
      <c r="F413" s="114" t="s">
        <v>821</v>
      </c>
      <c r="G413" s="114" t="s">
        <v>410</v>
      </c>
      <c r="H413" s="114" t="s">
        <v>431</v>
      </c>
      <c r="I413" s="114" t="s">
        <v>1253</v>
      </c>
      <c r="J413" s="114" t="s">
        <v>1254</v>
      </c>
    </row>
    <row r="414" spans="1:10">
      <c r="A414" s="114" t="s">
        <v>803</v>
      </c>
      <c r="B414" s="114" t="s">
        <v>407</v>
      </c>
      <c r="C414" s="114" t="s">
        <v>408</v>
      </c>
      <c r="D414" s="114" t="s">
        <v>409</v>
      </c>
      <c r="E414">
        <v>6395</v>
      </c>
      <c r="F414" s="114" t="s">
        <v>822</v>
      </c>
      <c r="G414" s="114" t="s">
        <v>410</v>
      </c>
      <c r="H414" s="114" t="s">
        <v>431</v>
      </c>
      <c r="I414" s="114" t="s">
        <v>465</v>
      </c>
      <c r="J414" s="114" t="s">
        <v>1255</v>
      </c>
    </row>
    <row r="415" spans="1:10">
      <c r="A415" s="114" t="s">
        <v>803</v>
      </c>
      <c r="B415" s="114" t="s">
        <v>407</v>
      </c>
      <c r="C415" s="114" t="s">
        <v>408</v>
      </c>
      <c r="D415" s="114" t="s">
        <v>409</v>
      </c>
      <c r="E415">
        <v>6645</v>
      </c>
      <c r="F415" s="114" t="s">
        <v>824</v>
      </c>
      <c r="G415" s="114" t="s">
        <v>410</v>
      </c>
      <c r="H415" s="114" t="s">
        <v>435</v>
      </c>
      <c r="I415" s="114" t="s">
        <v>789</v>
      </c>
      <c r="J415" s="114" t="s">
        <v>831</v>
      </c>
    </row>
    <row r="416" spans="1:10">
      <c r="A416" s="114" t="s">
        <v>803</v>
      </c>
      <c r="B416" s="114" t="s">
        <v>407</v>
      </c>
      <c r="C416" s="114" t="s">
        <v>408</v>
      </c>
      <c r="D416" s="114" t="s">
        <v>409</v>
      </c>
      <c r="E416">
        <v>6788</v>
      </c>
      <c r="F416" s="114" t="s">
        <v>825</v>
      </c>
      <c r="G416" s="114" t="s">
        <v>410</v>
      </c>
      <c r="H416" s="114" t="s">
        <v>435</v>
      </c>
      <c r="I416">
        <v>419</v>
      </c>
    </row>
    <row r="417" spans="1:10">
      <c r="A417" s="114" t="s">
        <v>803</v>
      </c>
      <c r="B417" s="114" t="s">
        <v>407</v>
      </c>
      <c r="C417" s="114" t="s">
        <v>408</v>
      </c>
      <c r="D417" s="114" t="s">
        <v>409</v>
      </c>
      <c r="E417">
        <v>7278</v>
      </c>
      <c r="F417" s="114" t="s">
        <v>826</v>
      </c>
      <c r="G417" s="114" t="s">
        <v>410</v>
      </c>
      <c r="H417" s="114" t="s">
        <v>461</v>
      </c>
      <c r="I417" s="114" t="s">
        <v>465</v>
      </c>
      <c r="J417" s="114" t="s">
        <v>1256</v>
      </c>
    </row>
    <row r="418" spans="1:10">
      <c r="A418" s="114" t="s">
        <v>803</v>
      </c>
      <c r="B418" s="114" t="s">
        <v>407</v>
      </c>
      <c r="C418" s="114" t="s">
        <v>419</v>
      </c>
      <c r="D418" s="114" t="s">
        <v>413</v>
      </c>
      <c r="E418">
        <v>7500</v>
      </c>
      <c r="F418" s="114" t="s">
        <v>1257</v>
      </c>
      <c r="G418" s="114" t="s">
        <v>414</v>
      </c>
      <c r="H418" s="114" t="s">
        <v>416</v>
      </c>
      <c r="I418">
        <v>147</v>
      </c>
    </row>
    <row r="419" spans="1:10">
      <c r="A419" s="114" t="s">
        <v>803</v>
      </c>
      <c r="B419" s="114" t="s">
        <v>407</v>
      </c>
      <c r="C419" s="114" t="s">
        <v>408</v>
      </c>
      <c r="D419" s="114" t="s">
        <v>409</v>
      </c>
      <c r="E419">
        <v>7995</v>
      </c>
      <c r="F419" s="114" t="s">
        <v>827</v>
      </c>
      <c r="G419" s="114" t="s">
        <v>410</v>
      </c>
      <c r="H419" s="114" t="s">
        <v>423</v>
      </c>
      <c r="I419">
        <v>488</v>
      </c>
    </row>
    <row r="420" spans="1:10">
      <c r="A420" s="114" t="s">
        <v>803</v>
      </c>
      <c r="B420" s="114" t="s">
        <v>407</v>
      </c>
      <c r="C420" s="114" t="s">
        <v>408</v>
      </c>
      <c r="D420" s="114" t="s">
        <v>409</v>
      </c>
      <c r="E420">
        <v>8242</v>
      </c>
      <c r="F420" s="114" t="s">
        <v>828</v>
      </c>
      <c r="G420" s="114" t="s">
        <v>410</v>
      </c>
      <c r="H420" s="114" t="s">
        <v>420</v>
      </c>
      <c r="I420" s="114" t="s">
        <v>465</v>
      </c>
      <c r="J420" s="114" t="s">
        <v>1258</v>
      </c>
    </row>
    <row r="421" spans="1:10">
      <c r="A421" s="114" t="s">
        <v>803</v>
      </c>
      <c r="B421" s="114" t="s">
        <v>407</v>
      </c>
      <c r="C421" s="114" t="s">
        <v>408</v>
      </c>
      <c r="D421" s="114" t="s">
        <v>409</v>
      </c>
      <c r="E421">
        <v>8304</v>
      </c>
      <c r="F421" s="114" t="s">
        <v>829</v>
      </c>
      <c r="G421" s="114" t="s">
        <v>410</v>
      </c>
      <c r="H421" s="114" t="s">
        <v>830</v>
      </c>
      <c r="I421" s="114" t="s">
        <v>650</v>
      </c>
      <c r="J421" s="114" t="s">
        <v>1259</v>
      </c>
    </row>
    <row r="422" spans="1:10">
      <c r="A422" s="114" t="s">
        <v>803</v>
      </c>
      <c r="B422" s="114" t="s">
        <v>407</v>
      </c>
      <c r="C422" s="114" t="s">
        <v>408</v>
      </c>
      <c r="D422" s="114" t="s">
        <v>409</v>
      </c>
      <c r="E422">
        <v>9202</v>
      </c>
      <c r="F422" s="114" t="s">
        <v>832</v>
      </c>
      <c r="G422" s="114" t="s">
        <v>410</v>
      </c>
      <c r="H422" s="114" t="s">
        <v>833</v>
      </c>
      <c r="I422" s="114" t="s">
        <v>916</v>
      </c>
      <c r="J422" s="114" t="s">
        <v>1260</v>
      </c>
    </row>
    <row r="423" spans="1:10">
      <c r="A423" s="114" t="s">
        <v>803</v>
      </c>
      <c r="B423" s="114" t="s">
        <v>407</v>
      </c>
      <c r="C423" s="114" t="s">
        <v>408</v>
      </c>
      <c r="D423" s="114" t="s">
        <v>409</v>
      </c>
      <c r="E423">
        <v>9474</v>
      </c>
      <c r="F423" s="114" t="s">
        <v>834</v>
      </c>
      <c r="G423" s="114" t="s">
        <v>410</v>
      </c>
      <c r="H423" s="114" t="s">
        <v>421</v>
      </c>
      <c r="I423" s="114" t="s">
        <v>465</v>
      </c>
      <c r="J423" s="114" t="s">
        <v>1047</v>
      </c>
    </row>
    <row r="424" spans="1:10">
      <c r="A424" s="114" t="s">
        <v>803</v>
      </c>
      <c r="B424" s="114" t="s">
        <v>407</v>
      </c>
      <c r="C424" s="114" t="s">
        <v>408</v>
      </c>
      <c r="D424" s="114" t="s">
        <v>409</v>
      </c>
      <c r="E424">
        <v>9502</v>
      </c>
      <c r="F424" s="114" t="s">
        <v>835</v>
      </c>
      <c r="G424" s="114" t="s">
        <v>410</v>
      </c>
      <c r="H424" s="114" t="s">
        <v>836</v>
      </c>
      <c r="I424" s="114" t="s">
        <v>837</v>
      </c>
      <c r="J424" s="114" t="s">
        <v>1261</v>
      </c>
    </row>
    <row r="425" spans="1:10">
      <c r="A425" s="114" t="s">
        <v>803</v>
      </c>
      <c r="B425" s="114" t="s">
        <v>407</v>
      </c>
      <c r="C425" s="114" t="s">
        <v>408</v>
      </c>
      <c r="D425" s="114" t="s">
        <v>409</v>
      </c>
      <c r="E425">
        <v>9504</v>
      </c>
      <c r="F425" s="114" t="s">
        <v>838</v>
      </c>
      <c r="G425" s="114" t="s">
        <v>410</v>
      </c>
      <c r="H425" s="114" t="s">
        <v>836</v>
      </c>
      <c r="I425" s="114" t="s">
        <v>427</v>
      </c>
      <c r="J425" s="114" t="s">
        <v>1227</v>
      </c>
    </row>
    <row r="426" spans="1:10">
      <c r="A426" s="114" t="s">
        <v>803</v>
      </c>
      <c r="B426" s="114" t="s">
        <v>407</v>
      </c>
      <c r="C426" s="114" t="s">
        <v>408</v>
      </c>
      <c r="D426" s="114" t="s">
        <v>409</v>
      </c>
      <c r="E426">
        <v>9531</v>
      </c>
      <c r="F426" s="114" t="s">
        <v>839</v>
      </c>
      <c r="G426" s="114" t="s">
        <v>410</v>
      </c>
      <c r="H426" s="114" t="s">
        <v>836</v>
      </c>
      <c r="I426" s="114" t="s">
        <v>837</v>
      </c>
      <c r="J426" s="114" t="s">
        <v>1262</v>
      </c>
    </row>
    <row r="427" spans="1:10">
      <c r="A427" s="114" t="s">
        <v>803</v>
      </c>
      <c r="B427" s="114" t="s">
        <v>407</v>
      </c>
      <c r="C427" s="114" t="s">
        <v>408</v>
      </c>
      <c r="D427" s="114" t="s">
        <v>409</v>
      </c>
      <c r="E427">
        <v>9719</v>
      </c>
      <c r="F427" s="114" t="s">
        <v>840</v>
      </c>
      <c r="G427" s="114" t="s">
        <v>410</v>
      </c>
      <c r="H427" s="114" t="s">
        <v>421</v>
      </c>
      <c r="I427" s="114" t="s">
        <v>620</v>
      </c>
      <c r="J427" s="114" t="s">
        <v>1263</v>
      </c>
    </row>
    <row r="428" spans="1:10">
      <c r="A428" s="114" t="s">
        <v>803</v>
      </c>
      <c r="B428" s="114" t="s">
        <v>407</v>
      </c>
      <c r="C428" s="114" t="s">
        <v>408</v>
      </c>
      <c r="D428" s="114" t="s">
        <v>409</v>
      </c>
      <c r="E428">
        <v>9936</v>
      </c>
      <c r="F428" s="114" t="s">
        <v>841</v>
      </c>
      <c r="G428" s="114" t="s">
        <v>410</v>
      </c>
      <c r="H428" s="114" t="s">
        <v>420</v>
      </c>
      <c r="I428" s="114" t="s">
        <v>465</v>
      </c>
      <c r="J428" s="114" t="s">
        <v>1264</v>
      </c>
    </row>
    <row r="429" spans="1:10">
      <c r="A429" s="114" t="s">
        <v>843</v>
      </c>
      <c r="B429" s="114" t="s">
        <v>407</v>
      </c>
      <c r="C429" s="114" t="s">
        <v>419</v>
      </c>
      <c r="D429" s="114" t="s">
        <v>413</v>
      </c>
      <c r="E429">
        <v>1430</v>
      </c>
      <c r="F429" s="114" t="s">
        <v>844</v>
      </c>
      <c r="G429" s="114" t="s">
        <v>410</v>
      </c>
      <c r="H429" s="114" t="s">
        <v>444</v>
      </c>
      <c r="I429">
        <v>87</v>
      </c>
    </row>
    <row r="430" spans="1:10">
      <c r="A430" s="114" t="s">
        <v>843</v>
      </c>
      <c r="B430" s="114" t="s">
        <v>407</v>
      </c>
      <c r="C430" s="114" t="s">
        <v>417</v>
      </c>
      <c r="D430" s="114" t="s">
        <v>409</v>
      </c>
      <c r="E430">
        <v>2734</v>
      </c>
      <c r="F430" s="114" t="s">
        <v>845</v>
      </c>
      <c r="G430" s="114" t="s">
        <v>410</v>
      </c>
      <c r="H430" s="114" t="s">
        <v>420</v>
      </c>
      <c r="I430">
        <v>411</v>
      </c>
    </row>
    <row r="431" spans="1:10">
      <c r="A431" s="114" t="s">
        <v>843</v>
      </c>
      <c r="B431" s="114" t="s">
        <v>407</v>
      </c>
      <c r="C431" s="114" t="s">
        <v>412</v>
      </c>
      <c r="D431" s="114" t="s">
        <v>409</v>
      </c>
      <c r="E431">
        <v>3168</v>
      </c>
      <c r="F431" s="114" t="s">
        <v>846</v>
      </c>
      <c r="G431" s="114" t="s">
        <v>410</v>
      </c>
      <c r="H431" s="114" t="s">
        <v>416</v>
      </c>
      <c r="I431">
        <v>65</v>
      </c>
    </row>
    <row r="432" spans="1:10">
      <c r="A432" s="114" t="s">
        <v>843</v>
      </c>
      <c r="B432" s="114" t="s">
        <v>407</v>
      </c>
      <c r="C432" s="114" t="s">
        <v>417</v>
      </c>
      <c r="D432" s="114" t="s">
        <v>409</v>
      </c>
      <c r="E432">
        <v>3186</v>
      </c>
      <c r="F432" s="114" t="s">
        <v>847</v>
      </c>
      <c r="G432" s="114" t="s">
        <v>410</v>
      </c>
      <c r="H432" s="114" t="s">
        <v>420</v>
      </c>
      <c r="I432">
        <v>893</v>
      </c>
    </row>
    <row r="433" spans="1:10">
      <c r="A433" s="114" t="s">
        <v>843</v>
      </c>
      <c r="B433" s="114" t="s">
        <v>407</v>
      </c>
      <c r="C433" s="114" t="s">
        <v>408</v>
      </c>
      <c r="D433" s="114" t="s">
        <v>409</v>
      </c>
      <c r="E433">
        <v>3353</v>
      </c>
      <c r="F433" s="114" t="s">
        <v>848</v>
      </c>
      <c r="G433" s="114" t="s">
        <v>414</v>
      </c>
      <c r="H433" s="114" t="s">
        <v>420</v>
      </c>
      <c r="I433" s="114">
        <v>183</v>
      </c>
      <c r="J433" s="114"/>
    </row>
    <row r="434" spans="1:10">
      <c r="A434" s="114" t="s">
        <v>843</v>
      </c>
      <c r="B434" s="114" t="s">
        <v>407</v>
      </c>
      <c r="C434" s="114" t="s">
        <v>408</v>
      </c>
      <c r="D434" s="114" t="s">
        <v>409</v>
      </c>
      <c r="E434">
        <v>3382</v>
      </c>
      <c r="F434" s="114" t="s">
        <v>849</v>
      </c>
      <c r="G434" s="114" t="s">
        <v>410</v>
      </c>
      <c r="H434" s="114" t="s">
        <v>420</v>
      </c>
      <c r="I434" s="114" t="s">
        <v>850</v>
      </c>
      <c r="J434" s="114" t="s">
        <v>1029</v>
      </c>
    </row>
    <row r="435" spans="1:10">
      <c r="A435" s="114" t="s">
        <v>843</v>
      </c>
      <c r="B435" s="114" t="s">
        <v>407</v>
      </c>
      <c r="C435" s="114" t="s">
        <v>417</v>
      </c>
      <c r="D435" s="114" t="s">
        <v>409</v>
      </c>
      <c r="E435">
        <v>3454</v>
      </c>
      <c r="F435" s="114" t="s">
        <v>851</v>
      </c>
      <c r="G435" s="114" t="s">
        <v>410</v>
      </c>
      <c r="H435" s="114" t="s">
        <v>436</v>
      </c>
      <c r="I435" s="114">
        <v>184</v>
      </c>
      <c r="J435" s="114"/>
    </row>
    <row r="436" spans="1:10">
      <c r="A436" s="114" t="s">
        <v>843</v>
      </c>
      <c r="B436" s="114" t="s">
        <v>407</v>
      </c>
      <c r="C436" s="114" t="s">
        <v>408</v>
      </c>
      <c r="D436" s="114" t="s">
        <v>409</v>
      </c>
      <c r="E436">
        <v>4429</v>
      </c>
      <c r="F436" s="114" t="s">
        <v>852</v>
      </c>
      <c r="G436" s="114" t="s">
        <v>422</v>
      </c>
      <c r="H436" s="114" t="s">
        <v>421</v>
      </c>
      <c r="I436">
        <v>242</v>
      </c>
    </row>
    <row r="437" spans="1:10">
      <c r="A437" s="114" t="s">
        <v>843</v>
      </c>
      <c r="B437" s="114" t="s">
        <v>407</v>
      </c>
      <c r="C437" s="114" t="s">
        <v>419</v>
      </c>
      <c r="D437" s="114" t="s">
        <v>413</v>
      </c>
      <c r="E437">
        <v>4430</v>
      </c>
      <c r="F437" s="114" t="s">
        <v>853</v>
      </c>
      <c r="G437" s="114" t="s">
        <v>418</v>
      </c>
      <c r="H437" s="114" t="s">
        <v>421</v>
      </c>
      <c r="I437">
        <v>54</v>
      </c>
    </row>
    <row r="438" spans="1:10">
      <c r="A438" s="114" t="s">
        <v>843</v>
      </c>
      <c r="B438" s="114" t="s">
        <v>407</v>
      </c>
      <c r="C438" s="114" t="s">
        <v>419</v>
      </c>
      <c r="D438" s="114" t="s">
        <v>409</v>
      </c>
      <c r="E438">
        <v>4443</v>
      </c>
      <c r="F438" s="114" t="s">
        <v>854</v>
      </c>
      <c r="G438" s="114" t="s">
        <v>422</v>
      </c>
      <c r="H438" s="114" t="s">
        <v>421</v>
      </c>
      <c r="I438" s="114" t="s">
        <v>465</v>
      </c>
      <c r="J438" s="114" t="s">
        <v>1265</v>
      </c>
    </row>
    <row r="439" spans="1:10">
      <c r="A439" s="114" t="s">
        <v>843</v>
      </c>
      <c r="B439" s="114" t="s">
        <v>407</v>
      </c>
      <c r="C439" s="114" t="s">
        <v>412</v>
      </c>
      <c r="D439" s="114" t="s">
        <v>413</v>
      </c>
      <c r="E439">
        <v>6264</v>
      </c>
      <c r="F439" s="114" t="s">
        <v>856</v>
      </c>
      <c r="G439" s="114" t="s">
        <v>410</v>
      </c>
      <c r="H439" s="114" t="s">
        <v>431</v>
      </c>
      <c r="I439">
        <v>134</v>
      </c>
    </row>
    <row r="440" spans="1:10">
      <c r="A440" s="114" t="s">
        <v>843</v>
      </c>
      <c r="B440" s="114" t="s">
        <v>407</v>
      </c>
      <c r="C440" s="114" t="s">
        <v>412</v>
      </c>
      <c r="D440" s="114" t="s">
        <v>409</v>
      </c>
      <c r="E440">
        <v>6289</v>
      </c>
      <c r="F440" s="114" t="s">
        <v>1266</v>
      </c>
      <c r="G440" s="114" t="s">
        <v>410</v>
      </c>
      <c r="H440" s="114" t="s">
        <v>431</v>
      </c>
      <c r="I440" s="114" t="s">
        <v>465</v>
      </c>
      <c r="J440" s="114" t="s">
        <v>1024</v>
      </c>
    </row>
    <row r="441" spans="1:10">
      <c r="A441" s="114" t="s">
        <v>843</v>
      </c>
      <c r="B441" s="114" t="s">
        <v>407</v>
      </c>
      <c r="C441" s="114" t="s">
        <v>419</v>
      </c>
      <c r="D441" s="114" t="s">
        <v>413</v>
      </c>
      <c r="E441">
        <v>6496</v>
      </c>
      <c r="F441" s="114" t="s">
        <v>857</v>
      </c>
      <c r="G441" s="114" t="s">
        <v>418</v>
      </c>
      <c r="H441" s="114" t="s">
        <v>431</v>
      </c>
      <c r="I441" s="114">
        <v>103</v>
      </c>
      <c r="J441" s="114"/>
    </row>
    <row r="442" spans="1:10">
      <c r="A442" s="114" t="s">
        <v>843</v>
      </c>
      <c r="B442" s="114" t="s">
        <v>407</v>
      </c>
      <c r="C442" s="114" t="s">
        <v>408</v>
      </c>
      <c r="D442" s="114" t="s">
        <v>409</v>
      </c>
      <c r="E442">
        <v>8008</v>
      </c>
      <c r="F442" s="114" t="s">
        <v>858</v>
      </c>
      <c r="G442" s="114" t="s">
        <v>410</v>
      </c>
      <c r="H442" s="114" t="s">
        <v>420</v>
      </c>
      <c r="I442">
        <v>627</v>
      </c>
    </row>
    <row r="443" spans="1:10">
      <c r="A443" s="114" t="s">
        <v>843</v>
      </c>
      <c r="B443" s="114" t="s">
        <v>407</v>
      </c>
      <c r="C443" s="114" t="s">
        <v>408</v>
      </c>
      <c r="D443" s="114" t="s">
        <v>409</v>
      </c>
      <c r="E443">
        <v>8125</v>
      </c>
      <c r="F443" s="114" t="s">
        <v>859</v>
      </c>
      <c r="G443" s="114" t="s">
        <v>410</v>
      </c>
      <c r="H443" s="114" t="s">
        <v>416</v>
      </c>
      <c r="I443">
        <v>563</v>
      </c>
    </row>
    <row r="444" spans="1:10">
      <c r="A444" s="114" t="s">
        <v>860</v>
      </c>
      <c r="B444" s="114" t="s">
        <v>407</v>
      </c>
      <c r="C444" s="114" t="s">
        <v>419</v>
      </c>
      <c r="D444" s="114" t="s">
        <v>409</v>
      </c>
      <c r="E444">
        <v>1377</v>
      </c>
      <c r="F444" s="114" t="s">
        <v>861</v>
      </c>
      <c r="G444" s="114" t="s">
        <v>410</v>
      </c>
      <c r="H444" s="114" t="s">
        <v>550</v>
      </c>
      <c r="I444" s="114" t="s">
        <v>465</v>
      </c>
      <c r="J444" s="114" t="s">
        <v>1267</v>
      </c>
    </row>
    <row r="445" spans="1:10">
      <c r="A445" s="114" t="s">
        <v>860</v>
      </c>
      <c r="B445" s="114" t="s">
        <v>407</v>
      </c>
      <c r="C445" s="114" t="s">
        <v>419</v>
      </c>
      <c r="D445" s="114" t="s">
        <v>409</v>
      </c>
      <c r="E445">
        <v>1887</v>
      </c>
      <c r="F445" s="114" t="s">
        <v>862</v>
      </c>
      <c r="G445" s="114" t="s">
        <v>410</v>
      </c>
      <c r="H445" s="114" t="s">
        <v>444</v>
      </c>
      <c r="I445">
        <v>608</v>
      </c>
    </row>
    <row r="446" spans="1:10">
      <c r="A446" s="114" t="s">
        <v>860</v>
      </c>
      <c r="B446" s="114" t="s">
        <v>407</v>
      </c>
      <c r="C446" s="114" t="s">
        <v>408</v>
      </c>
      <c r="D446" s="114" t="s">
        <v>413</v>
      </c>
      <c r="E446">
        <v>2294</v>
      </c>
      <c r="F446" s="114" t="s">
        <v>863</v>
      </c>
      <c r="G446" s="114" t="s">
        <v>410</v>
      </c>
      <c r="H446" s="114" t="s">
        <v>411</v>
      </c>
      <c r="I446">
        <v>373</v>
      </c>
    </row>
    <row r="447" spans="1:10">
      <c r="A447" s="114" t="s">
        <v>860</v>
      </c>
      <c r="B447" s="114" t="s">
        <v>407</v>
      </c>
      <c r="C447" s="114" t="s">
        <v>419</v>
      </c>
      <c r="D447" s="114" t="s">
        <v>413</v>
      </c>
      <c r="E447">
        <v>2303</v>
      </c>
      <c r="F447" s="114" t="s">
        <v>864</v>
      </c>
      <c r="G447" s="114" t="s">
        <v>414</v>
      </c>
      <c r="H447" s="114" t="s">
        <v>421</v>
      </c>
      <c r="I447">
        <v>51</v>
      </c>
    </row>
    <row r="448" spans="1:10">
      <c r="A448" s="114" t="s">
        <v>860</v>
      </c>
      <c r="B448" s="114" t="s">
        <v>407</v>
      </c>
      <c r="C448" s="114" t="s">
        <v>419</v>
      </c>
      <c r="D448" s="114" t="s">
        <v>409</v>
      </c>
      <c r="E448">
        <v>2462</v>
      </c>
      <c r="F448" s="114" t="s">
        <v>865</v>
      </c>
      <c r="G448" s="114" t="s">
        <v>410</v>
      </c>
      <c r="H448" s="114" t="s">
        <v>415</v>
      </c>
      <c r="I448">
        <v>343</v>
      </c>
    </row>
    <row r="449" spans="1:10">
      <c r="A449" s="114" t="s">
        <v>860</v>
      </c>
      <c r="B449" s="114" t="s">
        <v>407</v>
      </c>
      <c r="C449" s="114" t="s">
        <v>417</v>
      </c>
      <c r="D449" s="114" t="s">
        <v>409</v>
      </c>
      <c r="E449">
        <v>2698</v>
      </c>
      <c r="F449" s="114" t="s">
        <v>866</v>
      </c>
      <c r="G449" s="114" t="s">
        <v>410</v>
      </c>
      <c r="H449" s="114" t="s">
        <v>420</v>
      </c>
      <c r="I449">
        <v>276</v>
      </c>
    </row>
    <row r="450" spans="1:10">
      <c r="A450" s="114" t="s">
        <v>860</v>
      </c>
      <c r="B450" s="114" t="s">
        <v>407</v>
      </c>
      <c r="C450" s="114" t="s">
        <v>419</v>
      </c>
      <c r="D450" s="114" t="s">
        <v>413</v>
      </c>
      <c r="E450">
        <v>3297</v>
      </c>
      <c r="F450" s="114" t="s">
        <v>867</v>
      </c>
      <c r="G450" s="114" t="s">
        <v>414</v>
      </c>
      <c r="H450" s="114" t="s">
        <v>436</v>
      </c>
      <c r="I450" s="114">
        <v>29</v>
      </c>
      <c r="J450" s="114"/>
    </row>
    <row r="451" spans="1:10">
      <c r="A451" s="114" t="s">
        <v>860</v>
      </c>
      <c r="B451" s="114" t="s">
        <v>407</v>
      </c>
      <c r="C451" s="114" t="s">
        <v>417</v>
      </c>
      <c r="D451" s="114" t="s">
        <v>413</v>
      </c>
      <c r="E451">
        <v>3377</v>
      </c>
      <c r="F451" s="114" t="s">
        <v>868</v>
      </c>
      <c r="G451" s="114" t="s">
        <v>418</v>
      </c>
      <c r="H451" s="114" t="s">
        <v>416</v>
      </c>
      <c r="I451" s="114">
        <v>29</v>
      </c>
      <c r="J451" s="114"/>
    </row>
    <row r="452" spans="1:10">
      <c r="A452" s="114" t="s">
        <v>860</v>
      </c>
      <c r="B452" s="114" t="s">
        <v>407</v>
      </c>
      <c r="C452" s="114" t="s">
        <v>408</v>
      </c>
      <c r="D452" s="114" t="s">
        <v>409</v>
      </c>
      <c r="E452">
        <v>3387</v>
      </c>
      <c r="F452" s="114" t="s">
        <v>869</v>
      </c>
      <c r="G452" s="114" t="s">
        <v>410</v>
      </c>
      <c r="H452" s="114" t="s">
        <v>420</v>
      </c>
      <c r="I452" s="114" t="s">
        <v>465</v>
      </c>
      <c r="J452" s="114" t="s">
        <v>1268</v>
      </c>
    </row>
    <row r="453" spans="1:10">
      <c r="A453" s="114" t="s">
        <v>860</v>
      </c>
      <c r="B453" s="114" t="s">
        <v>407</v>
      </c>
      <c r="C453" s="114" t="s">
        <v>408</v>
      </c>
      <c r="D453" s="114" t="s">
        <v>409</v>
      </c>
      <c r="E453">
        <v>3548</v>
      </c>
      <c r="F453" s="114" t="s">
        <v>870</v>
      </c>
      <c r="G453" s="114" t="s">
        <v>410</v>
      </c>
      <c r="H453" s="114" t="s">
        <v>420</v>
      </c>
      <c r="I453">
        <v>346</v>
      </c>
    </row>
    <row r="454" spans="1:10">
      <c r="A454" s="114" t="s">
        <v>860</v>
      </c>
      <c r="B454" s="114" t="s">
        <v>407</v>
      </c>
      <c r="C454" s="114" t="s">
        <v>408</v>
      </c>
      <c r="D454" s="114" t="s">
        <v>413</v>
      </c>
      <c r="E454">
        <v>3557</v>
      </c>
      <c r="F454" s="114" t="s">
        <v>871</v>
      </c>
      <c r="G454" s="114" t="s">
        <v>422</v>
      </c>
      <c r="H454" s="114" t="s">
        <v>420</v>
      </c>
      <c r="I454">
        <v>48</v>
      </c>
    </row>
    <row r="455" spans="1:10">
      <c r="A455" s="114" t="s">
        <v>860</v>
      </c>
      <c r="B455" s="114" t="s">
        <v>407</v>
      </c>
      <c r="C455" s="114" t="s">
        <v>408</v>
      </c>
      <c r="D455" s="114" t="s">
        <v>413</v>
      </c>
      <c r="E455">
        <v>3996</v>
      </c>
      <c r="F455" s="114" t="s">
        <v>872</v>
      </c>
      <c r="G455" s="114" t="s">
        <v>410</v>
      </c>
      <c r="H455" s="114" t="s">
        <v>421</v>
      </c>
      <c r="I455">
        <v>244</v>
      </c>
    </row>
    <row r="456" spans="1:10">
      <c r="A456" s="114" t="s">
        <v>860</v>
      </c>
      <c r="B456" s="114" t="s">
        <v>407</v>
      </c>
      <c r="C456" s="114" t="s">
        <v>412</v>
      </c>
      <c r="D456" s="114" t="s">
        <v>409</v>
      </c>
      <c r="E456">
        <v>4433</v>
      </c>
      <c r="F456" s="114" t="s">
        <v>873</v>
      </c>
      <c r="G456" s="114" t="s">
        <v>410</v>
      </c>
      <c r="H456" s="114" t="s">
        <v>421</v>
      </c>
      <c r="I456">
        <v>285</v>
      </c>
    </row>
    <row r="457" spans="1:10">
      <c r="A457" s="114" t="s">
        <v>860</v>
      </c>
      <c r="B457" s="114" t="s">
        <v>407</v>
      </c>
      <c r="C457" s="114" t="s">
        <v>408</v>
      </c>
      <c r="D457" s="114" t="s">
        <v>413</v>
      </c>
      <c r="E457">
        <v>4434</v>
      </c>
      <c r="F457" s="114" t="s">
        <v>874</v>
      </c>
      <c r="G457" s="114" t="s">
        <v>422</v>
      </c>
      <c r="H457" s="114" t="s">
        <v>421</v>
      </c>
      <c r="I457">
        <v>292</v>
      </c>
    </row>
    <row r="458" spans="1:10">
      <c r="A458" s="114" t="s">
        <v>860</v>
      </c>
      <c r="B458" s="114" t="s">
        <v>407</v>
      </c>
      <c r="C458" s="114" t="s">
        <v>412</v>
      </c>
      <c r="D458" s="114" t="s">
        <v>409</v>
      </c>
      <c r="E458">
        <v>4440</v>
      </c>
      <c r="F458" s="114" t="s">
        <v>875</v>
      </c>
      <c r="G458" s="114" t="s">
        <v>422</v>
      </c>
      <c r="H458" s="114" t="s">
        <v>421</v>
      </c>
      <c r="I458">
        <v>97</v>
      </c>
    </row>
    <row r="459" spans="1:10">
      <c r="A459" s="114" t="s">
        <v>860</v>
      </c>
      <c r="B459" s="114" t="s">
        <v>407</v>
      </c>
      <c r="C459" s="114" t="s">
        <v>419</v>
      </c>
      <c r="D459" s="114" t="s">
        <v>409</v>
      </c>
      <c r="E459">
        <v>5967</v>
      </c>
      <c r="F459" s="114" t="s">
        <v>876</v>
      </c>
      <c r="G459" s="114" t="s">
        <v>418</v>
      </c>
      <c r="H459" s="114" t="s">
        <v>425</v>
      </c>
      <c r="I459">
        <v>61</v>
      </c>
    </row>
    <row r="460" spans="1:10">
      <c r="A460" s="114" t="s">
        <v>860</v>
      </c>
      <c r="B460" s="114" t="s">
        <v>407</v>
      </c>
      <c r="C460" s="114" t="s">
        <v>408</v>
      </c>
      <c r="D460" s="114" t="s">
        <v>409</v>
      </c>
      <c r="E460">
        <v>6173</v>
      </c>
      <c r="F460" s="114" t="s">
        <v>877</v>
      </c>
      <c r="G460" s="114" t="s">
        <v>422</v>
      </c>
      <c r="H460" s="114" t="s">
        <v>415</v>
      </c>
      <c r="I460">
        <v>25</v>
      </c>
    </row>
    <row r="461" spans="1:10">
      <c r="A461" s="114" t="s">
        <v>860</v>
      </c>
      <c r="B461" s="114" t="s">
        <v>407</v>
      </c>
      <c r="C461" s="114" t="s">
        <v>419</v>
      </c>
      <c r="D461" s="114" t="s">
        <v>409</v>
      </c>
      <c r="E461">
        <v>6489</v>
      </c>
      <c r="F461" s="114" t="s">
        <v>878</v>
      </c>
      <c r="G461" s="114" t="s">
        <v>410</v>
      </c>
      <c r="H461" s="114" t="s">
        <v>431</v>
      </c>
      <c r="I461" s="114">
        <v>84</v>
      </c>
      <c r="J461" s="114"/>
    </row>
    <row r="462" spans="1:10">
      <c r="A462" s="114" t="s">
        <v>860</v>
      </c>
      <c r="B462" s="114" t="s">
        <v>407</v>
      </c>
      <c r="C462" s="114" t="s">
        <v>408</v>
      </c>
      <c r="D462" s="114" t="s">
        <v>409</v>
      </c>
      <c r="E462">
        <v>6543</v>
      </c>
      <c r="F462" s="114" t="s">
        <v>879</v>
      </c>
      <c r="G462" s="114" t="s">
        <v>414</v>
      </c>
      <c r="H462" s="114" t="s">
        <v>415</v>
      </c>
      <c r="I462">
        <v>26</v>
      </c>
    </row>
    <row r="463" spans="1:10">
      <c r="A463" s="114" t="s">
        <v>860</v>
      </c>
      <c r="B463" s="114" t="s">
        <v>407</v>
      </c>
      <c r="C463" s="114" t="s">
        <v>408</v>
      </c>
      <c r="D463" s="114" t="s">
        <v>409</v>
      </c>
      <c r="E463">
        <v>7049</v>
      </c>
      <c r="F463" s="114" t="s">
        <v>880</v>
      </c>
      <c r="G463" s="114" t="s">
        <v>422</v>
      </c>
      <c r="H463" s="114" t="s">
        <v>415</v>
      </c>
      <c r="I463" s="114">
        <v>129</v>
      </c>
      <c r="J463" s="114"/>
    </row>
    <row r="464" spans="1:10">
      <c r="A464" s="114" t="s">
        <v>860</v>
      </c>
      <c r="B464" s="114" t="s">
        <v>407</v>
      </c>
      <c r="C464" s="114" t="s">
        <v>408</v>
      </c>
      <c r="D464" s="114" t="s">
        <v>409</v>
      </c>
      <c r="E464">
        <v>7058</v>
      </c>
      <c r="F464" s="114" t="s">
        <v>881</v>
      </c>
      <c r="G464" s="114" t="s">
        <v>414</v>
      </c>
      <c r="H464" s="114" t="s">
        <v>415</v>
      </c>
      <c r="I464" s="114">
        <v>75</v>
      </c>
      <c r="J464" s="114"/>
    </row>
    <row r="465" spans="1:10">
      <c r="A465" s="114" t="s">
        <v>860</v>
      </c>
      <c r="B465" s="114" t="s">
        <v>407</v>
      </c>
      <c r="C465" s="114" t="s">
        <v>412</v>
      </c>
      <c r="D465" s="114" t="s">
        <v>409</v>
      </c>
      <c r="E465">
        <v>7065</v>
      </c>
      <c r="F465" s="114" t="s">
        <v>882</v>
      </c>
      <c r="G465" s="114" t="s">
        <v>418</v>
      </c>
      <c r="H465" s="114" t="s">
        <v>415</v>
      </c>
      <c r="I465">
        <v>190</v>
      </c>
    </row>
    <row r="466" spans="1:10">
      <c r="A466" s="114" t="s">
        <v>860</v>
      </c>
      <c r="B466" s="114" t="s">
        <v>407</v>
      </c>
      <c r="C466" s="114" t="s">
        <v>419</v>
      </c>
      <c r="D466" s="114" t="s">
        <v>413</v>
      </c>
      <c r="E466">
        <v>7673</v>
      </c>
      <c r="F466" s="114" t="s">
        <v>883</v>
      </c>
      <c r="G466" s="114" t="s">
        <v>418</v>
      </c>
      <c r="H466" s="114" t="s">
        <v>416</v>
      </c>
      <c r="I466">
        <v>53</v>
      </c>
    </row>
    <row r="467" spans="1:10">
      <c r="A467" s="114" t="s">
        <v>860</v>
      </c>
      <c r="B467" s="114" t="s">
        <v>407</v>
      </c>
      <c r="C467" s="114" t="s">
        <v>408</v>
      </c>
      <c r="D467" s="114" t="s">
        <v>409</v>
      </c>
      <c r="E467">
        <v>7811</v>
      </c>
      <c r="F467" s="114" t="s">
        <v>884</v>
      </c>
      <c r="G467" s="114" t="s">
        <v>410</v>
      </c>
      <c r="H467" s="114" t="s">
        <v>432</v>
      </c>
      <c r="I467">
        <v>123</v>
      </c>
    </row>
    <row r="468" spans="1:10">
      <c r="A468" s="114" t="s">
        <v>885</v>
      </c>
      <c r="B468" s="114" t="s">
        <v>407</v>
      </c>
      <c r="C468" s="114" t="s">
        <v>408</v>
      </c>
      <c r="D468" s="114" t="s">
        <v>409</v>
      </c>
      <c r="E468">
        <v>1719</v>
      </c>
      <c r="F468" s="114" t="s">
        <v>886</v>
      </c>
      <c r="G468" s="114" t="s">
        <v>410</v>
      </c>
      <c r="H468" s="114" t="s">
        <v>444</v>
      </c>
      <c r="I468" s="114" t="s">
        <v>465</v>
      </c>
      <c r="J468" s="114" t="s">
        <v>1269</v>
      </c>
    </row>
    <row r="469" spans="1:10">
      <c r="A469" s="114" t="s">
        <v>885</v>
      </c>
      <c r="B469" s="114" t="s">
        <v>407</v>
      </c>
      <c r="C469" s="114" t="s">
        <v>408</v>
      </c>
      <c r="D469" s="114" t="s">
        <v>409</v>
      </c>
      <c r="E469">
        <v>1812</v>
      </c>
      <c r="F469" s="114" t="s">
        <v>887</v>
      </c>
      <c r="G469" s="114" t="s">
        <v>410</v>
      </c>
      <c r="H469" s="114" t="s">
        <v>444</v>
      </c>
      <c r="I469" s="114" t="s">
        <v>888</v>
      </c>
      <c r="J469" s="114" t="s">
        <v>1270</v>
      </c>
    </row>
    <row r="470" spans="1:10">
      <c r="A470" s="114" t="s">
        <v>885</v>
      </c>
      <c r="B470" s="114" t="s">
        <v>407</v>
      </c>
      <c r="C470" s="114" t="s">
        <v>408</v>
      </c>
      <c r="D470" s="114" t="s">
        <v>409</v>
      </c>
      <c r="E470">
        <v>1824</v>
      </c>
      <c r="F470" s="114" t="s">
        <v>889</v>
      </c>
      <c r="G470" s="114" t="s">
        <v>410</v>
      </c>
      <c r="H470" s="114" t="s">
        <v>444</v>
      </c>
      <c r="I470" s="114" t="s">
        <v>465</v>
      </c>
      <c r="J470" s="114" t="s">
        <v>1271</v>
      </c>
    </row>
    <row r="471" spans="1:10">
      <c r="A471" s="114" t="s">
        <v>885</v>
      </c>
      <c r="B471" s="114" t="s">
        <v>407</v>
      </c>
      <c r="C471" s="114" t="s">
        <v>408</v>
      </c>
      <c r="D471" s="114" t="s">
        <v>409</v>
      </c>
      <c r="E471">
        <v>1860</v>
      </c>
      <c r="F471" s="114" t="s">
        <v>890</v>
      </c>
      <c r="G471" s="114" t="s">
        <v>410</v>
      </c>
      <c r="H471" s="114" t="s">
        <v>444</v>
      </c>
      <c r="I471" s="114" t="s">
        <v>433</v>
      </c>
      <c r="J471" s="114" t="s">
        <v>1138</v>
      </c>
    </row>
    <row r="472" spans="1:10">
      <c r="A472" s="114" t="s">
        <v>885</v>
      </c>
      <c r="B472" s="114" t="s">
        <v>407</v>
      </c>
      <c r="C472" s="114" t="s">
        <v>408</v>
      </c>
      <c r="D472" s="114" t="s">
        <v>409</v>
      </c>
      <c r="E472">
        <v>1964</v>
      </c>
      <c r="F472" s="114" t="s">
        <v>891</v>
      </c>
      <c r="G472" s="114" t="s">
        <v>410</v>
      </c>
      <c r="H472" s="114" t="s">
        <v>444</v>
      </c>
      <c r="I472">
        <v>134</v>
      </c>
    </row>
    <row r="473" spans="1:10">
      <c r="A473" s="114" t="s">
        <v>885</v>
      </c>
      <c r="B473" s="114" t="s">
        <v>407</v>
      </c>
      <c r="C473" s="114" t="s">
        <v>408</v>
      </c>
      <c r="D473" s="114" t="s">
        <v>409</v>
      </c>
      <c r="E473">
        <v>2108</v>
      </c>
      <c r="F473" s="114" t="s">
        <v>892</v>
      </c>
      <c r="G473" s="114" t="s">
        <v>410</v>
      </c>
      <c r="H473" s="114" t="s">
        <v>411</v>
      </c>
      <c r="I473">
        <v>310</v>
      </c>
    </row>
    <row r="474" spans="1:10">
      <c r="A474" s="114" t="s">
        <v>885</v>
      </c>
      <c r="B474" s="114" t="s">
        <v>407</v>
      </c>
      <c r="C474" s="114" t="s">
        <v>408</v>
      </c>
      <c r="D474" s="114" t="s">
        <v>409</v>
      </c>
      <c r="E474">
        <v>2173</v>
      </c>
      <c r="F474" s="114" t="s">
        <v>1058</v>
      </c>
      <c r="G474" s="114" t="s">
        <v>414</v>
      </c>
      <c r="H474" s="114" t="s">
        <v>415</v>
      </c>
      <c r="I474">
        <v>58</v>
      </c>
    </row>
    <row r="475" spans="1:10">
      <c r="A475" s="114" t="s">
        <v>885</v>
      </c>
      <c r="B475" s="114" t="s">
        <v>407</v>
      </c>
      <c r="C475" s="114" t="s">
        <v>419</v>
      </c>
      <c r="D475" s="114" t="s">
        <v>409</v>
      </c>
      <c r="E475">
        <v>2180</v>
      </c>
      <c r="F475" s="114" t="s">
        <v>893</v>
      </c>
      <c r="G475" s="114" t="s">
        <v>410</v>
      </c>
      <c r="H475" s="114" t="s">
        <v>415</v>
      </c>
      <c r="I475">
        <v>176</v>
      </c>
    </row>
    <row r="476" spans="1:10">
      <c r="A476" s="114" t="s">
        <v>885</v>
      </c>
      <c r="B476" s="114" t="s">
        <v>407</v>
      </c>
      <c r="C476" s="114" t="s">
        <v>408</v>
      </c>
      <c r="D476" s="114" t="s">
        <v>409</v>
      </c>
      <c r="E476">
        <v>2288</v>
      </c>
      <c r="F476" s="114" t="s">
        <v>894</v>
      </c>
      <c r="G476" s="114" t="s">
        <v>410</v>
      </c>
      <c r="H476" s="114" t="s">
        <v>411</v>
      </c>
      <c r="I476">
        <v>626</v>
      </c>
    </row>
    <row r="477" spans="1:10">
      <c r="A477" s="114" t="s">
        <v>885</v>
      </c>
      <c r="B477" s="114" t="s">
        <v>407</v>
      </c>
      <c r="C477" s="114" t="s">
        <v>408</v>
      </c>
      <c r="D477" s="114" t="s">
        <v>409</v>
      </c>
      <c r="E477">
        <v>2349</v>
      </c>
      <c r="F477" s="114" t="s">
        <v>1059</v>
      </c>
      <c r="G477" s="114" t="s">
        <v>414</v>
      </c>
      <c r="H477" s="114" t="s">
        <v>421</v>
      </c>
      <c r="I477">
        <v>177</v>
      </c>
    </row>
    <row r="478" spans="1:10">
      <c r="A478" s="114" t="s">
        <v>885</v>
      </c>
      <c r="B478" s="114" t="s">
        <v>407</v>
      </c>
      <c r="C478" s="114" t="s">
        <v>408</v>
      </c>
      <c r="D478" s="114" t="s">
        <v>409</v>
      </c>
      <c r="E478">
        <v>2454</v>
      </c>
      <c r="F478" s="114" t="s">
        <v>1272</v>
      </c>
      <c r="G478" s="114" t="s">
        <v>414</v>
      </c>
      <c r="H478" s="114" t="s">
        <v>415</v>
      </c>
      <c r="I478">
        <v>96</v>
      </c>
    </row>
    <row r="479" spans="1:10">
      <c r="A479" s="114" t="s">
        <v>885</v>
      </c>
      <c r="B479" s="114" t="s">
        <v>407</v>
      </c>
      <c r="C479" s="114" t="s">
        <v>417</v>
      </c>
      <c r="D479" s="114" t="s">
        <v>409</v>
      </c>
      <c r="E479">
        <v>2675</v>
      </c>
      <c r="F479" s="114" t="s">
        <v>895</v>
      </c>
      <c r="G479" s="114" t="s">
        <v>418</v>
      </c>
      <c r="H479" s="114" t="s">
        <v>420</v>
      </c>
      <c r="I479">
        <v>117</v>
      </c>
    </row>
    <row r="480" spans="1:10">
      <c r="A480" s="114" t="s">
        <v>885</v>
      </c>
      <c r="B480" s="114" t="s">
        <v>407</v>
      </c>
      <c r="C480" s="114" t="s">
        <v>408</v>
      </c>
      <c r="D480" s="114" t="s">
        <v>409</v>
      </c>
      <c r="E480">
        <v>2733</v>
      </c>
      <c r="F480" s="114" t="s">
        <v>1273</v>
      </c>
      <c r="G480" s="114" t="s">
        <v>410</v>
      </c>
      <c r="H480" s="114" t="s">
        <v>416</v>
      </c>
      <c r="I480">
        <v>779</v>
      </c>
    </row>
    <row r="481" spans="1:10">
      <c r="A481" s="114" t="s">
        <v>885</v>
      </c>
      <c r="B481" s="114" t="s">
        <v>407</v>
      </c>
      <c r="C481" s="114" t="s">
        <v>408</v>
      </c>
      <c r="D481" s="114" t="s">
        <v>409</v>
      </c>
      <c r="E481">
        <v>2768</v>
      </c>
      <c r="F481" s="114" t="s">
        <v>1274</v>
      </c>
      <c r="G481" s="114" t="s">
        <v>410</v>
      </c>
      <c r="H481" s="114" t="s">
        <v>416</v>
      </c>
      <c r="I481" s="114" t="s">
        <v>561</v>
      </c>
      <c r="J481" s="114" t="s">
        <v>1275</v>
      </c>
    </row>
    <row r="482" spans="1:10">
      <c r="A482" s="114" t="s">
        <v>885</v>
      </c>
      <c r="B482" s="114" t="s">
        <v>407</v>
      </c>
      <c r="C482" s="114" t="s">
        <v>408</v>
      </c>
      <c r="D482" s="114" t="s">
        <v>409</v>
      </c>
      <c r="E482">
        <v>2812</v>
      </c>
      <c r="F482" s="114" t="s">
        <v>1276</v>
      </c>
      <c r="G482" s="114" t="s">
        <v>410</v>
      </c>
      <c r="H482" s="114" t="s">
        <v>411</v>
      </c>
      <c r="I482">
        <v>136</v>
      </c>
    </row>
    <row r="483" spans="1:10">
      <c r="A483" s="114" t="s">
        <v>885</v>
      </c>
      <c r="B483" s="114" t="s">
        <v>407</v>
      </c>
      <c r="C483" s="114" t="s">
        <v>408</v>
      </c>
      <c r="D483" s="114" t="s">
        <v>409</v>
      </c>
      <c r="E483">
        <v>2903</v>
      </c>
      <c r="F483" s="114" t="s">
        <v>1277</v>
      </c>
      <c r="G483" s="114" t="s">
        <v>418</v>
      </c>
      <c r="H483" s="114" t="s">
        <v>411</v>
      </c>
      <c r="I483">
        <v>94</v>
      </c>
    </row>
    <row r="484" spans="1:10">
      <c r="A484" s="114" t="s">
        <v>885</v>
      </c>
      <c r="B484" s="114" t="s">
        <v>407</v>
      </c>
      <c r="C484" s="114" t="s">
        <v>408</v>
      </c>
      <c r="D484" s="114" t="s">
        <v>409</v>
      </c>
      <c r="E484">
        <v>2915</v>
      </c>
      <c r="F484" s="114" t="s">
        <v>1278</v>
      </c>
      <c r="G484" s="114" t="s">
        <v>410</v>
      </c>
      <c r="H484" s="114" t="s">
        <v>411</v>
      </c>
      <c r="I484">
        <v>424</v>
      </c>
    </row>
    <row r="485" spans="1:10">
      <c r="A485" s="114" t="s">
        <v>885</v>
      </c>
      <c r="B485" s="114" t="s">
        <v>407</v>
      </c>
      <c r="C485" s="114" t="s">
        <v>408</v>
      </c>
      <c r="D485" s="114" t="s">
        <v>409</v>
      </c>
      <c r="E485">
        <v>3284</v>
      </c>
      <c r="F485" s="114" t="s">
        <v>1279</v>
      </c>
      <c r="G485" s="114" t="s">
        <v>410</v>
      </c>
      <c r="H485" s="114" t="s">
        <v>436</v>
      </c>
      <c r="I485">
        <v>413</v>
      </c>
    </row>
    <row r="486" spans="1:10">
      <c r="A486" s="114" t="s">
        <v>885</v>
      </c>
      <c r="B486" s="114" t="s">
        <v>407</v>
      </c>
      <c r="C486" s="114" t="s">
        <v>408</v>
      </c>
      <c r="D486" s="114" t="s">
        <v>409</v>
      </c>
      <c r="E486">
        <v>3289</v>
      </c>
      <c r="F486" s="114" t="s">
        <v>1280</v>
      </c>
      <c r="G486" s="114" t="s">
        <v>410</v>
      </c>
      <c r="H486" s="114" t="s">
        <v>436</v>
      </c>
      <c r="I486" s="114" t="s">
        <v>427</v>
      </c>
      <c r="J486" s="114" t="s">
        <v>1281</v>
      </c>
    </row>
    <row r="487" spans="1:10">
      <c r="A487" s="114" t="s">
        <v>885</v>
      </c>
      <c r="B487" s="114" t="s">
        <v>407</v>
      </c>
      <c r="C487" s="114" t="s">
        <v>408</v>
      </c>
      <c r="D487" s="114" t="s">
        <v>409</v>
      </c>
      <c r="E487">
        <v>3401</v>
      </c>
      <c r="F487" s="114" t="s">
        <v>1282</v>
      </c>
      <c r="G487" s="114" t="s">
        <v>410</v>
      </c>
      <c r="H487" s="114" t="s">
        <v>476</v>
      </c>
      <c r="I487" s="114" t="s">
        <v>561</v>
      </c>
      <c r="J487" s="114" t="s">
        <v>1283</v>
      </c>
    </row>
    <row r="488" spans="1:10">
      <c r="A488" s="114" t="s">
        <v>885</v>
      </c>
      <c r="B488" s="114" t="s">
        <v>407</v>
      </c>
      <c r="C488" s="114" t="s">
        <v>408</v>
      </c>
      <c r="D488" s="114" t="s">
        <v>409</v>
      </c>
      <c r="E488">
        <v>3447</v>
      </c>
      <c r="F488" s="114" t="s">
        <v>896</v>
      </c>
      <c r="G488" s="114" t="s">
        <v>410</v>
      </c>
      <c r="H488" s="114" t="s">
        <v>425</v>
      </c>
      <c r="I488">
        <v>151</v>
      </c>
    </row>
    <row r="489" spans="1:10">
      <c r="A489" s="114" t="s">
        <v>885</v>
      </c>
      <c r="B489" s="114" t="s">
        <v>407</v>
      </c>
      <c r="C489" s="114" t="s">
        <v>408</v>
      </c>
      <c r="D489" s="114" t="s">
        <v>413</v>
      </c>
      <c r="E489">
        <v>3467</v>
      </c>
      <c r="F489" s="114" t="s">
        <v>898</v>
      </c>
      <c r="G489" s="114" t="s">
        <v>410</v>
      </c>
      <c r="H489" s="114" t="s">
        <v>436</v>
      </c>
      <c r="I489">
        <v>30</v>
      </c>
    </row>
    <row r="490" spans="1:10">
      <c r="A490" s="114" t="s">
        <v>885</v>
      </c>
      <c r="B490" s="114" t="s">
        <v>407</v>
      </c>
      <c r="C490" s="114" t="s">
        <v>408</v>
      </c>
      <c r="D490" s="114" t="s">
        <v>409</v>
      </c>
      <c r="E490">
        <v>3571</v>
      </c>
      <c r="F490" s="114" t="s">
        <v>1284</v>
      </c>
      <c r="G490" s="114" t="s">
        <v>410</v>
      </c>
      <c r="H490" s="114" t="s">
        <v>476</v>
      </c>
      <c r="I490" s="114">
        <v>135</v>
      </c>
      <c r="J490" s="114"/>
    </row>
    <row r="491" spans="1:10">
      <c r="A491" s="114" t="s">
        <v>885</v>
      </c>
      <c r="B491" s="114" t="s">
        <v>407</v>
      </c>
      <c r="C491" s="114" t="s">
        <v>408</v>
      </c>
      <c r="D491" s="114" t="s">
        <v>409</v>
      </c>
      <c r="E491">
        <v>3600</v>
      </c>
      <c r="F491" s="114" t="s">
        <v>1285</v>
      </c>
      <c r="G491" s="114" t="s">
        <v>418</v>
      </c>
      <c r="H491" s="114" t="s">
        <v>476</v>
      </c>
      <c r="I491">
        <v>26</v>
      </c>
    </row>
    <row r="492" spans="1:10">
      <c r="A492" s="114" t="s">
        <v>885</v>
      </c>
      <c r="B492" s="114" t="s">
        <v>407</v>
      </c>
      <c r="C492" s="114" t="s">
        <v>408</v>
      </c>
      <c r="D492" s="114" t="s">
        <v>409</v>
      </c>
      <c r="E492">
        <v>3622</v>
      </c>
      <c r="F492" s="114" t="s">
        <v>1286</v>
      </c>
      <c r="G492" s="114" t="s">
        <v>422</v>
      </c>
      <c r="H492" s="114" t="s">
        <v>421</v>
      </c>
      <c r="I492" s="114">
        <v>43</v>
      </c>
      <c r="J492" s="114"/>
    </row>
    <row r="493" spans="1:10">
      <c r="A493" s="114" t="s">
        <v>885</v>
      </c>
      <c r="B493" s="114" t="s">
        <v>407</v>
      </c>
      <c r="C493" s="114" t="s">
        <v>408</v>
      </c>
      <c r="D493" s="114" t="s">
        <v>409</v>
      </c>
      <c r="E493">
        <v>3626</v>
      </c>
      <c r="F493" s="114" t="s">
        <v>1287</v>
      </c>
      <c r="G493" s="114" t="s">
        <v>410</v>
      </c>
      <c r="H493" s="114" t="s">
        <v>421</v>
      </c>
      <c r="I493" s="114" t="s">
        <v>427</v>
      </c>
      <c r="J493" s="114" t="s">
        <v>1288</v>
      </c>
    </row>
    <row r="494" spans="1:10">
      <c r="A494" s="114" t="s">
        <v>885</v>
      </c>
      <c r="B494" s="114" t="s">
        <v>407</v>
      </c>
      <c r="C494" s="114" t="s">
        <v>408</v>
      </c>
      <c r="D494" s="114" t="s">
        <v>413</v>
      </c>
      <c r="E494">
        <v>3741</v>
      </c>
      <c r="F494" s="114" t="s">
        <v>1289</v>
      </c>
      <c r="G494" s="114" t="s">
        <v>410</v>
      </c>
      <c r="H494" s="114" t="s">
        <v>421</v>
      </c>
      <c r="I494">
        <v>199</v>
      </c>
    </row>
    <row r="495" spans="1:10">
      <c r="A495" s="114" t="s">
        <v>885</v>
      </c>
      <c r="B495" s="114" t="s">
        <v>407</v>
      </c>
      <c r="C495" s="114" t="s">
        <v>408</v>
      </c>
      <c r="D495" s="114" t="s">
        <v>409</v>
      </c>
      <c r="E495">
        <v>3943</v>
      </c>
      <c r="F495" s="114" t="s">
        <v>899</v>
      </c>
      <c r="G495" s="114" t="s">
        <v>772</v>
      </c>
      <c r="H495" s="114" t="s">
        <v>478</v>
      </c>
      <c r="I495">
        <v>79</v>
      </c>
    </row>
    <row r="496" spans="1:10">
      <c r="A496" s="114" t="s">
        <v>885</v>
      </c>
      <c r="B496" s="114" t="s">
        <v>407</v>
      </c>
      <c r="C496" s="114" t="s">
        <v>408</v>
      </c>
      <c r="D496" s="114" t="s">
        <v>409</v>
      </c>
      <c r="E496">
        <v>4046</v>
      </c>
      <c r="F496" s="114" t="s">
        <v>900</v>
      </c>
      <c r="G496" s="114" t="s">
        <v>410</v>
      </c>
      <c r="H496" s="114" t="s">
        <v>423</v>
      </c>
      <c r="I496" s="114">
        <v>829</v>
      </c>
      <c r="J496" s="114"/>
    </row>
    <row r="497" spans="1:10">
      <c r="A497" s="114" t="s">
        <v>885</v>
      </c>
      <c r="B497" s="114" t="s">
        <v>407</v>
      </c>
      <c r="C497" s="114" t="s">
        <v>408</v>
      </c>
      <c r="D497" s="114" t="s">
        <v>413</v>
      </c>
      <c r="E497">
        <v>4080</v>
      </c>
      <c r="F497" s="114" t="s">
        <v>901</v>
      </c>
      <c r="G497" s="114" t="s">
        <v>414</v>
      </c>
      <c r="H497" s="114" t="s">
        <v>423</v>
      </c>
      <c r="I497">
        <v>316</v>
      </c>
    </row>
    <row r="498" spans="1:10">
      <c r="A498" s="114" t="s">
        <v>885</v>
      </c>
      <c r="B498" s="114" t="s">
        <v>407</v>
      </c>
      <c r="C498" s="114" t="s">
        <v>412</v>
      </c>
      <c r="D498" s="114" t="s">
        <v>413</v>
      </c>
      <c r="E498">
        <v>4447</v>
      </c>
      <c r="F498" s="114" t="s">
        <v>902</v>
      </c>
      <c r="G498" s="114" t="s">
        <v>772</v>
      </c>
      <c r="H498" s="114" t="s">
        <v>421</v>
      </c>
      <c r="I498">
        <v>25</v>
      </c>
    </row>
    <row r="499" spans="1:10">
      <c r="A499" s="114" t="s">
        <v>885</v>
      </c>
      <c r="B499" s="114" t="s">
        <v>407</v>
      </c>
      <c r="C499" s="114" t="s">
        <v>408</v>
      </c>
      <c r="D499" s="114" t="s">
        <v>409</v>
      </c>
      <c r="E499">
        <v>4548</v>
      </c>
      <c r="F499" s="114" t="s">
        <v>903</v>
      </c>
      <c r="G499" s="114" t="s">
        <v>410</v>
      </c>
      <c r="H499" s="114" t="s">
        <v>532</v>
      </c>
      <c r="I499" s="114">
        <v>715</v>
      </c>
      <c r="J499" s="114"/>
    </row>
    <row r="500" spans="1:10">
      <c r="A500" s="114" t="s">
        <v>885</v>
      </c>
      <c r="B500" s="114" t="s">
        <v>407</v>
      </c>
      <c r="C500" s="114" t="s">
        <v>408</v>
      </c>
      <c r="D500" s="114" t="s">
        <v>409</v>
      </c>
      <c r="E500">
        <v>5192</v>
      </c>
      <c r="F500" s="114" t="s">
        <v>904</v>
      </c>
      <c r="G500" s="114" t="s">
        <v>410</v>
      </c>
      <c r="H500" s="114" t="s">
        <v>905</v>
      </c>
      <c r="I500">
        <v>687</v>
      </c>
    </row>
    <row r="501" spans="1:10">
      <c r="A501" s="114" t="s">
        <v>885</v>
      </c>
      <c r="B501" s="114" t="s">
        <v>407</v>
      </c>
      <c r="C501" s="114" t="s">
        <v>408</v>
      </c>
      <c r="D501" s="114" t="s">
        <v>409</v>
      </c>
      <c r="E501">
        <v>5964</v>
      </c>
      <c r="F501" s="114" t="s">
        <v>906</v>
      </c>
      <c r="G501" s="114" t="s">
        <v>418</v>
      </c>
      <c r="H501" s="114" t="s">
        <v>425</v>
      </c>
      <c r="I501">
        <v>22</v>
      </c>
    </row>
    <row r="502" spans="1:10">
      <c r="A502" s="114" t="s">
        <v>885</v>
      </c>
      <c r="B502" s="114" t="s">
        <v>407</v>
      </c>
      <c r="C502" s="114" t="s">
        <v>408</v>
      </c>
      <c r="D502" s="114" t="s">
        <v>409</v>
      </c>
      <c r="E502">
        <v>5989</v>
      </c>
      <c r="F502" s="114" t="s">
        <v>907</v>
      </c>
      <c r="G502" s="114" t="s">
        <v>410</v>
      </c>
      <c r="H502" s="114" t="s">
        <v>425</v>
      </c>
      <c r="I502">
        <v>245</v>
      </c>
    </row>
    <row r="503" spans="1:10">
      <c r="A503" s="114" t="s">
        <v>885</v>
      </c>
      <c r="B503" s="114" t="s">
        <v>407</v>
      </c>
      <c r="C503" s="114" t="s">
        <v>408</v>
      </c>
      <c r="D503" s="114" t="s">
        <v>409</v>
      </c>
      <c r="E503">
        <v>6240</v>
      </c>
      <c r="F503" s="114" t="s">
        <v>908</v>
      </c>
      <c r="G503" s="114" t="s">
        <v>410</v>
      </c>
      <c r="H503" s="114" t="s">
        <v>431</v>
      </c>
      <c r="I503">
        <v>601</v>
      </c>
    </row>
    <row r="504" spans="1:10">
      <c r="A504" s="114" t="s">
        <v>885</v>
      </c>
      <c r="B504" s="114" t="s">
        <v>407</v>
      </c>
      <c r="C504" s="114" t="s">
        <v>417</v>
      </c>
      <c r="D504" s="114" t="s">
        <v>409</v>
      </c>
      <c r="E504">
        <v>6537</v>
      </c>
      <c r="F504" s="114" t="s">
        <v>909</v>
      </c>
      <c r="G504" s="114" t="s">
        <v>422</v>
      </c>
      <c r="H504" s="114" t="s">
        <v>415</v>
      </c>
      <c r="I504">
        <v>68</v>
      </c>
    </row>
    <row r="505" spans="1:10">
      <c r="A505" s="114" t="s">
        <v>885</v>
      </c>
      <c r="B505" s="114" t="s">
        <v>407</v>
      </c>
      <c r="C505" s="114" t="s">
        <v>419</v>
      </c>
      <c r="D505" s="114" t="s">
        <v>409</v>
      </c>
      <c r="E505">
        <v>6662</v>
      </c>
      <c r="F505" s="114" t="s">
        <v>1060</v>
      </c>
      <c r="G505" s="114" t="s">
        <v>414</v>
      </c>
      <c r="H505" s="114" t="s">
        <v>435</v>
      </c>
      <c r="I505">
        <v>43</v>
      </c>
    </row>
    <row r="506" spans="1:10">
      <c r="A506" s="114" t="s">
        <v>885</v>
      </c>
      <c r="B506" s="114" t="s">
        <v>407</v>
      </c>
      <c r="C506" s="114" t="s">
        <v>408</v>
      </c>
      <c r="D506" s="114" t="s">
        <v>409</v>
      </c>
      <c r="E506">
        <v>6832</v>
      </c>
      <c r="F506" s="114" t="s">
        <v>910</v>
      </c>
      <c r="G506" s="114" t="s">
        <v>418</v>
      </c>
      <c r="H506" s="114" t="s">
        <v>435</v>
      </c>
      <c r="I506">
        <v>301</v>
      </c>
    </row>
    <row r="507" spans="1:10">
      <c r="A507" s="114" t="s">
        <v>885</v>
      </c>
      <c r="B507" s="114" t="s">
        <v>407</v>
      </c>
      <c r="C507" s="114" t="s">
        <v>408</v>
      </c>
      <c r="D507" s="114" t="s">
        <v>409</v>
      </c>
      <c r="E507">
        <v>7057</v>
      </c>
      <c r="F507" s="114" t="s">
        <v>911</v>
      </c>
      <c r="G507" s="114" t="s">
        <v>414</v>
      </c>
      <c r="H507" s="114" t="s">
        <v>415</v>
      </c>
      <c r="I507">
        <v>40</v>
      </c>
    </row>
    <row r="508" spans="1:10">
      <c r="A508" s="114" t="s">
        <v>885</v>
      </c>
      <c r="B508" s="114" t="s">
        <v>407</v>
      </c>
      <c r="C508" s="114" t="s">
        <v>408</v>
      </c>
      <c r="D508" s="114" t="s">
        <v>413</v>
      </c>
      <c r="E508">
        <v>7164</v>
      </c>
      <c r="F508" s="114" t="s">
        <v>912</v>
      </c>
      <c r="G508" s="114" t="s">
        <v>410</v>
      </c>
      <c r="H508" s="114" t="s">
        <v>482</v>
      </c>
      <c r="I508" s="114" t="s">
        <v>650</v>
      </c>
      <c r="J508" s="114" t="s">
        <v>1290</v>
      </c>
    </row>
    <row r="509" spans="1:10">
      <c r="A509" s="114" t="s">
        <v>885</v>
      </c>
      <c r="B509" s="114" t="s">
        <v>407</v>
      </c>
      <c r="C509" s="114" t="s">
        <v>408</v>
      </c>
      <c r="D509" s="114" t="s">
        <v>409</v>
      </c>
      <c r="E509">
        <v>7230</v>
      </c>
      <c r="F509" s="114" t="s">
        <v>913</v>
      </c>
      <c r="G509" s="114" t="s">
        <v>410</v>
      </c>
      <c r="H509" s="114" t="s">
        <v>461</v>
      </c>
      <c r="I509" s="114" t="s">
        <v>465</v>
      </c>
      <c r="J509" s="114" t="s">
        <v>1291</v>
      </c>
    </row>
    <row r="510" spans="1:10">
      <c r="A510" s="114" t="s">
        <v>885</v>
      </c>
      <c r="B510" s="114" t="s">
        <v>407</v>
      </c>
      <c r="C510" s="114" t="s">
        <v>408</v>
      </c>
      <c r="D510" s="114" t="s">
        <v>409</v>
      </c>
      <c r="E510">
        <v>7259</v>
      </c>
      <c r="F510" s="114" t="s">
        <v>915</v>
      </c>
      <c r="G510" s="114" t="s">
        <v>410</v>
      </c>
      <c r="H510" s="114" t="s">
        <v>461</v>
      </c>
      <c r="I510" s="114" t="s">
        <v>916</v>
      </c>
      <c r="J510" s="114" t="s">
        <v>1292</v>
      </c>
    </row>
    <row r="511" spans="1:10">
      <c r="A511" s="114" t="s">
        <v>885</v>
      </c>
      <c r="B511" s="114" t="s">
        <v>407</v>
      </c>
      <c r="C511" s="114" t="s">
        <v>408</v>
      </c>
      <c r="D511" s="114" t="s">
        <v>413</v>
      </c>
      <c r="E511">
        <v>7481</v>
      </c>
      <c r="F511" s="114" t="s">
        <v>917</v>
      </c>
      <c r="G511" s="114" t="s">
        <v>410</v>
      </c>
      <c r="H511" s="114" t="s">
        <v>416</v>
      </c>
      <c r="I511">
        <v>126</v>
      </c>
    </row>
    <row r="512" spans="1:10">
      <c r="A512" s="114" t="s">
        <v>885</v>
      </c>
      <c r="B512" s="114" t="s">
        <v>407</v>
      </c>
      <c r="C512" s="114" t="s">
        <v>408</v>
      </c>
      <c r="D512" s="114" t="s">
        <v>409</v>
      </c>
      <c r="E512">
        <v>7702</v>
      </c>
      <c r="F512" s="114" t="s">
        <v>918</v>
      </c>
      <c r="G512" s="114" t="s">
        <v>410</v>
      </c>
      <c r="H512" s="114" t="s">
        <v>677</v>
      </c>
      <c r="I512">
        <v>190</v>
      </c>
    </row>
    <row r="513" spans="1:10">
      <c r="A513" s="114" t="s">
        <v>885</v>
      </c>
      <c r="B513" s="114" t="s">
        <v>407</v>
      </c>
      <c r="C513" s="114" t="s">
        <v>419</v>
      </c>
      <c r="D513" s="114" t="s">
        <v>409</v>
      </c>
      <c r="E513">
        <v>7813</v>
      </c>
      <c r="F513" s="114" t="s">
        <v>919</v>
      </c>
      <c r="G513" s="114" t="s">
        <v>422</v>
      </c>
      <c r="H513" s="114" t="s">
        <v>432</v>
      </c>
      <c r="I513">
        <v>51</v>
      </c>
    </row>
    <row r="514" spans="1:10">
      <c r="A514" s="114" t="s">
        <v>885</v>
      </c>
      <c r="B514" s="114" t="s">
        <v>407</v>
      </c>
      <c r="C514" s="114" t="s">
        <v>417</v>
      </c>
      <c r="D514" s="114" t="s">
        <v>409</v>
      </c>
      <c r="E514">
        <v>7963</v>
      </c>
      <c r="F514" s="114" t="s">
        <v>920</v>
      </c>
      <c r="G514" s="114" t="s">
        <v>414</v>
      </c>
      <c r="H514" s="114" t="s">
        <v>432</v>
      </c>
      <c r="I514">
        <v>68</v>
      </c>
    </row>
    <row r="515" spans="1:10">
      <c r="A515" s="114" t="s">
        <v>885</v>
      </c>
      <c r="B515" s="114" t="s">
        <v>407</v>
      </c>
      <c r="C515" s="114" t="s">
        <v>408</v>
      </c>
      <c r="D515" s="114" t="s">
        <v>409</v>
      </c>
      <c r="E515">
        <v>8138</v>
      </c>
      <c r="F515" s="114" t="s">
        <v>921</v>
      </c>
      <c r="G515" s="114" t="s">
        <v>418</v>
      </c>
      <c r="H515" s="114" t="s">
        <v>416</v>
      </c>
      <c r="I515">
        <v>43</v>
      </c>
    </row>
    <row r="516" spans="1:10">
      <c r="A516" s="114" t="s">
        <v>885</v>
      </c>
      <c r="B516" s="114" t="s">
        <v>407</v>
      </c>
      <c r="C516" s="114" t="s">
        <v>408</v>
      </c>
      <c r="D516" s="114" t="s">
        <v>409</v>
      </c>
      <c r="E516">
        <v>8153</v>
      </c>
      <c r="F516" s="114" t="s">
        <v>922</v>
      </c>
      <c r="G516" s="114" t="s">
        <v>410</v>
      </c>
      <c r="H516" s="114" t="s">
        <v>416</v>
      </c>
      <c r="I516">
        <v>978</v>
      </c>
    </row>
    <row r="517" spans="1:10">
      <c r="A517" s="114" t="s">
        <v>885</v>
      </c>
      <c r="B517" s="114" t="s">
        <v>407</v>
      </c>
      <c r="C517" s="114" t="s">
        <v>408</v>
      </c>
      <c r="D517" s="114" t="s">
        <v>409</v>
      </c>
      <c r="E517">
        <v>8226</v>
      </c>
      <c r="F517" s="114" t="s">
        <v>923</v>
      </c>
      <c r="G517" s="114" t="s">
        <v>418</v>
      </c>
      <c r="H517" s="114" t="s">
        <v>416</v>
      </c>
      <c r="I517">
        <v>30</v>
      </c>
    </row>
    <row r="518" spans="1:10">
      <c r="A518" s="114" t="s">
        <v>885</v>
      </c>
      <c r="B518" s="114" t="s">
        <v>407</v>
      </c>
      <c r="C518" s="114" t="s">
        <v>408</v>
      </c>
      <c r="D518" s="114" t="s">
        <v>409</v>
      </c>
      <c r="E518">
        <v>8281</v>
      </c>
      <c r="F518" s="114" t="s">
        <v>924</v>
      </c>
      <c r="G518" s="114" t="s">
        <v>410</v>
      </c>
      <c r="H518" s="114" t="s">
        <v>420</v>
      </c>
      <c r="I518">
        <v>629</v>
      </c>
    </row>
    <row r="519" spans="1:10">
      <c r="A519" s="114" t="s">
        <v>885</v>
      </c>
      <c r="B519" s="114" t="s">
        <v>407</v>
      </c>
      <c r="C519" s="114" t="s">
        <v>408</v>
      </c>
      <c r="D519" s="114" t="s">
        <v>409</v>
      </c>
      <c r="E519">
        <v>9001</v>
      </c>
      <c r="F519" s="114" t="s">
        <v>925</v>
      </c>
      <c r="G519" s="114" t="s">
        <v>410</v>
      </c>
      <c r="H519" s="114" t="s">
        <v>699</v>
      </c>
      <c r="I519" s="114" t="s">
        <v>679</v>
      </c>
      <c r="J519" s="114" t="s">
        <v>1293</v>
      </c>
    </row>
    <row r="520" spans="1:10">
      <c r="A520" s="114" t="s">
        <v>885</v>
      </c>
      <c r="B520" s="114" t="s">
        <v>407</v>
      </c>
      <c r="C520" s="114" t="s">
        <v>417</v>
      </c>
      <c r="D520" s="114" t="s">
        <v>413</v>
      </c>
      <c r="E520">
        <v>9284</v>
      </c>
      <c r="F520" s="114" t="s">
        <v>1063</v>
      </c>
      <c r="G520" s="114" t="s">
        <v>497</v>
      </c>
      <c r="H520" s="114" t="s">
        <v>498</v>
      </c>
      <c r="I520">
        <v>286</v>
      </c>
    </row>
    <row r="521" spans="1:10">
      <c r="A521" s="114" t="s">
        <v>885</v>
      </c>
      <c r="B521" s="114" t="s">
        <v>407</v>
      </c>
      <c r="C521" s="114" t="s">
        <v>408</v>
      </c>
      <c r="D521" s="114" t="s">
        <v>409</v>
      </c>
      <c r="E521">
        <v>9364</v>
      </c>
      <c r="F521" s="114" t="s">
        <v>926</v>
      </c>
      <c r="G521" s="114" t="s">
        <v>410</v>
      </c>
      <c r="H521" s="114" t="s">
        <v>927</v>
      </c>
      <c r="I521" s="114" t="s">
        <v>650</v>
      </c>
      <c r="J521" s="114" t="s">
        <v>1294</v>
      </c>
    </row>
    <row r="522" spans="1:10">
      <c r="A522" s="114" t="s">
        <v>885</v>
      </c>
      <c r="B522" s="114" t="s">
        <v>407</v>
      </c>
      <c r="C522" s="114" t="s">
        <v>408</v>
      </c>
      <c r="D522" s="114" t="s">
        <v>409</v>
      </c>
      <c r="E522">
        <v>9613</v>
      </c>
      <c r="F522" s="114" t="s">
        <v>928</v>
      </c>
      <c r="G522" s="114" t="s">
        <v>410</v>
      </c>
      <c r="H522" s="114" t="s">
        <v>421</v>
      </c>
      <c r="I522" s="114" t="s">
        <v>820</v>
      </c>
      <c r="J522" s="114" t="s">
        <v>1108</v>
      </c>
    </row>
    <row r="523" spans="1:10">
      <c r="A523" s="114" t="s">
        <v>885</v>
      </c>
      <c r="B523" s="114" t="s">
        <v>407</v>
      </c>
      <c r="C523" s="114" t="s">
        <v>408</v>
      </c>
      <c r="D523" s="114" t="s">
        <v>409</v>
      </c>
      <c r="E523">
        <v>9671</v>
      </c>
      <c r="F523" s="114" t="s">
        <v>929</v>
      </c>
      <c r="G523" s="114" t="s">
        <v>410</v>
      </c>
      <c r="H523" s="114" t="s">
        <v>415</v>
      </c>
      <c r="I523" s="114">
        <v>382</v>
      </c>
      <c r="J523" s="114"/>
    </row>
    <row r="524" spans="1:10">
      <c r="A524" s="114" t="s">
        <v>885</v>
      </c>
      <c r="B524" s="114" t="s">
        <v>407</v>
      </c>
      <c r="C524" s="114" t="s">
        <v>408</v>
      </c>
      <c r="D524" s="114" t="s">
        <v>409</v>
      </c>
      <c r="E524">
        <v>9887</v>
      </c>
      <c r="F524" s="114" t="s">
        <v>930</v>
      </c>
      <c r="G524" s="114" t="s">
        <v>410</v>
      </c>
      <c r="H524" s="114" t="s">
        <v>420</v>
      </c>
      <c r="I524" s="114">
        <v>871</v>
      </c>
      <c r="J524" s="114"/>
    </row>
    <row r="525" spans="1:10">
      <c r="A525" s="114" t="s">
        <v>885</v>
      </c>
      <c r="B525" s="114" t="s">
        <v>407</v>
      </c>
      <c r="C525" s="114" t="s">
        <v>408</v>
      </c>
      <c r="D525" s="114" t="s">
        <v>409</v>
      </c>
      <c r="E525">
        <v>9896</v>
      </c>
      <c r="F525" s="114" t="s">
        <v>931</v>
      </c>
      <c r="G525" s="114" t="s">
        <v>410</v>
      </c>
      <c r="H525" s="114" t="s">
        <v>416</v>
      </c>
      <c r="I525">
        <v>205</v>
      </c>
    </row>
    <row r="526" spans="1:10">
      <c r="A526" s="114" t="s">
        <v>932</v>
      </c>
      <c r="B526" s="114" t="s">
        <v>407</v>
      </c>
      <c r="C526" s="114" t="s">
        <v>408</v>
      </c>
      <c r="D526" s="114" t="s">
        <v>413</v>
      </c>
      <c r="E526">
        <v>1450</v>
      </c>
      <c r="F526" s="114" t="s">
        <v>933</v>
      </c>
      <c r="G526" s="114" t="s">
        <v>414</v>
      </c>
      <c r="H526" s="114" t="s">
        <v>444</v>
      </c>
      <c r="I526">
        <v>53</v>
      </c>
    </row>
    <row r="527" spans="1:10">
      <c r="A527" s="114" t="s">
        <v>932</v>
      </c>
      <c r="B527" s="114" t="s">
        <v>407</v>
      </c>
      <c r="C527" s="114" t="s">
        <v>408</v>
      </c>
      <c r="D527" s="114" t="s">
        <v>409</v>
      </c>
      <c r="E527">
        <v>1451</v>
      </c>
      <c r="F527" s="114" t="s">
        <v>934</v>
      </c>
      <c r="G527" s="114" t="s">
        <v>418</v>
      </c>
      <c r="H527" s="114" t="s">
        <v>444</v>
      </c>
      <c r="I527" s="114">
        <v>31</v>
      </c>
      <c r="J527" s="114"/>
    </row>
    <row r="528" spans="1:10">
      <c r="A528" s="114" t="s">
        <v>932</v>
      </c>
      <c r="B528" s="114" t="s">
        <v>407</v>
      </c>
      <c r="C528" s="114" t="s">
        <v>417</v>
      </c>
      <c r="D528" s="114" t="s">
        <v>409</v>
      </c>
      <c r="E528">
        <v>1605</v>
      </c>
      <c r="F528" s="114" t="s">
        <v>935</v>
      </c>
      <c r="G528" s="114" t="s">
        <v>410</v>
      </c>
      <c r="H528" s="114" t="s">
        <v>936</v>
      </c>
      <c r="I528" s="114" t="s">
        <v>937</v>
      </c>
      <c r="J528" s="114" t="s">
        <v>914</v>
      </c>
    </row>
    <row r="529" spans="1:10">
      <c r="A529" s="114" t="s">
        <v>932</v>
      </c>
      <c r="B529" s="114" t="s">
        <v>407</v>
      </c>
      <c r="C529" s="114" t="s">
        <v>408</v>
      </c>
      <c r="D529" s="114" t="s">
        <v>409</v>
      </c>
      <c r="E529">
        <v>1866</v>
      </c>
      <c r="F529" s="114" t="s">
        <v>938</v>
      </c>
      <c r="G529" s="114" t="s">
        <v>410</v>
      </c>
      <c r="H529" s="114" t="s">
        <v>444</v>
      </c>
      <c r="I529">
        <v>179</v>
      </c>
    </row>
    <row r="530" spans="1:10">
      <c r="A530" s="114" t="s">
        <v>932</v>
      </c>
      <c r="B530" s="114" t="s">
        <v>407</v>
      </c>
      <c r="C530" s="114" t="s">
        <v>417</v>
      </c>
      <c r="D530" s="114" t="s">
        <v>409</v>
      </c>
      <c r="E530">
        <v>1899</v>
      </c>
      <c r="F530" s="114" t="s">
        <v>939</v>
      </c>
      <c r="G530" s="114" t="s">
        <v>410</v>
      </c>
      <c r="H530" s="114" t="s">
        <v>444</v>
      </c>
      <c r="I530" s="114">
        <v>442</v>
      </c>
      <c r="J530" s="114"/>
    </row>
    <row r="531" spans="1:10">
      <c r="A531" s="114" t="s">
        <v>932</v>
      </c>
      <c r="B531" s="114" t="s">
        <v>407</v>
      </c>
      <c r="C531" s="114" t="s">
        <v>408</v>
      </c>
      <c r="D531" s="114" t="s">
        <v>409</v>
      </c>
      <c r="E531">
        <v>1952</v>
      </c>
      <c r="F531" s="114" t="s">
        <v>940</v>
      </c>
      <c r="G531" s="114" t="s">
        <v>410</v>
      </c>
      <c r="H531" s="114" t="s">
        <v>444</v>
      </c>
      <c r="I531">
        <v>543</v>
      </c>
    </row>
    <row r="532" spans="1:10">
      <c r="A532" s="114" t="s">
        <v>932</v>
      </c>
      <c r="B532" s="114" t="s">
        <v>407</v>
      </c>
      <c r="C532" s="114" t="s">
        <v>408</v>
      </c>
      <c r="D532" s="114" t="s">
        <v>409</v>
      </c>
      <c r="E532">
        <v>2134</v>
      </c>
      <c r="F532" s="114" t="s">
        <v>941</v>
      </c>
      <c r="G532" s="114" t="s">
        <v>414</v>
      </c>
      <c r="H532" s="114" t="s">
        <v>415</v>
      </c>
      <c r="I532">
        <v>45</v>
      </c>
    </row>
    <row r="533" spans="1:10">
      <c r="A533" s="114" t="s">
        <v>932</v>
      </c>
      <c r="B533" s="114" t="s">
        <v>407</v>
      </c>
      <c r="C533" s="114" t="s">
        <v>408</v>
      </c>
      <c r="D533" s="114" t="s">
        <v>409</v>
      </c>
      <c r="E533">
        <v>2831</v>
      </c>
      <c r="F533" s="114" t="s">
        <v>1295</v>
      </c>
      <c r="G533" s="114" t="s">
        <v>418</v>
      </c>
      <c r="H533" s="114" t="s">
        <v>411</v>
      </c>
      <c r="I533">
        <v>270</v>
      </c>
    </row>
    <row r="534" spans="1:10">
      <c r="A534" s="114" t="s">
        <v>932</v>
      </c>
      <c r="B534" s="114" t="s">
        <v>407</v>
      </c>
      <c r="C534" s="114" t="s">
        <v>412</v>
      </c>
      <c r="D534" s="114" t="s">
        <v>409</v>
      </c>
      <c r="E534">
        <v>2974</v>
      </c>
      <c r="F534" s="114" t="s">
        <v>942</v>
      </c>
      <c r="G534" s="114" t="s">
        <v>772</v>
      </c>
      <c r="H534" s="114" t="s">
        <v>436</v>
      </c>
      <c r="I534">
        <v>35</v>
      </c>
    </row>
    <row r="535" spans="1:10">
      <c r="A535" s="114" t="s">
        <v>932</v>
      </c>
      <c r="B535" s="114" t="s">
        <v>407</v>
      </c>
      <c r="C535" s="114" t="s">
        <v>408</v>
      </c>
      <c r="D535" s="114" t="s">
        <v>409</v>
      </c>
      <c r="E535">
        <v>2976</v>
      </c>
      <c r="F535" s="114" t="s">
        <v>943</v>
      </c>
      <c r="G535" s="114" t="s">
        <v>944</v>
      </c>
      <c r="H535" s="114" t="s">
        <v>436</v>
      </c>
      <c r="I535">
        <v>14</v>
      </c>
    </row>
    <row r="536" spans="1:10">
      <c r="A536" s="114" t="s">
        <v>932</v>
      </c>
      <c r="B536" s="114" t="s">
        <v>407</v>
      </c>
      <c r="C536" s="114" t="s">
        <v>408</v>
      </c>
      <c r="D536" s="114" t="s">
        <v>409</v>
      </c>
      <c r="E536">
        <v>3291</v>
      </c>
      <c r="F536" s="114" t="s">
        <v>1296</v>
      </c>
      <c r="G536" s="114" t="s">
        <v>410</v>
      </c>
      <c r="H536" s="114" t="s">
        <v>436</v>
      </c>
      <c r="I536" s="114" t="s">
        <v>427</v>
      </c>
      <c r="J536" s="114" t="s">
        <v>1297</v>
      </c>
    </row>
    <row r="537" spans="1:10">
      <c r="A537" s="114" t="s">
        <v>932</v>
      </c>
      <c r="B537" s="114" t="s">
        <v>407</v>
      </c>
      <c r="C537" s="114" t="s">
        <v>408</v>
      </c>
      <c r="D537" s="114" t="s">
        <v>409</v>
      </c>
      <c r="E537">
        <v>3372</v>
      </c>
      <c r="F537" s="114" t="s">
        <v>1298</v>
      </c>
      <c r="G537" s="114" t="s">
        <v>418</v>
      </c>
      <c r="H537" s="114" t="s">
        <v>420</v>
      </c>
      <c r="I537">
        <v>52</v>
      </c>
    </row>
    <row r="538" spans="1:10">
      <c r="A538" s="114" t="s">
        <v>932</v>
      </c>
      <c r="B538" s="114" t="s">
        <v>407</v>
      </c>
      <c r="C538" s="114" t="s">
        <v>417</v>
      </c>
      <c r="D538" s="114" t="s">
        <v>409</v>
      </c>
      <c r="E538">
        <v>3606</v>
      </c>
      <c r="F538" s="114" t="s">
        <v>945</v>
      </c>
      <c r="G538" s="114" t="s">
        <v>410</v>
      </c>
      <c r="H538" s="114" t="s">
        <v>476</v>
      </c>
      <c r="I538">
        <v>114</v>
      </c>
    </row>
    <row r="539" spans="1:10">
      <c r="A539" s="114" t="s">
        <v>932</v>
      </c>
      <c r="B539" s="114" t="s">
        <v>407</v>
      </c>
      <c r="C539" s="114" t="s">
        <v>408</v>
      </c>
      <c r="D539" s="114" t="s">
        <v>413</v>
      </c>
      <c r="E539">
        <v>3652</v>
      </c>
      <c r="F539" s="114" t="s">
        <v>1299</v>
      </c>
      <c r="G539" s="114" t="s">
        <v>422</v>
      </c>
      <c r="H539" s="114" t="s">
        <v>421</v>
      </c>
      <c r="I539">
        <v>132</v>
      </c>
    </row>
    <row r="540" spans="1:10">
      <c r="A540" s="114" t="s">
        <v>932</v>
      </c>
      <c r="B540" s="114" t="s">
        <v>407</v>
      </c>
      <c r="C540" s="114" t="s">
        <v>417</v>
      </c>
      <c r="D540" s="114" t="s">
        <v>413</v>
      </c>
      <c r="E540">
        <v>3719</v>
      </c>
      <c r="F540" s="114" t="s">
        <v>1300</v>
      </c>
      <c r="G540" s="114" t="s">
        <v>414</v>
      </c>
      <c r="H540" s="114" t="s">
        <v>421</v>
      </c>
      <c r="I540">
        <v>26</v>
      </c>
    </row>
    <row r="541" spans="1:10">
      <c r="A541" s="114" t="s">
        <v>932</v>
      </c>
      <c r="B541" s="114" t="s">
        <v>407</v>
      </c>
      <c r="C541" s="114" t="s">
        <v>419</v>
      </c>
      <c r="D541" s="114" t="s">
        <v>409</v>
      </c>
      <c r="E541">
        <v>3856</v>
      </c>
      <c r="F541" s="114" t="s">
        <v>946</v>
      </c>
      <c r="G541" s="114" t="s">
        <v>418</v>
      </c>
      <c r="H541" s="114" t="s">
        <v>435</v>
      </c>
      <c r="I541">
        <v>30</v>
      </c>
    </row>
    <row r="542" spans="1:10">
      <c r="A542" s="114" t="s">
        <v>932</v>
      </c>
      <c r="B542" s="114" t="s">
        <v>407</v>
      </c>
      <c r="C542" s="114" t="s">
        <v>408</v>
      </c>
      <c r="D542" s="114" t="s">
        <v>409</v>
      </c>
      <c r="E542">
        <v>3896</v>
      </c>
      <c r="F542" s="114" t="s">
        <v>947</v>
      </c>
      <c r="G542" s="114" t="s">
        <v>410</v>
      </c>
      <c r="H542" s="114" t="s">
        <v>478</v>
      </c>
      <c r="I542">
        <v>71</v>
      </c>
    </row>
    <row r="543" spans="1:10">
      <c r="A543" s="114" t="s">
        <v>932</v>
      </c>
      <c r="B543" s="114" t="s">
        <v>407</v>
      </c>
      <c r="C543" s="114" t="s">
        <v>417</v>
      </c>
      <c r="D543" s="114" t="s">
        <v>409</v>
      </c>
      <c r="E543">
        <v>3902</v>
      </c>
      <c r="F543" s="114" t="s">
        <v>948</v>
      </c>
      <c r="G543" s="114" t="s">
        <v>410</v>
      </c>
      <c r="H543" s="114" t="s">
        <v>421</v>
      </c>
      <c r="I543">
        <v>387</v>
      </c>
    </row>
    <row r="544" spans="1:10">
      <c r="A544" s="114" t="s">
        <v>932</v>
      </c>
      <c r="B544" s="114" t="s">
        <v>407</v>
      </c>
      <c r="C544" s="114" t="s">
        <v>408</v>
      </c>
      <c r="D544" s="114" t="s">
        <v>409</v>
      </c>
      <c r="E544">
        <v>3963</v>
      </c>
      <c r="F544" s="114" t="s">
        <v>949</v>
      </c>
      <c r="G544" s="114" t="s">
        <v>410</v>
      </c>
      <c r="H544" s="114" t="s">
        <v>421</v>
      </c>
      <c r="I544">
        <v>143</v>
      </c>
    </row>
    <row r="545" spans="1:10">
      <c r="A545" s="114" t="s">
        <v>932</v>
      </c>
      <c r="B545" s="114" t="s">
        <v>407</v>
      </c>
      <c r="C545" s="114" t="s">
        <v>417</v>
      </c>
      <c r="D545" s="114" t="s">
        <v>409</v>
      </c>
      <c r="E545">
        <v>4245</v>
      </c>
      <c r="F545" s="114" t="s">
        <v>950</v>
      </c>
      <c r="G545" s="114" t="s">
        <v>410</v>
      </c>
      <c r="H545" s="114" t="s">
        <v>423</v>
      </c>
      <c r="I545">
        <v>129</v>
      </c>
    </row>
    <row r="546" spans="1:10">
      <c r="A546" s="114" t="s">
        <v>932</v>
      </c>
      <c r="B546" s="114" t="s">
        <v>407</v>
      </c>
      <c r="C546" s="114" t="s">
        <v>417</v>
      </c>
      <c r="D546" s="114" t="s">
        <v>409</v>
      </c>
      <c r="E546">
        <v>4251</v>
      </c>
      <c r="F546" s="114" t="s">
        <v>951</v>
      </c>
      <c r="G546" s="114" t="s">
        <v>418</v>
      </c>
      <c r="H546" s="114" t="s">
        <v>423</v>
      </c>
      <c r="I546">
        <v>81</v>
      </c>
    </row>
    <row r="547" spans="1:10">
      <c r="A547" s="114" t="s">
        <v>932</v>
      </c>
      <c r="B547" s="114" t="s">
        <v>407</v>
      </c>
      <c r="C547" s="114" t="s">
        <v>408</v>
      </c>
      <c r="D547" s="114" t="s">
        <v>409</v>
      </c>
      <c r="E547">
        <v>4425</v>
      </c>
      <c r="F547" s="114" t="s">
        <v>952</v>
      </c>
      <c r="G547" s="114" t="s">
        <v>422</v>
      </c>
      <c r="H547" s="114" t="s">
        <v>421</v>
      </c>
      <c r="I547">
        <v>622</v>
      </c>
    </row>
    <row r="548" spans="1:10">
      <c r="A548" s="114" t="s">
        <v>932</v>
      </c>
      <c r="B548" s="114" t="s">
        <v>407</v>
      </c>
      <c r="C548" s="114" t="s">
        <v>408</v>
      </c>
      <c r="D548" s="114" t="s">
        <v>413</v>
      </c>
      <c r="E548">
        <v>4435</v>
      </c>
      <c r="F548" s="114" t="s">
        <v>953</v>
      </c>
      <c r="G548" s="114" t="s">
        <v>422</v>
      </c>
      <c r="H548" s="114" t="s">
        <v>421</v>
      </c>
      <c r="I548">
        <v>450</v>
      </c>
    </row>
    <row r="549" spans="1:10">
      <c r="A549" s="114" t="s">
        <v>932</v>
      </c>
      <c r="B549" s="114" t="s">
        <v>407</v>
      </c>
      <c r="C549" s="114" t="s">
        <v>408</v>
      </c>
      <c r="D549" s="114" t="s">
        <v>409</v>
      </c>
      <c r="E549">
        <v>4442</v>
      </c>
      <c r="F549" s="114" t="s">
        <v>954</v>
      </c>
      <c r="G549" s="114" t="s">
        <v>422</v>
      </c>
      <c r="H549" s="114" t="s">
        <v>421</v>
      </c>
      <c r="I549">
        <v>117</v>
      </c>
    </row>
    <row r="550" spans="1:10">
      <c r="A550" s="114" t="s">
        <v>932</v>
      </c>
      <c r="B550" s="114" t="s">
        <v>407</v>
      </c>
      <c r="C550" s="114" t="s">
        <v>417</v>
      </c>
      <c r="D550" s="114" t="s">
        <v>413</v>
      </c>
      <c r="E550">
        <v>4448</v>
      </c>
      <c r="F550" s="114" t="s">
        <v>955</v>
      </c>
      <c r="G550" s="114" t="s">
        <v>422</v>
      </c>
      <c r="H550" s="114" t="s">
        <v>421</v>
      </c>
      <c r="I550">
        <v>422</v>
      </c>
    </row>
    <row r="551" spans="1:10">
      <c r="A551" s="114" t="s">
        <v>932</v>
      </c>
      <c r="B551" s="114" t="s">
        <v>407</v>
      </c>
      <c r="C551" s="114" t="s">
        <v>417</v>
      </c>
      <c r="D551" s="114" t="s">
        <v>409</v>
      </c>
      <c r="E551">
        <v>4449</v>
      </c>
      <c r="F551" s="114" t="s">
        <v>956</v>
      </c>
      <c r="G551" s="114" t="s">
        <v>422</v>
      </c>
      <c r="H551" s="114" t="s">
        <v>421</v>
      </c>
      <c r="I551">
        <v>457</v>
      </c>
    </row>
    <row r="552" spans="1:10">
      <c r="A552" s="114" t="s">
        <v>932</v>
      </c>
      <c r="B552" s="114" t="s">
        <v>407</v>
      </c>
      <c r="C552" s="114" t="s">
        <v>417</v>
      </c>
      <c r="D552" s="114" t="s">
        <v>413</v>
      </c>
      <c r="E552">
        <v>4450</v>
      </c>
      <c r="F552" s="114" t="s">
        <v>957</v>
      </c>
      <c r="G552" s="114" t="s">
        <v>422</v>
      </c>
      <c r="H552" s="114" t="s">
        <v>421</v>
      </c>
      <c r="I552">
        <v>59</v>
      </c>
    </row>
    <row r="553" spans="1:10">
      <c r="A553" s="114" t="s">
        <v>932</v>
      </c>
      <c r="B553" s="114" t="s">
        <v>407</v>
      </c>
      <c r="C553" s="114" t="s">
        <v>412</v>
      </c>
      <c r="D553" s="114" t="s">
        <v>409</v>
      </c>
      <c r="E553">
        <v>4475</v>
      </c>
      <c r="F553" s="114" t="s">
        <v>958</v>
      </c>
      <c r="G553" s="114" t="s">
        <v>422</v>
      </c>
      <c r="H553" s="114" t="s">
        <v>421</v>
      </c>
      <c r="I553">
        <v>269</v>
      </c>
    </row>
    <row r="554" spans="1:10">
      <c r="A554" s="114" t="s">
        <v>932</v>
      </c>
      <c r="B554" s="114" t="s">
        <v>407</v>
      </c>
      <c r="C554" s="114" t="s">
        <v>417</v>
      </c>
      <c r="D554" s="114" t="s">
        <v>413</v>
      </c>
      <c r="E554">
        <v>4476</v>
      </c>
      <c r="F554" s="114" t="s">
        <v>959</v>
      </c>
      <c r="G554" s="114" t="s">
        <v>422</v>
      </c>
      <c r="H554" s="114" t="s">
        <v>421</v>
      </c>
      <c r="I554">
        <v>101</v>
      </c>
    </row>
    <row r="555" spans="1:10">
      <c r="A555" s="114" t="s">
        <v>932</v>
      </c>
      <c r="B555" s="114" t="s">
        <v>407</v>
      </c>
      <c r="C555" s="114" t="s">
        <v>417</v>
      </c>
      <c r="D555" s="114" t="s">
        <v>409</v>
      </c>
      <c r="E555">
        <v>4477</v>
      </c>
      <c r="F555" s="114" t="s">
        <v>960</v>
      </c>
      <c r="G555" s="114" t="s">
        <v>422</v>
      </c>
      <c r="H555" s="114" t="s">
        <v>421</v>
      </c>
      <c r="I555">
        <v>393</v>
      </c>
    </row>
    <row r="556" spans="1:10">
      <c r="A556" s="114" t="s">
        <v>932</v>
      </c>
      <c r="B556" s="114" t="s">
        <v>407</v>
      </c>
      <c r="C556" s="114" t="s">
        <v>417</v>
      </c>
      <c r="D556" s="114" t="s">
        <v>409</v>
      </c>
      <c r="E556">
        <v>4631</v>
      </c>
      <c r="F556" s="114" t="s">
        <v>961</v>
      </c>
      <c r="G556" s="114" t="s">
        <v>410</v>
      </c>
      <c r="H556" s="114" t="s">
        <v>423</v>
      </c>
      <c r="I556" s="114" t="s">
        <v>433</v>
      </c>
      <c r="J556" s="114" t="s">
        <v>1301</v>
      </c>
    </row>
    <row r="557" spans="1:10">
      <c r="A557" s="114" t="s">
        <v>932</v>
      </c>
      <c r="B557" s="114" t="s">
        <v>407</v>
      </c>
      <c r="C557" s="114" t="s">
        <v>408</v>
      </c>
      <c r="D557" s="114" t="s">
        <v>409</v>
      </c>
      <c r="E557">
        <v>4691</v>
      </c>
      <c r="F557" s="114" t="s">
        <v>962</v>
      </c>
      <c r="G557" s="114" t="s">
        <v>418</v>
      </c>
      <c r="H557" s="114" t="s">
        <v>415</v>
      </c>
      <c r="I557">
        <v>167</v>
      </c>
    </row>
    <row r="558" spans="1:10">
      <c r="A558" s="114" t="s">
        <v>932</v>
      </c>
      <c r="B558" s="114" t="s">
        <v>407</v>
      </c>
      <c r="C558" s="114" t="s">
        <v>419</v>
      </c>
      <c r="D558" s="114" t="s">
        <v>409</v>
      </c>
      <c r="E558">
        <v>4845</v>
      </c>
      <c r="F558" s="114" t="s">
        <v>963</v>
      </c>
      <c r="G558" s="114" t="s">
        <v>410</v>
      </c>
      <c r="H558" s="114" t="s">
        <v>421</v>
      </c>
      <c r="I558">
        <v>136</v>
      </c>
    </row>
    <row r="559" spans="1:10">
      <c r="A559" s="114" t="s">
        <v>932</v>
      </c>
      <c r="B559" s="114" t="s">
        <v>407</v>
      </c>
      <c r="C559" s="114" t="s">
        <v>408</v>
      </c>
      <c r="D559" s="114" t="s">
        <v>409</v>
      </c>
      <c r="E559">
        <v>6082</v>
      </c>
      <c r="F559" s="114" t="s">
        <v>964</v>
      </c>
      <c r="G559" s="114" t="s">
        <v>410</v>
      </c>
      <c r="H559" s="114" t="s">
        <v>415</v>
      </c>
      <c r="I559">
        <v>218</v>
      </c>
    </row>
    <row r="560" spans="1:10">
      <c r="A560" s="114" t="s">
        <v>932</v>
      </c>
      <c r="B560" s="114" t="s">
        <v>407</v>
      </c>
      <c r="C560" s="114" t="s">
        <v>408</v>
      </c>
      <c r="D560" s="114" t="s">
        <v>409</v>
      </c>
      <c r="E560">
        <v>6408</v>
      </c>
      <c r="F560" s="114" t="s">
        <v>965</v>
      </c>
      <c r="G560" s="114" t="s">
        <v>414</v>
      </c>
      <c r="H560" s="114" t="s">
        <v>431</v>
      </c>
      <c r="I560">
        <v>48</v>
      </c>
    </row>
    <row r="561" spans="1:9">
      <c r="A561" s="114" t="s">
        <v>932</v>
      </c>
      <c r="B561" s="114" t="s">
        <v>407</v>
      </c>
      <c r="C561" s="114" t="s">
        <v>408</v>
      </c>
      <c r="D561" s="114" t="s">
        <v>409</v>
      </c>
      <c r="E561">
        <v>6424</v>
      </c>
      <c r="F561" s="114" t="s">
        <v>966</v>
      </c>
      <c r="G561" s="114" t="s">
        <v>414</v>
      </c>
      <c r="H561" s="114" t="s">
        <v>431</v>
      </c>
      <c r="I561">
        <v>61</v>
      </c>
    </row>
    <row r="562" spans="1:9">
      <c r="A562" s="114" t="s">
        <v>932</v>
      </c>
      <c r="B562" s="114" t="s">
        <v>407</v>
      </c>
      <c r="C562" s="114" t="s">
        <v>408</v>
      </c>
      <c r="D562" s="114" t="s">
        <v>409</v>
      </c>
      <c r="E562">
        <v>6517</v>
      </c>
      <c r="F562" s="114" t="s">
        <v>967</v>
      </c>
      <c r="G562" s="114" t="s">
        <v>410</v>
      </c>
      <c r="H562" s="114" t="s">
        <v>435</v>
      </c>
      <c r="I562">
        <v>507</v>
      </c>
    </row>
    <row r="563" spans="1:9">
      <c r="A563" s="114" t="s">
        <v>932</v>
      </c>
      <c r="B563" s="114" t="s">
        <v>407</v>
      </c>
      <c r="C563" s="114" t="s">
        <v>408</v>
      </c>
      <c r="D563" s="114" t="s">
        <v>409</v>
      </c>
      <c r="E563">
        <v>6574</v>
      </c>
      <c r="F563" s="114" t="s">
        <v>968</v>
      </c>
      <c r="G563" s="114" t="s">
        <v>422</v>
      </c>
      <c r="H563" s="114" t="s">
        <v>415</v>
      </c>
      <c r="I563">
        <v>32</v>
      </c>
    </row>
    <row r="564" spans="1:9">
      <c r="A564" s="114" t="s">
        <v>932</v>
      </c>
      <c r="B564" s="114" t="s">
        <v>407</v>
      </c>
      <c r="C564" s="114" t="s">
        <v>419</v>
      </c>
      <c r="D564" s="114" t="s">
        <v>413</v>
      </c>
      <c r="E564">
        <v>6597</v>
      </c>
      <c r="F564" s="114" t="s">
        <v>969</v>
      </c>
      <c r="G564" s="114" t="s">
        <v>422</v>
      </c>
      <c r="H564" s="114" t="s">
        <v>435</v>
      </c>
      <c r="I564">
        <v>78</v>
      </c>
    </row>
    <row r="565" spans="1:9">
      <c r="A565" s="114" t="s">
        <v>932</v>
      </c>
      <c r="B565" s="114" t="s">
        <v>407</v>
      </c>
      <c r="C565" s="114" t="s">
        <v>408</v>
      </c>
      <c r="D565" s="114" t="s">
        <v>409</v>
      </c>
      <c r="E565">
        <v>6706</v>
      </c>
      <c r="F565" s="114" t="s">
        <v>970</v>
      </c>
      <c r="G565" s="114" t="s">
        <v>410</v>
      </c>
      <c r="H565" s="114" t="s">
        <v>435</v>
      </c>
      <c r="I565">
        <v>446</v>
      </c>
    </row>
    <row r="566" spans="1:9">
      <c r="A566" s="114" t="s">
        <v>932</v>
      </c>
      <c r="B566" s="114" t="s">
        <v>407</v>
      </c>
      <c r="C566" s="114" t="s">
        <v>408</v>
      </c>
      <c r="D566" s="114" t="s">
        <v>409</v>
      </c>
      <c r="E566">
        <v>6819</v>
      </c>
      <c r="F566" s="114" t="s">
        <v>971</v>
      </c>
      <c r="G566" s="114" t="s">
        <v>414</v>
      </c>
      <c r="H566" s="114" t="s">
        <v>415</v>
      </c>
      <c r="I566">
        <v>36</v>
      </c>
    </row>
    <row r="567" spans="1:9">
      <c r="A567" s="114" t="s">
        <v>932</v>
      </c>
      <c r="B567" s="114" t="s">
        <v>407</v>
      </c>
      <c r="C567" s="114" t="s">
        <v>417</v>
      </c>
      <c r="D567" s="114" t="s">
        <v>409</v>
      </c>
      <c r="E567">
        <v>6870</v>
      </c>
      <c r="F567" s="114" t="s">
        <v>972</v>
      </c>
      <c r="G567" s="114" t="s">
        <v>418</v>
      </c>
      <c r="H567" s="114" t="s">
        <v>435</v>
      </c>
      <c r="I567">
        <v>90</v>
      </c>
    </row>
    <row r="568" spans="1:9">
      <c r="A568" s="114" t="s">
        <v>932</v>
      </c>
      <c r="B568" s="114" t="s">
        <v>407</v>
      </c>
      <c r="C568" s="114" t="s">
        <v>408</v>
      </c>
      <c r="D568" s="114" t="s">
        <v>409</v>
      </c>
      <c r="E568">
        <v>7059</v>
      </c>
      <c r="F568" s="114" t="s">
        <v>1302</v>
      </c>
      <c r="G568" s="114" t="s">
        <v>422</v>
      </c>
      <c r="H568" s="114" t="s">
        <v>415</v>
      </c>
      <c r="I568">
        <v>141</v>
      </c>
    </row>
    <row r="569" spans="1:9">
      <c r="A569" s="114" t="s">
        <v>932</v>
      </c>
      <c r="B569" s="114" t="s">
        <v>407</v>
      </c>
      <c r="C569" s="114" t="s">
        <v>408</v>
      </c>
      <c r="D569" s="114" t="s">
        <v>409</v>
      </c>
      <c r="E569">
        <v>7060</v>
      </c>
      <c r="F569" s="114" t="s">
        <v>973</v>
      </c>
      <c r="G569" s="114" t="s">
        <v>422</v>
      </c>
      <c r="H569" s="114" t="s">
        <v>415</v>
      </c>
      <c r="I569">
        <v>176</v>
      </c>
    </row>
    <row r="570" spans="1:9">
      <c r="A570" s="114" t="s">
        <v>932</v>
      </c>
      <c r="B570" s="114" t="s">
        <v>407</v>
      </c>
      <c r="C570" s="114" t="s">
        <v>419</v>
      </c>
      <c r="D570" s="114" t="s">
        <v>409</v>
      </c>
      <c r="E570">
        <v>7063</v>
      </c>
      <c r="F570" s="114" t="s">
        <v>974</v>
      </c>
      <c r="G570" s="114" t="s">
        <v>422</v>
      </c>
      <c r="H570" s="114" t="s">
        <v>415</v>
      </c>
      <c r="I570">
        <v>67</v>
      </c>
    </row>
    <row r="571" spans="1:9">
      <c r="A571" s="114" t="s">
        <v>932</v>
      </c>
      <c r="B571" s="114" t="s">
        <v>407</v>
      </c>
      <c r="C571" s="114" t="s">
        <v>408</v>
      </c>
      <c r="D571" s="114" t="s">
        <v>409</v>
      </c>
      <c r="E571">
        <v>7067</v>
      </c>
      <c r="F571" s="114" t="s">
        <v>975</v>
      </c>
      <c r="G571" s="114" t="s">
        <v>422</v>
      </c>
      <c r="H571" s="114" t="s">
        <v>415</v>
      </c>
      <c r="I571">
        <v>37</v>
      </c>
    </row>
    <row r="572" spans="1:9">
      <c r="A572" s="114" t="s">
        <v>932</v>
      </c>
      <c r="B572" s="114" t="s">
        <v>407</v>
      </c>
      <c r="C572" s="114" t="s">
        <v>412</v>
      </c>
      <c r="D572" s="114" t="s">
        <v>413</v>
      </c>
      <c r="E572">
        <v>7072</v>
      </c>
      <c r="F572" s="114" t="s">
        <v>976</v>
      </c>
      <c r="G572" s="114" t="s">
        <v>422</v>
      </c>
      <c r="H572" s="114" t="s">
        <v>415</v>
      </c>
      <c r="I572">
        <v>78</v>
      </c>
    </row>
    <row r="573" spans="1:9">
      <c r="A573" s="114" t="s">
        <v>932</v>
      </c>
      <c r="B573" s="114" t="s">
        <v>407</v>
      </c>
      <c r="C573" s="114" t="s">
        <v>408</v>
      </c>
      <c r="D573" s="114" t="s">
        <v>409</v>
      </c>
      <c r="E573">
        <v>7239</v>
      </c>
      <c r="F573" s="114" t="s">
        <v>977</v>
      </c>
      <c r="G573" s="114" t="s">
        <v>410</v>
      </c>
      <c r="H573" s="114" t="s">
        <v>461</v>
      </c>
      <c r="I573">
        <v>513</v>
      </c>
    </row>
    <row r="574" spans="1:9">
      <c r="A574" s="114" t="s">
        <v>932</v>
      </c>
      <c r="B574" s="114" t="s">
        <v>407</v>
      </c>
      <c r="C574" s="114" t="s">
        <v>408</v>
      </c>
      <c r="D574" s="114" t="s">
        <v>409</v>
      </c>
      <c r="E574">
        <v>7242</v>
      </c>
      <c r="F574" s="114" t="s">
        <v>978</v>
      </c>
      <c r="G574" s="114" t="s">
        <v>410</v>
      </c>
      <c r="H574" s="114" t="s">
        <v>461</v>
      </c>
      <c r="I574">
        <v>855</v>
      </c>
    </row>
    <row r="575" spans="1:9">
      <c r="A575" s="114" t="s">
        <v>932</v>
      </c>
      <c r="B575" s="114" t="s">
        <v>407</v>
      </c>
      <c r="C575" s="114" t="s">
        <v>419</v>
      </c>
      <c r="D575" s="114" t="s">
        <v>409</v>
      </c>
      <c r="E575">
        <v>7325</v>
      </c>
      <c r="F575" s="114" t="s">
        <v>1065</v>
      </c>
      <c r="G575" s="114" t="s">
        <v>422</v>
      </c>
      <c r="H575" s="114" t="s">
        <v>1066</v>
      </c>
      <c r="I575">
        <v>116</v>
      </c>
    </row>
    <row r="576" spans="1:9">
      <c r="A576" s="114" t="s">
        <v>932</v>
      </c>
      <c r="B576" s="114" t="s">
        <v>407</v>
      </c>
      <c r="C576" s="114" t="s">
        <v>408</v>
      </c>
      <c r="D576" s="114" t="s">
        <v>409</v>
      </c>
      <c r="E576">
        <v>7593</v>
      </c>
      <c r="F576" s="114" t="s">
        <v>1303</v>
      </c>
      <c r="G576" s="114" t="s">
        <v>410</v>
      </c>
      <c r="H576" s="114" t="s">
        <v>420</v>
      </c>
      <c r="I576">
        <v>566</v>
      </c>
    </row>
    <row r="577" spans="1:10">
      <c r="A577" s="114" t="s">
        <v>932</v>
      </c>
      <c r="B577" s="114" t="s">
        <v>407</v>
      </c>
      <c r="C577" s="114" t="s">
        <v>419</v>
      </c>
      <c r="D577" s="114" t="s">
        <v>413</v>
      </c>
      <c r="E577">
        <v>7674</v>
      </c>
      <c r="F577" s="114" t="s">
        <v>979</v>
      </c>
      <c r="G577" s="114" t="s">
        <v>422</v>
      </c>
      <c r="H577" s="114" t="s">
        <v>420</v>
      </c>
      <c r="I577">
        <v>74</v>
      </c>
    </row>
    <row r="578" spans="1:10">
      <c r="A578" s="114" t="s">
        <v>932</v>
      </c>
      <c r="B578" s="114" t="s">
        <v>407</v>
      </c>
      <c r="C578" s="114" t="s">
        <v>412</v>
      </c>
      <c r="D578" s="114" t="s">
        <v>413</v>
      </c>
      <c r="E578">
        <v>7676</v>
      </c>
      <c r="F578" s="114" t="s">
        <v>980</v>
      </c>
      <c r="G578" s="114" t="s">
        <v>422</v>
      </c>
      <c r="H578" s="114" t="s">
        <v>420</v>
      </c>
      <c r="I578">
        <v>45</v>
      </c>
    </row>
    <row r="579" spans="1:10">
      <c r="A579" s="114" t="s">
        <v>932</v>
      </c>
      <c r="B579" s="114" t="s">
        <v>407</v>
      </c>
      <c r="C579" s="114" t="s">
        <v>408</v>
      </c>
      <c r="D579" s="114" t="s">
        <v>409</v>
      </c>
      <c r="E579">
        <v>7677</v>
      </c>
      <c r="F579" s="114" t="s">
        <v>981</v>
      </c>
      <c r="G579" s="114" t="s">
        <v>418</v>
      </c>
      <c r="H579" s="114" t="s">
        <v>416</v>
      </c>
      <c r="I579">
        <v>52</v>
      </c>
    </row>
    <row r="580" spans="1:10">
      <c r="A580" s="114" t="s">
        <v>932</v>
      </c>
      <c r="B580" s="114" t="s">
        <v>407</v>
      </c>
      <c r="C580" s="114" t="s">
        <v>412</v>
      </c>
      <c r="D580" s="114" t="s">
        <v>409</v>
      </c>
      <c r="E580">
        <v>7681</v>
      </c>
      <c r="F580" s="114" t="s">
        <v>982</v>
      </c>
      <c r="G580" s="114" t="s">
        <v>418</v>
      </c>
      <c r="H580" s="114" t="s">
        <v>416</v>
      </c>
      <c r="I580">
        <v>66</v>
      </c>
    </row>
    <row r="581" spans="1:10">
      <c r="A581" s="114" t="s">
        <v>932</v>
      </c>
      <c r="B581" s="114" t="s">
        <v>407</v>
      </c>
      <c r="C581" s="114" t="s">
        <v>408</v>
      </c>
      <c r="D581" s="114" t="s">
        <v>409</v>
      </c>
      <c r="E581">
        <v>7749</v>
      </c>
      <c r="F581" s="114" t="s">
        <v>983</v>
      </c>
      <c r="G581" s="114" t="s">
        <v>414</v>
      </c>
      <c r="H581" s="114" t="s">
        <v>677</v>
      </c>
      <c r="I581">
        <v>661</v>
      </c>
    </row>
    <row r="582" spans="1:10">
      <c r="A582" s="114" t="s">
        <v>932</v>
      </c>
      <c r="B582" s="114" t="s">
        <v>407</v>
      </c>
      <c r="C582" s="114" t="s">
        <v>412</v>
      </c>
      <c r="D582" s="114" t="s">
        <v>413</v>
      </c>
      <c r="E582">
        <v>7800</v>
      </c>
      <c r="F582" s="114" t="s">
        <v>984</v>
      </c>
      <c r="G582" s="114" t="s">
        <v>414</v>
      </c>
      <c r="H582" s="114" t="s">
        <v>432</v>
      </c>
      <c r="I582">
        <v>33</v>
      </c>
    </row>
    <row r="583" spans="1:10">
      <c r="A583" s="114" t="s">
        <v>932</v>
      </c>
      <c r="B583" s="114" t="s">
        <v>407</v>
      </c>
      <c r="C583" s="114" t="s">
        <v>408</v>
      </c>
      <c r="D583" s="114" t="s">
        <v>409</v>
      </c>
      <c r="E583">
        <v>8152</v>
      </c>
      <c r="F583" s="114" t="s">
        <v>985</v>
      </c>
      <c r="G583" s="114" t="s">
        <v>418</v>
      </c>
      <c r="H583" s="114" t="s">
        <v>416</v>
      </c>
      <c r="I583">
        <v>35</v>
      </c>
    </row>
    <row r="584" spans="1:10">
      <c r="A584" s="114" t="s">
        <v>932</v>
      </c>
      <c r="B584" s="114" t="s">
        <v>407</v>
      </c>
      <c r="C584" s="114" t="s">
        <v>419</v>
      </c>
      <c r="D584" s="114" t="s">
        <v>409</v>
      </c>
      <c r="E584">
        <v>8928</v>
      </c>
      <c r="F584" s="114" t="s">
        <v>1067</v>
      </c>
      <c r="G584" s="114" t="s">
        <v>410</v>
      </c>
      <c r="H584" s="114" t="s">
        <v>436</v>
      </c>
      <c r="I584">
        <v>194</v>
      </c>
    </row>
    <row r="585" spans="1:10">
      <c r="A585" s="114" t="s">
        <v>932</v>
      </c>
      <c r="B585" s="114" t="s">
        <v>407</v>
      </c>
      <c r="C585" s="114" t="s">
        <v>417</v>
      </c>
      <c r="D585" s="114" t="s">
        <v>409</v>
      </c>
      <c r="E585">
        <v>9672</v>
      </c>
      <c r="F585" s="114" t="s">
        <v>986</v>
      </c>
      <c r="G585" s="114" t="s">
        <v>410</v>
      </c>
      <c r="H585" s="114" t="s">
        <v>415</v>
      </c>
      <c r="I585">
        <v>998</v>
      </c>
    </row>
    <row r="586" spans="1:10">
      <c r="A586" s="114" t="s">
        <v>1304</v>
      </c>
      <c r="B586" s="114" t="s">
        <v>407</v>
      </c>
      <c r="C586" s="114" t="s">
        <v>408</v>
      </c>
      <c r="D586" s="114" t="s">
        <v>409</v>
      </c>
      <c r="E586">
        <v>2910</v>
      </c>
      <c r="F586" s="114" t="s">
        <v>428</v>
      </c>
      <c r="G586" s="114" t="s">
        <v>410</v>
      </c>
      <c r="H586" s="114" t="s">
        <v>411</v>
      </c>
      <c r="I586">
        <v>407</v>
      </c>
    </row>
    <row r="587" spans="1:10">
      <c r="A587" s="114" t="s">
        <v>1304</v>
      </c>
      <c r="B587" s="114" t="s">
        <v>407</v>
      </c>
      <c r="C587" s="114" t="s">
        <v>408</v>
      </c>
      <c r="D587" s="114" t="s">
        <v>409</v>
      </c>
      <c r="E587">
        <v>3770</v>
      </c>
      <c r="F587" s="114" t="s">
        <v>429</v>
      </c>
      <c r="G587" s="114" t="s">
        <v>410</v>
      </c>
      <c r="H587" s="114" t="s">
        <v>421</v>
      </c>
      <c r="I587">
        <v>56</v>
      </c>
    </row>
    <row r="588" spans="1:10">
      <c r="A588" s="114" t="s">
        <v>987</v>
      </c>
      <c r="B588" s="114" t="s">
        <v>407</v>
      </c>
      <c r="C588" s="114" t="s">
        <v>417</v>
      </c>
      <c r="D588" s="114" t="s">
        <v>413</v>
      </c>
      <c r="E588">
        <v>3282</v>
      </c>
      <c r="F588" s="114" t="s">
        <v>988</v>
      </c>
      <c r="G588" s="114" t="s">
        <v>497</v>
      </c>
      <c r="H588" s="114" t="s">
        <v>498</v>
      </c>
      <c r="I588" s="114" t="s">
        <v>433</v>
      </c>
      <c r="J588" s="114" t="s">
        <v>1036</v>
      </c>
    </row>
    <row r="589" spans="1:10">
      <c r="A589" s="114" t="s">
        <v>987</v>
      </c>
      <c r="B589" s="114" t="s">
        <v>407</v>
      </c>
      <c r="C589" s="114" t="s">
        <v>417</v>
      </c>
      <c r="D589" s="114" t="s">
        <v>413</v>
      </c>
      <c r="E589">
        <v>3463</v>
      </c>
      <c r="F589" s="114" t="s">
        <v>989</v>
      </c>
      <c r="G589" s="114" t="s">
        <v>497</v>
      </c>
      <c r="H589" s="114" t="s">
        <v>498</v>
      </c>
      <c r="I589">
        <v>338</v>
      </c>
    </row>
    <row r="590" spans="1:10">
      <c r="A590" s="114" t="s">
        <v>990</v>
      </c>
      <c r="B590" s="114" t="s">
        <v>407</v>
      </c>
      <c r="C590" s="114" t="s">
        <v>417</v>
      </c>
      <c r="D590" s="114" t="s">
        <v>413</v>
      </c>
      <c r="E590">
        <v>3281</v>
      </c>
      <c r="F590" s="114" t="s">
        <v>991</v>
      </c>
      <c r="G590" s="114" t="s">
        <v>497</v>
      </c>
      <c r="H590" s="114" t="s">
        <v>498</v>
      </c>
      <c r="I590" s="114" t="s">
        <v>427</v>
      </c>
      <c r="J590" s="114" t="s">
        <v>855</v>
      </c>
    </row>
    <row r="591" spans="1:10">
      <c r="A591" s="114" t="s">
        <v>990</v>
      </c>
      <c r="B591" s="114" t="s">
        <v>407</v>
      </c>
      <c r="C591" s="114" t="s">
        <v>417</v>
      </c>
      <c r="D591" s="114" t="s">
        <v>413</v>
      </c>
      <c r="E591">
        <v>3466</v>
      </c>
      <c r="F591" s="114" t="s">
        <v>992</v>
      </c>
      <c r="G591" s="114" t="s">
        <v>497</v>
      </c>
      <c r="H591" s="114" t="s">
        <v>498</v>
      </c>
      <c r="I591" s="114" t="s">
        <v>433</v>
      </c>
      <c r="J591" s="114" t="s">
        <v>1305</v>
      </c>
    </row>
    <row r="592" spans="1:10">
      <c r="A592" s="114" t="s">
        <v>993</v>
      </c>
      <c r="B592" s="114" t="s">
        <v>407</v>
      </c>
      <c r="C592" s="114" t="s">
        <v>408</v>
      </c>
      <c r="D592" s="114" t="s">
        <v>409</v>
      </c>
      <c r="E592">
        <v>2354</v>
      </c>
      <c r="F592" s="114" t="s">
        <v>994</v>
      </c>
      <c r="G592" s="114" t="s">
        <v>418</v>
      </c>
      <c r="H592" s="114" t="s">
        <v>421</v>
      </c>
      <c r="I592">
        <v>103</v>
      </c>
    </row>
    <row r="593" spans="1:10">
      <c r="A593" s="114" t="s">
        <v>993</v>
      </c>
      <c r="B593" s="114" t="s">
        <v>407</v>
      </c>
      <c r="C593" s="114" t="s">
        <v>419</v>
      </c>
      <c r="D593" s="114" t="s">
        <v>409</v>
      </c>
      <c r="E593">
        <v>3160</v>
      </c>
      <c r="F593" s="114" t="s">
        <v>995</v>
      </c>
      <c r="G593" s="114" t="s">
        <v>410</v>
      </c>
      <c r="H593" s="114" t="s">
        <v>416</v>
      </c>
      <c r="I593">
        <v>91</v>
      </c>
    </row>
    <row r="594" spans="1:10">
      <c r="A594" s="114" t="s">
        <v>993</v>
      </c>
      <c r="B594" s="114" t="s">
        <v>407</v>
      </c>
      <c r="C594" s="114" t="s">
        <v>408</v>
      </c>
      <c r="D594" s="114" t="s">
        <v>409</v>
      </c>
      <c r="E594">
        <v>7630</v>
      </c>
      <c r="F594" s="114" t="s">
        <v>996</v>
      </c>
      <c r="G594" s="114" t="s">
        <v>410</v>
      </c>
      <c r="H594" s="114" t="s">
        <v>420</v>
      </c>
      <c r="I594" s="114" t="s">
        <v>465</v>
      </c>
      <c r="J594" s="114" t="s">
        <v>1306</v>
      </c>
    </row>
    <row r="595" spans="1:10">
      <c r="A595" s="114" t="s">
        <v>993</v>
      </c>
      <c r="B595" s="114" t="s">
        <v>407</v>
      </c>
      <c r="C595" s="114" t="s">
        <v>419</v>
      </c>
      <c r="D595" s="114" t="s">
        <v>413</v>
      </c>
      <c r="E595">
        <v>8155</v>
      </c>
      <c r="F595" s="114" t="s">
        <v>997</v>
      </c>
      <c r="G595" s="114" t="s">
        <v>410</v>
      </c>
      <c r="H595" s="114" t="s">
        <v>425</v>
      </c>
      <c r="I595">
        <v>709</v>
      </c>
    </row>
    <row r="596" spans="1:10">
      <c r="A596" s="114" t="s">
        <v>993</v>
      </c>
      <c r="B596" s="114" t="s">
        <v>407</v>
      </c>
      <c r="C596" s="114" t="s">
        <v>408</v>
      </c>
      <c r="D596" s="114" t="s">
        <v>409</v>
      </c>
      <c r="E596">
        <v>8217</v>
      </c>
      <c r="F596" s="114" t="s">
        <v>998</v>
      </c>
      <c r="G596" s="114" t="s">
        <v>410</v>
      </c>
      <c r="H596" s="114" t="s">
        <v>420</v>
      </c>
      <c r="I596">
        <v>637</v>
      </c>
    </row>
    <row r="597" spans="1:10">
      <c r="A597" s="114" t="s">
        <v>1000</v>
      </c>
      <c r="B597" s="114" t="s">
        <v>407</v>
      </c>
      <c r="C597" s="114" t="s">
        <v>408</v>
      </c>
      <c r="D597" s="114" t="s">
        <v>409</v>
      </c>
      <c r="E597">
        <v>6757</v>
      </c>
      <c r="F597" s="114" t="s">
        <v>1001</v>
      </c>
      <c r="G597" s="114" t="s">
        <v>414</v>
      </c>
      <c r="H597" s="114" t="s">
        <v>435</v>
      </c>
      <c r="I597">
        <v>127</v>
      </c>
    </row>
    <row r="598" spans="1:10">
      <c r="A598" s="114" t="s">
        <v>1002</v>
      </c>
      <c r="B598" s="114" t="s">
        <v>407</v>
      </c>
      <c r="C598" s="114" t="s">
        <v>419</v>
      </c>
      <c r="D598" s="114" t="s">
        <v>409</v>
      </c>
      <c r="E598">
        <v>6905</v>
      </c>
      <c r="F598" s="114" t="s">
        <v>1003</v>
      </c>
      <c r="G598" s="114" t="s">
        <v>410</v>
      </c>
      <c r="H598" s="114" t="s">
        <v>435</v>
      </c>
      <c r="I598">
        <v>444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  <vt:lpstr>Fiscal_date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2019-12-06T13:07:33Z</dcterms:modified>
</cp:coreProperties>
</file>