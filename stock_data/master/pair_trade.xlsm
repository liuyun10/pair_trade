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</sheets>
  <functionGroups/>
  <definedNames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P13" i="2"/>
  <c r="R12" s="1"/>
  <c r="M13"/>
  <c r="J13"/>
  <c r="P12"/>
  <c r="M12"/>
  <c r="J12"/>
  <c r="C12"/>
  <c r="R2" i="13"/>
  <c r="AC6"/>
  <c r="AC8"/>
  <c r="AC4"/>
  <c r="AB6"/>
  <c r="AB8"/>
  <c r="AB4"/>
  <c r="AA6"/>
  <c r="AA8"/>
  <c r="AA4"/>
  <c r="M4" i="2"/>
  <c r="P4" s="1"/>
  <c r="Q9" i="13"/>
  <c r="P9"/>
  <c r="M9"/>
  <c r="J9"/>
  <c r="V8"/>
  <c r="Q8"/>
  <c r="P8"/>
  <c r="R8" s="1"/>
  <c r="S8" s="1"/>
  <c r="M8"/>
  <c r="J8"/>
  <c r="C8"/>
  <c r="V6"/>
  <c r="V4"/>
  <c r="P1" i="2"/>
  <c r="U10" s="1"/>
  <c r="V10" s="1"/>
  <c r="P5"/>
  <c r="Q5" s="1"/>
  <c r="M5"/>
  <c r="J5"/>
  <c r="J4"/>
  <c r="C4"/>
  <c r="M11"/>
  <c r="P11" s="1"/>
  <c r="J11"/>
  <c r="P10"/>
  <c r="M10"/>
  <c r="J10"/>
  <c r="C10"/>
  <c r="M9"/>
  <c r="P9" s="1"/>
  <c r="J9"/>
  <c r="M8"/>
  <c r="P8" s="1"/>
  <c r="J8"/>
  <c r="C8"/>
  <c r="M7"/>
  <c r="P7" s="1"/>
  <c r="J7"/>
  <c r="M6"/>
  <c r="P6" s="1"/>
  <c r="J6"/>
  <c r="C6"/>
  <c r="Q13" l="1"/>
  <c r="S12"/>
  <c r="U12"/>
  <c r="V12" s="1"/>
  <c r="Q12"/>
  <c r="J2"/>
  <c r="U4"/>
  <c r="V4" s="1"/>
  <c r="U6"/>
  <c r="V6" s="1"/>
  <c r="U8"/>
  <c r="V8" s="1"/>
  <c r="R6" i="13"/>
  <c r="S6" s="1"/>
  <c r="R4"/>
  <c r="S4" s="1"/>
  <c r="Q4" i="2"/>
  <c r="R4"/>
  <c r="S4" s="1"/>
  <c r="R10"/>
  <c r="S10" s="1"/>
  <c r="Q11"/>
  <c r="Q10"/>
  <c r="Q8"/>
  <c r="R6"/>
  <c r="S6" s="1"/>
  <c r="Q9"/>
  <c r="R8"/>
  <c r="S8" s="1"/>
  <c r="Q7"/>
  <c r="Q6"/>
  <c r="S2" l="1"/>
  <c r="R2"/>
</calcChain>
</file>

<file path=xl/sharedStrings.xml><?xml version="1.0" encoding="utf-8"?>
<sst xmlns="http://schemas.openxmlformats.org/spreadsheetml/2006/main" count="2183" uniqueCount="475">
  <si>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</si>
  <si>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</si>
  <si>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</si>
  <si>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</si>
  <si>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</si>
  <si>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</si>
  <si>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</si>
  <si>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</si>
  <si>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</si>
  <si>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</si>
  <si>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</si>
  <si>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</si>
  <si>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</si>
  <si>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</si>
  <si>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</si>
  <si>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</si>
  <si>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</si>
  <si>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</si>
  <si>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</si>
  <si>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</si>
  <si>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</si>
  <si>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</si>
  <si>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</si>
  <si>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</si>
  <si>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</si>
  <si>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</si>
  <si>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</si>
  <si>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</si>
  <si>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</si>
  <si>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</si>
  <si>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</si>
  <si>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</si>
  <si>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</si>
  <si>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</si>
  <si>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</si>
  <si>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</si>
  <si>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</si>
  <si>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</si>
  <si>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</si>
  <si>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</si>
  <si>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</si>
  <si>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</si>
  <si>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</si>
  <si>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</si>
  <si>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</si>
  <si>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</si>
  <si>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</si>
  <si>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</si>
  <si>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</si>
  <si>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</si>
  <si>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</si>
  <si>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</si>
  <si>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三井住友トラスト・ホールディングス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</si>
  <si>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</si>
  <si>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</si>
  <si>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</si>
  <si>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</si>
  <si>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</si>
  <si>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</si>
  <si>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</si>
  <si>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ＡＤＥＫＡ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</si>
  <si>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</si>
  <si>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</si>
  <si>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</si>
  <si>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</si>
  <si>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</si>
  <si>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</si>
  <si>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</si>
  <si>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</si>
  <si>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</si>
  <si>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</si>
  <si>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</si>
  <si>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</si>
  <si>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</si>
  <si>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</si>
  <si>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</si>
  <si>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</si>
  <si>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</si>
  <si>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</si>
  <si>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</si>
  <si>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</si>
  <si>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</si>
  <si>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</si>
  <si>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</si>
  <si>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</si>
  <si>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</si>
  <si>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</si>
  <si>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</si>
  <si>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</si>
  <si>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</si>
  <si>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</si>
  <si>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</si>
  <si>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</si>
  <si>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カネカ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</si>
  <si>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</si>
  <si>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</si>
  <si>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</si>
  <si>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</si>
  <si>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</si>
  <si>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</si>
  <si>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</si>
  <si>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</si>
  <si>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銘柄１（売り銘柄）</t>
    <phoneticPr fontId="1" type="noConversion"/>
  </si>
  <si>
    <t>銘柄２（買い銘柄）</t>
    <phoneticPr fontId="1" type="noConversion"/>
  </si>
  <si>
    <t>相関</t>
    <phoneticPr fontId="1" type="noConversion"/>
  </si>
  <si>
    <t>シグマ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</si>
  <si>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</si>
  <si>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</si>
  <si>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</si>
  <si>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バックテスト</t>
    <phoneticPr fontId="1" type="noConversion"/>
  </si>
  <si>
    <t>SIGMA</t>
  </si>
  <si>
    <t>stop_profit_times</t>
  </si>
  <si>
    <t>stop_loss_times</t>
  </si>
  <si>
    <t>max_day_over_times</t>
  </si>
  <si>
    <t>関電工</t>
  </si>
  <si>
    <t>建設業</t>
  </si>
  <si>
    <t>スカパーＪＳＡＴホールディングス</t>
  </si>
  <si>
    <t>情報・通信業</t>
  </si>
  <si>
    <t>パルプ・紙</t>
  </si>
  <si>
    <t>東京放送ホールディングス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</si>
  <si>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</si>
  <si>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</si>
  <si>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</si>
  <si>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</si>
  <si>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</si>
  <si>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</si>
  <si>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</si>
  <si>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</si>
  <si>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コクヨ</t>
  </si>
  <si>
    <t>その他製品</t>
  </si>
  <si>
    <t>ダイセル</t>
  </si>
  <si>
    <t>日清紡ホールディングス</t>
  </si>
  <si>
    <t>東海理化電機製作所</t>
  </si>
  <si>
    <t>ジェイ　エフ　イー　ホールディングス</t>
  </si>
  <si>
    <t>鉄鋼</t>
  </si>
  <si>
    <t>ニコン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</si>
  <si>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</si>
  <si>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</si>
  <si>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</si>
  <si>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</si>
  <si>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</si>
  <si>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</si>
  <si>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日本テレビホールディングス</t>
  </si>
  <si>
    <t>ＩＨＩ</t>
  </si>
  <si>
    <t>機械</t>
  </si>
  <si>
    <t>イズミ</t>
  </si>
  <si>
    <t>めぶきフィナンシャルグループ</t>
  </si>
  <si>
    <t>卸売業</t>
  </si>
  <si>
    <t>りそなホールディングス</t>
  </si>
  <si>
    <t>住友林業</t>
  </si>
  <si>
    <t>良品計画</t>
  </si>
  <si>
    <t>日産自動車</t>
  </si>
  <si>
    <t>パナソニック</t>
  </si>
  <si>
    <t>ニチアス</t>
  </si>
  <si>
    <t>ガラス・土石製品</t>
  </si>
  <si>
    <t>シチズン時計</t>
  </si>
  <si>
    <t>椿本チエイン</t>
  </si>
  <si>
    <t>小松製作所</t>
  </si>
  <si>
    <t>保険業</t>
  </si>
  <si>
    <t>神戸製鋼所</t>
  </si>
  <si>
    <t>マキタ</t>
  </si>
  <si>
    <t>五洋建設</t>
  </si>
  <si>
    <t>サンドラッグ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</si>
  <si>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</si>
  <si>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</si>
  <si>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</si>
  <si>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</si>
  <si>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</si>
  <si>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</si>
  <si>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日本製鉄</t>
  </si>
  <si>
    <t>日野自動車</t>
  </si>
  <si>
    <t>証券、商品先物取引業</t>
  </si>
  <si>
    <t>住友化学</t>
  </si>
  <si>
    <t>本田技研工業</t>
  </si>
  <si>
    <t>八十二銀行</t>
  </si>
  <si>
    <t>伊予銀行</t>
  </si>
  <si>
    <t>ジョイフル本田</t>
  </si>
  <si>
    <t>西武ホールディングス</t>
  </si>
  <si>
    <t>陸運業</t>
  </si>
  <si>
    <t>日本郵政</t>
  </si>
  <si>
    <t>サービス業</t>
  </si>
  <si>
    <t>エイチ・ツー・オー　リテイリング</t>
  </si>
  <si>
    <t>みずほフィナンシャルグループ</t>
  </si>
  <si>
    <t>西松建設</t>
  </si>
  <si>
    <t>デンカ</t>
  </si>
  <si>
    <t>イビデン</t>
  </si>
  <si>
    <t>アドバンテスト</t>
  </si>
  <si>
    <t>安川電機</t>
  </si>
  <si>
    <t>オムロン</t>
  </si>
  <si>
    <t>パイロットコーポレーション</t>
  </si>
  <si>
    <t>クラレ</t>
  </si>
  <si>
    <t>ＦＵＪＩ</t>
  </si>
  <si>
    <t>ＴＤＫ</t>
  </si>
  <si>
    <t>七十七銀行</t>
  </si>
  <si>
    <t>北陸電力</t>
  </si>
  <si>
    <t>電気・ガス業</t>
  </si>
  <si>
    <t>トヨタ紡織</t>
  </si>
  <si>
    <t>ケーヒン</t>
  </si>
  <si>
    <t>宝ホールディングス</t>
  </si>
  <si>
    <t>ＪＸＴＧホールディングス</t>
  </si>
  <si>
    <t>石油・石炭製品</t>
  </si>
  <si>
    <t>ニッコンホールディングス</t>
  </si>
  <si>
    <t>日鉄物産</t>
  </si>
  <si>
    <t>住友ゴム工業</t>
  </si>
  <si>
    <t>ゴム製品</t>
  </si>
  <si>
    <t>電源開発</t>
  </si>
  <si>
    <t>ＡＧＣ</t>
  </si>
  <si>
    <t>日本電気硝子</t>
  </si>
  <si>
    <t>日揮</t>
  </si>
  <si>
    <t>東海カーボン</t>
  </si>
  <si>
    <t>住友電気工業</t>
  </si>
  <si>
    <t>非鉄金属</t>
  </si>
  <si>
    <t>コスモエネルギーホールディングス</t>
  </si>
  <si>
    <t>ＳＡＮＫＹＯ</t>
  </si>
  <si>
    <t>アインホールディングス</t>
  </si>
  <si>
    <t>日本ペイントホールディングス</t>
  </si>
  <si>
    <t>ジェイテクト</t>
  </si>
  <si>
    <t>きんでん</t>
  </si>
  <si>
    <t>ゆうちょ銀行</t>
  </si>
  <si>
    <t>双日</t>
  </si>
  <si>
    <t>いすゞ自動車</t>
  </si>
  <si>
    <t>ＤＩＣ</t>
  </si>
  <si>
    <t>ＮＴＮ</t>
  </si>
  <si>
    <t>阪和興業</t>
  </si>
  <si>
    <t>大同特殊鋼</t>
  </si>
  <si>
    <t>あい　ホールディングス</t>
  </si>
  <si>
    <t>三菱ケミカルホールディングス</t>
  </si>
  <si>
    <t>Ｔ＆Ｄホールディングス</t>
  </si>
  <si>
    <t>三井住友フィナンシャルグループ</t>
  </si>
  <si>
    <t>クリエイトＳＤホールディングス</t>
  </si>
  <si>
    <t>キヤノン</t>
  </si>
  <si>
    <t>大正製薬ホールディングス</t>
  </si>
  <si>
    <t>医薬品</t>
  </si>
  <si>
    <t>かんぽ生命保険</t>
  </si>
  <si>
    <t>カルビー</t>
  </si>
  <si>
    <t>日本精工</t>
  </si>
  <si>
    <t>日東電工</t>
  </si>
  <si>
    <t>東洋インキＳＣホールディングス</t>
  </si>
  <si>
    <t>マルハニチロ</t>
  </si>
  <si>
    <t>水産・農林業</t>
  </si>
  <si>
    <t>久光製薬</t>
  </si>
  <si>
    <t>平和堂</t>
  </si>
  <si>
    <t>第四北越フィナンシャルグループ</t>
  </si>
  <si>
    <t>東洋製罐グループホールディングス</t>
  </si>
  <si>
    <t>日本軽金属ホールディングス</t>
  </si>
  <si>
    <t>マツダ</t>
  </si>
  <si>
    <t>日本特殊陶業</t>
  </si>
  <si>
    <t>九州フィナンシャルグループ</t>
  </si>
  <si>
    <t>塩野義製薬</t>
  </si>
  <si>
    <t>川崎重工業</t>
  </si>
  <si>
    <t>コニカミノルタ</t>
  </si>
  <si>
    <t>出光興産</t>
  </si>
  <si>
    <t>三菱商事</t>
  </si>
  <si>
    <t>ＴＨＫ</t>
  </si>
  <si>
    <t>堀場製作所</t>
  </si>
  <si>
    <t>丸一鋼管</t>
  </si>
  <si>
    <t>日本触媒</t>
  </si>
  <si>
    <t>ワコールホールディングス</t>
  </si>
  <si>
    <t>繊維製品</t>
  </si>
  <si>
    <t>ヤマハ発動機</t>
  </si>
  <si>
    <t>ジーエス・ユアサ　コーポレーション</t>
  </si>
  <si>
    <t>アルフレッサ　ホールディングス</t>
  </si>
  <si>
    <t>九電工</t>
  </si>
  <si>
    <t>三菱鉛筆</t>
  </si>
  <si>
    <t>エイチ・アイ・エス</t>
  </si>
  <si>
    <t>太平洋セメント</t>
  </si>
  <si>
    <t>あおぞら銀行</t>
  </si>
  <si>
    <t>三菱ＵＦＪフィナンシャル・グループ</t>
  </si>
  <si>
    <t>日立キャピタル</t>
  </si>
  <si>
    <t>その他金融業</t>
  </si>
  <si>
    <t>東北電力</t>
  </si>
  <si>
    <t>四国電力</t>
  </si>
  <si>
    <t>東京瓦斯</t>
  </si>
  <si>
    <t>大阪瓦斯</t>
  </si>
  <si>
    <t>クミアイ化学工業</t>
  </si>
  <si>
    <t>1/9/9</t>
  </si>
  <si>
    <t>4/10/5</t>
  </si>
  <si>
    <t>3/7/9</t>
  </si>
  <si>
    <t>5/8/6</t>
  </si>
  <si>
    <t>4/7/4</t>
  </si>
  <si>
    <t>4/6/9</t>
  </si>
  <si>
    <t>4/4/9</t>
  </si>
  <si>
    <t>5/7/7</t>
  </si>
  <si>
    <t>2/3/12</t>
  </si>
  <si>
    <t>4/6/2</t>
  </si>
  <si>
    <t>3/3/8</t>
  </si>
  <si>
    <t>5/6/8</t>
  </si>
  <si>
    <t>1/1/15</t>
  </si>
  <si>
    <t>4/3/8</t>
  </si>
  <si>
    <t>4/5/9</t>
  </si>
  <si>
    <t>4/3/5</t>
  </si>
  <si>
    <t>4/2/10</t>
  </si>
  <si>
    <t>5/4/8</t>
  </si>
  <si>
    <t>12/10/3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</si>
  <si>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</si>
  <si>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</si>
  <si>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</si>
  <si>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</si>
  <si>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Code</t>
  </si>
  <si>
    <t>Code</t>
    <phoneticPr fontId="1" type="noConversion"/>
  </si>
  <si>
    <t>Name</t>
  </si>
  <si>
    <t>Name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</si>
  <si>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</si>
  <si>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</si>
  <si>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</si>
  <si>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</si>
  <si>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</si>
  <si>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</si>
  <si>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</si>
  <si>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</si>
  <si>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</si>
  <si>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</si>
  <si>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</si>
  <si>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</si>
  <si>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</si>
  <si>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</si>
  <si>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</si>
  <si>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</si>
  <si>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</si>
  <si>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</si>
  <si>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</si>
  <si>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</si>
  <si>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</si>
  <si>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</si>
  <si>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</si>
  <si>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</si>
  <si>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</si>
  <si>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</si>
  <si>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</si>
  <si>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</si>
  <si>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</si>
  <si>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</si>
  <si>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</si>
  <si>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</si>
  <si>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</si>
  <si>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</si>
  <si>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</si>
  <si>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</si>
  <si>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</si>
  <si>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</si>
  <si>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</si>
  <si>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</si>
  <si>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</si>
  <si>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</si>
  <si>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</si>
  <si>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</si>
  <si>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</si>
  <si>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</si>
  <si>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</si>
  <si>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</si>
  <si>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</si>
  <si>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</si>
  <si>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</si>
  <si>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</si>
  <si>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</si>
  <si>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</si>
  <si>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</si>
  <si>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</si>
  <si>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</si>
  <si>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</si>
  <si>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</si>
  <si>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</si>
  <si>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</si>
  <si>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</si>
  <si>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</si>
  <si>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</si>
  <si>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</si>
  <si>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</si>
  <si>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</si>
  <si>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</si>
  <si>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</si>
  <si>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</si>
  <si>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</si>
  <si>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</si>
  <si>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</si>
  <si>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</si>
  <si>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</si>
  <si>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</si>
  <si>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</si>
  <si>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</si>
  <si>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</si>
  <si>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</si>
  <si>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</si>
  <si>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</si>
  <si>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</si>
  <si>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</si>
  <si>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</si>
  <si>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</si>
  <si>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</si>
  <si>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</si>
  <si>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</si>
  <si>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</si>
  <si>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</si>
  <si>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</si>
  <si>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</si>
  <si>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</si>
  <si>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</si>
  <si>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</si>
  <si>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</si>
  <si>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</si>
  <si>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</si>
  <si>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</si>
  <si>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</si>
  <si>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</si>
  <si>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</si>
  <si>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</si>
  <si>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</si>
  <si>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</si>
  <si>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</si>
  <si>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</si>
  <si>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</si>
  <si>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</si>
  <si>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</si>
  <si>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</si>
  <si>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</si>
  <si>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</si>
  <si>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</si>
  <si>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</si>
  <si>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</si>
  <si>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</si>
  <si>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</si>
  <si>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</si>
  <si>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</si>
  <si>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</si>
  <si>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</si>
  <si>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</si>
  <si>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</si>
  <si>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</si>
  <si>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</si>
  <si>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</si>
  <si>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</si>
  <si>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</si>
  <si>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</si>
  <si>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</si>
  <si>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</si>
  <si>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STOP PROFIT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</si>
  <si>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</si>
  <si>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</si>
  <si>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</si>
  <si>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</si>
  <si>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</si>
  <si>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</si>
  <si>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</si>
  <si>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</si>
  <si>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OPEN_7453</t>
  </si>
  <si>
    <t>CLOSE_7453</t>
  </si>
  <si>
    <t>OPEN_8308</t>
  </si>
  <si>
    <t>CLOSE_8308</t>
  </si>
  <si>
    <t>+1-Sigama</t>
  </si>
  <si>
    <t>-1-Sigama</t>
  </si>
  <si>
    <t>+2-Sigama</t>
  </si>
  <si>
    <t>-2-Sigama</t>
  </si>
  <si>
    <t>業種</t>
  </si>
  <si>
    <t>業種</t>
    <phoneticPr fontId="1" type="noConversion"/>
  </si>
  <si>
    <t>Price</t>
  </si>
  <si>
    <t>Price</t>
    <phoneticPr fontId="1" type="noConversion"/>
  </si>
  <si>
    <t>σ</t>
    <phoneticPr fontId="1" type="noConversion"/>
  </si>
  <si>
    <t>離率</t>
    <phoneticPr fontId="1" type="noConversion"/>
  </si>
  <si>
    <t>差分</t>
    <phoneticPr fontId="1" type="noConversion"/>
  </si>
  <si>
    <t>Lot</t>
    <phoneticPr fontId="1" type="noConversion"/>
  </si>
  <si>
    <t>Lot</t>
    <phoneticPr fontId="1" type="noConversion"/>
  </si>
  <si>
    <t>Mount1</t>
    <phoneticPr fontId="1" type="noConversion"/>
  </si>
  <si>
    <t>Mount2</t>
    <phoneticPr fontId="1" type="noConversion"/>
  </si>
  <si>
    <t>Total Profit</t>
    <phoneticPr fontId="1" type="noConversion"/>
  </si>
  <si>
    <t>Ave Profit</t>
    <phoneticPr fontId="1" type="noConversion"/>
  </si>
  <si>
    <t>Total 
Times</t>
    <phoneticPr fontId="1" type="noConversion"/>
  </si>
  <si>
    <t>Profit
Times</t>
    <phoneticPr fontId="1" type="noConversion"/>
  </si>
  <si>
    <t>Open
Days</t>
    <phoneticPr fontId="1" type="noConversion"/>
  </si>
  <si>
    <t>PL</t>
    <phoneticPr fontId="1" type="noConversion"/>
  </si>
  <si>
    <t>ST/SP/OM</t>
    <phoneticPr fontId="1" type="noConversion"/>
  </si>
  <si>
    <t>Coint 
3M</t>
    <phoneticPr fontId="1" type="noConversion"/>
  </si>
  <si>
    <t>CORR
3M</t>
    <phoneticPr fontId="1" type="noConversion"/>
  </si>
  <si>
    <t>CORR
1Y</t>
    <phoneticPr fontId="1" type="noConversion"/>
  </si>
  <si>
    <t>Coint 
1Y</t>
    <phoneticPr fontId="1" type="noConversion"/>
  </si>
  <si>
    <t>7453_8308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</si>
</sst>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7" formatCode="0_);[Red]\(0\)"/>
    <numFmt numFmtId="188" formatCode="0_ ;[Red]\-0\ "/>
    <numFmt numFmtId="189" formatCode="&quot;¥&quot;#,##0"/>
  </numFmts>
  <fonts count="3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sz val="11"/>
      <color rgb="FFFF0000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0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9" fillId="1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179" fontId="0" fillId="15" borderId="1" xfId="0" applyNumberFormat="1" applyFill="1" applyBorder="1"/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3" fillId="0" borderId="0" xfId="0" applyFont="1"/>
    <xf numFmtId="0" fontId="14" fillId="0" borderId="0" xfId="0" applyFont="1"/>
    <xf numFmtId="0" fontId="19" fillId="4" borderId="6" xfId="0" applyFont="1" applyFill="1" applyBorder="1" applyAlignment="1">
      <alignment horizontal="center"/>
    </xf>
    <xf numFmtId="178" fontId="19" fillId="4" borderId="6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0" fontId="19" fillId="10" borderId="6" xfId="0" applyFont="1" applyFill="1" applyBorder="1" applyAlignment="1">
      <alignment horizontal="center" vertical="center"/>
    </xf>
    <xf numFmtId="10" fontId="19" fillId="10" borderId="6" xfId="0" applyNumberFormat="1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/>
    </xf>
    <xf numFmtId="178" fontId="19" fillId="10" borderId="1" xfId="0" applyNumberFormat="1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/>
    </xf>
    <xf numFmtId="178" fontId="19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10" fontId="19" fillId="10" borderId="1" xfId="0" applyNumberFormat="1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177" fontId="19" fillId="10" borderId="18" xfId="0" applyNumberFormat="1" applyFont="1" applyFill="1" applyBorder="1" applyAlignment="1">
      <alignment horizontal="left" vertical="center"/>
    </xf>
    <xf numFmtId="177" fontId="19" fillId="10" borderId="6" xfId="0" applyNumberFormat="1" applyFont="1" applyFill="1" applyBorder="1" applyAlignment="1">
      <alignment horizontal="left" vertical="center"/>
    </xf>
    <xf numFmtId="177" fontId="19" fillId="10" borderId="14" xfId="0" applyNumberFormat="1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179" fontId="19" fillId="4" borderId="6" xfId="0" applyNumberFormat="1" applyFont="1" applyFill="1" applyBorder="1" applyAlignment="1">
      <alignment horizontal="center"/>
    </xf>
    <xf numFmtId="179" fontId="19" fillId="10" borderId="1" xfId="0" applyNumberFormat="1" applyFont="1" applyFill="1" applyBorder="1" applyAlignment="1">
      <alignment horizontal="center"/>
    </xf>
    <xf numFmtId="179" fontId="19" fillId="4" borderId="1" xfId="0" applyNumberFormat="1" applyFont="1" applyFill="1" applyBorder="1" applyAlignment="1">
      <alignment horizontal="center"/>
    </xf>
    <xf numFmtId="180" fontId="19" fillId="4" borderId="6" xfId="0" applyNumberFormat="1" applyFont="1" applyFill="1" applyBorder="1" applyAlignment="1">
      <alignment horizontal="center"/>
    </xf>
    <xf numFmtId="6" fontId="19" fillId="4" borderId="6" xfId="0" applyNumberFormat="1" applyFont="1" applyFill="1" applyBorder="1" applyAlignment="1">
      <alignment horizontal="center"/>
    </xf>
    <xf numFmtId="10" fontId="19" fillId="4" borderId="6" xfId="0" applyNumberFormat="1" applyFont="1" applyFill="1" applyBorder="1" applyAlignment="1">
      <alignment horizontal="center"/>
    </xf>
    <xf numFmtId="180" fontId="19" fillId="10" borderId="1" xfId="0" applyNumberFormat="1" applyFont="1" applyFill="1" applyBorder="1" applyAlignment="1">
      <alignment horizontal="center"/>
    </xf>
    <xf numFmtId="6" fontId="19" fillId="10" borderId="1" xfId="0" applyNumberFormat="1" applyFont="1" applyFill="1" applyBorder="1" applyAlignment="1">
      <alignment horizontal="center"/>
    </xf>
    <xf numFmtId="10" fontId="19" fillId="10" borderId="1" xfId="0" applyNumberFormat="1" applyFont="1" applyFill="1" applyBorder="1" applyAlignment="1">
      <alignment horizontal="center"/>
    </xf>
    <xf numFmtId="180" fontId="19" fillId="4" borderId="1" xfId="0" applyNumberFormat="1" applyFont="1" applyFill="1" applyBorder="1" applyAlignment="1">
      <alignment horizontal="center"/>
    </xf>
    <xf numFmtId="6" fontId="19" fillId="4" borderId="1" xfId="0" applyNumberFormat="1" applyFont="1" applyFill="1" applyBorder="1" applyAlignment="1">
      <alignment horizontal="center"/>
    </xf>
    <xf numFmtId="10" fontId="19" fillId="4" borderId="1" xfId="0" applyNumberFormat="1" applyFont="1" applyFill="1" applyBorder="1" applyAlignment="1">
      <alignment horizontal="center"/>
    </xf>
    <xf numFmtId="14" fontId="14" fillId="10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shrinkToFit="1"/>
    </xf>
    <xf numFmtId="0" fontId="13" fillId="4" borderId="6" xfId="0" applyFont="1" applyFill="1" applyBorder="1" applyAlignment="1">
      <alignment horizontal="left" shrinkToFit="1"/>
    </xf>
    <xf numFmtId="0" fontId="20" fillId="10" borderId="6" xfId="0" applyFont="1" applyFill="1" applyBorder="1" applyAlignment="1">
      <alignment horizontal="left" shrinkToFit="1"/>
    </xf>
    <xf numFmtId="0" fontId="20" fillId="4" borderId="6" xfId="0" applyFont="1" applyFill="1" applyBorder="1" applyAlignment="1">
      <alignment horizontal="left" shrinkToFit="1"/>
    </xf>
    <xf numFmtId="0" fontId="21" fillId="0" borderId="0" xfId="0" applyFont="1"/>
    <xf numFmtId="14" fontId="23" fillId="0" borderId="0" xfId="0" applyNumberFormat="1" applyFont="1" applyAlignment="1">
      <alignment horizontal="left"/>
    </xf>
    <xf numFmtId="0" fontId="2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25" fillId="0" borderId="0" xfId="0" applyFont="1"/>
    <xf numFmtId="0" fontId="16" fillId="9" borderId="13" xfId="0" applyFont="1" applyFill="1" applyBorder="1" applyAlignment="1">
      <alignment horizontal="center" vertical="center"/>
    </xf>
    <xf numFmtId="0" fontId="17" fillId="9" borderId="15" xfId="0" applyFont="1" applyFill="1" applyBorder="1" applyAlignment="1">
      <alignment horizontal="center" vertical="center"/>
    </xf>
    <xf numFmtId="0" fontId="18" fillId="9" borderId="16" xfId="0" applyFont="1" applyFill="1" applyBorder="1" applyAlignment="1">
      <alignment horizontal="center" vertical="center"/>
    </xf>
    <xf numFmtId="0" fontId="18" fillId="9" borderId="15" xfId="0" applyFont="1" applyFill="1" applyBorder="1" applyAlignment="1">
      <alignment horizontal="center" vertical="center"/>
    </xf>
    <xf numFmtId="0" fontId="17" fillId="9" borderId="16" xfId="0" applyFont="1" applyFill="1" applyBorder="1" applyAlignment="1">
      <alignment horizontal="center" vertical="center"/>
    </xf>
    <xf numFmtId="0" fontId="18" fillId="9" borderId="16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7" fillId="9" borderId="15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 wrapText="1" indent="1"/>
    </xf>
    <xf numFmtId="0" fontId="28" fillId="0" borderId="21" xfId="0" applyFont="1" applyBorder="1" applyAlignment="1">
      <alignment horizontal="left" wrapText="1"/>
    </xf>
    <xf numFmtId="0" fontId="27" fillId="19" borderId="22" xfId="0" applyFont="1" applyFill="1" applyBorder="1" applyAlignment="1">
      <alignment horizontal="center" vertical="center" wrapText="1"/>
    </xf>
    <xf numFmtId="0" fontId="27" fillId="19" borderId="23" xfId="0" applyFont="1" applyFill="1" applyBorder="1" applyAlignment="1">
      <alignment horizontal="center" vertical="center" wrapText="1"/>
    </xf>
    <xf numFmtId="0" fontId="26" fillId="20" borderId="24" xfId="0" applyFont="1" applyFill="1" applyBorder="1" applyAlignment="1">
      <alignment horizontal="left" wrapText="1"/>
    </xf>
    <xf numFmtId="0" fontId="26" fillId="15" borderId="24" xfId="0" applyFont="1" applyFill="1" applyBorder="1" applyAlignment="1">
      <alignment horizontal="left" wrapText="1"/>
    </xf>
    <xf numFmtId="0" fontId="28" fillId="15" borderId="21" xfId="0" applyFont="1" applyFill="1" applyBorder="1" applyAlignment="1">
      <alignment horizontal="left" wrapText="1"/>
    </xf>
    <xf numFmtId="0" fontId="26" fillId="21" borderId="24" xfId="0" applyFont="1" applyFill="1" applyBorder="1" applyAlignment="1">
      <alignment horizontal="left" wrapText="1"/>
    </xf>
    <xf numFmtId="0" fontId="28" fillId="21" borderId="21" xfId="0" applyFont="1" applyFill="1" applyBorder="1" applyAlignment="1">
      <alignment horizontal="left" wrapText="1"/>
    </xf>
    <xf numFmtId="0" fontId="29" fillId="0" borderId="0" xfId="0" applyFont="1"/>
    <xf numFmtId="0" fontId="28" fillId="0" borderId="25" xfId="0" applyFont="1" applyBorder="1" applyAlignment="1">
      <alignment horizontal="left" vertical="center" wrapText="1"/>
    </xf>
    <xf numFmtId="0" fontId="26" fillId="20" borderId="26" xfId="0" applyFont="1" applyFill="1" applyBorder="1" applyAlignment="1">
      <alignment horizontal="left" wrapText="1"/>
    </xf>
    <xf numFmtId="0" fontId="28" fillId="0" borderId="25" xfId="0" applyFont="1" applyBorder="1" applyAlignment="1">
      <alignment horizontal="left" vertical="center" wrapText="1"/>
    </xf>
    <xf numFmtId="0" fontId="28" fillId="0" borderId="27" xfId="0" applyFont="1" applyBorder="1" applyAlignment="1">
      <alignment horizontal="left" vertical="center" wrapText="1"/>
    </xf>
    <xf numFmtId="0" fontId="28" fillId="0" borderId="24" xfId="0" applyFont="1" applyBorder="1" applyAlignment="1">
      <alignment horizontal="left" vertical="center" wrapText="1"/>
    </xf>
    <xf numFmtId="0" fontId="30" fillId="24" borderId="21" xfId="0" applyFont="1" applyFill="1" applyBorder="1" applyAlignment="1">
      <alignment horizontal="left" vertical="center" wrapText="1"/>
    </xf>
    <xf numFmtId="0" fontId="30" fillId="22" borderId="21" xfId="0" applyFont="1" applyFill="1" applyBorder="1" applyAlignment="1">
      <alignment horizontal="left" vertical="center" wrapText="1"/>
    </xf>
    <xf numFmtId="0" fontId="30" fillId="23" borderId="21" xfId="0" applyFont="1" applyFill="1" applyBorder="1" applyAlignment="1">
      <alignment horizontal="left" vertical="center" wrapText="1"/>
    </xf>
    <xf numFmtId="0" fontId="30" fillId="25" borderId="21" xfId="0" applyFont="1" applyFill="1" applyBorder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0" fillId="0" borderId="32" xfId="0" applyBorder="1"/>
    <xf numFmtId="0" fontId="30" fillId="19" borderId="24" xfId="0" applyFont="1" applyFill="1" applyBorder="1" applyAlignment="1">
      <alignment horizontal="left" vertical="center" wrapText="1"/>
    </xf>
    <xf numFmtId="0" fontId="28" fillId="26" borderId="24" xfId="0" applyFont="1" applyFill="1" applyBorder="1" applyAlignment="1">
      <alignment horizontal="left" vertical="center" wrapText="1"/>
    </xf>
    <xf numFmtId="0" fontId="28" fillId="26" borderId="26" xfId="0" applyFont="1" applyFill="1" applyBorder="1" applyAlignment="1">
      <alignment horizontal="left" vertical="center" wrapText="1"/>
    </xf>
    <xf numFmtId="0" fontId="30" fillId="22" borderId="29" xfId="0" applyFont="1" applyFill="1" applyBorder="1" applyAlignment="1">
      <alignment horizontal="left" vertical="center" wrapText="1"/>
    </xf>
    <xf numFmtId="0" fontId="30" fillId="22" borderId="30" xfId="0" applyFont="1" applyFill="1" applyBorder="1" applyAlignment="1">
      <alignment horizontal="left" vertical="center" wrapText="1"/>
    </xf>
    <xf numFmtId="0" fontId="30" fillId="22" borderId="33" xfId="0" applyFont="1" applyFill="1" applyBorder="1" applyAlignment="1">
      <alignment horizontal="left" vertical="center" wrapText="1"/>
    </xf>
    <xf numFmtId="0" fontId="30" fillId="22" borderId="21" xfId="0" applyFont="1" applyFill="1" applyBorder="1" applyAlignment="1">
      <alignment horizontal="left" vertical="center" wrapText="1"/>
    </xf>
    <xf numFmtId="0" fontId="30" fillId="19" borderId="31" xfId="0" applyFont="1" applyFill="1" applyBorder="1" applyAlignment="1">
      <alignment horizontal="left" vertical="center" wrapText="1"/>
    </xf>
    <xf numFmtId="0" fontId="30" fillId="19" borderId="34" xfId="0" applyFont="1" applyFill="1" applyBorder="1" applyAlignment="1">
      <alignment horizontal="left" vertical="center" wrapText="1"/>
    </xf>
    <xf numFmtId="0" fontId="30" fillId="19" borderId="23" xfId="0" applyFont="1" applyFill="1" applyBorder="1" applyAlignment="1">
      <alignment horizontal="left" vertical="center" wrapText="1"/>
    </xf>
    <xf numFmtId="0" fontId="30" fillId="23" borderId="34" xfId="0" applyFont="1" applyFill="1" applyBorder="1" applyAlignment="1">
      <alignment horizontal="left" vertical="center" wrapText="1"/>
    </xf>
    <xf numFmtId="0" fontId="30" fillId="23" borderId="23" xfId="0" applyFont="1" applyFill="1" applyBorder="1" applyAlignment="1">
      <alignment horizontal="left" vertical="center" wrapText="1"/>
    </xf>
    <xf numFmtId="0" fontId="30" fillId="25" borderId="34" xfId="0" applyFont="1" applyFill="1" applyBorder="1" applyAlignment="1">
      <alignment horizontal="left" vertical="center" wrapText="1"/>
    </xf>
    <xf numFmtId="0" fontId="30" fillId="25" borderId="23" xfId="0" applyFont="1" applyFill="1" applyBorder="1" applyAlignment="1">
      <alignment horizontal="left" vertical="center" wrapText="1"/>
    </xf>
    <xf numFmtId="0" fontId="28" fillId="0" borderId="28" xfId="0" applyFont="1" applyBorder="1" applyAlignment="1">
      <alignment horizontal="left" vertical="center" wrapText="1"/>
    </xf>
    <xf numFmtId="0" fontId="28" fillId="0" borderId="34" xfId="0" applyFont="1" applyBorder="1" applyAlignment="1">
      <alignment horizontal="left" vertical="center" wrapText="1"/>
    </xf>
    <xf numFmtId="0" fontId="28" fillId="0" borderId="23" xfId="0" applyFont="1" applyBorder="1" applyAlignment="1">
      <alignment horizontal="left" vertical="center" wrapText="1"/>
    </xf>
    <xf numFmtId="0" fontId="28" fillId="0" borderId="31" xfId="0" applyFont="1" applyBorder="1" applyAlignment="1">
      <alignment horizontal="left" vertical="center" wrapText="1"/>
    </xf>
    <xf numFmtId="0" fontId="28" fillId="0" borderId="26" xfId="0" applyFont="1" applyBorder="1" applyAlignment="1">
      <alignment horizontal="left" vertical="center" wrapText="1"/>
    </xf>
    <xf numFmtId="10" fontId="28" fillId="0" borderId="27" xfId="0" applyNumberFormat="1" applyFont="1" applyBorder="1" applyAlignment="1">
      <alignment horizontal="left" vertical="center" wrapText="1"/>
    </xf>
    <xf numFmtId="10" fontId="28" fillId="0" borderId="26" xfId="0" applyNumberFormat="1" applyFont="1" applyBorder="1" applyAlignment="1">
      <alignment horizontal="left" vertical="center" wrapText="1"/>
    </xf>
    <xf numFmtId="10" fontId="28" fillId="0" borderId="24" xfId="0" applyNumberFormat="1" applyFont="1" applyBorder="1" applyAlignment="1">
      <alignment horizontal="left" vertical="center" wrapText="1"/>
    </xf>
    <xf numFmtId="0" fontId="28" fillId="26" borderId="26" xfId="0" applyFont="1" applyFill="1" applyBorder="1" applyAlignment="1">
      <alignment horizontal="left" vertical="center" wrapText="1"/>
    </xf>
    <xf numFmtId="0" fontId="28" fillId="26" borderId="27" xfId="0" applyFont="1" applyFill="1" applyBorder="1" applyAlignment="1">
      <alignment horizontal="left" vertical="center" wrapText="1"/>
    </xf>
    <xf numFmtId="0" fontId="28" fillId="26" borderId="24" xfId="0" applyFont="1" applyFill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9" xfId="0" applyFont="1" applyBorder="1" applyAlignment="1">
      <alignment horizontal="left" vertical="center" wrapText="1"/>
    </xf>
    <xf numFmtId="0" fontId="28" fillId="0" borderId="32" xfId="0" applyFont="1" applyBorder="1" applyAlignment="1">
      <alignment horizontal="left" vertical="center" wrapText="1"/>
    </xf>
    <xf numFmtId="0" fontId="28" fillId="0" borderId="30" xfId="0" applyFont="1" applyBorder="1" applyAlignment="1">
      <alignment horizontal="left" vertical="center" wrapText="1"/>
    </xf>
    <xf numFmtId="0" fontId="28" fillId="0" borderId="33" xfId="0" applyFont="1" applyBorder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15" borderId="25" xfId="0" applyFont="1" applyFill="1" applyBorder="1" applyAlignment="1">
      <alignment horizontal="left" vertical="center" wrapText="1"/>
    </xf>
    <xf numFmtId="10" fontId="28" fillId="15" borderId="27" xfId="0" applyNumberFormat="1" applyFont="1" applyFill="1" applyBorder="1" applyAlignment="1">
      <alignment horizontal="left" vertical="center" wrapText="1"/>
    </xf>
    <xf numFmtId="10" fontId="28" fillId="15" borderId="26" xfId="0" applyNumberFormat="1" applyFont="1" applyFill="1" applyBorder="1" applyAlignment="1">
      <alignment horizontal="left" vertical="center" wrapText="1"/>
    </xf>
    <xf numFmtId="10" fontId="28" fillId="15" borderId="24" xfId="0" applyNumberFormat="1" applyFont="1" applyFill="1" applyBorder="1" applyAlignment="1">
      <alignment horizontal="left" vertical="center" wrapText="1"/>
    </xf>
    <xf numFmtId="0" fontId="28" fillId="15" borderId="27" xfId="0" applyFont="1" applyFill="1" applyBorder="1" applyAlignment="1">
      <alignment horizontal="left" vertical="center" wrapText="1"/>
    </xf>
    <xf numFmtId="0" fontId="28" fillId="15" borderId="24" xfId="0" applyFont="1" applyFill="1" applyBorder="1" applyAlignment="1">
      <alignment horizontal="left" vertical="center" wrapText="1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177" fontId="19" fillId="10" borderId="18" xfId="0" applyNumberFormat="1" applyFont="1" applyFill="1" applyBorder="1" applyAlignment="1">
      <alignment horizontal="center" vertical="center"/>
    </xf>
    <xf numFmtId="177" fontId="19" fillId="10" borderId="6" xfId="0" applyNumberFormat="1" applyFont="1" applyFill="1" applyBorder="1" applyAlignment="1">
      <alignment horizontal="center" vertical="center"/>
    </xf>
    <xf numFmtId="187" fontId="19" fillId="10" borderId="18" xfId="0" applyNumberFormat="1" applyFont="1" applyFill="1" applyBorder="1" applyAlignment="1">
      <alignment horizontal="center" vertical="center"/>
    </xf>
    <xf numFmtId="177" fontId="19" fillId="10" borderId="14" xfId="0" applyNumberFormat="1" applyFont="1" applyFill="1" applyBorder="1" applyAlignment="1">
      <alignment horizontal="center" vertical="center"/>
    </xf>
    <xf numFmtId="177" fontId="19" fillId="10" borderId="5" xfId="0" applyNumberFormat="1" applyFont="1" applyFill="1" applyBorder="1" applyAlignment="1">
      <alignment horizontal="center" vertical="center"/>
    </xf>
    <xf numFmtId="188" fontId="19" fillId="10" borderId="6" xfId="0" applyNumberFormat="1" applyFont="1" applyFill="1" applyBorder="1" applyAlignment="1">
      <alignment horizontal="center" vertical="center"/>
    </xf>
    <xf numFmtId="188" fontId="19" fillId="10" borderId="1" xfId="0" applyNumberFormat="1" applyFont="1" applyFill="1" applyBorder="1" applyAlignment="1">
      <alignment horizontal="center" vertical="center"/>
    </xf>
    <xf numFmtId="181" fontId="24" fillId="0" borderId="19" xfId="0" applyNumberFormat="1" applyFont="1" applyBorder="1"/>
    <xf numFmtId="10" fontId="24" fillId="0" borderId="20" xfId="0" applyNumberFormat="1" applyFont="1" applyBorder="1"/>
    <xf numFmtId="14" fontId="19" fillId="10" borderId="18" xfId="0" applyNumberFormat="1" applyFont="1" applyFill="1" applyBorder="1" applyAlignment="1">
      <alignment horizontal="center" vertical="center"/>
    </xf>
    <xf numFmtId="187" fontId="31" fillId="10" borderId="18" xfId="0" applyNumberFormat="1" applyFont="1" applyFill="1" applyBorder="1" applyAlignment="1">
      <alignment horizontal="center" vertical="center"/>
    </xf>
    <xf numFmtId="187" fontId="31" fillId="10" borderId="6" xfId="0" applyNumberFormat="1" applyFont="1" applyFill="1" applyBorder="1" applyAlignment="1">
      <alignment horizontal="center" vertical="center"/>
    </xf>
    <xf numFmtId="0" fontId="18" fillId="9" borderId="15" xfId="0" applyFont="1" applyFill="1" applyBorder="1" applyAlignment="1">
      <alignment horizontal="center" vertical="center" wrapText="1"/>
    </xf>
    <xf numFmtId="0" fontId="19" fillId="10" borderId="5" xfId="0" applyFont="1" applyFill="1" applyBorder="1" applyAlignment="1">
      <alignment horizontal="center" vertical="center"/>
    </xf>
    <xf numFmtId="14" fontId="19" fillId="10" borderId="14" xfId="0" applyNumberFormat="1" applyFont="1" applyFill="1" applyBorder="1" applyAlignment="1">
      <alignment horizontal="center" vertical="center"/>
    </xf>
    <xf numFmtId="187" fontId="19" fillId="10" borderId="14" xfId="0" applyNumberFormat="1" applyFont="1" applyFill="1" applyBorder="1" applyAlignment="1">
      <alignment horizontal="center" vertical="center"/>
    </xf>
    <xf numFmtId="187" fontId="31" fillId="10" borderId="14" xfId="0" applyNumberFormat="1" applyFont="1" applyFill="1" applyBorder="1" applyAlignment="1">
      <alignment horizontal="center" vertical="center"/>
    </xf>
    <xf numFmtId="14" fontId="14" fillId="10" borderId="6" xfId="0" applyNumberFormat="1" applyFont="1" applyFill="1" applyBorder="1" applyAlignment="1">
      <alignment horizontal="center" vertical="center"/>
    </xf>
    <xf numFmtId="14" fontId="19" fillId="10" borderId="1" xfId="0" applyNumberFormat="1" applyFont="1" applyFill="1" applyBorder="1" applyAlignment="1">
      <alignment horizontal="center" vertical="center"/>
    </xf>
    <xf numFmtId="187" fontId="19" fillId="10" borderId="1" xfId="0" applyNumberFormat="1" applyFont="1" applyFill="1" applyBorder="1" applyAlignment="1">
      <alignment horizontal="center" vertical="center"/>
    </xf>
    <xf numFmtId="187" fontId="31" fillId="10" borderId="1" xfId="0" applyNumberFormat="1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/>
    </xf>
    <xf numFmtId="6" fontId="34" fillId="0" borderId="13" xfId="0" applyNumberFormat="1" applyFont="1" applyBorder="1"/>
    <xf numFmtId="0" fontId="35" fillId="0" borderId="0" xfId="4" applyAlignment="1" applyProtection="1"/>
    <xf numFmtId="189" fontId="24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4" fillId="0" borderId="38" xfId="0" applyFont="1" applyBorder="1"/>
    <xf numFmtId="0" fontId="0" fillId="0" borderId="38" xfId="0" applyBorder="1"/>
    <xf numFmtId="0" fontId="36" fillId="0" borderId="0" xfId="0" applyFont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10" fillId="16" borderId="0" xfId="1" applyAlignment="1">
      <alignment horizontal="center" vertical="center"/>
    </xf>
    <xf numFmtId="0" fontId="12" fillId="18" borderId="0" xfId="3" applyAlignment="1">
      <alignment horizontal="center" vertical="center"/>
    </xf>
    <xf numFmtId="0" fontId="11" fillId="17" borderId="0" xfId="2" applyAlignment="1">
      <alignment horizontal="center" vertical="center"/>
    </xf>
  </cellXfs>
  <cellStyles count="5">
    <cellStyle name="好" xfId="1" builtinId="26"/>
    <cellStyle name="差" xfId="2" builtinId="27"/>
    <cellStyle name="常规" xfId="0" builtinId="0"/>
    <cellStyle name="超链接" xfId="4" builtinId="8"/>
    <cellStyle name="适中" xfId="3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681"/>
          <c:y val="0.32811630502905043"/>
          <c:w val="0.6536415134375485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72046848"/>
        <c:axId val="72048640"/>
      </c:lineChart>
      <c:catAx>
        <c:axId val="72046848"/>
        <c:scaling>
          <c:orientation val="minMax"/>
        </c:scaling>
        <c:axPos val="b"/>
        <c:numFmt formatCode="General" sourceLinked="1"/>
        <c:tickLblPos val="nextTo"/>
        <c:crossAx val="72048640"/>
        <c:crosses val="autoZero"/>
        <c:auto val="1"/>
        <c:lblAlgn val="ctr"/>
        <c:lblOffset val="100"/>
      </c:catAx>
      <c:valAx>
        <c:axId val="72048640"/>
        <c:scaling>
          <c:orientation val="minMax"/>
        </c:scaling>
        <c:axPos val="l"/>
        <c:majorGridlines/>
        <c:numFmt formatCode="General" sourceLinked="1"/>
        <c:tickLblPos val="nextTo"/>
        <c:crossAx val="72046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214E-2"/>
          <c:y val="8.1284574217614369E-2"/>
          <c:w val="0.90558616623761357"/>
          <c:h val="0.79678930149331961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43749</c:v>
                </c:pt>
                <c:pt idx="1">
                  <c:v>43748</c:v>
                </c:pt>
                <c:pt idx="2">
                  <c:v>43747</c:v>
                </c:pt>
                <c:pt idx="3">
                  <c:v>43746</c:v>
                </c:pt>
                <c:pt idx="4">
                  <c:v>43745</c:v>
                </c:pt>
                <c:pt idx="5">
                  <c:v>43742</c:v>
                </c:pt>
                <c:pt idx="6">
                  <c:v>43741</c:v>
                </c:pt>
                <c:pt idx="7">
                  <c:v>43740</c:v>
                </c:pt>
                <c:pt idx="8">
                  <c:v>43739</c:v>
                </c:pt>
                <c:pt idx="9">
                  <c:v>43738</c:v>
                </c:pt>
                <c:pt idx="10">
                  <c:v>43735</c:v>
                </c:pt>
                <c:pt idx="11">
                  <c:v>43734</c:v>
                </c:pt>
                <c:pt idx="12">
                  <c:v>43733</c:v>
                </c:pt>
                <c:pt idx="13">
                  <c:v>43732</c:v>
                </c:pt>
                <c:pt idx="14">
                  <c:v>43728</c:v>
                </c:pt>
                <c:pt idx="15">
                  <c:v>43727</c:v>
                </c:pt>
                <c:pt idx="16">
                  <c:v>43726</c:v>
                </c:pt>
                <c:pt idx="17">
                  <c:v>43725</c:v>
                </c:pt>
                <c:pt idx="18">
                  <c:v>43721</c:v>
                </c:pt>
                <c:pt idx="19">
                  <c:v>43720</c:v>
                </c:pt>
                <c:pt idx="20">
                  <c:v>43719</c:v>
                </c:pt>
                <c:pt idx="21">
                  <c:v>43718</c:v>
                </c:pt>
                <c:pt idx="22">
                  <c:v>43717</c:v>
                </c:pt>
                <c:pt idx="23">
                  <c:v>43714</c:v>
                </c:pt>
                <c:pt idx="24">
                  <c:v>43713</c:v>
                </c:pt>
                <c:pt idx="25">
                  <c:v>43712</c:v>
                </c:pt>
                <c:pt idx="26">
                  <c:v>43711</c:v>
                </c:pt>
                <c:pt idx="27">
                  <c:v>43710</c:v>
                </c:pt>
                <c:pt idx="28">
                  <c:v>43707</c:v>
                </c:pt>
                <c:pt idx="29">
                  <c:v>43706</c:v>
                </c:pt>
                <c:pt idx="30">
                  <c:v>43705</c:v>
                </c:pt>
                <c:pt idx="31">
                  <c:v>43704</c:v>
                </c:pt>
                <c:pt idx="32">
                  <c:v>43703</c:v>
                </c:pt>
                <c:pt idx="33">
                  <c:v>43700</c:v>
                </c:pt>
                <c:pt idx="34">
                  <c:v>43699</c:v>
                </c:pt>
                <c:pt idx="35">
                  <c:v>43698</c:v>
                </c:pt>
                <c:pt idx="36">
                  <c:v>43697</c:v>
                </c:pt>
                <c:pt idx="37">
                  <c:v>43696</c:v>
                </c:pt>
                <c:pt idx="38">
                  <c:v>43693</c:v>
                </c:pt>
                <c:pt idx="39">
                  <c:v>43692</c:v>
                </c:pt>
                <c:pt idx="40">
                  <c:v>43691</c:v>
                </c:pt>
                <c:pt idx="41">
                  <c:v>43690</c:v>
                </c:pt>
                <c:pt idx="42">
                  <c:v>43686</c:v>
                </c:pt>
                <c:pt idx="43">
                  <c:v>43685</c:v>
                </c:pt>
                <c:pt idx="44">
                  <c:v>43684</c:v>
                </c:pt>
                <c:pt idx="45">
                  <c:v>43683</c:v>
                </c:pt>
                <c:pt idx="46">
                  <c:v>43682</c:v>
                </c:pt>
                <c:pt idx="47">
                  <c:v>43679</c:v>
                </c:pt>
                <c:pt idx="48">
                  <c:v>43678</c:v>
                </c:pt>
                <c:pt idx="49">
                  <c:v>43677</c:v>
                </c:pt>
                <c:pt idx="50">
                  <c:v>43676</c:v>
                </c:pt>
                <c:pt idx="51">
                  <c:v>43675</c:v>
                </c:pt>
                <c:pt idx="52">
                  <c:v>43672</c:v>
                </c:pt>
                <c:pt idx="53">
                  <c:v>43671</c:v>
                </c:pt>
                <c:pt idx="54">
                  <c:v>43670</c:v>
                </c:pt>
                <c:pt idx="55">
                  <c:v>43669</c:v>
                </c:pt>
                <c:pt idx="56">
                  <c:v>43668</c:v>
                </c:pt>
                <c:pt idx="57">
                  <c:v>43665</c:v>
                </c:pt>
                <c:pt idx="58">
                  <c:v>43664</c:v>
                </c:pt>
                <c:pt idx="59">
                  <c:v>43663</c:v>
                </c:pt>
                <c:pt idx="60">
                  <c:v>43662</c:v>
                </c:pt>
                <c:pt idx="61">
                  <c:v>43658</c:v>
                </c:pt>
                <c:pt idx="62">
                  <c:v>43657</c:v>
                </c:pt>
                <c:pt idx="63">
                  <c:v>43656</c:v>
                </c:pt>
                <c:pt idx="64">
                  <c:v>43655</c:v>
                </c:pt>
                <c:pt idx="65">
                  <c:v>43654</c:v>
                </c:pt>
                <c:pt idx="66">
                  <c:v>43651</c:v>
                </c:pt>
                <c:pt idx="67">
                  <c:v>43650</c:v>
                </c:pt>
                <c:pt idx="68">
                  <c:v>43649</c:v>
                </c:pt>
                <c:pt idx="69">
                  <c:v>43648</c:v>
                </c:pt>
                <c:pt idx="70">
                  <c:v>43647</c:v>
                </c:pt>
                <c:pt idx="71">
                  <c:v>43644</c:v>
                </c:pt>
                <c:pt idx="72">
                  <c:v>43643</c:v>
                </c:pt>
                <c:pt idx="73">
                  <c:v>43642</c:v>
                </c:pt>
                <c:pt idx="74">
                  <c:v>43641</c:v>
                </c:pt>
                <c:pt idx="75">
                  <c:v>43640</c:v>
                </c:pt>
                <c:pt idx="76">
                  <c:v>43637</c:v>
                </c:pt>
                <c:pt idx="77">
                  <c:v>43636</c:v>
                </c:pt>
                <c:pt idx="78">
                  <c:v>43635</c:v>
                </c:pt>
                <c:pt idx="79">
                  <c:v>43634</c:v>
                </c:pt>
                <c:pt idx="80">
                  <c:v>43633</c:v>
                </c:pt>
                <c:pt idx="81">
                  <c:v>43630</c:v>
                </c:pt>
                <c:pt idx="82">
                  <c:v>43629</c:v>
                </c:pt>
                <c:pt idx="83">
                  <c:v>43628</c:v>
                </c:pt>
                <c:pt idx="84">
                  <c:v>43627</c:v>
                </c:pt>
                <c:pt idx="85">
                  <c:v>43626</c:v>
                </c:pt>
                <c:pt idx="86">
                  <c:v>43623</c:v>
                </c:pt>
                <c:pt idx="87">
                  <c:v>43622</c:v>
                </c:pt>
                <c:pt idx="88">
                  <c:v>43621</c:v>
                </c:pt>
                <c:pt idx="89">
                  <c:v>43620</c:v>
                </c:pt>
                <c:pt idx="90">
                  <c:v>43619</c:v>
                </c:pt>
                <c:pt idx="91">
                  <c:v>43616</c:v>
                </c:pt>
                <c:pt idx="92">
                  <c:v>43615</c:v>
                </c:pt>
                <c:pt idx="93">
                  <c:v>43614</c:v>
                </c:pt>
                <c:pt idx="94">
                  <c:v>43613</c:v>
                </c:pt>
                <c:pt idx="95">
                  <c:v>43612</c:v>
                </c:pt>
                <c:pt idx="96">
                  <c:v>43609</c:v>
                </c:pt>
                <c:pt idx="97">
                  <c:v>43608</c:v>
                </c:pt>
                <c:pt idx="98">
                  <c:v>43607</c:v>
                </c:pt>
                <c:pt idx="99">
                  <c:v>43606</c:v>
                </c:pt>
                <c:pt idx="100">
                  <c:v>43605</c:v>
                </c:pt>
                <c:pt idx="101">
                  <c:v>43602</c:v>
                </c:pt>
                <c:pt idx="102">
                  <c:v>43601</c:v>
                </c:pt>
                <c:pt idx="103">
                  <c:v>43600</c:v>
                </c:pt>
                <c:pt idx="104">
                  <c:v>43599</c:v>
                </c:pt>
                <c:pt idx="105">
                  <c:v>43598</c:v>
                </c:pt>
                <c:pt idx="106">
                  <c:v>43595</c:v>
                </c:pt>
                <c:pt idx="107">
                  <c:v>43594</c:v>
                </c:pt>
                <c:pt idx="108">
                  <c:v>43593</c:v>
                </c:pt>
                <c:pt idx="109">
                  <c:v>43592</c:v>
                </c:pt>
                <c:pt idx="110">
                  <c:v>43581</c:v>
                </c:pt>
                <c:pt idx="111">
                  <c:v>43580</c:v>
                </c:pt>
                <c:pt idx="112">
                  <c:v>43579</c:v>
                </c:pt>
                <c:pt idx="113">
                  <c:v>43578</c:v>
                </c:pt>
                <c:pt idx="114">
                  <c:v>43577</c:v>
                </c:pt>
                <c:pt idx="115">
                  <c:v>43574</c:v>
                </c:pt>
                <c:pt idx="116">
                  <c:v>43573</c:v>
                </c:pt>
                <c:pt idx="117">
                  <c:v>43572</c:v>
                </c:pt>
                <c:pt idx="118">
                  <c:v>43571</c:v>
                </c:pt>
                <c:pt idx="119">
                  <c:v>43570</c:v>
                </c:pt>
                <c:pt idx="120">
                  <c:v>43567</c:v>
                </c:pt>
                <c:pt idx="121">
                  <c:v>43566</c:v>
                </c:pt>
                <c:pt idx="122">
                  <c:v>43565</c:v>
                </c:pt>
                <c:pt idx="123">
                  <c:v>43564</c:v>
                </c:pt>
                <c:pt idx="124">
                  <c:v>43563</c:v>
                </c:pt>
                <c:pt idx="125">
                  <c:v>43560</c:v>
                </c:pt>
                <c:pt idx="126">
                  <c:v>43559</c:v>
                </c:pt>
                <c:pt idx="127">
                  <c:v>43558</c:v>
                </c:pt>
                <c:pt idx="128">
                  <c:v>43557</c:v>
                </c:pt>
                <c:pt idx="129">
                  <c:v>43556</c:v>
                </c:pt>
                <c:pt idx="130">
                  <c:v>43553</c:v>
                </c:pt>
                <c:pt idx="131">
                  <c:v>43552</c:v>
                </c:pt>
                <c:pt idx="132">
                  <c:v>43551</c:v>
                </c:pt>
                <c:pt idx="133">
                  <c:v>43550</c:v>
                </c:pt>
                <c:pt idx="134">
                  <c:v>43549</c:v>
                </c:pt>
                <c:pt idx="135">
                  <c:v>43546</c:v>
                </c:pt>
                <c:pt idx="136">
                  <c:v>43544</c:v>
                </c:pt>
                <c:pt idx="137">
                  <c:v>43543</c:v>
                </c:pt>
                <c:pt idx="138">
                  <c:v>43542</c:v>
                </c:pt>
                <c:pt idx="139">
                  <c:v>43539</c:v>
                </c:pt>
                <c:pt idx="140">
                  <c:v>43538</c:v>
                </c:pt>
                <c:pt idx="141">
                  <c:v>43537</c:v>
                </c:pt>
                <c:pt idx="142">
                  <c:v>43536</c:v>
                </c:pt>
                <c:pt idx="143">
                  <c:v>43535</c:v>
                </c:pt>
                <c:pt idx="144">
                  <c:v>43532</c:v>
                </c:pt>
                <c:pt idx="145">
                  <c:v>43531</c:v>
                </c:pt>
                <c:pt idx="146">
                  <c:v>43530</c:v>
                </c:pt>
                <c:pt idx="147">
                  <c:v>43529</c:v>
                </c:pt>
                <c:pt idx="148">
                  <c:v>43528</c:v>
                </c:pt>
                <c:pt idx="149">
                  <c:v>43525</c:v>
                </c:pt>
                <c:pt idx="150">
                  <c:v>43524</c:v>
                </c:pt>
                <c:pt idx="151">
                  <c:v>43523</c:v>
                </c:pt>
                <c:pt idx="152">
                  <c:v>43522</c:v>
                </c:pt>
                <c:pt idx="153">
                  <c:v>43521</c:v>
                </c:pt>
                <c:pt idx="154">
                  <c:v>43518</c:v>
                </c:pt>
                <c:pt idx="155">
                  <c:v>43517</c:v>
                </c:pt>
                <c:pt idx="156">
                  <c:v>43516</c:v>
                </c:pt>
                <c:pt idx="157">
                  <c:v>43515</c:v>
                </c:pt>
                <c:pt idx="158">
                  <c:v>43514</c:v>
                </c:pt>
                <c:pt idx="159">
                  <c:v>43511</c:v>
                </c:pt>
                <c:pt idx="160">
                  <c:v>43510</c:v>
                </c:pt>
                <c:pt idx="161">
                  <c:v>43509</c:v>
                </c:pt>
                <c:pt idx="162">
                  <c:v>43508</c:v>
                </c:pt>
                <c:pt idx="163">
                  <c:v>43504</c:v>
                </c:pt>
                <c:pt idx="164">
                  <c:v>43503</c:v>
                </c:pt>
                <c:pt idx="165">
                  <c:v>43502</c:v>
                </c:pt>
                <c:pt idx="166">
                  <c:v>43501</c:v>
                </c:pt>
                <c:pt idx="167">
                  <c:v>43500</c:v>
                </c:pt>
                <c:pt idx="168">
                  <c:v>43497</c:v>
                </c:pt>
                <c:pt idx="169">
                  <c:v>43496</c:v>
                </c:pt>
                <c:pt idx="170">
                  <c:v>43495</c:v>
                </c:pt>
                <c:pt idx="171">
                  <c:v>43494</c:v>
                </c:pt>
                <c:pt idx="172">
                  <c:v>43493</c:v>
                </c:pt>
                <c:pt idx="173">
                  <c:v>43490</c:v>
                </c:pt>
                <c:pt idx="174">
                  <c:v>43489</c:v>
                </c:pt>
                <c:pt idx="175">
                  <c:v>43488</c:v>
                </c:pt>
                <c:pt idx="176">
                  <c:v>43487</c:v>
                </c:pt>
                <c:pt idx="177">
                  <c:v>43486</c:v>
                </c:pt>
                <c:pt idx="178">
                  <c:v>43483</c:v>
                </c:pt>
                <c:pt idx="179">
                  <c:v>43482</c:v>
                </c:pt>
                <c:pt idx="180">
                  <c:v>43481</c:v>
                </c:pt>
                <c:pt idx="181">
                  <c:v>43480</c:v>
                </c:pt>
                <c:pt idx="182">
                  <c:v>43476</c:v>
                </c:pt>
                <c:pt idx="183">
                  <c:v>43475</c:v>
                </c:pt>
                <c:pt idx="184">
                  <c:v>43474</c:v>
                </c:pt>
                <c:pt idx="185">
                  <c:v>43473</c:v>
                </c:pt>
                <c:pt idx="186">
                  <c:v>43472</c:v>
                </c:pt>
                <c:pt idx="187">
                  <c:v>43469</c:v>
                </c:pt>
                <c:pt idx="188">
                  <c:v>43462</c:v>
                </c:pt>
                <c:pt idx="189">
                  <c:v>43461</c:v>
                </c:pt>
                <c:pt idx="190">
                  <c:v>43460</c:v>
                </c:pt>
                <c:pt idx="191">
                  <c:v>43459</c:v>
                </c:pt>
                <c:pt idx="192">
                  <c:v>43455</c:v>
                </c:pt>
                <c:pt idx="193">
                  <c:v>43454</c:v>
                </c:pt>
                <c:pt idx="194">
                  <c:v>43453</c:v>
                </c:pt>
                <c:pt idx="195">
                  <c:v>43452</c:v>
                </c:pt>
                <c:pt idx="196">
                  <c:v>43451</c:v>
                </c:pt>
                <c:pt idx="197">
                  <c:v>43448</c:v>
                </c:pt>
                <c:pt idx="198">
                  <c:v>43447</c:v>
                </c:pt>
                <c:pt idx="199">
                  <c:v>43446</c:v>
                </c:pt>
                <c:pt idx="200">
                  <c:v>43445</c:v>
                </c:pt>
                <c:pt idx="201">
                  <c:v>43444</c:v>
                </c:pt>
                <c:pt idx="202">
                  <c:v>43441</c:v>
                </c:pt>
                <c:pt idx="203">
                  <c:v>43440</c:v>
                </c:pt>
                <c:pt idx="204">
                  <c:v>43439</c:v>
                </c:pt>
                <c:pt idx="205">
                  <c:v>43438</c:v>
                </c:pt>
                <c:pt idx="206">
                  <c:v>43437</c:v>
                </c:pt>
                <c:pt idx="207">
                  <c:v>43434</c:v>
                </c:pt>
                <c:pt idx="208">
                  <c:v>43433</c:v>
                </c:pt>
                <c:pt idx="209">
                  <c:v>43432</c:v>
                </c:pt>
                <c:pt idx="210">
                  <c:v>43431</c:v>
                </c:pt>
                <c:pt idx="211">
                  <c:v>43430</c:v>
                </c:pt>
                <c:pt idx="212">
                  <c:v>43426</c:v>
                </c:pt>
                <c:pt idx="213">
                  <c:v>43425</c:v>
                </c:pt>
                <c:pt idx="214">
                  <c:v>43424</c:v>
                </c:pt>
                <c:pt idx="215">
                  <c:v>43423</c:v>
                </c:pt>
                <c:pt idx="216">
                  <c:v>43420</c:v>
                </c:pt>
                <c:pt idx="217">
                  <c:v>43419</c:v>
                </c:pt>
                <c:pt idx="218">
                  <c:v>43418</c:v>
                </c:pt>
                <c:pt idx="219">
                  <c:v>43417</c:v>
                </c:pt>
                <c:pt idx="220">
                  <c:v>43416</c:v>
                </c:pt>
                <c:pt idx="221">
                  <c:v>43413</c:v>
                </c:pt>
                <c:pt idx="222">
                  <c:v>43412</c:v>
                </c:pt>
                <c:pt idx="223">
                  <c:v>43411</c:v>
                </c:pt>
                <c:pt idx="224">
                  <c:v>43410</c:v>
                </c:pt>
                <c:pt idx="225">
                  <c:v>43409</c:v>
                </c:pt>
                <c:pt idx="226">
                  <c:v>43406</c:v>
                </c:pt>
                <c:pt idx="227">
                  <c:v>43405</c:v>
                </c:pt>
                <c:pt idx="228">
                  <c:v>43404</c:v>
                </c:pt>
                <c:pt idx="229">
                  <c:v>43403</c:v>
                </c:pt>
                <c:pt idx="230">
                  <c:v>43402</c:v>
                </c:pt>
                <c:pt idx="231">
                  <c:v>43399</c:v>
                </c:pt>
                <c:pt idx="232">
                  <c:v>43398</c:v>
                </c:pt>
                <c:pt idx="233">
                  <c:v>43397</c:v>
                </c:pt>
                <c:pt idx="234">
                  <c:v>43396</c:v>
                </c:pt>
                <c:pt idx="235">
                  <c:v>43395</c:v>
                </c:pt>
                <c:pt idx="236">
                  <c:v>43392</c:v>
                </c:pt>
                <c:pt idx="237">
                  <c:v>43391</c:v>
                </c:pt>
                <c:pt idx="238">
                  <c:v>43390</c:v>
                </c:pt>
                <c:pt idx="239">
                  <c:v>43389</c:v>
                </c:pt>
                <c:pt idx="240">
                  <c:v>43388</c:v>
                </c:pt>
                <c:pt idx="241">
                  <c:v>43385</c:v>
                </c:pt>
                <c:pt idx="242">
                  <c:v>43384</c:v>
                </c:pt>
                <c:pt idx="243">
                  <c:v>43383</c:v>
                </c:pt>
                <c:pt idx="244">
                  <c:v>43382</c:v>
                </c:pt>
                <c:pt idx="245">
                  <c:v>43378</c:v>
                </c:pt>
                <c:pt idx="246">
                  <c:v>43377</c:v>
                </c:pt>
                <c:pt idx="247">
                  <c:v>43376</c:v>
                </c:pt>
                <c:pt idx="248">
                  <c:v>43375</c:v>
                </c:pt>
                <c:pt idx="249">
                  <c:v>43374</c:v>
                </c:pt>
                <c:pt idx="250">
                  <c:v>43371</c:v>
                </c:pt>
                <c:pt idx="251">
                  <c:v>43370</c:v>
                </c:pt>
                <c:pt idx="252">
                  <c:v>43369</c:v>
                </c:pt>
                <c:pt idx="253">
                  <c:v>43368</c:v>
                </c:pt>
                <c:pt idx="254">
                  <c:v>43364</c:v>
                </c:pt>
                <c:pt idx="255">
                  <c:v>43363</c:v>
                </c:pt>
                <c:pt idx="256">
                  <c:v>43362</c:v>
                </c:pt>
                <c:pt idx="257">
                  <c:v>43361</c:v>
                </c:pt>
                <c:pt idx="258">
                  <c:v>43357</c:v>
                </c:pt>
                <c:pt idx="259">
                  <c:v>43356</c:v>
                </c:pt>
                <c:pt idx="260">
                  <c:v>43355</c:v>
                </c:pt>
                <c:pt idx="261">
                  <c:v>43354</c:v>
                </c:pt>
                <c:pt idx="262">
                  <c:v>43353</c:v>
                </c:pt>
                <c:pt idx="263">
                  <c:v>43350</c:v>
                </c:pt>
                <c:pt idx="264">
                  <c:v>43349</c:v>
                </c:pt>
                <c:pt idx="265">
                  <c:v>43348</c:v>
                </c:pt>
                <c:pt idx="266">
                  <c:v>43347</c:v>
                </c:pt>
                <c:pt idx="267">
                  <c:v>43346</c:v>
                </c:pt>
                <c:pt idx="268">
                  <c:v>43343</c:v>
                </c:pt>
                <c:pt idx="269">
                  <c:v>43342</c:v>
                </c:pt>
                <c:pt idx="270">
                  <c:v>43341</c:v>
                </c:pt>
                <c:pt idx="271">
                  <c:v>43340</c:v>
                </c:pt>
                <c:pt idx="272">
                  <c:v>43339</c:v>
                </c:pt>
                <c:pt idx="273">
                  <c:v>43336</c:v>
                </c:pt>
                <c:pt idx="274">
                  <c:v>43335</c:v>
                </c:pt>
                <c:pt idx="275">
                  <c:v>43334</c:v>
                </c:pt>
                <c:pt idx="276">
                  <c:v>43333</c:v>
                </c:pt>
                <c:pt idx="277">
                  <c:v>43332</c:v>
                </c:pt>
                <c:pt idx="278">
                  <c:v>43329</c:v>
                </c:pt>
                <c:pt idx="279">
                  <c:v>43328</c:v>
                </c:pt>
                <c:pt idx="280">
                  <c:v>43327</c:v>
                </c:pt>
                <c:pt idx="281">
                  <c:v>43326</c:v>
                </c:pt>
                <c:pt idx="282">
                  <c:v>43325</c:v>
                </c:pt>
                <c:pt idx="283">
                  <c:v>43322</c:v>
                </c:pt>
                <c:pt idx="284">
                  <c:v>43321</c:v>
                </c:pt>
                <c:pt idx="285">
                  <c:v>43320</c:v>
                </c:pt>
                <c:pt idx="286">
                  <c:v>43319</c:v>
                </c:pt>
                <c:pt idx="287">
                  <c:v>43318</c:v>
                </c:pt>
                <c:pt idx="288">
                  <c:v>43315</c:v>
                </c:pt>
                <c:pt idx="289">
                  <c:v>43314</c:v>
                </c:pt>
                <c:pt idx="290">
                  <c:v>43313</c:v>
                </c:pt>
                <c:pt idx="291">
                  <c:v>43312</c:v>
                </c:pt>
                <c:pt idx="292">
                  <c:v>43311</c:v>
                </c:pt>
                <c:pt idx="293">
                  <c:v>43308</c:v>
                </c:pt>
                <c:pt idx="294">
                  <c:v>43307</c:v>
                </c:pt>
                <c:pt idx="295">
                  <c:v>43306</c:v>
                </c:pt>
                <c:pt idx="296">
                  <c:v>43305</c:v>
                </c:pt>
                <c:pt idx="297">
                  <c:v>43304</c:v>
                </c:pt>
                <c:pt idx="298">
                  <c:v>43301</c:v>
                </c:pt>
                <c:pt idx="299">
                  <c:v>43300</c:v>
                </c:pt>
                <c:pt idx="300">
                  <c:v>43299</c:v>
                </c:pt>
                <c:pt idx="301">
                  <c:v>43298</c:v>
                </c:pt>
                <c:pt idx="302">
                  <c:v>43294</c:v>
                </c:pt>
                <c:pt idx="303">
                  <c:v>43293</c:v>
                </c:pt>
                <c:pt idx="304">
                  <c:v>43292</c:v>
                </c:pt>
                <c:pt idx="305">
                  <c:v>43291</c:v>
                </c:pt>
                <c:pt idx="306">
                  <c:v>43290</c:v>
                </c:pt>
                <c:pt idx="307">
                  <c:v>43287</c:v>
                </c:pt>
                <c:pt idx="308">
                  <c:v>43286</c:v>
                </c:pt>
                <c:pt idx="309">
                  <c:v>43285</c:v>
                </c:pt>
                <c:pt idx="310">
                  <c:v>43284</c:v>
                </c:pt>
                <c:pt idx="311">
                  <c:v>43283</c:v>
                </c:pt>
                <c:pt idx="312">
                  <c:v>43280</c:v>
                </c:pt>
                <c:pt idx="313">
                  <c:v>43279</c:v>
                </c:pt>
                <c:pt idx="314">
                  <c:v>43278</c:v>
                </c:pt>
                <c:pt idx="315">
                  <c:v>43277</c:v>
                </c:pt>
                <c:pt idx="316">
                  <c:v>43276</c:v>
                </c:pt>
                <c:pt idx="317">
                  <c:v>43273</c:v>
                </c:pt>
                <c:pt idx="318">
                  <c:v>43272</c:v>
                </c:pt>
                <c:pt idx="319">
                  <c:v>43271</c:v>
                </c:pt>
                <c:pt idx="320">
                  <c:v>43270</c:v>
                </c:pt>
                <c:pt idx="321">
                  <c:v>43269</c:v>
                </c:pt>
                <c:pt idx="322">
                  <c:v>43266</c:v>
                </c:pt>
                <c:pt idx="323">
                  <c:v>43265</c:v>
                </c:pt>
                <c:pt idx="324">
                  <c:v>43264</c:v>
                </c:pt>
                <c:pt idx="325">
                  <c:v>43263</c:v>
                </c:pt>
                <c:pt idx="326">
                  <c:v>43262</c:v>
                </c:pt>
                <c:pt idx="327">
                  <c:v>43259</c:v>
                </c:pt>
                <c:pt idx="328">
                  <c:v>43258</c:v>
                </c:pt>
                <c:pt idx="329">
                  <c:v>43257</c:v>
                </c:pt>
                <c:pt idx="330">
                  <c:v>43256</c:v>
                </c:pt>
                <c:pt idx="331">
                  <c:v>43255</c:v>
                </c:pt>
                <c:pt idx="332">
                  <c:v>43252</c:v>
                </c:pt>
                <c:pt idx="333">
                  <c:v>43251</c:v>
                </c:pt>
                <c:pt idx="334">
                  <c:v>43250</c:v>
                </c:pt>
                <c:pt idx="335">
                  <c:v>43249</c:v>
                </c:pt>
                <c:pt idx="336">
                  <c:v>43248</c:v>
                </c:pt>
                <c:pt idx="337">
                  <c:v>43245</c:v>
                </c:pt>
                <c:pt idx="338">
                  <c:v>43244</c:v>
                </c:pt>
                <c:pt idx="339">
                  <c:v>43243</c:v>
                </c:pt>
                <c:pt idx="340">
                  <c:v>43242</c:v>
                </c:pt>
                <c:pt idx="341">
                  <c:v>43241</c:v>
                </c:pt>
                <c:pt idx="342">
                  <c:v>43238</c:v>
                </c:pt>
                <c:pt idx="343">
                  <c:v>43237</c:v>
                </c:pt>
                <c:pt idx="344">
                  <c:v>43236</c:v>
                </c:pt>
                <c:pt idx="345">
                  <c:v>43235</c:v>
                </c:pt>
                <c:pt idx="346">
                  <c:v>43234</c:v>
                </c:pt>
                <c:pt idx="347">
                  <c:v>43231</c:v>
                </c:pt>
                <c:pt idx="348">
                  <c:v>43230</c:v>
                </c:pt>
                <c:pt idx="349">
                  <c:v>43229</c:v>
                </c:pt>
                <c:pt idx="350">
                  <c:v>43228</c:v>
                </c:pt>
                <c:pt idx="351">
                  <c:v>43227</c:v>
                </c:pt>
                <c:pt idx="352">
                  <c:v>43222</c:v>
                </c:pt>
                <c:pt idx="353">
                  <c:v>43221</c:v>
                </c:pt>
                <c:pt idx="354">
                  <c:v>43217</c:v>
                </c:pt>
                <c:pt idx="355">
                  <c:v>43216</c:v>
                </c:pt>
                <c:pt idx="356">
                  <c:v>43215</c:v>
                </c:pt>
                <c:pt idx="357">
                  <c:v>43214</c:v>
                </c:pt>
                <c:pt idx="358">
                  <c:v>43213</c:v>
                </c:pt>
                <c:pt idx="359">
                  <c:v>43210</c:v>
                </c:pt>
                <c:pt idx="360">
                  <c:v>43209</c:v>
                </c:pt>
                <c:pt idx="361">
                  <c:v>43208</c:v>
                </c:pt>
                <c:pt idx="362">
                  <c:v>43207</c:v>
                </c:pt>
                <c:pt idx="363">
                  <c:v>43206</c:v>
                </c:pt>
                <c:pt idx="364">
                  <c:v>43203</c:v>
                </c:pt>
                <c:pt idx="365">
                  <c:v>43202</c:v>
                </c:pt>
                <c:pt idx="366">
                  <c:v>43201</c:v>
                </c:pt>
                <c:pt idx="367">
                  <c:v>43200</c:v>
                </c:pt>
                <c:pt idx="368">
                  <c:v>43199</c:v>
                </c:pt>
                <c:pt idx="369">
                  <c:v>43196</c:v>
                </c:pt>
                <c:pt idx="370">
                  <c:v>43195</c:v>
                </c:pt>
                <c:pt idx="371">
                  <c:v>43194</c:v>
                </c:pt>
                <c:pt idx="372">
                  <c:v>43193</c:v>
                </c:pt>
                <c:pt idx="373">
                  <c:v>43192</c:v>
                </c:pt>
                <c:pt idx="374">
                  <c:v>43189</c:v>
                </c:pt>
                <c:pt idx="375">
                  <c:v>43188</c:v>
                </c:pt>
                <c:pt idx="376">
                  <c:v>43187</c:v>
                </c:pt>
                <c:pt idx="377">
                  <c:v>43186</c:v>
                </c:pt>
                <c:pt idx="378">
                  <c:v>43185</c:v>
                </c:pt>
                <c:pt idx="379">
                  <c:v>43182</c:v>
                </c:pt>
                <c:pt idx="380">
                  <c:v>43181</c:v>
                </c:pt>
                <c:pt idx="381">
                  <c:v>43179</c:v>
                </c:pt>
                <c:pt idx="382">
                  <c:v>43178</c:v>
                </c:pt>
                <c:pt idx="383">
                  <c:v>43175</c:v>
                </c:pt>
                <c:pt idx="384">
                  <c:v>43174</c:v>
                </c:pt>
                <c:pt idx="385">
                  <c:v>43173</c:v>
                </c:pt>
                <c:pt idx="386">
                  <c:v>43172</c:v>
                </c:pt>
                <c:pt idx="387">
                  <c:v>43171</c:v>
                </c:pt>
                <c:pt idx="388">
                  <c:v>43168</c:v>
                </c:pt>
                <c:pt idx="389">
                  <c:v>43167</c:v>
                </c:pt>
                <c:pt idx="390">
                  <c:v>43166</c:v>
                </c:pt>
                <c:pt idx="391">
                  <c:v>43165</c:v>
                </c:pt>
                <c:pt idx="392">
                  <c:v>43164</c:v>
                </c:pt>
                <c:pt idx="393">
                  <c:v>43161</c:v>
                </c:pt>
                <c:pt idx="394">
                  <c:v>43160</c:v>
                </c:pt>
                <c:pt idx="395">
                  <c:v>43159</c:v>
                </c:pt>
                <c:pt idx="396">
                  <c:v>43158</c:v>
                </c:pt>
                <c:pt idx="397">
                  <c:v>43157</c:v>
                </c:pt>
                <c:pt idx="398">
                  <c:v>43154</c:v>
                </c:pt>
                <c:pt idx="399">
                  <c:v>43153</c:v>
                </c:pt>
                <c:pt idx="400">
                  <c:v>43152</c:v>
                </c:pt>
                <c:pt idx="401">
                  <c:v>43151</c:v>
                </c:pt>
                <c:pt idx="402">
                  <c:v>43150</c:v>
                </c:pt>
                <c:pt idx="403">
                  <c:v>43147</c:v>
                </c:pt>
                <c:pt idx="404">
                  <c:v>43146</c:v>
                </c:pt>
                <c:pt idx="405">
                  <c:v>43145</c:v>
                </c:pt>
                <c:pt idx="406">
                  <c:v>43144</c:v>
                </c:pt>
                <c:pt idx="407">
                  <c:v>43140</c:v>
                </c:pt>
                <c:pt idx="408">
                  <c:v>43139</c:v>
                </c:pt>
                <c:pt idx="409">
                  <c:v>43138</c:v>
                </c:pt>
                <c:pt idx="410">
                  <c:v>43137</c:v>
                </c:pt>
                <c:pt idx="411">
                  <c:v>43136</c:v>
                </c:pt>
                <c:pt idx="412">
                  <c:v>43133</c:v>
                </c:pt>
                <c:pt idx="413">
                  <c:v>43132</c:v>
                </c:pt>
                <c:pt idx="414">
                  <c:v>43131</c:v>
                </c:pt>
                <c:pt idx="415">
                  <c:v>43130</c:v>
                </c:pt>
                <c:pt idx="416">
                  <c:v>43129</c:v>
                </c:pt>
                <c:pt idx="417">
                  <c:v>43126</c:v>
                </c:pt>
                <c:pt idx="418">
                  <c:v>43125</c:v>
                </c:pt>
                <c:pt idx="419">
                  <c:v>43124</c:v>
                </c:pt>
                <c:pt idx="420">
                  <c:v>43123</c:v>
                </c:pt>
                <c:pt idx="421">
                  <c:v>43122</c:v>
                </c:pt>
                <c:pt idx="422">
                  <c:v>43119</c:v>
                </c:pt>
                <c:pt idx="423">
                  <c:v>43118</c:v>
                </c:pt>
                <c:pt idx="424">
                  <c:v>43117</c:v>
                </c:pt>
                <c:pt idx="425">
                  <c:v>43116</c:v>
                </c:pt>
                <c:pt idx="426">
                  <c:v>43115</c:v>
                </c:pt>
                <c:pt idx="427">
                  <c:v>43112</c:v>
                </c:pt>
                <c:pt idx="428">
                  <c:v>43111</c:v>
                </c:pt>
                <c:pt idx="429">
                  <c:v>43110</c:v>
                </c:pt>
                <c:pt idx="430">
                  <c:v>43109</c:v>
                </c:pt>
                <c:pt idx="431">
                  <c:v>43105</c:v>
                </c:pt>
                <c:pt idx="432">
                  <c:v>43104</c:v>
                </c:pt>
                <c:pt idx="433">
                  <c:v>43098</c:v>
                </c:pt>
                <c:pt idx="434">
                  <c:v>43097</c:v>
                </c:pt>
                <c:pt idx="435">
                  <c:v>43096</c:v>
                </c:pt>
                <c:pt idx="436">
                  <c:v>43095</c:v>
                </c:pt>
                <c:pt idx="437">
                  <c:v>43094</c:v>
                </c:pt>
                <c:pt idx="438">
                  <c:v>43091</c:v>
                </c:pt>
                <c:pt idx="439">
                  <c:v>43090</c:v>
                </c:pt>
                <c:pt idx="440">
                  <c:v>43089</c:v>
                </c:pt>
                <c:pt idx="441">
                  <c:v>43088</c:v>
                </c:pt>
                <c:pt idx="442">
                  <c:v>43087</c:v>
                </c:pt>
                <c:pt idx="443">
                  <c:v>43084</c:v>
                </c:pt>
                <c:pt idx="444">
                  <c:v>43083</c:v>
                </c:pt>
                <c:pt idx="445">
                  <c:v>43082</c:v>
                </c:pt>
                <c:pt idx="446">
                  <c:v>43081</c:v>
                </c:pt>
                <c:pt idx="447">
                  <c:v>43080</c:v>
                </c:pt>
                <c:pt idx="448">
                  <c:v>43077</c:v>
                </c:pt>
                <c:pt idx="449">
                  <c:v>43076</c:v>
                </c:pt>
                <c:pt idx="450">
                  <c:v>43075</c:v>
                </c:pt>
                <c:pt idx="451">
                  <c:v>43074</c:v>
                </c:pt>
                <c:pt idx="452">
                  <c:v>43073</c:v>
                </c:pt>
                <c:pt idx="453">
                  <c:v>43070</c:v>
                </c:pt>
                <c:pt idx="454">
                  <c:v>43069</c:v>
                </c:pt>
                <c:pt idx="455">
                  <c:v>43068</c:v>
                </c:pt>
                <c:pt idx="456">
                  <c:v>43067</c:v>
                </c:pt>
                <c:pt idx="457">
                  <c:v>43066</c:v>
                </c:pt>
                <c:pt idx="458">
                  <c:v>43063</c:v>
                </c:pt>
                <c:pt idx="459">
                  <c:v>43061</c:v>
                </c:pt>
                <c:pt idx="460">
                  <c:v>43060</c:v>
                </c:pt>
                <c:pt idx="461">
                  <c:v>43059</c:v>
                </c:pt>
                <c:pt idx="462">
                  <c:v>43056</c:v>
                </c:pt>
                <c:pt idx="463">
                  <c:v>43055</c:v>
                </c:pt>
                <c:pt idx="464">
                  <c:v>43054</c:v>
                </c:pt>
                <c:pt idx="465">
                  <c:v>43053</c:v>
                </c:pt>
                <c:pt idx="466">
                  <c:v>43052</c:v>
                </c:pt>
                <c:pt idx="467">
                  <c:v>43049</c:v>
                </c:pt>
                <c:pt idx="468">
                  <c:v>43048</c:v>
                </c:pt>
                <c:pt idx="469">
                  <c:v>43047</c:v>
                </c:pt>
                <c:pt idx="470">
                  <c:v>43046</c:v>
                </c:pt>
                <c:pt idx="471">
                  <c:v>43045</c:v>
                </c:pt>
                <c:pt idx="472">
                  <c:v>43041</c:v>
                </c:pt>
                <c:pt idx="473">
                  <c:v>43040</c:v>
                </c:pt>
                <c:pt idx="474">
                  <c:v>43039</c:v>
                </c:pt>
                <c:pt idx="475">
                  <c:v>43038</c:v>
                </c:pt>
                <c:pt idx="476">
                  <c:v>43035</c:v>
                </c:pt>
                <c:pt idx="477">
                  <c:v>43034</c:v>
                </c:pt>
                <c:pt idx="478">
                  <c:v>43033</c:v>
                </c:pt>
                <c:pt idx="479">
                  <c:v>43032</c:v>
                </c:pt>
                <c:pt idx="480">
                  <c:v>43031</c:v>
                </c:pt>
                <c:pt idx="481">
                  <c:v>43028</c:v>
                </c:pt>
                <c:pt idx="482">
                  <c:v>43027</c:v>
                </c:pt>
                <c:pt idx="483">
                  <c:v>43026</c:v>
                </c:pt>
                <c:pt idx="484">
                  <c:v>43025</c:v>
                </c:pt>
                <c:pt idx="485">
                  <c:v>43024</c:v>
                </c:pt>
                <c:pt idx="486">
                  <c:v>43021</c:v>
                </c:pt>
                <c:pt idx="487">
                  <c:v>43020</c:v>
                </c:pt>
                <c:pt idx="488">
                  <c:v>43019</c:v>
                </c:pt>
                <c:pt idx="489">
                  <c:v>43018</c:v>
                </c:pt>
                <c:pt idx="490">
                  <c:v>43014</c:v>
                </c:pt>
                <c:pt idx="491">
                  <c:v>43013</c:v>
                </c:pt>
                <c:pt idx="492">
                  <c:v>43012</c:v>
                </c:pt>
                <c:pt idx="493">
                  <c:v>43011</c:v>
                </c:pt>
                <c:pt idx="494">
                  <c:v>43010</c:v>
                </c:pt>
                <c:pt idx="495">
                  <c:v>43007</c:v>
                </c:pt>
                <c:pt idx="496">
                  <c:v>43006</c:v>
                </c:pt>
                <c:pt idx="497">
                  <c:v>43005</c:v>
                </c:pt>
                <c:pt idx="498">
                  <c:v>43004</c:v>
                </c:pt>
                <c:pt idx="499">
                  <c:v>43003</c:v>
                </c:pt>
                <c:pt idx="500">
                  <c:v>43000</c:v>
                </c:pt>
                <c:pt idx="501">
                  <c:v>42999</c:v>
                </c:pt>
                <c:pt idx="502">
                  <c:v>42998</c:v>
                </c:pt>
                <c:pt idx="503">
                  <c:v>42997</c:v>
                </c:pt>
                <c:pt idx="504">
                  <c:v>42993</c:v>
                </c:pt>
                <c:pt idx="505">
                  <c:v>42992</c:v>
                </c:pt>
                <c:pt idx="506">
                  <c:v>42991</c:v>
                </c:pt>
                <c:pt idx="507">
                  <c:v>42990</c:v>
                </c:pt>
                <c:pt idx="508">
                  <c:v>42989</c:v>
                </c:pt>
                <c:pt idx="509">
                  <c:v>42986</c:v>
                </c:pt>
                <c:pt idx="510">
                  <c:v>42985</c:v>
                </c:pt>
                <c:pt idx="511">
                  <c:v>42984</c:v>
                </c:pt>
                <c:pt idx="512">
                  <c:v>42983</c:v>
                </c:pt>
                <c:pt idx="513">
                  <c:v>42982</c:v>
                </c:pt>
                <c:pt idx="514">
                  <c:v>42979</c:v>
                </c:pt>
                <c:pt idx="515">
                  <c:v>42978</c:v>
                </c:pt>
                <c:pt idx="516">
                  <c:v>42977</c:v>
                </c:pt>
                <c:pt idx="517">
                  <c:v>42976</c:v>
                </c:pt>
                <c:pt idx="518">
                  <c:v>42975</c:v>
                </c:pt>
                <c:pt idx="519">
                  <c:v>42972</c:v>
                </c:pt>
                <c:pt idx="520">
                  <c:v>42971</c:v>
                </c:pt>
                <c:pt idx="521">
                  <c:v>42970</c:v>
                </c:pt>
                <c:pt idx="522">
                  <c:v>42969</c:v>
                </c:pt>
                <c:pt idx="523">
                  <c:v>42968</c:v>
                </c:pt>
                <c:pt idx="524">
                  <c:v>42965</c:v>
                </c:pt>
                <c:pt idx="525">
                  <c:v>42964</c:v>
                </c:pt>
                <c:pt idx="526">
                  <c:v>42963</c:v>
                </c:pt>
                <c:pt idx="527">
                  <c:v>42962</c:v>
                </c:pt>
                <c:pt idx="528">
                  <c:v>42961</c:v>
                </c:pt>
                <c:pt idx="529">
                  <c:v>42957</c:v>
                </c:pt>
                <c:pt idx="530">
                  <c:v>42956</c:v>
                </c:pt>
                <c:pt idx="531">
                  <c:v>42955</c:v>
                </c:pt>
                <c:pt idx="532">
                  <c:v>42954</c:v>
                </c:pt>
                <c:pt idx="533">
                  <c:v>42951</c:v>
                </c:pt>
                <c:pt idx="534">
                  <c:v>42950</c:v>
                </c:pt>
                <c:pt idx="535">
                  <c:v>42949</c:v>
                </c:pt>
                <c:pt idx="536">
                  <c:v>42948</c:v>
                </c:pt>
                <c:pt idx="537">
                  <c:v>42947</c:v>
                </c:pt>
                <c:pt idx="538">
                  <c:v>42944</c:v>
                </c:pt>
                <c:pt idx="539">
                  <c:v>42943</c:v>
                </c:pt>
                <c:pt idx="540">
                  <c:v>42942</c:v>
                </c:pt>
                <c:pt idx="541">
                  <c:v>42941</c:v>
                </c:pt>
                <c:pt idx="542">
                  <c:v>42940</c:v>
                </c:pt>
                <c:pt idx="543">
                  <c:v>42937</c:v>
                </c:pt>
                <c:pt idx="544">
                  <c:v>42936</c:v>
                </c:pt>
                <c:pt idx="545">
                  <c:v>42935</c:v>
                </c:pt>
                <c:pt idx="546">
                  <c:v>42934</c:v>
                </c:pt>
                <c:pt idx="547">
                  <c:v>42930</c:v>
                </c:pt>
                <c:pt idx="548">
                  <c:v>42929</c:v>
                </c:pt>
                <c:pt idx="549">
                  <c:v>42928</c:v>
                </c:pt>
                <c:pt idx="550">
                  <c:v>42927</c:v>
                </c:pt>
                <c:pt idx="551">
                  <c:v>42926</c:v>
                </c:pt>
                <c:pt idx="552">
                  <c:v>42923</c:v>
                </c:pt>
                <c:pt idx="553">
                  <c:v>42922</c:v>
                </c:pt>
                <c:pt idx="554">
                  <c:v>42921</c:v>
                </c:pt>
                <c:pt idx="555">
                  <c:v>42920</c:v>
                </c:pt>
                <c:pt idx="556">
                  <c:v>42919</c:v>
                </c:pt>
                <c:pt idx="557">
                  <c:v>42916</c:v>
                </c:pt>
                <c:pt idx="558">
                  <c:v>42915</c:v>
                </c:pt>
                <c:pt idx="559">
                  <c:v>42914</c:v>
                </c:pt>
                <c:pt idx="560">
                  <c:v>42913</c:v>
                </c:pt>
                <c:pt idx="561">
                  <c:v>42912</c:v>
                </c:pt>
                <c:pt idx="562">
                  <c:v>42909</c:v>
                </c:pt>
                <c:pt idx="563">
                  <c:v>42908</c:v>
                </c:pt>
                <c:pt idx="564">
                  <c:v>42907</c:v>
                </c:pt>
                <c:pt idx="565">
                  <c:v>42906</c:v>
                </c:pt>
                <c:pt idx="566">
                  <c:v>42905</c:v>
                </c:pt>
                <c:pt idx="567">
                  <c:v>42902</c:v>
                </c:pt>
                <c:pt idx="568">
                  <c:v>42901</c:v>
                </c:pt>
                <c:pt idx="569">
                  <c:v>42900</c:v>
                </c:pt>
                <c:pt idx="570">
                  <c:v>42899</c:v>
                </c:pt>
                <c:pt idx="571">
                  <c:v>42898</c:v>
                </c:pt>
                <c:pt idx="572">
                  <c:v>42895</c:v>
                </c:pt>
                <c:pt idx="573">
                  <c:v>42894</c:v>
                </c:pt>
                <c:pt idx="574">
                  <c:v>42893</c:v>
                </c:pt>
                <c:pt idx="575">
                  <c:v>42892</c:v>
                </c:pt>
                <c:pt idx="576">
                  <c:v>42891</c:v>
                </c:pt>
                <c:pt idx="577">
                  <c:v>42888</c:v>
                </c:pt>
                <c:pt idx="578">
                  <c:v>42887</c:v>
                </c:pt>
                <c:pt idx="579">
                  <c:v>42886</c:v>
                </c:pt>
                <c:pt idx="580">
                  <c:v>42885</c:v>
                </c:pt>
                <c:pt idx="581">
                  <c:v>42884</c:v>
                </c:pt>
                <c:pt idx="582">
                  <c:v>42881</c:v>
                </c:pt>
                <c:pt idx="583">
                  <c:v>42880</c:v>
                </c:pt>
                <c:pt idx="584">
                  <c:v>42879</c:v>
                </c:pt>
                <c:pt idx="585">
                  <c:v>42878</c:v>
                </c:pt>
                <c:pt idx="586">
                  <c:v>42877</c:v>
                </c:pt>
                <c:pt idx="587">
                  <c:v>42874</c:v>
                </c:pt>
                <c:pt idx="588">
                  <c:v>42873</c:v>
                </c:pt>
                <c:pt idx="589">
                  <c:v>42872</c:v>
                </c:pt>
                <c:pt idx="590">
                  <c:v>42871</c:v>
                </c:pt>
                <c:pt idx="591">
                  <c:v>42870</c:v>
                </c:pt>
                <c:pt idx="592">
                  <c:v>42867</c:v>
                </c:pt>
                <c:pt idx="593">
                  <c:v>42866</c:v>
                </c:pt>
                <c:pt idx="594">
                  <c:v>42865</c:v>
                </c:pt>
                <c:pt idx="595">
                  <c:v>42864</c:v>
                </c:pt>
                <c:pt idx="596">
                  <c:v>42863</c:v>
                </c:pt>
                <c:pt idx="597">
                  <c:v>42857</c:v>
                </c:pt>
                <c:pt idx="598">
                  <c:v>42856</c:v>
                </c:pt>
                <c:pt idx="599">
                  <c:v>42853</c:v>
                </c:pt>
                <c:pt idx="600">
                  <c:v>42852</c:v>
                </c:pt>
                <c:pt idx="601">
                  <c:v>42851</c:v>
                </c:pt>
                <c:pt idx="602">
                  <c:v>42850</c:v>
                </c:pt>
                <c:pt idx="603">
                  <c:v>42849</c:v>
                </c:pt>
                <c:pt idx="604">
                  <c:v>42846</c:v>
                </c:pt>
                <c:pt idx="605">
                  <c:v>42845</c:v>
                </c:pt>
                <c:pt idx="606">
                  <c:v>42844</c:v>
                </c:pt>
                <c:pt idx="607">
                  <c:v>42843</c:v>
                </c:pt>
                <c:pt idx="608">
                  <c:v>42842</c:v>
                </c:pt>
                <c:pt idx="609">
                  <c:v>42839</c:v>
                </c:pt>
                <c:pt idx="610">
                  <c:v>42838</c:v>
                </c:pt>
                <c:pt idx="611">
                  <c:v>42837</c:v>
                </c:pt>
                <c:pt idx="612">
                  <c:v>42836</c:v>
                </c:pt>
                <c:pt idx="613">
                  <c:v>42835</c:v>
                </c:pt>
                <c:pt idx="614">
                  <c:v>42832</c:v>
                </c:pt>
                <c:pt idx="615">
                  <c:v>42831</c:v>
                </c:pt>
                <c:pt idx="616">
                  <c:v>42830</c:v>
                </c:pt>
                <c:pt idx="617">
                  <c:v>42829</c:v>
                </c:pt>
                <c:pt idx="618">
                  <c:v>42828</c:v>
                </c:pt>
                <c:pt idx="619">
                  <c:v>42825</c:v>
                </c:pt>
                <c:pt idx="620">
                  <c:v>42824</c:v>
                </c:pt>
                <c:pt idx="621">
                  <c:v>42823</c:v>
                </c:pt>
                <c:pt idx="622">
                  <c:v>42822</c:v>
                </c:pt>
                <c:pt idx="623">
                  <c:v>42821</c:v>
                </c:pt>
                <c:pt idx="624">
                  <c:v>42818</c:v>
                </c:pt>
                <c:pt idx="625">
                  <c:v>42817</c:v>
                </c:pt>
                <c:pt idx="626">
                  <c:v>42816</c:v>
                </c:pt>
                <c:pt idx="627">
                  <c:v>42815</c:v>
                </c:pt>
                <c:pt idx="628">
                  <c:v>42811</c:v>
                </c:pt>
                <c:pt idx="629">
                  <c:v>42810</c:v>
                </c:pt>
                <c:pt idx="630">
                  <c:v>42809</c:v>
                </c:pt>
                <c:pt idx="631">
                  <c:v>42808</c:v>
                </c:pt>
                <c:pt idx="632">
                  <c:v>42807</c:v>
                </c:pt>
                <c:pt idx="633">
                  <c:v>42804</c:v>
                </c:pt>
                <c:pt idx="634">
                  <c:v>42803</c:v>
                </c:pt>
                <c:pt idx="635">
                  <c:v>42802</c:v>
                </c:pt>
                <c:pt idx="636">
                  <c:v>42801</c:v>
                </c:pt>
                <c:pt idx="637">
                  <c:v>42800</c:v>
                </c:pt>
                <c:pt idx="638">
                  <c:v>42797</c:v>
                </c:pt>
                <c:pt idx="639">
                  <c:v>42796</c:v>
                </c:pt>
                <c:pt idx="640">
                  <c:v>42795</c:v>
                </c:pt>
                <c:pt idx="641">
                  <c:v>42794</c:v>
                </c:pt>
                <c:pt idx="642">
                  <c:v>42793</c:v>
                </c:pt>
                <c:pt idx="643">
                  <c:v>42790</c:v>
                </c:pt>
                <c:pt idx="644">
                  <c:v>42789</c:v>
                </c:pt>
                <c:pt idx="645">
                  <c:v>42788</c:v>
                </c:pt>
                <c:pt idx="646">
                  <c:v>42787</c:v>
                </c:pt>
                <c:pt idx="647">
                  <c:v>42786</c:v>
                </c:pt>
                <c:pt idx="648">
                  <c:v>42783</c:v>
                </c:pt>
                <c:pt idx="649">
                  <c:v>42782</c:v>
                </c:pt>
                <c:pt idx="650">
                  <c:v>42781</c:v>
                </c:pt>
                <c:pt idx="651">
                  <c:v>42780</c:v>
                </c:pt>
                <c:pt idx="652">
                  <c:v>42779</c:v>
                </c:pt>
                <c:pt idx="653">
                  <c:v>42776</c:v>
                </c:pt>
                <c:pt idx="654">
                  <c:v>42775</c:v>
                </c:pt>
                <c:pt idx="655">
                  <c:v>42774</c:v>
                </c:pt>
                <c:pt idx="656">
                  <c:v>42773</c:v>
                </c:pt>
                <c:pt idx="657">
                  <c:v>42772</c:v>
                </c:pt>
                <c:pt idx="658">
                  <c:v>42769</c:v>
                </c:pt>
                <c:pt idx="659">
                  <c:v>42768</c:v>
                </c:pt>
                <c:pt idx="660">
                  <c:v>42767</c:v>
                </c:pt>
                <c:pt idx="661">
                  <c:v>42766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4.6813725490196001</c:v>
                </c:pt>
                <c:pt idx="1">
                  <c:v>4.4910855337395601</c:v>
                </c:pt>
                <c:pt idx="2">
                  <c:v>4.5483216940752396</c:v>
                </c:pt>
                <c:pt idx="3">
                  <c:v>4.6305418719211797</c:v>
                </c:pt>
                <c:pt idx="4">
                  <c:v>4.5726495726495697</c:v>
                </c:pt>
                <c:pt idx="5">
                  <c:v>4.5077605321507699</c:v>
                </c:pt>
                <c:pt idx="6">
                  <c:v>4.5422612513721097</c:v>
                </c:pt>
                <c:pt idx="7">
                  <c:v>4.42569759896171</c:v>
                </c:pt>
                <c:pt idx="8">
                  <c:v>4.3778207607994801</c:v>
                </c:pt>
                <c:pt idx="9">
                  <c:v>4.3585313174945997</c:v>
                </c:pt>
                <c:pt idx="10">
                  <c:v>4.3506078055022304</c:v>
                </c:pt>
                <c:pt idx="11">
                  <c:v>4.3236514522821503</c:v>
                </c:pt>
                <c:pt idx="12">
                  <c:v>4.2389491242702197</c:v>
                </c:pt>
                <c:pt idx="13">
                  <c:v>4.3120805369127497</c:v>
                </c:pt>
                <c:pt idx="14">
                  <c:v>4.25540765391015</c:v>
                </c:pt>
                <c:pt idx="15">
                  <c:v>4.3752620545073304</c:v>
                </c:pt>
                <c:pt idx="16">
                  <c:v>4.2791185729275902</c:v>
                </c:pt>
                <c:pt idx="17">
                  <c:v>4.2872008324661799</c:v>
                </c:pt>
                <c:pt idx="18">
                  <c:v>4.2881072026800604</c:v>
                </c:pt>
                <c:pt idx="19">
                  <c:v>4.2860151642796902</c:v>
                </c:pt>
                <c:pt idx="20">
                  <c:v>4.3412481613784397</c:v>
                </c:pt>
                <c:pt idx="21">
                  <c:v>4.4407233757535103</c:v>
                </c:pt>
                <c:pt idx="22">
                  <c:v>4.5905474964903998</c:v>
                </c:pt>
                <c:pt idx="23">
                  <c:v>4.6161115048429</c:v>
                </c:pt>
                <c:pt idx="24">
                  <c:v>4.5724465558194698</c:v>
                </c:pt>
                <c:pt idx="25">
                  <c:v>4.5242671792407396</c:v>
                </c:pt>
                <c:pt idx="26">
                  <c:v>4.3276108726752502</c:v>
                </c:pt>
                <c:pt idx="27">
                  <c:v>4.3488707352234499</c:v>
                </c:pt>
                <c:pt idx="28">
                  <c:v>4.3908872901678597</c:v>
                </c:pt>
                <c:pt idx="29">
                  <c:v>4.3869543894065703</c:v>
                </c:pt>
                <c:pt idx="30">
                  <c:v>4.4546355974219098</c:v>
                </c:pt>
                <c:pt idx="31">
                  <c:v>4.3767038413878501</c:v>
                </c:pt>
                <c:pt idx="32">
                  <c:v>4.3266118994274301</c:v>
                </c:pt>
                <c:pt idx="33">
                  <c:v>4.3722627737226203</c:v>
                </c:pt>
                <c:pt idx="34">
                  <c:v>4.4239744534512404</c:v>
                </c:pt>
                <c:pt idx="35">
                  <c:v>4.4345898004434501</c:v>
                </c:pt>
                <c:pt idx="36">
                  <c:v>4.4157740993183996</c:v>
                </c:pt>
                <c:pt idx="37">
                  <c:v>4.33446272991287</c:v>
                </c:pt>
                <c:pt idx="38">
                  <c:v>4.3828220858895701</c:v>
                </c:pt>
                <c:pt idx="39">
                  <c:v>4.45718467919004</c:v>
                </c:pt>
                <c:pt idx="40">
                  <c:v>4.3628509719222404</c:v>
                </c:pt>
                <c:pt idx="41">
                  <c:v>4.3821839080459704</c:v>
                </c:pt>
                <c:pt idx="42">
                  <c:v>4.3857580759254802</c:v>
                </c:pt>
                <c:pt idx="43">
                  <c:v>4.3515237420269299</c:v>
                </c:pt>
                <c:pt idx="44">
                  <c:v>4.3614794138171602</c:v>
                </c:pt>
                <c:pt idx="45">
                  <c:v>4.4009269988412498</c:v>
                </c:pt>
                <c:pt idx="46">
                  <c:v>4.2561983471074303</c:v>
                </c:pt>
                <c:pt idx="47">
                  <c:v>4.2120600762160896</c:v>
                </c:pt>
                <c:pt idx="48">
                  <c:v>4.2904582687624497</c:v>
                </c:pt>
                <c:pt idx="49">
                  <c:v>4.3721872187218702</c:v>
                </c:pt>
                <c:pt idx="50">
                  <c:v>4.3794964028776899</c:v>
                </c:pt>
                <c:pt idx="51">
                  <c:v>4.4707740916271703</c:v>
                </c:pt>
                <c:pt idx="52">
                  <c:v>4.3960484957341697</c:v>
                </c:pt>
                <c:pt idx="53">
                  <c:v>4.3491850859566803</c:v>
                </c:pt>
                <c:pt idx="54">
                  <c:v>4.3676372527228198</c:v>
                </c:pt>
                <c:pt idx="55">
                  <c:v>4.3800178412132</c:v>
                </c:pt>
                <c:pt idx="56">
                  <c:v>4.2720604578795198</c:v>
                </c:pt>
                <c:pt idx="57">
                  <c:v>4.4110497237569</c:v>
                </c:pt>
                <c:pt idx="58">
                  <c:v>4.3754160195251801</c:v>
                </c:pt>
                <c:pt idx="59">
                  <c:v>4.2776694823478403</c:v>
                </c:pt>
                <c:pt idx="60">
                  <c:v>4.3890109890109796</c:v>
                </c:pt>
                <c:pt idx="61">
                  <c:v>4.4345753899479998</c:v>
                </c:pt>
                <c:pt idx="62">
                  <c:v>4.2552728854098696</c:v>
                </c:pt>
                <c:pt idx="63">
                  <c:v>4.3559617058311497</c:v>
                </c:pt>
                <c:pt idx="64">
                  <c:v>4.4553805774278201</c:v>
                </c:pt>
                <c:pt idx="65">
                  <c:v>4.47501650891481</c:v>
                </c:pt>
                <c:pt idx="66">
                  <c:v>4.48880017742293</c:v>
                </c:pt>
                <c:pt idx="67">
                  <c:v>4.4935584184806698</c:v>
                </c:pt>
                <c:pt idx="68">
                  <c:v>4.3812486114196796</c:v>
                </c:pt>
                <c:pt idx="69">
                  <c:v>4.3187321153422804</c:v>
                </c:pt>
                <c:pt idx="70">
                  <c:v>4.3197353914002203</c:v>
                </c:pt>
                <c:pt idx="71">
                  <c:v>4.3379402585822504</c:v>
                </c:pt>
                <c:pt idx="72">
                  <c:v>4.2341941228851203</c:v>
                </c:pt>
                <c:pt idx="73">
                  <c:v>4.3003880392604401</c:v>
                </c:pt>
                <c:pt idx="74">
                  <c:v>4.2711403309906997</c:v>
                </c:pt>
                <c:pt idx="75">
                  <c:v>4.2763603522239704</c:v>
                </c:pt>
                <c:pt idx="76">
                  <c:v>4.3342453260373901</c:v>
                </c:pt>
                <c:pt idx="77">
                  <c:v>4.3549117247623297</c:v>
                </c:pt>
                <c:pt idx="78">
                  <c:v>4.3730122671512897</c:v>
                </c:pt>
                <c:pt idx="79">
                  <c:v>4.3207331042382497</c:v>
                </c:pt>
                <c:pt idx="80">
                  <c:v>4.3681818181818102</c:v>
                </c:pt>
                <c:pt idx="81">
                  <c:v>4.4046008119079803</c:v>
                </c:pt>
                <c:pt idx="82">
                  <c:v>4.3587423659805404</c:v>
                </c:pt>
                <c:pt idx="83">
                  <c:v>4.3488888888888804</c:v>
                </c:pt>
                <c:pt idx="84">
                  <c:v>4.2467843906692799</c:v>
                </c:pt>
                <c:pt idx="85">
                  <c:v>4.1951865754029498</c:v>
                </c:pt>
                <c:pt idx="86">
                  <c:v>4.0919939249294801</c:v>
                </c:pt>
                <c:pt idx="87">
                  <c:v>4.1037228319345802</c:v>
                </c:pt>
                <c:pt idx="88">
                  <c:v>4.0954827660029904</c:v>
                </c:pt>
                <c:pt idx="89">
                  <c:v>4.0387968613774996</c:v>
                </c:pt>
                <c:pt idx="90">
                  <c:v>4.2276422764227597</c:v>
                </c:pt>
                <c:pt idx="91">
                  <c:v>4.2770167427701598</c:v>
                </c:pt>
                <c:pt idx="92">
                  <c:v>4.2476555839727199</c:v>
                </c:pt>
                <c:pt idx="93">
                  <c:v>4.2510208467655204</c:v>
                </c:pt>
                <c:pt idx="94">
                  <c:v>4.3466152527849102</c:v>
                </c:pt>
                <c:pt idx="95">
                  <c:v>4.2685284640171801</c:v>
                </c:pt>
                <c:pt idx="96">
                  <c:v>4.2400171747531097</c:v>
                </c:pt>
                <c:pt idx="97">
                  <c:v>4.2384964355152297</c:v>
                </c:pt>
                <c:pt idx="98">
                  <c:v>4.2909482758620596</c:v>
                </c:pt>
                <c:pt idx="99">
                  <c:v>4.3161748869265502</c:v>
                </c:pt>
                <c:pt idx="100">
                  <c:v>4.3272727272727201</c:v>
                </c:pt>
                <c:pt idx="101">
                  <c:v>4.3702743573125904</c:v>
                </c:pt>
                <c:pt idx="102">
                  <c:v>4.2730419731717797</c:v>
                </c:pt>
                <c:pt idx="103">
                  <c:v>4.2850962578412197</c:v>
                </c:pt>
                <c:pt idx="104">
                  <c:v>4.4111820383006801</c:v>
                </c:pt>
                <c:pt idx="105">
                  <c:v>4.4475982532750997</c:v>
                </c:pt>
                <c:pt idx="106">
                  <c:v>4.5253022839229704</c:v>
                </c:pt>
                <c:pt idx="107">
                  <c:v>4.5585306483735302</c:v>
                </c:pt>
                <c:pt idx="108">
                  <c:v>4.4705370732767999</c:v>
                </c:pt>
                <c:pt idx="109">
                  <c:v>4.4153354632587796</c:v>
                </c:pt>
                <c:pt idx="110">
                  <c:v>4.5007451564828598</c:v>
                </c:pt>
                <c:pt idx="111">
                  <c:v>4.51026020731965</c:v>
                </c:pt>
                <c:pt idx="112">
                  <c:v>4.5293110825845098</c:v>
                </c:pt>
                <c:pt idx="113">
                  <c:v>4.4130067567567499</c:v>
                </c:pt>
                <c:pt idx="114">
                  <c:v>4.5237078171721397</c:v>
                </c:pt>
                <c:pt idx="115">
                  <c:v>4.5669969840585898</c:v>
                </c:pt>
                <c:pt idx="116">
                  <c:v>4.6173633440514399</c:v>
                </c:pt>
                <c:pt idx="117">
                  <c:v>4.76679503637141</c:v>
                </c:pt>
                <c:pt idx="118">
                  <c:v>4.7216807450725504</c:v>
                </c:pt>
                <c:pt idx="119">
                  <c:v>4.93055555555555</c:v>
                </c:pt>
                <c:pt idx="120">
                  <c:v>5.0219780219780201</c:v>
                </c:pt>
                <c:pt idx="121">
                  <c:v>5.13043478260869</c:v>
                </c:pt>
                <c:pt idx="122">
                  <c:v>5.5106338176458198</c:v>
                </c:pt>
                <c:pt idx="123">
                  <c:v>5.3534730785039004</c:v>
                </c:pt>
                <c:pt idx="124">
                  <c:v>5.4672131147540899</c:v>
                </c:pt>
                <c:pt idx="125">
                  <c:v>5.4375377187688496</c:v>
                </c:pt>
                <c:pt idx="126">
                  <c:v>5.5639250814332204</c:v>
                </c:pt>
                <c:pt idx="127">
                  <c:v>5.4768668831168803</c:v>
                </c:pt>
                <c:pt idx="128">
                  <c:v>5.4980647789773798</c:v>
                </c:pt>
                <c:pt idx="129">
                  <c:v>5.7655257224841101</c:v>
                </c:pt>
                <c:pt idx="130">
                  <c:v>5.8453199916614498</c:v>
                </c:pt>
                <c:pt idx="131">
                  <c:v>5.6158967956720698</c:v>
                </c:pt>
                <c:pt idx="132">
                  <c:v>5.5257224841155903</c:v>
                </c:pt>
                <c:pt idx="133">
                  <c:v>5.4222938923604103</c:v>
                </c:pt>
                <c:pt idx="134">
                  <c:v>5.25374974316827</c:v>
                </c:pt>
                <c:pt idx="135">
                  <c:v>5.2857429316222104</c:v>
                </c:pt>
                <c:pt idx="136">
                  <c:v>5.2741096438575399</c:v>
                </c:pt>
                <c:pt idx="137">
                  <c:v>5.4031771566458797</c:v>
                </c:pt>
                <c:pt idx="138">
                  <c:v>5.4924165824064701</c:v>
                </c:pt>
                <c:pt idx="139">
                  <c:v>5.4523326572008104</c:v>
                </c:pt>
                <c:pt idx="140">
                  <c:v>5.4120767033863704</c:v>
                </c:pt>
                <c:pt idx="141">
                  <c:v>5.4164108860241402</c:v>
                </c:pt>
                <c:pt idx="142">
                  <c:v>5.48505935325419</c:v>
                </c:pt>
                <c:pt idx="143">
                  <c:v>5.3743589743589704</c:v>
                </c:pt>
                <c:pt idx="144">
                  <c:v>5.3403465346534604</c:v>
                </c:pt>
                <c:pt idx="145">
                  <c:v>5.2146994208108604</c:v>
                </c:pt>
                <c:pt idx="146">
                  <c:v>5.2314998021369199</c:v>
                </c:pt>
                <c:pt idx="147">
                  <c:v>5.1992896606156203</c:v>
                </c:pt>
                <c:pt idx="148">
                  <c:v>5.3371677905592998</c:v>
                </c:pt>
                <c:pt idx="149">
                  <c:v>5.27887658227848</c:v>
                </c:pt>
                <c:pt idx="150">
                  <c:v>5.2493542618716402</c:v>
                </c:pt>
                <c:pt idx="151">
                  <c:v>5.1360946745562099</c:v>
                </c:pt>
                <c:pt idx="152">
                  <c:v>5.2676278886035899</c:v>
                </c:pt>
                <c:pt idx="153">
                  <c:v>5.2576915539878497</c:v>
                </c:pt>
                <c:pt idx="154">
                  <c:v>5.2384706346077996</c:v>
                </c:pt>
                <c:pt idx="155">
                  <c:v>5.234375</c:v>
                </c:pt>
                <c:pt idx="156">
                  <c:v>5.24043179587831</c:v>
                </c:pt>
                <c:pt idx="157">
                  <c:v>5.23346303501945</c:v>
                </c:pt>
                <c:pt idx="158">
                  <c:v>5.2308886301901403</c:v>
                </c:pt>
                <c:pt idx="159">
                  <c:v>5.2796376526191402</c:v>
                </c:pt>
                <c:pt idx="160">
                  <c:v>5.1796875</c:v>
                </c:pt>
                <c:pt idx="161">
                  <c:v>5.1862630966239802</c:v>
                </c:pt>
                <c:pt idx="162">
                  <c:v>5.1248789932236196</c:v>
                </c:pt>
                <c:pt idx="163">
                  <c:v>5.0732093391373096</c:v>
                </c:pt>
                <c:pt idx="164">
                  <c:v>5.1806065288777203</c:v>
                </c:pt>
                <c:pt idx="165">
                  <c:v>5.1140433553251601</c:v>
                </c:pt>
                <c:pt idx="166">
                  <c:v>5.0665916338398</c:v>
                </c:pt>
                <c:pt idx="167">
                  <c:v>5.0486163051607997</c:v>
                </c:pt>
                <c:pt idx="168">
                  <c:v>5.0170713201820902</c:v>
                </c:pt>
                <c:pt idx="169">
                  <c:v>4.6735770140025403</c:v>
                </c:pt>
                <c:pt idx="170">
                  <c:v>4.6291560102301696</c:v>
                </c:pt>
                <c:pt idx="171">
                  <c:v>4.5602189781021796</c:v>
                </c:pt>
                <c:pt idx="172">
                  <c:v>4.4161975667332403</c:v>
                </c:pt>
                <c:pt idx="173">
                  <c:v>4.2143113987774097</c:v>
                </c:pt>
                <c:pt idx="174">
                  <c:v>4.2699275362318803</c:v>
                </c:pt>
                <c:pt idx="175">
                  <c:v>4.27264409881061</c:v>
                </c:pt>
                <c:pt idx="176">
                  <c:v>4.40094683175528</c:v>
                </c:pt>
                <c:pt idx="177">
                  <c:v>4.3257820927723802</c:v>
                </c:pt>
                <c:pt idx="178">
                  <c:v>4.2359346642468196</c:v>
                </c:pt>
                <c:pt idx="179">
                  <c:v>4.1115173674588599</c:v>
                </c:pt>
                <c:pt idx="180">
                  <c:v>4.25</c:v>
                </c:pt>
                <c:pt idx="181">
                  <c:v>4.2414916727009402</c:v>
                </c:pt>
                <c:pt idx="182">
                  <c:v>4.2340854889011101</c:v>
                </c:pt>
                <c:pt idx="183">
                  <c:v>4.4090159428257198</c:v>
                </c:pt>
                <c:pt idx="184">
                  <c:v>4.90052929366672</c:v>
                </c:pt>
                <c:pt idx="185">
                  <c:v>4.9080544317763799</c:v>
                </c:pt>
                <c:pt idx="186">
                  <c:v>4.9066715948992696</c:v>
                </c:pt>
                <c:pt idx="187">
                  <c:v>4.9244142101284902</c:v>
                </c:pt>
                <c:pt idx="188">
                  <c:v>5.0217514658596496</c:v>
                </c:pt>
                <c:pt idx="189">
                  <c:v>5.0915612610911802</c:v>
                </c:pt>
                <c:pt idx="190">
                  <c:v>4.9356725146198803</c:v>
                </c:pt>
                <c:pt idx="191">
                  <c:v>4.8897560975609702</c:v>
                </c:pt>
                <c:pt idx="192">
                  <c:v>4.99053388867853</c:v>
                </c:pt>
                <c:pt idx="193">
                  <c:v>5.0987332339791296</c:v>
                </c:pt>
                <c:pt idx="194">
                  <c:v>5.2351097178683297</c:v>
                </c:pt>
                <c:pt idx="195">
                  <c:v>5.1232426510863602</c:v>
                </c:pt>
                <c:pt idx="196">
                  <c:v>5.2126126126126104</c:v>
                </c:pt>
                <c:pt idx="197">
                  <c:v>5.1820322405361301</c:v>
                </c:pt>
                <c:pt idx="198">
                  <c:v>5.1697312588401596</c:v>
                </c:pt>
                <c:pt idx="199">
                  <c:v>5.2136752136752103</c:v>
                </c:pt>
                <c:pt idx="200">
                  <c:v>5.28468468468468</c:v>
                </c:pt>
                <c:pt idx="201">
                  <c:v>5.2191732002851001</c:v>
                </c:pt>
                <c:pt idx="202">
                  <c:v>5.3865204316292203</c:v>
                </c:pt>
                <c:pt idx="203">
                  <c:v>5.2360891697384497</c:v>
                </c:pt>
                <c:pt idx="204">
                  <c:v>5.3321829163071603</c:v>
                </c:pt>
                <c:pt idx="205">
                  <c:v>5.0660569105690998</c:v>
                </c:pt>
                <c:pt idx="206">
                  <c:v>5.04669834507619</c:v>
                </c:pt>
                <c:pt idx="207">
                  <c:v>5.0755939524837999</c:v>
                </c:pt>
                <c:pt idx="208">
                  <c:v>5.2465023317788102</c:v>
                </c:pt>
                <c:pt idx="209">
                  <c:v>5.2463426937951896</c:v>
                </c:pt>
                <c:pt idx="210">
                  <c:v>5.1639205028027799</c:v>
                </c:pt>
                <c:pt idx="211">
                  <c:v>5.2220680083275504</c:v>
                </c:pt>
                <c:pt idx="212">
                  <c:v>5.11551724137931</c:v>
                </c:pt>
                <c:pt idx="213">
                  <c:v>5.0397923875432502</c:v>
                </c:pt>
                <c:pt idx="214">
                  <c:v>5.00519031141868</c:v>
                </c:pt>
                <c:pt idx="215">
                  <c:v>5.1348999129677901</c:v>
                </c:pt>
                <c:pt idx="216">
                  <c:v>5.10516252390057</c:v>
                </c:pt>
                <c:pt idx="217">
                  <c:v>5.1221190230478104</c:v>
                </c:pt>
                <c:pt idx="218">
                  <c:v>4.8797996661101797</c:v>
                </c:pt>
                <c:pt idx="219">
                  <c:v>4.8933669185558299</c:v>
                </c:pt>
                <c:pt idx="220">
                  <c:v>4.8412438625204501</c:v>
                </c:pt>
                <c:pt idx="221">
                  <c:v>4.8818005181347104</c:v>
                </c:pt>
                <c:pt idx="222">
                  <c:v>4.8699725407850103</c:v>
                </c:pt>
                <c:pt idx="223">
                  <c:v>4.9390645586297701</c:v>
                </c:pt>
                <c:pt idx="224">
                  <c:v>4.73375671714704</c:v>
                </c:pt>
                <c:pt idx="225">
                  <c:v>4.84973579920739</c:v>
                </c:pt>
                <c:pt idx="226">
                  <c:v>4.9835796387520501</c:v>
                </c:pt>
                <c:pt idx="227">
                  <c:v>4.8737415415085001</c:v>
                </c:pt>
                <c:pt idx="228">
                  <c:v>5.01008403361344</c:v>
                </c:pt>
                <c:pt idx="229">
                  <c:v>4.9172213688342703</c:v>
                </c:pt>
                <c:pt idx="230">
                  <c:v>4.8499482580200004</c:v>
                </c:pt>
                <c:pt idx="231">
                  <c:v>4.8296524567711003</c:v>
                </c:pt>
                <c:pt idx="232">
                  <c:v>4.9550639474593803</c:v>
                </c:pt>
                <c:pt idx="233">
                  <c:v>5.1258075484529</c:v>
                </c:pt>
                <c:pt idx="234">
                  <c:v>4.9875724937862396</c:v>
                </c:pt>
                <c:pt idx="235">
                  <c:v>5.1156728576083399</c:v>
                </c:pt>
                <c:pt idx="236">
                  <c:v>4.9755301794453501</c:v>
                </c:pt>
                <c:pt idx="237">
                  <c:v>5.0367947669664703</c:v>
                </c:pt>
                <c:pt idx="238">
                  <c:v>5.1136363636363598</c:v>
                </c:pt>
                <c:pt idx="239">
                  <c:v>5.1571380809093901</c:v>
                </c:pt>
                <c:pt idx="240">
                  <c:v>5.3284182305629999</c:v>
                </c:pt>
                <c:pt idx="241">
                  <c:v>5.3440104592253599</c:v>
                </c:pt>
                <c:pt idx="242">
                  <c:v>5.3380782918149396</c:v>
                </c:pt>
                <c:pt idx="243">
                  <c:v>5.1341350601295099</c:v>
                </c:pt>
                <c:pt idx="244">
                  <c:v>5.0557387344952103</c:v>
                </c:pt>
                <c:pt idx="245">
                  <c:v>4.92418440802573</c:v>
                </c:pt>
                <c:pt idx="246">
                  <c:v>5.0265791119449599</c:v>
                </c:pt>
                <c:pt idx="247">
                  <c:v>5.3947579996783999</c:v>
                </c:pt>
                <c:pt idx="248">
                  <c:v>5.3152724968314304</c:v>
                </c:pt>
                <c:pt idx="249">
                  <c:v>5.3097345132743303</c:v>
                </c:pt>
                <c:pt idx="250">
                  <c:v>5.2953156822810596</c:v>
                </c:pt>
                <c:pt idx="251">
                  <c:v>5.2606783919597904</c:v>
                </c:pt>
                <c:pt idx="252">
                  <c:v>5.3775920767564198</c:v>
                </c:pt>
                <c:pt idx="253">
                  <c:v>5.1443768996960397</c:v>
                </c:pt>
                <c:pt idx="254">
                  <c:v>5.1880276285495004</c:v>
                </c:pt>
                <c:pt idx="255">
                  <c:v>5.3326046221111802</c:v>
                </c:pt>
                <c:pt idx="256">
                  <c:v>5.36600993112285</c:v>
                </c:pt>
                <c:pt idx="257">
                  <c:v>5.3294573643410796</c:v>
                </c:pt>
                <c:pt idx="258">
                  <c:v>5.34251065224516</c:v>
                </c:pt>
                <c:pt idx="259">
                  <c:v>5.4336989032901304</c:v>
                </c:pt>
                <c:pt idx="260">
                  <c:v>5.3790553034123301</c:v>
                </c:pt>
                <c:pt idx="261">
                  <c:v>5.2404643449419499</c:v>
                </c:pt>
                <c:pt idx="262">
                  <c:v>5.1931968295904802</c:v>
                </c:pt>
                <c:pt idx="263">
                  <c:v>5.2824529245125804</c:v>
                </c:pt>
                <c:pt idx="264">
                  <c:v>5.3595096090125898</c:v>
                </c:pt>
                <c:pt idx="265">
                  <c:v>5.4635761589403904</c:v>
                </c:pt>
                <c:pt idx="266">
                  <c:v>5.3897586431833</c:v>
                </c:pt>
                <c:pt idx="267">
                  <c:v>5.28435637183824</c:v>
                </c:pt>
                <c:pt idx="268">
                  <c:v>5.2389268137799601</c:v>
                </c:pt>
                <c:pt idx="269">
                  <c:v>5.1085767848773598</c:v>
                </c:pt>
                <c:pt idx="270">
                  <c:v>5.1009316770186297</c:v>
                </c:pt>
                <c:pt idx="271">
                  <c:v>5.2129337539432097</c:v>
                </c:pt>
                <c:pt idx="272">
                  <c:v>5.2104682326974601</c:v>
                </c:pt>
                <c:pt idx="273">
                  <c:v>5.2071668533034696</c:v>
                </c:pt>
                <c:pt idx="274">
                  <c:v>5.2898550724637596</c:v>
                </c:pt>
                <c:pt idx="275">
                  <c:v>5.2610506085842399</c:v>
                </c:pt>
                <c:pt idx="276">
                  <c:v>5.3431372549019596</c:v>
                </c:pt>
                <c:pt idx="277">
                  <c:v>5.3972647346141303</c:v>
                </c:pt>
                <c:pt idx="278">
                  <c:v>5.3634894991922399</c:v>
                </c:pt>
                <c:pt idx="279">
                  <c:v>5.4822753503709798</c:v>
                </c:pt>
                <c:pt idx="280">
                  <c:v>5.6759887473109298</c:v>
                </c:pt>
                <c:pt idx="281">
                  <c:v>5.9038142620232099</c:v>
                </c:pt>
                <c:pt idx="282">
                  <c:v>5.7457010582010497</c:v>
                </c:pt>
                <c:pt idx="283">
                  <c:v>5.7661027976577701</c:v>
                </c:pt>
                <c:pt idx="284">
                  <c:v>5.6969205834683896</c:v>
                </c:pt>
                <c:pt idx="285">
                  <c:v>5.7378361075544104</c:v>
                </c:pt>
                <c:pt idx="286">
                  <c:v>5.8402472750935397</c:v>
                </c:pt>
                <c:pt idx="287">
                  <c:v>5.7920389926888696</c:v>
                </c:pt>
                <c:pt idx="288">
                  <c:v>5.8233581365253899</c:v>
                </c:pt>
                <c:pt idx="289">
                  <c:v>5.5712050078247204</c:v>
                </c:pt>
                <c:pt idx="290">
                  <c:v>5.5905016512030103</c:v>
                </c:pt>
                <c:pt idx="291">
                  <c:v>5.6376788803270896</c:v>
                </c:pt>
                <c:pt idx="292">
                  <c:v>5.3964922800179798</c:v>
                </c:pt>
                <c:pt idx="293">
                  <c:v>5.48780487804878</c:v>
                </c:pt>
                <c:pt idx="294">
                  <c:v>5.46033672076444</c:v>
                </c:pt>
                <c:pt idx="295">
                  <c:v>5.39230769230769</c:v>
                </c:pt>
                <c:pt idx="296">
                  <c:v>5.4074992252866396</c:v>
                </c:pt>
                <c:pt idx="297">
                  <c:v>5.4983621899859596</c:v>
                </c:pt>
                <c:pt idx="298">
                  <c:v>5.875</c:v>
                </c:pt>
                <c:pt idx="299">
                  <c:v>5.89309428950863</c:v>
                </c:pt>
                <c:pt idx="300">
                  <c:v>5.8823529411764701</c:v>
                </c:pt>
                <c:pt idx="301">
                  <c:v>5.7714473900872703</c:v>
                </c:pt>
                <c:pt idx="302">
                  <c:v>5.7531730126920504</c:v>
                </c:pt>
                <c:pt idx="303">
                  <c:v>5.6312292358803901</c:v>
                </c:pt>
                <c:pt idx="304">
                  <c:v>5.7682577163096598</c:v>
                </c:pt>
                <c:pt idx="305">
                  <c:v>5.4806070826306899</c:v>
                </c:pt>
                <c:pt idx="306">
                  <c:v>5.4610411704661397</c:v>
                </c:pt>
                <c:pt idx="307">
                  <c:v>5.52300534206445</c:v>
                </c:pt>
                <c:pt idx="308">
                  <c:v>5.8968058968058896</c:v>
                </c:pt>
                <c:pt idx="309">
                  <c:v>6.64177808647334</c:v>
                </c:pt>
                <c:pt idx="310">
                  <c:v>6.4704870073997496</c:v>
                </c:pt>
                <c:pt idx="311">
                  <c:v>6.4829125880130496</c:v>
                </c:pt>
                <c:pt idx="312">
                  <c:v>6.5811677354032998</c:v>
                </c:pt>
                <c:pt idx="313">
                  <c:v>6.5596173556542503</c:v>
                </c:pt>
                <c:pt idx="314">
                  <c:v>6.6048962937776201</c:v>
                </c:pt>
                <c:pt idx="315">
                  <c:v>6.4911983750846298</c:v>
                </c:pt>
                <c:pt idx="316">
                  <c:v>6.6507503410641204</c:v>
                </c:pt>
                <c:pt idx="317">
                  <c:v>6.8021959169668902</c:v>
                </c:pt>
                <c:pt idx="318">
                  <c:v>6.7021636240703097</c:v>
                </c:pt>
                <c:pt idx="319">
                  <c:v>6.5292096219931199</c:v>
                </c:pt>
                <c:pt idx="320">
                  <c:v>6.3952543474727701</c:v>
                </c:pt>
                <c:pt idx="321">
                  <c:v>6.3383637807783897</c:v>
                </c:pt>
                <c:pt idx="322">
                  <c:v>6.2011943040881903</c:v>
                </c:pt>
                <c:pt idx="323">
                  <c:v>6.1415525114155196</c:v>
                </c:pt>
                <c:pt idx="324">
                  <c:v>6.4118564742589701</c:v>
                </c:pt>
                <c:pt idx="325">
                  <c:v>6.3373570520965599</c:v>
                </c:pt>
                <c:pt idx="326">
                  <c:v>6.1810154525386301</c:v>
                </c:pt>
                <c:pt idx="327">
                  <c:v>6.0668137409391703</c:v>
                </c:pt>
                <c:pt idx="328">
                  <c:v>6.01967520299812</c:v>
                </c:pt>
                <c:pt idx="329">
                  <c:v>5.95126522961574</c:v>
                </c:pt>
                <c:pt idx="330">
                  <c:v>5.95744680851063</c:v>
                </c:pt>
                <c:pt idx="331">
                  <c:v>5.7571964956195201</c:v>
                </c:pt>
                <c:pt idx="332">
                  <c:v>5.85217251883918</c:v>
                </c:pt>
                <c:pt idx="333">
                  <c:v>6.0965562695666504</c:v>
                </c:pt>
                <c:pt idx="334">
                  <c:v>6.1092715231788004</c:v>
                </c:pt>
                <c:pt idx="335">
                  <c:v>6.0435985033349597</c:v>
                </c:pt>
                <c:pt idx="336">
                  <c:v>5.9635248547449899</c:v>
                </c:pt>
                <c:pt idx="337">
                  <c:v>5.86677367576244</c:v>
                </c:pt>
                <c:pt idx="338">
                  <c:v>5.9258069696483</c:v>
                </c:pt>
                <c:pt idx="339">
                  <c:v>5.8818872704243104</c:v>
                </c:pt>
                <c:pt idx="340">
                  <c:v>5.87219343696027</c:v>
                </c:pt>
                <c:pt idx="341">
                  <c:v>5.8869334994549103</c:v>
                </c:pt>
                <c:pt idx="342">
                  <c:v>5.8727948003714001</c:v>
                </c:pt>
                <c:pt idx="343">
                  <c:v>5.8456561922365902</c:v>
                </c:pt>
                <c:pt idx="344">
                  <c:v>5.9722438796195201</c:v>
                </c:pt>
                <c:pt idx="345">
                  <c:v>6.0708661417322798</c:v>
                </c:pt>
                <c:pt idx="346">
                  <c:v>6.1686746987951802</c:v>
                </c:pt>
                <c:pt idx="347">
                  <c:v>6.15359897172236</c:v>
                </c:pt>
                <c:pt idx="348">
                  <c:v>6.1308562197091998</c:v>
                </c:pt>
                <c:pt idx="349">
                  <c:v>6.2012353706111796</c:v>
                </c:pt>
                <c:pt idx="350">
                  <c:v>6.34609093882891</c:v>
                </c:pt>
                <c:pt idx="351">
                  <c:v>6.4927583936800497</c:v>
                </c:pt>
                <c:pt idx="352">
                  <c:v>6.2448644207066497</c:v>
                </c:pt>
                <c:pt idx="353">
                  <c:v>6.1712227860533604</c:v>
                </c:pt>
                <c:pt idx="354">
                  <c:v>6.03115965306778</c:v>
                </c:pt>
                <c:pt idx="355">
                  <c:v>6.0006383657835896</c:v>
                </c:pt>
                <c:pt idx="356">
                  <c:v>5.9033847131733603</c:v>
                </c:pt>
                <c:pt idx="357">
                  <c:v>5.9875459045186004</c:v>
                </c:pt>
                <c:pt idx="358">
                  <c:v>6.0780760994893699</c:v>
                </c:pt>
                <c:pt idx="359">
                  <c:v>6.3404255319148897</c:v>
                </c:pt>
                <c:pt idx="360">
                  <c:v>6.2990112512785501</c:v>
                </c:pt>
                <c:pt idx="361">
                  <c:v>6.4242942686056397</c:v>
                </c:pt>
                <c:pt idx="362">
                  <c:v>6.33453175826057</c:v>
                </c:pt>
                <c:pt idx="363">
                  <c:v>6.3258086253369203</c:v>
                </c:pt>
                <c:pt idx="364">
                  <c:v>6.0938555030384798</c:v>
                </c:pt>
                <c:pt idx="365">
                  <c:v>6.3097514340344096</c:v>
                </c:pt>
                <c:pt idx="366">
                  <c:v>5.9927045336112501</c:v>
                </c:pt>
                <c:pt idx="367">
                  <c:v>6.1974053295932601</c:v>
                </c:pt>
                <c:pt idx="368">
                  <c:v>6.2896965419901196</c:v>
                </c:pt>
                <c:pt idx="369">
                  <c:v>6.3913824057450599</c:v>
                </c:pt>
                <c:pt idx="370">
                  <c:v>6.4582586886420597</c:v>
                </c:pt>
                <c:pt idx="371">
                  <c:v>6.5177923021060202</c:v>
                </c:pt>
                <c:pt idx="372">
                  <c:v>6.42831347056699</c:v>
                </c:pt>
                <c:pt idx="373">
                  <c:v>6.3497757847533602</c:v>
                </c:pt>
                <c:pt idx="374">
                  <c:v>6.3523131672597799</c:v>
                </c:pt>
                <c:pt idx="375">
                  <c:v>6.23119136130288</c:v>
                </c:pt>
                <c:pt idx="376">
                  <c:v>6.0829817158930997</c:v>
                </c:pt>
                <c:pt idx="377">
                  <c:v>6.2912183269698003</c:v>
                </c:pt>
                <c:pt idx="378">
                  <c:v>6.3507528786536698</c:v>
                </c:pt>
                <c:pt idx="379">
                  <c:v>6.3552561602552702</c:v>
                </c:pt>
                <c:pt idx="380">
                  <c:v>6.4552174660477899</c:v>
                </c:pt>
                <c:pt idx="381">
                  <c:v>6.3835286009648504</c:v>
                </c:pt>
                <c:pt idx="382">
                  <c:v>6.5228645383951598</c:v>
                </c:pt>
                <c:pt idx="383">
                  <c:v>6.5568142808101602</c:v>
                </c:pt>
                <c:pt idx="384">
                  <c:v>6.3993174061433402</c:v>
                </c:pt>
                <c:pt idx="385">
                  <c:v>6.2278779706725098</c:v>
                </c:pt>
                <c:pt idx="386">
                  <c:v>6.2783661119515797</c:v>
                </c:pt>
                <c:pt idx="387">
                  <c:v>6.4080944350758804</c:v>
                </c:pt>
                <c:pt idx="388">
                  <c:v>6.6424494032174302</c:v>
                </c:pt>
                <c:pt idx="389">
                  <c:v>6.5868263473053803</c:v>
                </c:pt>
                <c:pt idx="390">
                  <c:v>6.5766996925179297</c:v>
                </c:pt>
                <c:pt idx="391">
                  <c:v>6.5113906834410002</c:v>
                </c:pt>
                <c:pt idx="392">
                  <c:v>6.3971340839303901</c:v>
                </c:pt>
                <c:pt idx="393">
                  <c:v>6.3074565883554596</c:v>
                </c:pt>
                <c:pt idx="394">
                  <c:v>6.1193526635198898</c:v>
                </c:pt>
                <c:pt idx="395">
                  <c:v>5.98856209150326</c:v>
                </c:pt>
                <c:pt idx="396">
                  <c:v>5.8955462992630503</c:v>
                </c:pt>
                <c:pt idx="397">
                  <c:v>5.7340186315451298</c:v>
                </c:pt>
                <c:pt idx="398">
                  <c:v>5.68254990341274</c:v>
                </c:pt>
                <c:pt idx="399">
                  <c:v>5.7626843896903797</c:v>
                </c:pt>
                <c:pt idx="400">
                  <c:v>5.8167716917111001</c:v>
                </c:pt>
                <c:pt idx="401">
                  <c:v>5.7197635405016696</c:v>
                </c:pt>
                <c:pt idx="402">
                  <c:v>5.6809215717216297</c:v>
                </c:pt>
                <c:pt idx="403">
                  <c:v>5.6708494208494198</c:v>
                </c:pt>
                <c:pt idx="404">
                  <c:v>5.5860953920776</c:v>
                </c:pt>
                <c:pt idx="405">
                  <c:v>5.72069080039853</c:v>
                </c:pt>
                <c:pt idx="406">
                  <c:v>5.6687479461058103</c:v>
                </c:pt>
                <c:pt idx="407">
                  <c:v>5.5249513933895003</c:v>
                </c:pt>
                <c:pt idx="408">
                  <c:v>5.4088249248774298</c:v>
                </c:pt>
                <c:pt idx="409">
                  <c:v>5.41290220320177</c:v>
                </c:pt>
                <c:pt idx="410">
                  <c:v>5.3472987872105797</c:v>
                </c:pt>
                <c:pt idx="411">
                  <c:v>5.5096418732782304</c:v>
                </c:pt>
                <c:pt idx="412">
                  <c:v>5.4403366396152597</c:v>
                </c:pt>
                <c:pt idx="413">
                  <c:v>5.36163289454222</c:v>
                </c:pt>
                <c:pt idx="414">
                  <c:v>5.5454130534002699</c:v>
                </c:pt>
                <c:pt idx="415">
                  <c:v>5.4716422330815897</c:v>
                </c:pt>
                <c:pt idx="416">
                  <c:v>5.2874743326488698</c:v>
                </c:pt>
                <c:pt idx="417">
                  <c:v>5.3180549434405702</c:v>
                </c:pt>
                <c:pt idx="418">
                  <c:v>5.0986605213884397</c:v>
                </c:pt>
                <c:pt idx="419">
                  <c:v>5.0377654268205703</c:v>
                </c:pt>
                <c:pt idx="420">
                  <c:v>4.9431503050471397</c:v>
                </c:pt>
                <c:pt idx="421">
                  <c:v>5.0330846121357098</c:v>
                </c:pt>
                <c:pt idx="422">
                  <c:v>5.1198871650211499</c:v>
                </c:pt>
                <c:pt idx="423">
                  <c:v>5.11940511940512</c:v>
                </c:pt>
                <c:pt idx="424">
                  <c:v>4.98809023399187</c:v>
                </c:pt>
                <c:pt idx="425">
                  <c:v>4.8818790113341501</c:v>
                </c:pt>
                <c:pt idx="426">
                  <c:v>4.8563611491107999</c:v>
                </c:pt>
                <c:pt idx="427">
                  <c:v>4.8087660524846401</c:v>
                </c:pt>
                <c:pt idx="428">
                  <c:v>4.8783858485350997</c:v>
                </c:pt>
                <c:pt idx="429">
                  <c:v>4.8144571665057203</c:v>
                </c:pt>
                <c:pt idx="430">
                  <c:v>4.9957900645523399</c:v>
                </c:pt>
                <c:pt idx="431">
                  <c:v>4.9985939257592698</c:v>
                </c:pt>
                <c:pt idx="432">
                  <c:v>5.1177146138386398</c:v>
                </c:pt>
                <c:pt idx="433">
                  <c:v>5.2146783538849997</c:v>
                </c:pt>
                <c:pt idx="434">
                  <c:v>5.3117095670287098</c:v>
                </c:pt>
                <c:pt idx="435">
                  <c:v>5.10189121829643</c:v>
                </c:pt>
                <c:pt idx="436">
                  <c:v>5.0790398126463696</c:v>
                </c:pt>
                <c:pt idx="437">
                  <c:v>5.0821355236139603</c:v>
                </c:pt>
                <c:pt idx="438">
                  <c:v>5.0577400964771204</c:v>
                </c:pt>
                <c:pt idx="439">
                  <c:v>5.2191595119746896</c:v>
                </c:pt>
                <c:pt idx="440">
                  <c:v>5.2402069475240198</c:v>
                </c:pt>
                <c:pt idx="441">
                  <c:v>5.5067098565478902</c:v>
                </c:pt>
                <c:pt idx="442">
                  <c:v>5.51527306386917</c:v>
                </c:pt>
                <c:pt idx="443">
                  <c:v>5.6916426512968297</c:v>
                </c:pt>
                <c:pt idx="444">
                  <c:v>5.5084745762711798</c:v>
                </c:pt>
                <c:pt idx="445">
                  <c:v>5.4472916986343396</c:v>
                </c:pt>
                <c:pt idx="446">
                  <c:v>5.6295020357030996</c:v>
                </c:pt>
                <c:pt idx="447">
                  <c:v>5.9508303484207001</c:v>
                </c:pt>
                <c:pt idx="448">
                  <c:v>6.0274879947011097</c:v>
                </c:pt>
                <c:pt idx="449">
                  <c:v>5.9809013235047699</c:v>
                </c:pt>
                <c:pt idx="450">
                  <c:v>5.8174523570712102</c:v>
                </c:pt>
                <c:pt idx="451">
                  <c:v>5.9387923904052897</c:v>
                </c:pt>
                <c:pt idx="452">
                  <c:v>5.8493723849372303</c:v>
                </c:pt>
                <c:pt idx="453">
                  <c:v>5.8543510940370798</c:v>
                </c:pt>
                <c:pt idx="454">
                  <c:v>5.8818593723779102</c:v>
                </c:pt>
                <c:pt idx="455">
                  <c:v>6.0026940562384201</c:v>
                </c:pt>
                <c:pt idx="456">
                  <c:v>6.3420551031017096</c:v>
                </c:pt>
                <c:pt idx="457">
                  <c:v>6.0770156438026399</c:v>
                </c:pt>
                <c:pt idx="458">
                  <c:v>5.9566478921317598</c:v>
                </c:pt>
                <c:pt idx="459">
                  <c:v>5.8254076086956497</c:v>
                </c:pt>
                <c:pt idx="460">
                  <c:v>5.9084699453551899</c:v>
                </c:pt>
                <c:pt idx="461">
                  <c:v>5.8661620505762899</c:v>
                </c:pt>
                <c:pt idx="462">
                  <c:v>5.7244776626464997</c:v>
                </c:pt>
                <c:pt idx="463">
                  <c:v>5.6168335313083304</c:v>
                </c:pt>
                <c:pt idx="464">
                  <c:v>5.5612244897959098</c:v>
                </c:pt>
                <c:pt idx="465">
                  <c:v>5.6104505108022096</c:v>
                </c:pt>
                <c:pt idx="466">
                  <c:v>5.6663872590108904</c:v>
                </c:pt>
                <c:pt idx="467">
                  <c:v>5.5996691480562397</c:v>
                </c:pt>
                <c:pt idx="468">
                  <c:v>5.6417024084460499</c:v>
                </c:pt>
                <c:pt idx="469">
                  <c:v>5.5655442955214101</c:v>
                </c:pt>
                <c:pt idx="470">
                  <c:v>5.5321561639397299</c:v>
                </c:pt>
                <c:pt idx="471">
                  <c:v>5.5248169243287197</c:v>
                </c:pt>
                <c:pt idx="472">
                  <c:v>5.4485636334456702</c:v>
                </c:pt>
                <c:pt idx="473">
                  <c:v>5.48100242522231</c:v>
                </c:pt>
                <c:pt idx="474">
                  <c:v>5.4916146004603696</c:v>
                </c:pt>
                <c:pt idx="475">
                  <c:v>5.2854629777706696</c:v>
                </c:pt>
                <c:pt idx="476">
                  <c:v>5.2943058221369101</c:v>
                </c:pt>
                <c:pt idx="477">
                  <c:v>5.31377343113284</c:v>
                </c:pt>
                <c:pt idx="478">
                  <c:v>5.3255890052356003</c:v>
                </c:pt>
                <c:pt idx="479">
                  <c:v>5.55930487599122</c:v>
                </c:pt>
                <c:pt idx="480">
                  <c:v>5.6321252339629</c:v>
                </c:pt>
                <c:pt idx="481">
                  <c:v>5.5821099351314398</c:v>
                </c:pt>
                <c:pt idx="482">
                  <c:v>5.4861580013504296</c:v>
                </c:pt>
                <c:pt idx="483">
                  <c:v>5.5038890767669901</c:v>
                </c:pt>
                <c:pt idx="484">
                  <c:v>5.4659949622166204</c:v>
                </c:pt>
                <c:pt idx="485">
                  <c:v>5.54420030659172</c:v>
                </c:pt>
                <c:pt idx="486">
                  <c:v>5.8327477160927597</c:v>
                </c:pt>
                <c:pt idx="487">
                  <c:v>5.8381911323087703</c:v>
                </c:pt>
                <c:pt idx="488">
                  <c:v>5.7474271759985998</c:v>
                </c:pt>
                <c:pt idx="489">
                  <c:v>5.6507442021460701</c:v>
                </c:pt>
                <c:pt idx="490">
                  <c:v>5.5796222491769099</c:v>
                </c:pt>
                <c:pt idx="491">
                  <c:v>5.7060468367703496</c:v>
                </c:pt>
                <c:pt idx="492">
                  <c:v>5.6330659225671402</c:v>
                </c:pt>
                <c:pt idx="493">
                  <c:v>5.8196434813002398</c:v>
                </c:pt>
                <c:pt idx="494">
                  <c:v>5.8074642483432104</c:v>
                </c:pt>
                <c:pt idx="495">
                  <c:v>5.73529411764705</c:v>
                </c:pt>
                <c:pt idx="496">
                  <c:v>5.7977332170880498</c:v>
                </c:pt>
                <c:pt idx="497">
                  <c:v>6.0017889087656497</c:v>
                </c:pt>
                <c:pt idx="498">
                  <c:v>5.9372797744890704</c:v>
                </c:pt>
                <c:pt idx="499">
                  <c:v>5.9523809523809499</c:v>
                </c:pt>
                <c:pt idx="500">
                  <c:v>5.8735470235998504</c:v>
                </c:pt>
                <c:pt idx="501">
                  <c:v>5.9368871456587602</c:v>
                </c:pt>
                <c:pt idx="502">
                  <c:v>5.96667263931195</c:v>
                </c:pt>
                <c:pt idx="503">
                  <c:v>6.1313076505697204</c:v>
                </c:pt>
                <c:pt idx="504">
                  <c:v>6.1544131195872396</c:v>
                </c:pt>
                <c:pt idx="505">
                  <c:v>6.2592867756314998</c:v>
                </c:pt>
                <c:pt idx="506">
                  <c:v>6.2951305313830703</c:v>
                </c:pt>
                <c:pt idx="507">
                  <c:v>6.2395387762692902</c:v>
                </c:pt>
                <c:pt idx="508">
                  <c:v>6.26419379258137</c:v>
                </c:pt>
                <c:pt idx="509">
                  <c:v>6.11407859595574</c:v>
                </c:pt>
                <c:pt idx="510">
                  <c:v>5.9360301034807099</c:v>
                </c:pt>
                <c:pt idx="511">
                  <c:v>5.7613168724279804</c:v>
                </c:pt>
                <c:pt idx="512">
                  <c:v>5.60273213956064</c:v>
                </c:pt>
                <c:pt idx="513">
                  <c:v>5.5310547592796704</c:v>
                </c:pt>
                <c:pt idx="514">
                  <c:v>5.4704595185995597</c:v>
                </c:pt>
                <c:pt idx="515">
                  <c:v>5.5596062705067402</c:v>
                </c:pt>
                <c:pt idx="516">
                  <c:v>5.64083595339374</c:v>
                </c:pt>
                <c:pt idx="517">
                  <c:v>5.6637004078605804</c:v>
                </c:pt>
                <c:pt idx="518">
                  <c:v>5.6753270683618897</c:v>
                </c:pt>
                <c:pt idx="519">
                  <c:v>5.6279838413514502</c:v>
                </c:pt>
                <c:pt idx="520">
                  <c:v>5.6313364055299502</c:v>
                </c:pt>
                <c:pt idx="521">
                  <c:v>5.5636896046852096</c:v>
                </c:pt>
                <c:pt idx="522">
                  <c:v>5.5413313825896102</c:v>
                </c:pt>
                <c:pt idx="523">
                  <c:v>5.4947060971157304</c:v>
                </c:pt>
                <c:pt idx="524">
                  <c:v>5.52441229656419</c:v>
                </c:pt>
                <c:pt idx="525">
                  <c:v>5.5047516585978098</c:v>
                </c:pt>
                <c:pt idx="526">
                  <c:v>5.4318788958147799</c:v>
                </c:pt>
                <c:pt idx="527">
                  <c:v>5.4836995038979399</c:v>
                </c:pt>
                <c:pt idx="528">
                  <c:v>5.5806393353801598</c:v>
                </c:pt>
                <c:pt idx="529">
                  <c:v>5.51607745603126</c:v>
                </c:pt>
                <c:pt idx="530">
                  <c:v>5.29575990228581</c:v>
                </c:pt>
                <c:pt idx="531">
                  <c:v>5.2503477051460301</c:v>
                </c:pt>
                <c:pt idx="532">
                  <c:v>5.1716961498439096</c:v>
                </c:pt>
                <c:pt idx="533">
                  <c:v>5.25488826815642</c:v>
                </c:pt>
                <c:pt idx="534">
                  <c:v>5.1453943931742998</c:v>
                </c:pt>
                <c:pt idx="535">
                  <c:v>4.9477169745555898</c:v>
                </c:pt>
                <c:pt idx="536">
                  <c:v>4.9590806198850697</c:v>
                </c:pt>
                <c:pt idx="537">
                  <c:v>4.9612948627726903</c:v>
                </c:pt>
                <c:pt idx="538">
                  <c:v>5.0255686827719899</c:v>
                </c:pt>
                <c:pt idx="539">
                  <c:v>5.0097053114522598</c:v>
                </c:pt>
                <c:pt idx="540">
                  <c:v>4.9580859238560899</c:v>
                </c:pt>
                <c:pt idx="541">
                  <c:v>4.9973633327474003</c:v>
                </c:pt>
                <c:pt idx="542">
                  <c:v>4.9496733180293102</c:v>
                </c:pt>
                <c:pt idx="543">
                  <c:v>4.8265644064842199</c:v>
                </c:pt>
                <c:pt idx="544">
                  <c:v>4.8218320876064604</c:v>
                </c:pt>
                <c:pt idx="545">
                  <c:v>4.7962003454231397</c:v>
                </c:pt>
                <c:pt idx="546">
                  <c:v>4.6860564585115396</c:v>
                </c:pt>
                <c:pt idx="547">
                  <c:v>4.6392276422764196</c:v>
                </c:pt>
                <c:pt idx="548">
                  <c:v>4.70259278088459</c:v>
                </c:pt>
                <c:pt idx="549">
                  <c:v>4.6388469917881601</c:v>
                </c:pt>
                <c:pt idx="550">
                  <c:v>4.5359455420886601</c:v>
                </c:pt>
                <c:pt idx="551">
                  <c:v>4.5184206178754298</c:v>
                </c:pt>
                <c:pt idx="552">
                  <c:v>4.4464490733147404</c:v>
                </c:pt>
                <c:pt idx="553">
                  <c:v>4.4062297209604102</c:v>
                </c:pt>
                <c:pt idx="554">
                  <c:v>4.5691573926868001</c:v>
                </c:pt>
                <c:pt idx="555">
                  <c:v>4.4636290967226202</c:v>
                </c:pt>
                <c:pt idx="556">
                  <c:v>4.48734380006408</c:v>
                </c:pt>
                <c:pt idx="557">
                  <c:v>4.5383993532740501</c:v>
                </c:pt>
                <c:pt idx="558">
                  <c:v>4.6534007502854298</c:v>
                </c:pt>
                <c:pt idx="559">
                  <c:v>4.7023809523809499</c:v>
                </c:pt>
                <c:pt idx="560">
                  <c:v>5.0196547598701002</c:v>
                </c:pt>
                <c:pt idx="561">
                  <c:v>5.0231600617601604</c:v>
                </c:pt>
                <c:pt idx="562">
                  <c:v>4.91942324003392</c:v>
                </c:pt>
                <c:pt idx="563">
                  <c:v>5.0273878808627099</c:v>
                </c:pt>
                <c:pt idx="564">
                  <c:v>5.0322033898305003</c:v>
                </c:pt>
                <c:pt idx="565">
                  <c:v>5.02443133951137</c:v>
                </c:pt>
                <c:pt idx="566">
                  <c:v>4.9748153122901204</c:v>
                </c:pt>
                <c:pt idx="567">
                  <c:v>4.9071259709557502</c:v>
                </c:pt>
                <c:pt idx="568">
                  <c:v>5.0545330606680299</c:v>
                </c:pt>
                <c:pt idx="569">
                  <c:v>4.8252911813643902</c:v>
                </c:pt>
                <c:pt idx="570">
                  <c:v>4.8333612460224398</c:v>
                </c:pt>
                <c:pt idx="571">
                  <c:v>4.89079301075268</c:v>
                </c:pt>
                <c:pt idx="572">
                  <c:v>4.8343145500420501</c:v>
                </c:pt>
                <c:pt idx="573">
                  <c:v>4.9745676500508598</c:v>
                </c:pt>
                <c:pt idx="574">
                  <c:v>5.1921079958463103</c:v>
                </c:pt>
                <c:pt idx="575">
                  <c:v>5.30105847648794</c:v>
                </c:pt>
                <c:pt idx="576">
                  <c:v>5.2234971741736604</c:v>
                </c:pt>
                <c:pt idx="577">
                  <c:v>4.9470989761092099</c:v>
                </c:pt>
                <c:pt idx="578">
                  <c:v>5.0913884007029804</c:v>
                </c:pt>
                <c:pt idx="579">
                  <c:v>5.0873478030703998</c:v>
                </c:pt>
                <c:pt idx="580">
                  <c:v>5.0751813196532796</c:v>
                </c:pt>
                <c:pt idx="581">
                  <c:v>5.0317124735729299</c:v>
                </c:pt>
                <c:pt idx="582">
                  <c:v>4.9562631210636798</c:v>
                </c:pt>
                <c:pt idx="583">
                  <c:v>4.97998259355961</c:v>
                </c:pt>
                <c:pt idx="584">
                  <c:v>5.0447761194029797</c:v>
                </c:pt>
                <c:pt idx="585">
                  <c:v>5.1592810108560201</c:v>
                </c:pt>
                <c:pt idx="586">
                  <c:v>5.1143560872624896</c:v>
                </c:pt>
                <c:pt idx="587">
                  <c:v>5.0255416593271001</c:v>
                </c:pt>
                <c:pt idx="588">
                  <c:v>5.2100234360915803</c:v>
                </c:pt>
                <c:pt idx="589">
                  <c:v>5.1358068524764704</c:v>
                </c:pt>
                <c:pt idx="590">
                  <c:v>4.9505465903175399</c:v>
                </c:pt>
                <c:pt idx="591">
                  <c:v>4.8355601233299002</c:v>
                </c:pt>
                <c:pt idx="592">
                  <c:v>4.5003287310979596</c:v>
                </c:pt>
                <c:pt idx="593">
                  <c:v>4.3701298701298699</c:v>
                </c:pt>
                <c:pt idx="594">
                  <c:v>4.3599409932797899</c:v>
                </c:pt>
                <c:pt idx="595">
                  <c:v>4.3219100211141699</c:v>
                </c:pt>
                <c:pt idx="596">
                  <c:v>4.3144572448482803</c:v>
                </c:pt>
                <c:pt idx="597">
                  <c:v>4.1598394917237904</c:v>
                </c:pt>
                <c:pt idx="598">
                  <c:v>4.1739716790289902</c:v>
                </c:pt>
                <c:pt idx="599">
                  <c:v>4.0561471442400698</c:v>
                </c:pt>
                <c:pt idx="600">
                  <c:v>3.9838684168907101</c:v>
                </c:pt>
                <c:pt idx="601">
                  <c:v>3.99206978588421</c:v>
                </c:pt>
                <c:pt idx="602">
                  <c:v>4.1608105899656804</c:v>
                </c:pt>
                <c:pt idx="603">
                  <c:v>4.29941126997476</c:v>
                </c:pt>
                <c:pt idx="604">
                  <c:v>4.2833023805503903</c:v>
                </c:pt>
                <c:pt idx="605">
                  <c:v>4.4745057232049898</c:v>
                </c:pt>
                <c:pt idx="606">
                  <c:v>4.38148865036072</c:v>
                </c:pt>
                <c:pt idx="607">
                  <c:v>4.4208459753703302</c:v>
                </c:pt>
                <c:pt idx="608">
                  <c:v>4.46713236611141</c:v>
                </c:pt>
                <c:pt idx="609">
                  <c:v>4.4217081850533804</c:v>
                </c:pt>
                <c:pt idx="610">
                  <c:v>4.4818328262036804</c:v>
                </c:pt>
                <c:pt idx="611">
                  <c:v>4.4489868467827902</c:v>
                </c:pt>
                <c:pt idx="612">
                  <c:v>4.3981644899399903</c:v>
                </c:pt>
                <c:pt idx="613">
                  <c:v>4.3812532912058897</c:v>
                </c:pt>
                <c:pt idx="614">
                  <c:v>4.4679705724026499</c:v>
                </c:pt>
                <c:pt idx="615">
                  <c:v>4.3833900125290803</c:v>
                </c:pt>
                <c:pt idx="616">
                  <c:v>4.3844265170115699</c:v>
                </c:pt>
                <c:pt idx="617">
                  <c:v>4.3021032504780097</c:v>
                </c:pt>
                <c:pt idx="618">
                  <c:v>4.2103465938193603</c:v>
                </c:pt>
                <c:pt idx="619">
                  <c:v>4.0792774711490196</c:v>
                </c:pt>
                <c:pt idx="620">
                  <c:v>3.9064558629775998</c:v>
                </c:pt>
                <c:pt idx="621">
                  <c:v>3.9851116625310099</c:v>
                </c:pt>
                <c:pt idx="622">
                  <c:v>3.8667537557152101</c:v>
                </c:pt>
                <c:pt idx="623">
                  <c:v>3.8602880317828099</c:v>
                </c:pt>
                <c:pt idx="624">
                  <c:v>3.8327355722204102</c:v>
                </c:pt>
                <c:pt idx="625">
                  <c:v>3.8705437818301198</c:v>
                </c:pt>
                <c:pt idx="626">
                  <c:v>3.9081582804103498</c:v>
                </c:pt>
                <c:pt idx="627">
                  <c:v>3.8049921996879799</c:v>
                </c:pt>
                <c:pt idx="628">
                  <c:v>3.7255821222065899</c:v>
                </c:pt>
                <c:pt idx="629">
                  <c:v>3.5892307692307601</c:v>
                </c:pt>
                <c:pt idx="630">
                  <c:v>3.6044559743628799</c:v>
                </c:pt>
                <c:pt idx="631">
                  <c:v>3.5931790499390899</c:v>
                </c:pt>
                <c:pt idx="632">
                  <c:v>3.5485341029925501</c:v>
                </c:pt>
                <c:pt idx="633">
                  <c:v>3.5520943595947299</c:v>
                </c:pt>
                <c:pt idx="634">
                  <c:v>3.54389721627409</c:v>
                </c:pt>
                <c:pt idx="635">
                  <c:v>3.56194006796416</c:v>
                </c:pt>
                <c:pt idx="636">
                  <c:v>3.5998769798554502</c:v>
                </c:pt>
                <c:pt idx="637">
                  <c:v>3.57437070938215</c:v>
                </c:pt>
                <c:pt idx="638">
                  <c:v>3.62257661038148</c:v>
                </c:pt>
                <c:pt idx="639">
                  <c:v>3.70753092218568</c:v>
                </c:pt>
                <c:pt idx="640">
                  <c:v>3.7436548223350199</c:v>
                </c:pt>
                <c:pt idx="641">
                  <c:v>3.7878787878787801</c:v>
                </c:pt>
                <c:pt idx="642">
                  <c:v>3.8012163892445501</c:v>
                </c:pt>
                <c:pt idx="643">
                  <c:v>3.69901991779955</c:v>
                </c:pt>
                <c:pt idx="644">
                  <c:v>3.6531828159297501</c:v>
                </c:pt>
                <c:pt idx="645">
                  <c:v>3.6068376068375998</c:v>
                </c:pt>
                <c:pt idx="646">
                  <c:v>3.6050696291660098</c:v>
                </c:pt>
                <c:pt idx="647">
                  <c:v>3.56371147124245</c:v>
                </c:pt>
                <c:pt idx="648">
                  <c:v>3.50451735615786</c:v>
                </c:pt>
                <c:pt idx="649">
                  <c:v>3.48671726755218</c:v>
                </c:pt>
                <c:pt idx="650">
                  <c:v>3.4530874097834801</c:v>
                </c:pt>
                <c:pt idx="651">
                  <c:v>3.54218056240749</c:v>
                </c:pt>
                <c:pt idx="652">
                  <c:v>3.4984570407666</c:v>
                </c:pt>
                <c:pt idx="653">
                  <c:v>3.3880136430079499</c:v>
                </c:pt>
                <c:pt idx="654">
                  <c:v>3.4180177168644401</c:v>
                </c:pt>
                <c:pt idx="655">
                  <c:v>3.3871773522064901</c:v>
                </c:pt>
                <c:pt idx="656">
                  <c:v>3.4103169251517098</c:v>
                </c:pt>
                <c:pt idx="657">
                  <c:v>3.4963614824843399</c:v>
                </c:pt>
                <c:pt idx="658">
                  <c:v>3.5465215172648401</c:v>
                </c:pt>
                <c:pt idx="659">
                  <c:v>3.6355770894618402</c:v>
                </c:pt>
                <c:pt idx="660">
                  <c:v>3.61998640380693</c:v>
                </c:pt>
                <c:pt idx="661">
                  <c:v>3.4491193737769001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43749</c:v>
                </c:pt>
                <c:pt idx="1">
                  <c:v>43748</c:v>
                </c:pt>
                <c:pt idx="2">
                  <c:v>43747</c:v>
                </c:pt>
                <c:pt idx="3">
                  <c:v>43746</c:v>
                </c:pt>
                <c:pt idx="4">
                  <c:v>43745</c:v>
                </c:pt>
                <c:pt idx="5">
                  <c:v>43742</c:v>
                </c:pt>
                <c:pt idx="6">
                  <c:v>43741</c:v>
                </c:pt>
                <c:pt idx="7">
                  <c:v>43740</c:v>
                </c:pt>
                <c:pt idx="8">
                  <c:v>43739</c:v>
                </c:pt>
                <c:pt idx="9">
                  <c:v>43738</c:v>
                </c:pt>
                <c:pt idx="10">
                  <c:v>43735</c:v>
                </c:pt>
                <c:pt idx="11">
                  <c:v>43734</c:v>
                </c:pt>
                <c:pt idx="12">
                  <c:v>43733</c:v>
                </c:pt>
                <c:pt idx="13">
                  <c:v>43732</c:v>
                </c:pt>
                <c:pt idx="14">
                  <c:v>43728</c:v>
                </c:pt>
                <c:pt idx="15">
                  <c:v>43727</c:v>
                </c:pt>
                <c:pt idx="16">
                  <c:v>43726</c:v>
                </c:pt>
                <c:pt idx="17">
                  <c:v>43725</c:v>
                </c:pt>
                <c:pt idx="18">
                  <c:v>43721</c:v>
                </c:pt>
                <c:pt idx="19">
                  <c:v>43720</c:v>
                </c:pt>
                <c:pt idx="20">
                  <c:v>43719</c:v>
                </c:pt>
                <c:pt idx="21">
                  <c:v>43718</c:v>
                </c:pt>
                <c:pt idx="22">
                  <c:v>43717</c:v>
                </c:pt>
                <c:pt idx="23">
                  <c:v>43714</c:v>
                </c:pt>
                <c:pt idx="24">
                  <c:v>43713</c:v>
                </c:pt>
                <c:pt idx="25">
                  <c:v>43712</c:v>
                </c:pt>
                <c:pt idx="26">
                  <c:v>43711</c:v>
                </c:pt>
                <c:pt idx="27">
                  <c:v>43710</c:v>
                </c:pt>
                <c:pt idx="28">
                  <c:v>43707</c:v>
                </c:pt>
                <c:pt idx="29">
                  <c:v>43706</c:v>
                </c:pt>
                <c:pt idx="30">
                  <c:v>43705</c:v>
                </c:pt>
                <c:pt idx="31">
                  <c:v>43704</c:v>
                </c:pt>
                <c:pt idx="32">
                  <c:v>43703</c:v>
                </c:pt>
                <c:pt idx="33">
                  <c:v>43700</c:v>
                </c:pt>
                <c:pt idx="34">
                  <c:v>43699</c:v>
                </c:pt>
                <c:pt idx="35">
                  <c:v>43698</c:v>
                </c:pt>
                <c:pt idx="36">
                  <c:v>43697</c:v>
                </c:pt>
                <c:pt idx="37">
                  <c:v>43696</c:v>
                </c:pt>
                <c:pt idx="38">
                  <c:v>43693</c:v>
                </c:pt>
                <c:pt idx="39">
                  <c:v>43692</c:v>
                </c:pt>
                <c:pt idx="40">
                  <c:v>43691</c:v>
                </c:pt>
                <c:pt idx="41">
                  <c:v>43690</c:v>
                </c:pt>
                <c:pt idx="42">
                  <c:v>43686</c:v>
                </c:pt>
                <c:pt idx="43">
                  <c:v>43685</c:v>
                </c:pt>
                <c:pt idx="44">
                  <c:v>43684</c:v>
                </c:pt>
                <c:pt idx="45">
                  <c:v>43683</c:v>
                </c:pt>
                <c:pt idx="46">
                  <c:v>43682</c:v>
                </c:pt>
                <c:pt idx="47">
                  <c:v>43679</c:v>
                </c:pt>
                <c:pt idx="48">
                  <c:v>43678</c:v>
                </c:pt>
                <c:pt idx="49">
                  <c:v>43677</c:v>
                </c:pt>
                <c:pt idx="50">
                  <c:v>43676</c:v>
                </c:pt>
                <c:pt idx="51">
                  <c:v>43675</c:v>
                </c:pt>
                <c:pt idx="52">
                  <c:v>43672</c:v>
                </c:pt>
                <c:pt idx="53">
                  <c:v>43671</c:v>
                </c:pt>
                <c:pt idx="54">
                  <c:v>43670</c:v>
                </c:pt>
                <c:pt idx="55">
                  <c:v>43669</c:v>
                </c:pt>
                <c:pt idx="56">
                  <c:v>43668</c:v>
                </c:pt>
                <c:pt idx="57">
                  <c:v>43665</c:v>
                </c:pt>
                <c:pt idx="58">
                  <c:v>43664</c:v>
                </c:pt>
                <c:pt idx="59">
                  <c:v>43663</c:v>
                </c:pt>
                <c:pt idx="60">
                  <c:v>43662</c:v>
                </c:pt>
                <c:pt idx="61">
                  <c:v>43658</c:v>
                </c:pt>
                <c:pt idx="62">
                  <c:v>43657</c:v>
                </c:pt>
                <c:pt idx="63">
                  <c:v>43656</c:v>
                </c:pt>
                <c:pt idx="64">
                  <c:v>43655</c:v>
                </c:pt>
                <c:pt idx="65">
                  <c:v>43654</c:v>
                </c:pt>
                <c:pt idx="66">
                  <c:v>43651</c:v>
                </c:pt>
                <c:pt idx="67">
                  <c:v>43650</c:v>
                </c:pt>
                <c:pt idx="68">
                  <c:v>43649</c:v>
                </c:pt>
                <c:pt idx="69">
                  <c:v>43648</c:v>
                </c:pt>
                <c:pt idx="70">
                  <c:v>43647</c:v>
                </c:pt>
                <c:pt idx="71">
                  <c:v>43644</c:v>
                </c:pt>
                <c:pt idx="72">
                  <c:v>43643</c:v>
                </c:pt>
                <c:pt idx="73">
                  <c:v>43642</c:v>
                </c:pt>
                <c:pt idx="74">
                  <c:v>43641</c:v>
                </c:pt>
                <c:pt idx="75">
                  <c:v>43640</c:v>
                </c:pt>
                <c:pt idx="76">
                  <c:v>43637</c:v>
                </c:pt>
                <c:pt idx="77">
                  <c:v>43636</c:v>
                </c:pt>
                <c:pt idx="78">
                  <c:v>43635</c:v>
                </c:pt>
                <c:pt idx="79">
                  <c:v>43634</c:v>
                </c:pt>
                <c:pt idx="80">
                  <c:v>43633</c:v>
                </c:pt>
                <c:pt idx="81">
                  <c:v>43630</c:v>
                </c:pt>
                <c:pt idx="82">
                  <c:v>43629</c:v>
                </c:pt>
                <c:pt idx="83">
                  <c:v>43628</c:v>
                </c:pt>
                <c:pt idx="84">
                  <c:v>43627</c:v>
                </c:pt>
                <c:pt idx="85">
                  <c:v>43626</c:v>
                </c:pt>
                <c:pt idx="86">
                  <c:v>43623</c:v>
                </c:pt>
                <c:pt idx="87">
                  <c:v>43622</c:v>
                </c:pt>
                <c:pt idx="88">
                  <c:v>43621</c:v>
                </c:pt>
                <c:pt idx="89">
                  <c:v>43620</c:v>
                </c:pt>
                <c:pt idx="90">
                  <c:v>43619</c:v>
                </c:pt>
                <c:pt idx="91">
                  <c:v>43616</c:v>
                </c:pt>
                <c:pt idx="92">
                  <c:v>43615</c:v>
                </c:pt>
                <c:pt idx="93">
                  <c:v>43614</c:v>
                </c:pt>
                <c:pt idx="94">
                  <c:v>43613</c:v>
                </c:pt>
                <c:pt idx="95">
                  <c:v>43612</c:v>
                </c:pt>
                <c:pt idx="96">
                  <c:v>43609</c:v>
                </c:pt>
                <c:pt idx="97">
                  <c:v>43608</c:v>
                </c:pt>
                <c:pt idx="98">
                  <c:v>43607</c:v>
                </c:pt>
                <c:pt idx="99">
                  <c:v>43606</c:v>
                </c:pt>
                <c:pt idx="100">
                  <c:v>43605</c:v>
                </c:pt>
                <c:pt idx="101">
                  <c:v>43602</c:v>
                </c:pt>
                <c:pt idx="102">
                  <c:v>43601</c:v>
                </c:pt>
                <c:pt idx="103">
                  <c:v>43600</c:v>
                </c:pt>
                <c:pt idx="104">
                  <c:v>43599</c:v>
                </c:pt>
                <c:pt idx="105">
                  <c:v>43598</c:v>
                </c:pt>
                <c:pt idx="106">
                  <c:v>43595</c:v>
                </c:pt>
                <c:pt idx="107">
                  <c:v>43594</c:v>
                </c:pt>
                <c:pt idx="108">
                  <c:v>43593</c:v>
                </c:pt>
                <c:pt idx="109">
                  <c:v>43592</c:v>
                </c:pt>
                <c:pt idx="110">
                  <c:v>43581</c:v>
                </c:pt>
                <c:pt idx="111">
                  <c:v>43580</c:v>
                </c:pt>
                <c:pt idx="112">
                  <c:v>43579</c:v>
                </c:pt>
                <c:pt idx="113">
                  <c:v>43578</c:v>
                </c:pt>
                <c:pt idx="114">
                  <c:v>43577</c:v>
                </c:pt>
                <c:pt idx="115">
                  <c:v>43574</c:v>
                </c:pt>
                <c:pt idx="116">
                  <c:v>43573</c:v>
                </c:pt>
                <c:pt idx="117">
                  <c:v>43572</c:v>
                </c:pt>
                <c:pt idx="118">
                  <c:v>43571</c:v>
                </c:pt>
                <c:pt idx="119">
                  <c:v>43570</c:v>
                </c:pt>
                <c:pt idx="120">
                  <c:v>43567</c:v>
                </c:pt>
                <c:pt idx="121">
                  <c:v>43566</c:v>
                </c:pt>
                <c:pt idx="122">
                  <c:v>43565</c:v>
                </c:pt>
                <c:pt idx="123">
                  <c:v>43564</c:v>
                </c:pt>
                <c:pt idx="124">
                  <c:v>43563</c:v>
                </c:pt>
                <c:pt idx="125">
                  <c:v>43560</c:v>
                </c:pt>
                <c:pt idx="126">
                  <c:v>43559</c:v>
                </c:pt>
                <c:pt idx="127">
                  <c:v>43558</c:v>
                </c:pt>
                <c:pt idx="128">
                  <c:v>43557</c:v>
                </c:pt>
                <c:pt idx="129">
                  <c:v>43556</c:v>
                </c:pt>
                <c:pt idx="130">
                  <c:v>43553</c:v>
                </c:pt>
                <c:pt idx="131">
                  <c:v>43552</c:v>
                </c:pt>
                <c:pt idx="132">
                  <c:v>43551</c:v>
                </c:pt>
                <c:pt idx="133">
                  <c:v>43550</c:v>
                </c:pt>
                <c:pt idx="134">
                  <c:v>43549</c:v>
                </c:pt>
                <c:pt idx="135">
                  <c:v>43546</c:v>
                </c:pt>
                <c:pt idx="136">
                  <c:v>43544</c:v>
                </c:pt>
                <c:pt idx="137">
                  <c:v>43543</c:v>
                </c:pt>
                <c:pt idx="138">
                  <c:v>43542</c:v>
                </c:pt>
                <c:pt idx="139">
                  <c:v>43539</c:v>
                </c:pt>
                <c:pt idx="140">
                  <c:v>43538</c:v>
                </c:pt>
                <c:pt idx="141">
                  <c:v>43537</c:v>
                </c:pt>
                <c:pt idx="142">
                  <c:v>43536</c:v>
                </c:pt>
                <c:pt idx="143">
                  <c:v>43535</c:v>
                </c:pt>
                <c:pt idx="144">
                  <c:v>43532</c:v>
                </c:pt>
                <c:pt idx="145">
                  <c:v>43531</c:v>
                </c:pt>
                <c:pt idx="146">
                  <c:v>43530</c:v>
                </c:pt>
                <c:pt idx="147">
                  <c:v>43529</c:v>
                </c:pt>
                <c:pt idx="148">
                  <c:v>43528</c:v>
                </c:pt>
                <c:pt idx="149">
                  <c:v>43525</c:v>
                </c:pt>
                <c:pt idx="150">
                  <c:v>43524</c:v>
                </c:pt>
                <c:pt idx="151">
                  <c:v>43523</c:v>
                </c:pt>
                <c:pt idx="152">
                  <c:v>43522</c:v>
                </c:pt>
                <c:pt idx="153">
                  <c:v>43521</c:v>
                </c:pt>
                <c:pt idx="154">
                  <c:v>43518</c:v>
                </c:pt>
                <c:pt idx="155">
                  <c:v>43517</c:v>
                </c:pt>
                <c:pt idx="156">
                  <c:v>43516</c:v>
                </c:pt>
                <c:pt idx="157">
                  <c:v>43515</c:v>
                </c:pt>
                <c:pt idx="158">
                  <c:v>43514</c:v>
                </c:pt>
                <c:pt idx="159">
                  <c:v>43511</c:v>
                </c:pt>
                <c:pt idx="160">
                  <c:v>43510</c:v>
                </c:pt>
                <c:pt idx="161">
                  <c:v>43509</c:v>
                </c:pt>
                <c:pt idx="162">
                  <c:v>43508</c:v>
                </c:pt>
                <c:pt idx="163">
                  <c:v>43504</c:v>
                </c:pt>
                <c:pt idx="164">
                  <c:v>43503</c:v>
                </c:pt>
                <c:pt idx="165">
                  <c:v>43502</c:v>
                </c:pt>
                <c:pt idx="166">
                  <c:v>43501</c:v>
                </c:pt>
                <c:pt idx="167">
                  <c:v>43500</c:v>
                </c:pt>
                <c:pt idx="168">
                  <c:v>43497</c:v>
                </c:pt>
                <c:pt idx="169">
                  <c:v>43496</c:v>
                </c:pt>
                <c:pt idx="170">
                  <c:v>43495</c:v>
                </c:pt>
                <c:pt idx="171">
                  <c:v>43494</c:v>
                </c:pt>
                <c:pt idx="172">
                  <c:v>43493</c:v>
                </c:pt>
                <c:pt idx="173">
                  <c:v>43490</c:v>
                </c:pt>
                <c:pt idx="174">
                  <c:v>43489</c:v>
                </c:pt>
                <c:pt idx="175">
                  <c:v>43488</c:v>
                </c:pt>
                <c:pt idx="176">
                  <c:v>43487</c:v>
                </c:pt>
                <c:pt idx="177">
                  <c:v>43486</c:v>
                </c:pt>
                <c:pt idx="178">
                  <c:v>43483</c:v>
                </c:pt>
                <c:pt idx="179">
                  <c:v>43482</c:v>
                </c:pt>
                <c:pt idx="180">
                  <c:v>43481</c:v>
                </c:pt>
                <c:pt idx="181">
                  <c:v>43480</c:v>
                </c:pt>
                <c:pt idx="182">
                  <c:v>43476</c:v>
                </c:pt>
                <c:pt idx="183">
                  <c:v>43475</c:v>
                </c:pt>
                <c:pt idx="184">
                  <c:v>43474</c:v>
                </c:pt>
                <c:pt idx="185">
                  <c:v>43473</c:v>
                </c:pt>
                <c:pt idx="186">
                  <c:v>43472</c:v>
                </c:pt>
                <c:pt idx="187">
                  <c:v>43469</c:v>
                </c:pt>
                <c:pt idx="188">
                  <c:v>43462</c:v>
                </c:pt>
                <c:pt idx="189">
                  <c:v>43461</c:v>
                </c:pt>
                <c:pt idx="190">
                  <c:v>43460</c:v>
                </c:pt>
                <c:pt idx="191">
                  <c:v>43459</c:v>
                </c:pt>
                <c:pt idx="192">
                  <c:v>43455</c:v>
                </c:pt>
                <c:pt idx="193">
                  <c:v>43454</c:v>
                </c:pt>
                <c:pt idx="194">
                  <c:v>43453</c:v>
                </c:pt>
                <c:pt idx="195">
                  <c:v>43452</c:v>
                </c:pt>
                <c:pt idx="196">
                  <c:v>43451</c:v>
                </c:pt>
                <c:pt idx="197">
                  <c:v>43448</c:v>
                </c:pt>
                <c:pt idx="198">
                  <c:v>43447</c:v>
                </c:pt>
                <c:pt idx="199">
                  <c:v>43446</c:v>
                </c:pt>
                <c:pt idx="200">
                  <c:v>43445</c:v>
                </c:pt>
                <c:pt idx="201">
                  <c:v>43444</c:v>
                </c:pt>
                <c:pt idx="202">
                  <c:v>43441</c:v>
                </c:pt>
                <c:pt idx="203">
                  <c:v>43440</c:v>
                </c:pt>
                <c:pt idx="204">
                  <c:v>43439</c:v>
                </c:pt>
                <c:pt idx="205">
                  <c:v>43438</c:v>
                </c:pt>
                <c:pt idx="206">
                  <c:v>43437</c:v>
                </c:pt>
                <c:pt idx="207">
                  <c:v>43434</c:v>
                </c:pt>
                <c:pt idx="208">
                  <c:v>43433</c:v>
                </c:pt>
                <c:pt idx="209">
                  <c:v>43432</c:v>
                </c:pt>
                <c:pt idx="210">
                  <c:v>43431</c:v>
                </c:pt>
                <c:pt idx="211">
                  <c:v>43430</c:v>
                </c:pt>
                <c:pt idx="212">
                  <c:v>43426</c:v>
                </c:pt>
                <c:pt idx="213">
                  <c:v>43425</c:v>
                </c:pt>
                <c:pt idx="214">
                  <c:v>43424</c:v>
                </c:pt>
                <c:pt idx="215">
                  <c:v>43423</c:v>
                </c:pt>
                <c:pt idx="216">
                  <c:v>43420</c:v>
                </c:pt>
                <c:pt idx="217">
                  <c:v>43419</c:v>
                </c:pt>
                <c:pt idx="218">
                  <c:v>43418</c:v>
                </c:pt>
                <c:pt idx="219">
                  <c:v>43417</c:v>
                </c:pt>
                <c:pt idx="220">
                  <c:v>43416</c:v>
                </c:pt>
                <c:pt idx="221">
                  <c:v>43413</c:v>
                </c:pt>
                <c:pt idx="222">
                  <c:v>43412</c:v>
                </c:pt>
                <c:pt idx="223">
                  <c:v>43411</c:v>
                </c:pt>
                <c:pt idx="224">
                  <c:v>43410</c:v>
                </c:pt>
                <c:pt idx="225">
                  <c:v>43409</c:v>
                </c:pt>
                <c:pt idx="226">
                  <c:v>43406</c:v>
                </c:pt>
                <c:pt idx="227">
                  <c:v>43405</c:v>
                </c:pt>
                <c:pt idx="228">
                  <c:v>43404</c:v>
                </c:pt>
                <c:pt idx="229">
                  <c:v>43403</c:v>
                </c:pt>
                <c:pt idx="230">
                  <c:v>43402</c:v>
                </c:pt>
                <c:pt idx="231">
                  <c:v>43399</c:v>
                </c:pt>
                <c:pt idx="232">
                  <c:v>43398</c:v>
                </c:pt>
                <c:pt idx="233">
                  <c:v>43397</c:v>
                </c:pt>
                <c:pt idx="234">
                  <c:v>43396</c:v>
                </c:pt>
                <c:pt idx="235">
                  <c:v>43395</c:v>
                </c:pt>
                <c:pt idx="236">
                  <c:v>43392</c:v>
                </c:pt>
                <c:pt idx="237">
                  <c:v>43391</c:v>
                </c:pt>
                <c:pt idx="238">
                  <c:v>43390</c:v>
                </c:pt>
                <c:pt idx="239">
                  <c:v>43389</c:v>
                </c:pt>
                <c:pt idx="240">
                  <c:v>43388</c:v>
                </c:pt>
                <c:pt idx="241">
                  <c:v>43385</c:v>
                </c:pt>
                <c:pt idx="242">
                  <c:v>43384</c:v>
                </c:pt>
                <c:pt idx="243">
                  <c:v>43383</c:v>
                </c:pt>
                <c:pt idx="244">
                  <c:v>43382</c:v>
                </c:pt>
                <c:pt idx="245">
                  <c:v>43378</c:v>
                </c:pt>
                <c:pt idx="246">
                  <c:v>43377</c:v>
                </c:pt>
                <c:pt idx="247">
                  <c:v>43376</c:v>
                </c:pt>
                <c:pt idx="248">
                  <c:v>43375</c:v>
                </c:pt>
                <c:pt idx="249">
                  <c:v>43374</c:v>
                </c:pt>
                <c:pt idx="250">
                  <c:v>43371</c:v>
                </c:pt>
                <c:pt idx="251">
                  <c:v>43370</c:v>
                </c:pt>
                <c:pt idx="252">
                  <c:v>43369</c:v>
                </c:pt>
                <c:pt idx="253">
                  <c:v>43368</c:v>
                </c:pt>
                <c:pt idx="254">
                  <c:v>43364</c:v>
                </c:pt>
                <c:pt idx="255">
                  <c:v>43363</c:v>
                </c:pt>
                <c:pt idx="256">
                  <c:v>43362</c:v>
                </c:pt>
                <c:pt idx="257">
                  <c:v>43361</c:v>
                </c:pt>
                <c:pt idx="258">
                  <c:v>43357</c:v>
                </c:pt>
                <c:pt idx="259">
                  <c:v>43356</c:v>
                </c:pt>
                <c:pt idx="260">
                  <c:v>43355</c:v>
                </c:pt>
                <c:pt idx="261">
                  <c:v>43354</c:v>
                </c:pt>
                <c:pt idx="262">
                  <c:v>43353</c:v>
                </c:pt>
                <c:pt idx="263">
                  <c:v>43350</c:v>
                </c:pt>
                <c:pt idx="264">
                  <c:v>43349</c:v>
                </c:pt>
                <c:pt idx="265">
                  <c:v>43348</c:v>
                </c:pt>
                <c:pt idx="266">
                  <c:v>43347</c:v>
                </c:pt>
                <c:pt idx="267">
                  <c:v>43346</c:v>
                </c:pt>
                <c:pt idx="268">
                  <c:v>43343</c:v>
                </c:pt>
                <c:pt idx="269">
                  <c:v>43342</c:v>
                </c:pt>
                <c:pt idx="270">
                  <c:v>43341</c:v>
                </c:pt>
                <c:pt idx="271">
                  <c:v>43340</c:v>
                </c:pt>
                <c:pt idx="272">
                  <c:v>43339</c:v>
                </c:pt>
                <c:pt idx="273">
                  <c:v>43336</c:v>
                </c:pt>
                <c:pt idx="274">
                  <c:v>43335</c:v>
                </c:pt>
                <c:pt idx="275">
                  <c:v>43334</c:v>
                </c:pt>
                <c:pt idx="276">
                  <c:v>43333</c:v>
                </c:pt>
                <c:pt idx="277">
                  <c:v>43332</c:v>
                </c:pt>
                <c:pt idx="278">
                  <c:v>43329</c:v>
                </c:pt>
                <c:pt idx="279">
                  <c:v>43328</c:v>
                </c:pt>
                <c:pt idx="280">
                  <c:v>43327</c:v>
                </c:pt>
                <c:pt idx="281">
                  <c:v>43326</c:v>
                </c:pt>
                <c:pt idx="282">
                  <c:v>43325</c:v>
                </c:pt>
                <c:pt idx="283">
                  <c:v>43322</c:v>
                </c:pt>
                <c:pt idx="284">
                  <c:v>43321</c:v>
                </c:pt>
                <c:pt idx="285">
                  <c:v>43320</c:v>
                </c:pt>
                <c:pt idx="286">
                  <c:v>43319</c:v>
                </c:pt>
                <c:pt idx="287">
                  <c:v>43318</c:v>
                </c:pt>
                <c:pt idx="288">
                  <c:v>43315</c:v>
                </c:pt>
                <c:pt idx="289">
                  <c:v>43314</c:v>
                </c:pt>
                <c:pt idx="290">
                  <c:v>43313</c:v>
                </c:pt>
                <c:pt idx="291">
                  <c:v>43312</c:v>
                </c:pt>
                <c:pt idx="292">
                  <c:v>43311</c:v>
                </c:pt>
                <c:pt idx="293">
                  <c:v>43308</c:v>
                </c:pt>
                <c:pt idx="294">
                  <c:v>43307</c:v>
                </c:pt>
                <c:pt idx="295">
                  <c:v>43306</c:v>
                </c:pt>
                <c:pt idx="296">
                  <c:v>43305</c:v>
                </c:pt>
                <c:pt idx="297">
                  <c:v>43304</c:v>
                </c:pt>
                <c:pt idx="298">
                  <c:v>43301</c:v>
                </c:pt>
                <c:pt idx="299">
                  <c:v>43300</c:v>
                </c:pt>
                <c:pt idx="300">
                  <c:v>43299</c:v>
                </c:pt>
                <c:pt idx="301">
                  <c:v>43298</c:v>
                </c:pt>
                <c:pt idx="302">
                  <c:v>43294</c:v>
                </c:pt>
                <c:pt idx="303">
                  <c:v>43293</c:v>
                </c:pt>
                <c:pt idx="304">
                  <c:v>43292</c:v>
                </c:pt>
                <c:pt idx="305">
                  <c:v>43291</c:v>
                </c:pt>
                <c:pt idx="306">
                  <c:v>43290</c:v>
                </c:pt>
                <c:pt idx="307">
                  <c:v>43287</c:v>
                </c:pt>
                <c:pt idx="308">
                  <c:v>43286</c:v>
                </c:pt>
                <c:pt idx="309">
                  <c:v>43285</c:v>
                </c:pt>
                <c:pt idx="310">
                  <c:v>43284</c:v>
                </c:pt>
                <c:pt idx="311">
                  <c:v>43283</c:v>
                </c:pt>
                <c:pt idx="312">
                  <c:v>43280</c:v>
                </c:pt>
                <c:pt idx="313">
                  <c:v>43279</c:v>
                </c:pt>
                <c:pt idx="314">
                  <c:v>43278</c:v>
                </c:pt>
                <c:pt idx="315">
                  <c:v>43277</c:v>
                </c:pt>
                <c:pt idx="316">
                  <c:v>43276</c:v>
                </c:pt>
                <c:pt idx="317">
                  <c:v>43273</c:v>
                </c:pt>
                <c:pt idx="318">
                  <c:v>43272</c:v>
                </c:pt>
                <c:pt idx="319">
                  <c:v>43271</c:v>
                </c:pt>
                <c:pt idx="320">
                  <c:v>43270</c:v>
                </c:pt>
                <c:pt idx="321">
                  <c:v>43269</c:v>
                </c:pt>
                <c:pt idx="322">
                  <c:v>43266</c:v>
                </c:pt>
                <c:pt idx="323">
                  <c:v>43265</c:v>
                </c:pt>
                <c:pt idx="324">
                  <c:v>43264</c:v>
                </c:pt>
                <c:pt idx="325">
                  <c:v>43263</c:v>
                </c:pt>
                <c:pt idx="326">
                  <c:v>43262</c:v>
                </c:pt>
                <c:pt idx="327">
                  <c:v>43259</c:v>
                </c:pt>
                <c:pt idx="328">
                  <c:v>43258</c:v>
                </c:pt>
                <c:pt idx="329">
                  <c:v>43257</c:v>
                </c:pt>
                <c:pt idx="330">
                  <c:v>43256</c:v>
                </c:pt>
                <c:pt idx="331">
                  <c:v>43255</c:v>
                </c:pt>
                <c:pt idx="332">
                  <c:v>43252</c:v>
                </c:pt>
                <c:pt idx="333">
                  <c:v>43251</c:v>
                </c:pt>
                <c:pt idx="334">
                  <c:v>43250</c:v>
                </c:pt>
                <c:pt idx="335">
                  <c:v>43249</c:v>
                </c:pt>
                <c:pt idx="336">
                  <c:v>43248</c:v>
                </c:pt>
                <c:pt idx="337">
                  <c:v>43245</c:v>
                </c:pt>
                <c:pt idx="338">
                  <c:v>43244</c:v>
                </c:pt>
                <c:pt idx="339">
                  <c:v>43243</c:v>
                </c:pt>
                <c:pt idx="340">
                  <c:v>43242</c:v>
                </c:pt>
                <c:pt idx="341">
                  <c:v>43241</c:v>
                </c:pt>
                <c:pt idx="342">
                  <c:v>43238</c:v>
                </c:pt>
                <c:pt idx="343">
                  <c:v>43237</c:v>
                </c:pt>
                <c:pt idx="344">
                  <c:v>43236</c:v>
                </c:pt>
                <c:pt idx="345">
                  <c:v>43235</c:v>
                </c:pt>
                <c:pt idx="346">
                  <c:v>43234</c:v>
                </c:pt>
                <c:pt idx="347">
                  <c:v>43231</c:v>
                </c:pt>
                <c:pt idx="348">
                  <c:v>43230</c:v>
                </c:pt>
                <c:pt idx="349">
                  <c:v>43229</c:v>
                </c:pt>
                <c:pt idx="350">
                  <c:v>43228</c:v>
                </c:pt>
                <c:pt idx="351">
                  <c:v>43227</c:v>
                </c:pt>
                <c:pt idx="352">
                  <c:v>43222</c:v>
                </c:pt>
                <c:pt idx="353">
                  <c:v>43221</c:v>
                </c:pt>
                <c:pt idx="354">
                  <c:v>43217</c:v>
                </c:pt>
                <c:pt idx="355">
                  <c:v>43216</c:v>
                </c:pt>
                <c:pt idx="356">
                  <c:v>43215</c:v>
                </c:pt>
                <c:pt idx="357">
                  <c:v>43214</c:v>
                </c:pt>
                <c:pt idx="358">
                  <c:v>43213</c:v>
                </c:pt>
                <c:pt idx="359">
                  <c:v>43210</c:v>
                </c:pt>
                <c:pt idx="360">
                  <c:v>43209</c:v>
                </c:pt>
                <c:pt idx="361">
                  <c:v>43208</c:v>
                </c:pt>
                <c:pt idx="362">
                  <c:v>43207</c:v>
                </c:pt>
                <c:pt idx="363">
                  <c:v>43206</c:v>
                </c:pt>
                <c:pt idx="364">
                  <c:v>43203</c:v>
                </c:pt>
                <c:pt idx="365">
                  <c:v>43202</c:v>
                </c:pt>
                <c:pt idx="366">
                  <c:v>43201</c:v>
                </c:pt>
                <c:pt idx="367">
                  <c:v>43200</c:v>
                </c:pt>
                <c:pt idx="368">
                  <c:v>43199</c:v>
                </c:pt>
                <c:pt idx="369">
                  <c:v>43196</c:v>
                </c:pt>
                <c:pt idx="370">
                  <c:v>43195</c:v>
                </c:pt>
                <c:pt idx="371">
                  <c:v>43194</c:v>
                </c:pt>
                <c:pt idx="372">
                  <c:v>43193</c:v>
                </c:pt>
                <c:pt idx="373">
                  <c:v>43192</c:v>
                </c:pt>
                <c:pt idx="374">
                  <c:v>43189</c:v>
                </c:pt>
                <c:pt idx="375">
                  <c:v>43188</c:v>
                </c:pt>
                <c:pt idx="376">
                  <c:v>43187</c:v>
                </c:pt>
                <c:pt idx="377">
                  <c:v>43186</c:v>
                </c:pt>
                <c:pt idx="378">
                  <c:v>43185</c:v>
                </c:pt>
                <c:pt idx="379">
                  <c:v>43182</c:v>
                </c:pt>
                <c:pt idx="380">
                  <c:v>43181</c:v>
                </c:pt>
                <c:pt idx="381">
                  <c:v>43179</c:v>
                </c:pt>
                <c:pt idx="382">
                  <c:v>43178</c:v>
                </c:pt>
                <c:pt idx="383">
                  <c:v>43175</c:v>
                </c:pt>
                <c:pt idx="384">
                  <c:v>43174</c:v>
                </c:pt>
                <c:pt idx="385">
                  <c:v>43173</c:v>
                </c:pt>
                <c:pt idx="386">
                  <c:v>43172</c:v>
                </c:pt>
                <c:pt idx="387">
                  <c:v>43171</c:v>
                </c:pt>
                <c:pt idx="388">
                  <c:v>43168</c:v>
                </c:pt>
                <c:pt idx="389">
                  <c:v>43167</c:v>
                </c:pt>
                <c:pt idx="390">
                  <c:v>43166</c:v>
                </c:pt>
                <c:pt idx="391">
                  <c:v>43165</c:v>
                </c:pt>
                <c:pt idx="392">
                  <c:v>43164</c:v>
                </c:pt>
                <c:pt idx="393">
                  <c:v>43161</c:v>
                </c:pt>
                <c:pt idx="394">
                  <c:v>43160</c:v>
                </c:pt>
                <c:pt idx="395">
                  <c:v>43159</c:v>
                </c:pt>
                <c:pt idx="396">
                  <c:v>43158</c:v>
                </c:pt>
                <c:pt idx="397">
                  <c:v>43157</c:v>
                </c:pt>
                <c:pt idx="398">
                  <c:v>43154</c:v>
                </c:pt>
                <c:pt idx="399">
                  <c:v>43153</c:v>
                </c:pt>
                <c:pt idx="400">
                  <c:v>43152</c:v>
                </c:pt>
                <c:pt idx="401">
                  <c:v>43151</c:v>
                </c:pt>
                <c:pt idx="402">
                  <c:v>43150</c:v>
                </c:pt>
                <c:pt idx="403">
                  <c:v>43147</c:v>
                </c:pt>
                <c:pt idx="404">
                  <c:v>43146</c:v>
                </c:pt>
                <c:pt idx="405">
                  <c:v>43145</c:v>
                </c:pt>
                <c:pt idx="406">
                  <c:v>43144</c:v>
                </c:pt>
                <c:pt idx="407">
                  <c:v>43140</c:v>
                </c:pt>
                <c:pt idx="408">
                  <c:v>43139</c:v>
                </c:pt>
                <c:pt idx="409">
                  <c:v>43138</c:v>
                </c:pt>
                <c:pt idx="410">
                  <c:v>43137</c:v>
                </c:pt>
                <c:pt idx="411">
                  <c:v>43136</c:v>
                </c:pt>
                <c:pt idx="412">
                  <c:v>43133</c:v>
                </c:pt>
                <c:pt idx="413">
                  <c:v>43132</c:v>
                </c:pt>
                <c:pt idx="414">
                  <c:v>43131</c:v>
                </c:pt>
                <c:pt idx="415">
                  <c:v>43130</c:v>
                </c:pt>
                <c:pt idx="416">
                  <c:v>43129</c:v>
                </c:pt>
                <c:pt idx="417">
                  <c:v>43126</c:v>
                </c:pt>
                <c:pt idx="418">
                  <c:v>43125</c:v>
                </c:pt>
                <c:pt idx="419">
                  <c:v>43124</c:v>
                </c:pt>
                <c:pt idx="420">
                  <c:v>43123</c:v>
                </c:pt>
                <c:pt idx="421">
                  <c:v>43122</c:v>
                </c:pt>
                <c:pt idx="422">
                  <c:v>43119</c:v>
                </c:pt>
                <c:pt idx="423">
                  <c:v>43118</c:v>
                </c:pt>
                <c:pt idx="424">
                  <c:v>43117</c:v>
                </c:pt>
                <c:pt idx="425">
                  <c:v>43116</c:v>
                </c:pt>
                <c:pt idx="426">
                  <c:v>43115</c:v>
                </c:pt>
                <c:pt idx="427">
                  <c:v>43112</c:v>
                </c:pt>
                <c:pt idx="428">
                  <c:v>43111</c:v>
                </c:pt>
                <c:pt idx="429">
                  <c:v>43110</c:v>
                </c:pt>
                <c:pt idx="430">
                  <c:v>43109</c:v>
                </c:pt>
                <c:pt idx="431">
                  <c:v>43105</c:v>
                </c:pt>
                <c:pt idx="432">
                  <c:v>43104</c:v>
                </c:pt>
                <c:pt idx="433">
                  <c:v>43098</c:v>
                </c:pt>
                <c:pt idx="434">
                  <c:v>43097</c:v>
                </c:pt>
                <c:pt idx="435">
                  <c:v>43096</c:v>
                </c:pt>
                <c:pt idx="436">
                  <c:v>43095</c:v>
                </c:pt>
                <c:pt idx="437">
                  <c:v>43094</c:v>
                </c:pt>
                <c:pt idx="438">
                  <c:v>43091</c:v>
                </c:pt>
                <c:pt idx="439">
                  <c:v>43090</c:v>
                </c:pt>
                <c:pt idx="440">
                  <c:v>43089</c:v>
                </c:pt>
                <c:pt idx="441">
                  <c:v>43088</c:v>
                </c:pt>
                <c:pt idx="442">
                  <c:v>43087</c:v>
                </c:pt>
                <c:pt idx="443">
                  <c:v>43084</c:v>
                </c:pt>
                <c:pt idx="444">
                  <c:v>43083</c:v>
                </c:pt>
                <c:pt idx="445">
                  <c:v>43082</c:v>
                </c:pt>
                <c:pt idx="446">
                  <c:v>43081</c:v>
                </c:pt>
                <c:pt idx="447">
                  <c:v>43080</c:v>
                </c:pt>
                <c:pt idx="448">
                  <c:v>43077</c:v>
                </c:pt>
                <c:pt idx="449">
                  <c:v>43076</c:v>
                </c:pt>
                <c:pt idx="450">
                  <c:v>43075</c:v>
                </c:pt>
                <c:pt idx="451">
                  <c:v>43074</c:v>
                </c:pt>
                <c:pt idx="452">
                  <c:v>43073</c:v>
                </c:pt>
                <c:pt idx="453">
                  <c:v>43070</c:v>
                </c:pt>
                <c:pt idx="454">
                  <c:v>43069</c:v>
                </c:pt>
                <c:pt idx="455">
                  <c:v>43068</c:v>
                </c:pt>
                <c:pt idx="456">
                  <c:v>43067</c:v>
                </c:pt>
                <c:pt idx="457">
                  <c:v>43066</c:v>
                </c:pt>
                <c:pt idx="458">
                  <c:v>43063</c:v>
                </c:pt>
                <c:pt idx="459">
                  <c:v>43061</c:v>
                </c:pt>
                <c:pt idx="460">
                  <c:v>43060</c:v>
                </c:pt>
                <c:pt idx="461">
                  <c:v>43059</c:v>
                </c:pt>
                <c:pt idx="462">
                  <c:v>43056</c:v>
                </c:pt>
                <c:pt idx="463">
                  <c:v>43055</c:v>
                </c:pt>
                <c:pt idx="464">
                  <c:v>43054</c:v>
                </c:pt>
                <c:pt idx="465">
                  <c:v>43053</c:v>
                </c:pt>
                <c:pt idx="466">
                  <c:v>43052</c:v>
                </c:pt>
                <c:pt idx="467">
                  <c:v>43049</c:v>
                </c:pt>
                <c:pt idx="468">
                  <c:v>43048</c:v>
                </c:pt>
                <c:pt idx="469">
                  <c:v>43047</c:v>
                </c:pt>
                <c:pt idx="470">
                  <c:v>43046</c:v>
                </c:pt>
                <c:pt idx="471">
                  <c:v>43045</c:v>
                </c:pt>
                <c:pt idx="472">
                  <c:v>43041</c:v>
                </c:pt>
                <c:pt idx="473">
                  <c:v>43040</c:v>
                </c:pt>
                <c:pt idx="474">
                  <c:v>43039</c:v>
                </c:pt>
                <c:pt idx="475">
                  <c:v>43038</c:v>
                </c:pt>
                <c:pt idx="476">
                  <c:v>43035</c:v>
                </c:pt>
                <c:pt idx="477">
                  <c:v>43034</c:v>
                </c:pt>
                <c:pt idx="478">
                  <c:v>43033</c:v>
                </c:pt>
                <c:pt idx="479">
                  <c:v>43032</c:v>
                </c:pt>
                <c:pt idx="480">
                  <c:v>43031</c:v>
                </c:pt>
                <c:pt idx="481">
                  <c:v>43028</c:v>
                </c:pt>
                <c:pt idx="482">
                  <c:v>43027</c:v>
                </c:pt>
                <c:pt idx="483">
                  <c:v>43026</c:v>
                </c:pt>
                <c:pt idx="484">
                  <c:v>43025</c:v>
                </c:pt>
                <c:pt idx="485">
                  <c:v>43024</c:v>
                </c:pt>
                <c:pt idx="486">
                  <c:v>43021</c:v>
                </c:pt>
                <c:pt idx="487">
                  <c:v>43020</c:v>
                </c:pt>
                <c:pt idx="488">
                  <c:v>43019</c:v>
                </c:pt>
                <c:pt idx="489">
                  <c:v>43018</c:v>
                </c:pt>
                <c:pt idx="490">
                  <c:v>43014</c:v>
                </c:pt>
                <c:pt idx="491">
                  <c:v>43013</c:v>
                </c:pt>
                <c:pt idx="492">
                  <c:v>43012</c:v>
                </c:pt>
                <c:pt idx="493">
                  <c:v>43011</c:v>
                </c:pt>
                <c:pt idx="494">
                  <c:v>43010</c:v>
                </c:pt>
                <c:pt idx="495">
                  <c:v>43007</c:v>
                </c:pt>
                <c:pt idx="496">
                  <c:v>43006</c:v>
                </c:pt>
                <c:pt idx="497">
                  <c:v>43005</c:v>
                </c:pt>
                <c:pt idx="498">
                  <c:v>43004</c:v>
                </c:pt>
                <c:pt idx="499">
                  <c:v>43003</c:v>
                </c:pt>
                <c:pt idx="500">
                  <c:v>43000</c:v>
                </c:pt>
                <c:pt idx="501">
                  <c:v>42999</c:v>
                </c:pt>
                <c:pt idx="502">
                  <c:v>42998</c:v>
                </c:pt>
                <c:pt idx="503">
                  <c:v>42997</c:v>
                </c:pt>
                <c:pt idx="504">
                  <c:v>42993</c:v>
                </c:pt>
                <c:pt idx="505">
                  <c:v>42992</c:v>
                </c:pt>
                <c:pt idx="506">
                  <c:v>42991</c:v>
                </c:pt>
                <c:pt idx="507">
                  <c:v>42990</c:v>
                </c:pt>
                <c:pt idx="508">
                  <c:v>42989</c:v>
                </c:pt>
                <c:pt idx="509">
                  <c:v>42986</c:v>
                </c:pt>
                <c:pt idx="510">
                  <c:v>42985</c:v>
                </c:pt>
                <c:pt idx="511">
                  <c:v>42984</c:v>
                </c:pt>
                <c:pt idx="512">
                  <c:v>42983</c:v>
                </c:pt>
                <c:pt idx="513">
                  <c:v>42982</c:v>
                </c:pt>
                <c:pt idx="514">
                  <c:v>42979</c:v>
                </c:pt>
                <c:pt idx="515">
                  <c:v>42978</c:v>
                </c:pt>
                <c:pt idx="516">
                  <c:v>42977</c:v>
                </c:pt>
                <c:pt idx="517">
                  <c:v>42976</c:v>
                </c:pt>
                <c:pt idx="518">
                  <c:v>42975</c:v>
                </c:pt>
                <c:pt idx="519">
                  <c:v>42972</c:v>
                </c:pt>
                <c:pt idx="520">
                  <c:v>42971</c:v>
                </c:pt>
                <c:pt idx="521">
                  <c:v>42970</c:v>
                </c:pt>
                <c:pt idx="522">
                  <c:v>42969</c:v>
                </c:pt>
                <c:pt idx="523">
                  <c:v>42968</c:v>
                </c:pt>
                <c:pt idx="524">
                  <c:v>42965</c:v>
                </c:pt>
                <c:pt idx="525">
                  <c:v>42964</c:v>
                </c:pt>
                <c:pt idx="526">
                  <c:v>42963</c:v>
                </c:pt>
                <c:pt idx="527">
                  <c:v>42962</c:v>
                </c:pt>
                <c:pt idx="528">
                  <c:v>42961</c:v>
                </c:pt>
                <c:pt idx="529">
                  <c:v>42957</c:v>
                </c:pt>
                <c:pt idx="530">
                  <c:v>42956</c:v>
                </c:pt>
                <c:pt idx="531">
                  <c:v>42955</c:v>
                </c:pt>
                <c:pt idx="532">
                  <c:v>42954</c:v>
                </c:pt>
                <c:pt idx="533">
                  <c:v>42951</c:v>
                </c:pt>
                <c:pt idx="534">
                  <c:v>42950</c:v>
                </c:pt>
                <c:pt idx="535">
                  <c:v>42949</c:v>
                </c:pt>
                <c:pt idx="536">
                  <c:v>42948</c:v>
                </c:pt>
                <c:pt idx="537">
                  <c:v>42947</c:v>
                </c:pt>
                <c:pt idx="538">
                  <c:v>42944</c:v>
                </c:pt>
                <c:pt idx="539">
                  <c:v>42943</c:v>
                </c:pt>
                <c:pt idx="540">
                  <c:v>42942</c:v>
                </c:pt>
                <c:pt idx="541">
                  <c:v>42941</c:v>
                </c:pt>
                <c:pt idx="542">
                  <c:v>42940</c:v>
                </c:pt>
                <c:pt idx="543">
                  <c:v>42937</c:v>
                </c:pt>
                <c:pt idx="544">
                  <c:v>42936</c:v>
                </c:pt>
                <c:pt idx="545">
                  <c:v>42935</c:v>
                </c:pt>
                <c:pt idx="546">
                  <c:v>42934</c:v>
                </c:pt>
                <c:pt idx="547">
                  <c:v>42930</c:v>
                </c:pt>
                <c:pt idx="548">
                  <c:v>42929</c:v>
                </c:pt>
                <c:pt idx="549">
                  <c:v>42928</c:v>
                </c:pt>
                <c:pt idx="550">
                  <c:v>42927</c:v>
                </c:pt>
                <c:pt idx="551">
                  <c:v>42926</c:v>
                </c:pt>
                <c:pt idx="552">
                  <c:v>42923</c:v>
                </c:pt>
                <c:pt idx="553">
                  <c:v>42922</c:v>
                </c:pt>
                <c:pt idx="554">
                  <c:v>42921</c:v>
                </c:pt>
                <c:pt idx="555">
                  <c:v>42920</c:v>
                </c:pt>
                <c:pt idx="556">
                  <c:v>42919</c:v>
                </c:pt>
                <c:pt idx="557">
                  <c:v>42916</c:v>
                </c:pt>
                <c:pt idx="558">
                  <c:v>42915</c:v>
                </c:pt>
                <c:pt idx="559">
                  <c:v>42914</c:v>
                </c:pt>
                <c:pt idx="560">
                  <c:v>42913</c:v>
                </c:pt>
                <c:pt idx="561">
                  <c:v>42912</c:v>
                </c:pt>
                <c:pt idx="562">
                  <c:v>42909</c:v>
                </c:pt>
                <c:pt idx="563">
                  <c:v>42908</c:v>
                </c:pt>
                <c:pt idx="564">
                  <c:v>42907</c:v>
                </c:pt>
                <c:pt idx="565">
                  <c:v>42906</c:v>
                </c:pt>
                <c:pt idx="566">
                  <c:v>42905</c:v>
                </c:pt>
                <c:pt idx="567">
                  <c:v>42902</c:v>
                </c:pt>
                <c:pt idx="568">
                  <c:v>42901</c:v>
                </c:pt>
                <c:pt idx="569">
                  <c:v>42900</c:v>
                </c:pt>
                <c:pt idx="570">
                  <c:v>42899</c:v>
                </c:pt>
                <c:pt idx="571">
                  <c:v>42898</c:v>
                </c:pt>
                <c:pt idx="572">
                  <c:v>42895</c:v>
                </c:pt>
                <c:pt idx="573">
                  <c:v>42894</c:v>
                </c:pt>
                <c:pt idx="574">
                  <c:v>42893</c:v>
                </c:pt>
                <c:pt idx="575">
                  <c:v>42892</c:v>
                </c:pt>
                <c:pt idx="576">
                  <c:v>42891</c:v>
                </c:pt>
                <c:pt idx="577">
                  <c:v>42888</c:v>
                </c:pt>
                <c:pt idx="578">
                  <c:v>42887</c:v>
                </c:pt>
                <c:pt idx="579">
                  <c:v>42886</c:v>
                </c:pt>
                <c:pt idx="580">
                  <c:v>42885</c:v>
                </c:pt>
                <c:pt idx="581">
                  <c:v>42884</c:v>
                </c:pt>
                <c:pt idx="582">
                  <c:v>42881</c:v>
                </c:pt>
                <c:pt idx="583">
                  <c:v>42880</c:v>
                </c:pt>
                <c:pt idx="584">
                  <c:v>42879</c:v>
                </c:pt>
                <c:pt idx="585">
                  <c:v>42878</c:v>
                </c:pt>
                <c:pt idx="586">
                  <c:v>42877</c:v>
                </c:pt>
                <c:pt idx="587">
                  <c:v>42874</c:v>
                </c:pt>
                <c:pt idx="588">
                  <c:v>42873</c:v>
                </c:pt>
                <c:pt idx="589">
                  <c:v>42872</c:v>
                </c:pt>
                <c:pt idx="590">
                  <c:v>42871</c:v>
                </c:pt>
                <c:pt idx="591">
                  <c:v>42870</c:v>
                </c:pt>
                <c:pt idx="592">
                  <c:v>42867</c:v>
                </c:pt>
                <c:pt idx="593">
                  <c:v>42866</c:v>
                </c:pt>
                <c:pt idx="594">
                  <c:v>42865</c:v>
                </c:pt>
                <c:pt idx="595">
                  <c:v>42864</c:v>
                </c:pt>
                <c:pt idx="596">
                  <c:v>42863</c:v>
                </c:pt>
                <c:pt idx="597">
                  <c:v>42857</c:v>
                </c:pt>
                <c:pt idx="598">
                  <c:v>42856</c:v>
                </c:pt>
                <c:pt idx="599">
                  <c:v>42853</c:v>
                </c:pt>
                <c:pt idx="600">
                  <c:v>42852</c:v>
                </c:pt>
                <c:pt idx="601">
                  <c:v>42851</c:v>
                </c:pt>
                <c:pt idx="602">
                  <c:v>42850</c:v>
                </c:pt>
                <c:pt idx="603">
                  <c:v>42849</c:v>
                </c:pt>
                <c:pt idx="604">
                  <c:v>42846</c:v>
                </c:pt>
                <c:pt idx="605">
                  <c:v>42845</c:v>
                </c:pt>
                <c:pt idx="606">
                  <c:v>42844</c:v>
                </c:pt>
                <c:pt idx="607">
                  <c:v>42843</c:v>
                </c:pt>
                <c:pt idx="608">
                  <c:v>42842</c:v>
                </c:pt>
                <c:pt idx="609">
                  <c:v>42839</c:v>
                </c:pt>
                <c:pt idx="610">
                  <c:v>42838</c:v>
                </c:pt>
                <c:pt idx="611">
                  <c:v>42837</c:v>
                </c:pt>
                <c:pt idx="612">
                  <c:v>42836</c:v>
                </c:pt>
                <c:pt idx="613">
                  <c:v>42835</c:v>
                </c:pt>
                <c:pt idx="614">
                  <c:v>42832</c:v>
                </c:pt>
                <c:pt idx="615">
                  <c:v>42831</c:v>
                </c:pt>
                <c:pt idx="616">
                  <c:v>42830</c:v>
                </c:pt>
                <c:pt idx="617">
                  <c:v>42829</c:v>
                </c:pt>
                <c:pt idx="618">
                  <c:v>42828</c:v>
                </c:pt>
                <c:pt idx="619">
                  <c:v>42825</c:v>
                </c:pt>
                <c:pt idx="620">
                  <c:v>42824</c:v>
                </c:pt>
                <c:pt idx="621">
                  <c:v>42823</c:v>
                </c:pt>
                <c:pt idx="622">
                  <c:v>42822</c:v>
                </c:pt>
                <c:pt idx="623">
                  <c:v>42821</c:v>
                </c:pt>
                <c:pt idx="624">
                  <c:v>42818</c:v>
                </c:pt>
                <c:pt idx="625">
                  <c:v>42817</c:v>
                </c:pt>
                <c:pt idx="626">
                  <c:v>42816</c:v>
                </c:pt>
                <c:pt idx="627">
                  <c:v>42815</c:v>
                </c:pt>
                <c:pt idx="628">
                  <c:v>42811</c:v>
                </c:pt>
                <c:pt idx="629">
                  <c:v>42810</c:v>
                </c:pt>
                <c:pt idx="630">
                  <c:v>42809</c:v>
                </c:pt>
                <c:pt idx="631">
                  <c:v>42808</c:v>
                </c:pt>
                <c:pt idx="632">
                  <c:v>42807</c:v>
                </c:pt>
                <c:pt idx="633">
                  <c:v>42804</c:v>
                </c:pt>
                <c:pt idx="634">
                  <c:v>42803</c:v>
                </c:pt>
                <c:pt idx="635">
                  <c:v>42802</c:v>
                </c:pt>
                <c:pt idx="636">
                  <c:v>42801</c:v>
                </c:pt>
                <c:pt idx="637">
                  <c:v>42800</c:v>
                </c:pt>
                <c:pt idx="638">
                  <c:v>42797</c:v>
                </c:pt>
                <c:pt idx="639">
                  <c:v>42796</c:v>
                </c:pt>
                <c:pt idx="640">
                  <c:v>42795</c:v>
                </c:pt>
                <c:pt idx="641">
                  <c:v>42794</c:v>
                </c:pt>
                <c:pt idx="642">
                  <c:v>42793</c:v>
                </c:pt>
                <c:pt idx="643">
                  <c:v>42790</c:v>
                </c:pt>
                <c:pt idx="644">
                  <c:v>42789</c:v>
                </c:pt>
                <c:pt idx="645">
                  <c:v>42788</c:v>
                </c:pt>
                <c:pt idx="646">
                  <c:v>42787</c:v>
                </c:pt>
                <c:pt idx="647">
                  <c:v>42786</c:v>
                </c:pt>
                <c:pt idx="648">
                  <c:v>42783</c:v>
                </c:pt>
                <c:pt idx="649">
                  <c:v>42782</c:v>
                </c:pt>
                <c:pt idx="650">
                  <c:v>42781</c:v>
                </c:pt>
                <c:pt idx="651">
                  <c:v>42780</c:v>
                </c:pt>
                <c:pt idx="652">
                  <c:v>42779</c:v>
                </c:pt>
                <c:pt idx="653">
                  <c:v>42776</c:v>
                </c:pt>
                <c:pt idx="654">
                  <c:v>42775</c:v>
                </c:pt>
                <c:pt idx="655">
                  <c:v>42774</c:v>
                </c:pt>
                <c:pt idx="656">
                  <c:v>42773</c:v>
                </c:pt>
                <c:pt idx="657">
                  <c:v>42772</c:v>
                </c:pt>
                <c:pt idx="658">
                  <c:v>42769</c:v>
                </c:pt>
                <c:pt idx="659">
                  <c:v>42768</c:v>
                </c:pt>
                <c:pt idx="660">
                  <c:v>42767</c:v>
                </c:pt>
                <c:pt idx="661">
                  <c:v>42766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4.5872941722826637</c:v>
                </c:pt>
                <c:pt idx="1">
                  <c:v>4.5715738765144005</c:v>
                </c:pt>
                <c:pt idx="2">
                  <c:v>4.5681590827810137</c:v>
                </c:pt>
                <c:pt idx="3">
                  <c:v>4.5616113920703745</c:v>
                </c:pt>
                <c:pt idx="4">
                  <c:v>4.5485724784282278</c:v>
                </c:pt>
                <c:pt idx="5">
                  <c:v>4.539486724841737</c:v>
                </c:pt>
                <c:pt idx="6">
                  <c:v>4.5346441945135272</c:v>
                </c:pt>
                <c:pt idx="7">
                  <c:v>4.528101664105507</c:v>
                </c:pt>
                <c:pt idx="8">
                  <c:v>4.5266768915817659</c:v>
                </c:pt>
                <c:pt idx="9">
                  <c:v>4.5263355122646463</c:v>
                </c:pt>
                <c:pt idx="10">
                  <c:v>4.5272442413335563</c:v>
                </c:pt>
                <c:pt idx="11">
                  <c:v>4.5298555954710036</c:v>
                </c:pt>
                <c:pt idx="12">
                  <c:v>4.537932836512355</c:v>
                </c:pt>
                <c:pt idx="13">
                  <c:v>4.5436694554439807</c:v>
                </c:pt>
                <c:pt idx="14">
                  <c:v>4.5501915399085853</c:v>
                </c:pt>
                <c:pt idx="15">
                  <c:v>4.5593194420738898</c:v>
                </c:pt>
                <c:pt idx="16">
                  <c:v>4.5592949666720406</c:v>
                </c:pt>
                <c:pt idx="17">
                  <c:v>4.5593065629926377</c:v>
                </c:pt>
                <c:pt idx="18">
                  <c:v>4.5596281022321294</c:v>
                </c:pt>
                <c:pt idx="19">
                  <c:v>4.559901527457872</c:v>
                </c:pt>
                <c:pt idx="20">
                  <c:v>4.5601754377883443</c:v>
                </c:pt>
                <c:pt idx="21">
                  <c:v>4.5600564909003563</c:v>
                </c:pt>
                <c:pt idx="22">
                  <c:v>4.5578191114568005</c:v>
                </c:pt>
                <c:pt idx="23">
                  <c:v>4.5468466886106667</c:v>
                </c:pt>
                <c:pt idx="24">
                  <c:v>4.5326846071419533</c:v>
                </c:pt>
                <c:pt idx="25">
                  <c:v>4.5215497633416604</c:v>
                </c:pt>
                <c:pt idx="26">
                  <c:v>4.5136684615166569</c:v>
                </c:pt>
                <c:pt idx="27">
                  <c:v>4.5144393993672747</c:v>
                </c:pt>
                <c:pt idx="28">
                  <c:v>4.5139111014180946</c:v>
                </c:pt>
                <c:pt idx="29">
                  <c:v>4.5122963699160268</c:v>
                </c:pt>
                <c:pt idx="30">
                  <c:v>4.5131040295040803</c:v>
                </c:pt>
                <c:pt idx="31">
                  <c:v>4.5127623904286045</c:v>
                </c:pt>
                <c:pt idx="32">
                  <c:v>4.5198617715655978</c:v>
                </c:pt>
                <c:pt idx="33">
                  <c:v>4.5299749011451009</c:v>
                </c:pt>
                <c:pt idx="34">
                  <c:v>4.5335614964828892</c:v>
                </c:pt>
                <c:pt idx="35">
                  <c:v>4.5332527751201015</c:v>
                </c:pt>
                <c:pt idx="36">
                  <c:v>4.5364610244312873</c:v>
                </c:pt>
                <c:pt idx="37">
                  <c:v>4.5408536359257461</c:v>
                </c:pt>
                <c:pt idx="38">
                  <c:v>4.5481031958983227</c:v>
                </c:pt>
                <c:pt idx="39">
                  <c:v>4.5489406580982044</c:v>
                </c:pt>
                <c:pt idx="40">
                  <c:v>4.5523479773121114</c:v>
                </c:pt>
                <c:pt idx="41">
                  <c:v>4.5612437653401399</c:v>
                </c:pt>
                <c:pt idx="42">
                  <c:v>4.5730740790309721</c:v>
                </c:pt>
                <c:pt idx="43">
                  <c:v>4.5976851110965065</c:v>
                </c:pt>
                <c:pt idx="44">
                  <c:v>4.6167973888734375</c:v>
                </c:pt>
                <c:pt idx="45">
                  <c:v>4.6558139307900097</c:v>
                </c:pt>
                <c:pt idx="46">
                  <c:v>4.7007887041950474</c:v>
                </c:pt>
                <c:pt idx="47">
                  <c:v>4.7544588568280703</c:v>
                </c:pt>
                <c:pt idx="48">
                  <c:v>4.8509949435560742</c:v>
                </c:pt>
                <c:pt idx="49">
                  <c:v>4.9145544616938537</c:v>
                </c:pt>
                <c:pt idx="50">
                  <c:v>4.9842458756405144</c:v>
                </c:pt>
                <c:pt idx="51">
                  <c:v>5.0443906102711225</c:v>
                </c:pt>
                <c:pt idx="52">
                  <c:v>5.11159997662722</c:v>
                </c:pt>
                <c:pt idx="53">
                  <c:v>5.1662434967662261</c:v>
                </c:pt>
                <c:pt idx="54">
                  <c:v>5.2195773261832317</c:v>
                </c:pt>
                <c:pt idx="55">
                  <c:v>5.2940198385015496</c:v>
                </c:pt>
                <c:pt idx="56">
                  <c:v>5.3705880348074881</c:v>
                </c:pt>
                <c:pt idx="57">
                  <c:v>5.4223872117385978</c:v>
                </c:pt>
                <c:pt idx="58">
                  <c:v>5.4649163932884255</c:v>
                </c:pt>
                <c:pt idx="59">
                  <c:v>5.4990442815623179</c:v>
                </c:pt>
                <c:pt idx="60">
                  <c:v>5.5223313914235286</c:v>
                </c:pt>
                <c:pt idx="61">
                  <c:v>5.5466247544343883</c:v>
                </c:pt>
                <c:pt idx="62">
                  <c:v>5.5694766087374594</c:v>
                </c:pt>
                <c:pt idx="63">
                  <c:v>5.5980790138992536</c:v>
                </c:pt>
                <c:pt idx="64">
                  <c:v>5.6311205199748899</c:v>
                </c:pt>
                <c:pt idx="65">
                  <c:v>5.6606613560990278</c:v>
                </c:pt>
                <c:pt idx="66">
                  <c:v>5.6870536978965358</c:v>
                </c:pt>
                <c:pt idx="67">
                  <c:v>5.71283394608154</c:v>
                </c:pt>
                <c:pt idx="68">
                  <c:v>5.7414075846945458</c:v>
                </c:pt>
                <c:pt idx="69">
                  <c:v>5.7635688944163714</c:v>
                </c:pt>
                <c:pt idx="70">
                  <c:v>5.7831283709302754</c:v>
                </c:pt>
                <c:pt idx="71">
                  <c:v>5.7968723290708057</c:v>
                </c:pt>
                <c:pt idx="72">
                  <c:v>5.8108410786047244</c:v>
                </c:pt>
                <c:pt idx="73">
                  <c:v>5.8220443669541542</c:v>
                </c:pt>
                <c:pt idx="74">
                  <c:v>5.8386820078220181</c:v>
                </c:pt>
                <c:pt idx="75">
                  <c:v>5.8519593063162256</c:v>
                </c:pt>
                <c:pt idx="76">
                  <c:v>5.8635448537387322</c:v>
                </c:pt>
                <c:pt idx="77">
                  <c:v>5.8715024139238698</c:v>
                </c:pt>
                <c:pt idx="78">
                  <c:v>5.8835177615918948</c:v>
                </c:pt>
                <c:pt idx="79">
                  <c:v>5.8948131478251815</c:v>
                </c:pt>
                <c:pt idx="80">
                  <c:v>5.9043261430165401</c:v>
                </c:pt>
                <c:pt idx="81">
                  <c:v>5.9137259252881078</c:v>
                </c:pt>
                <c:pt idx="82">
                  <c:v>5.92320978673136</c:v>
                </c:pt>
                <c:pt idx="83">
                  <c:v>5.9314569618911754</c:v>
                </c:pt>
                <c:pt idx="84">
                  <c:v>5.93895728851491</c:v>
                </c:pt>
                <c:pt idx="85">
                  <c:v>5.9456332116915105</c:v>
                </c:pt>
                <c:pt idx="86">
                  <c:v>5.9474113657102325</c:v>
                </c:pt>
                <c:pt idx="87">
                  <c:v>5.9456649855699144</c:v>
                </c:pt>
                <c:pt idx="88">
                  <c:v>5.9416669429030895</c:v>
                </c:pt>
                <c:pt idx="89">
                  <c:v>5.9352327475982625</c:v>
                </c:pt>
                <c:pt idx="90">
                  <c:v>5.9279323882210182</c:v>
                </c:pt>
                <c:pt idx="91">
                  <c:v>5.9242937765702877</c:v>
                </c:pt>
                <c:pt idx="92">
                  <c:v>5.9203695761900699</c:v>
                </c:pt>
                <c:pt idx="93">
                  <c:v>5.9145418305957618</c:v>
                </c:pt>
                <c:pt idx="94">
                  <c:v>5.9075565302175992</c:v>
                </c:pt>
                <c:pt idx="95">
                  <c:v>5.9018764430467741</c:v>
                </c:pt>
                <c:pt idx="96">
                  <c:v>5.8940182891816617</c:v>
                </c:pt>
                <c:pt idx="97">
                  <c:v>5.8858206317658999</c:v>
                </c:pt>
                <c:pt idx="98">
                  <c:v>5.8803412062467864</c:v>
                </c:pt>
                <c:pt idx="99">
                  <c:v>5.8830754457863765</c:v>
                </c:pt>
                <c:pt idx="100">
                  <c:v>5.8845982022408556</c:v>
                </c:pt>
                <c:pt idx="101">
                  <c:v>5.886364216238416</c:v>
                </c:pt>
                <c:pt idx="102">
                  <c:v>5.8855378947704597</c:v>
                </c:pt>
                <c:pt idx="103">
                  <c:v>5.8838264482027443</c:v>
                </c:pt>
                <c:pt idx="104">
                  <c:v>5.8855414634996563</c:v>
                </c:pt>
                <c:pt idx="105">
                  <c:v>5.8957972864135062</c:v>
                </c:pt>
                <c:pt idx="106">
                  <c:v>5.9013428634425082</c:v>
                </c:pt>
                <c:pt idx="107">
                  <c:v>5.9085316551865938</c:v>
                </c:pt>
                <c:pt idx="108">
                  <c:v>5.9162595489457503</c:v>
                </c:pt>
                <c:pt idx="109">
                  <c:v>5.9175392224217385</c:v>
                </c:pt>
                <c:pt idx="110">
                  <c:v>5.9135853523825324</c:v>
                </c:pt>
                <c:pt idx="111">
                  <c:v>5.9111679544796081</c:v>
                </c:pt>
                <c:pt idx="112">
                  <c:v>5.9087165112987883</c:v>
                </c:pt>
                <c:pt idx="113">
                  <c:v>5.9065230074116082</c:v>
                </c:pt>
                <c:pt idx="114">
                  <c:v>5.9024029436710066</c:v>
                </c:pt>
                <c:pt idx="115">
                  <c:v>5.9013502731815759</c:v>
                </c:pt>
                <c:pt idx="116">
                  <c:v>5.8991572951055904</c:v>
                </c:pt>
                <c:pt idx="117">
                  <c:v>5.8974625111895946</c:v>
                </c:pt>
                <c:pt idx="118">
                  <c:v>5.8977929185371254</c:v>
                </c:pt>
                <c:pt idx="119">
                  <c:v>5.8989991648021984</c:v>
                </c:pt>
                <c:pt idx="120">
                  <c:v>5.9032616484667244</c:v>
                </c:pt>
                <c:pt idx="121">
                  <c:v>5.9045946677822805</c:v>
                </c:pt>
                <c:pt idx="122">
                  <c:v>5.9061929613189799</c:v>
                </c:pt>
                <c:pt idx="123">
                  <c:v>5.8960530533411806</c:v>
                </c:pt>
                <c:pt idx="124">
                  <c:v>5.8913365530251358</c:v>
                </c:pt>
                <c:pt idx="125">
                  <c:v>5.8834655422864461</c:v>
                </c:pt>
                <c:pt idx="126">
                  <c:v>5.8784741311727355</c:v>
                </c:pt>
                <c:pt idx="127">
                  <c:v>5.8664071452974138</c:v>
                </c:pt>
                <c:pt idx="128">
                  <c:v>5.8629754388103015</c:v>
                </c:pt>
                <c:pt idx="129">
                  <c:v>5.8540795849970415</c:v>
                </c:pt>
                <c:pt idx="130">
                  <c:v>5.8338081308684302</c:v>
                </c:pt>
                <c:pt idx="131">
                  <c:v>5.8013119243451508</c:v>
                </c:pt>
                <c:pt idx="132">
                  <c:v>5.7818463125088346</c:v>
                </c:pt>
                <c:pt idx="133">
                  <c:v>5.7670903450056903</c:v>
                </c:pt>
                <c:pt idx="134">
                  <c:v>5.760817558633498</c:v>
                </c:pt>
                <c:pt idx="135">
                  <c:v>5.7605973333274747</c:v>
                </c:pt>
                <c:pt idx="136">
                  <c:v>5.7571875946747859</c:v>
                </c:pt>
                <c:pt idx="137">
                  <c:v>5.755637421364038</c:v>
                </c:pt>
                <c:pt idx="138">
                  <c:v>5.7467664386884501</c:v>
                </c:pt>
                <c:pt idx="139">
                  <c:v>5.7323458496998221</c:v>
                </c:pt>
                <c:pt idx="140">
                  <c:v>5.7190508425357596</c:v>
                </c:pt>
                <c:pt idx="141">
                  <c:v>5.70973791811089</c:v>
                </c:pt>
                <c:pt idx="142">
                  <c:v>5.6994342102353643</c:v>
                </c:pt>
                <c:pt idx="143">
                  <c:v>5.6860317426157616</c:v>
                </c:pt>
                <c:pt idx="144">
                  <c:v>5.6741719239995385</c:v>
                </c:pt>
                <c:pt idx="145">
                  <c:v>5.6635557907726524</c:v>
                </c:pt>
                <c:pt idx="146">
                  <c:v>5.65710123603822</c:v>
                </c:pt>
                <c:pt idx="147">
                  <c:v>5.6501360462137518</c:v>
                </c:pt>
                <c:pt idx="148">
                  <c:v>5.6440228414404361</c:v>
                </c:pt>
                <c:pt idx="149">
                  <c:v>5.6332160850544222</c:v>
                </c:pt>
                <c:pt idx="150">
                  <c:v>5.6238089020883919</c:v>
                </c:pt>
                <c:pt idx="151">
                  <c:v>5.6153285380847322</c:v>
                </c:pt>
                <c:pt idx="152">
                  <c:v>5.611917426461714</c:v>
                </c:pt>
                <c:pt idx="153">
                  <c:v>5.602634937985024</c:v>
                </c:pt>
                <c:pt idx="154">
                  <c:v>5.5954343703623097</c:v>
                </c:pt>
                <c:pt idx="155">
                  <c:v>5.5874270688946241</c:v>
                </c:pt>
                <c:pt idx="156">
                  <c:v>5.5787936419529016</c:v>
                </c:pt>
                <c:pt idx="157">
                  <c:v>5.5696089296215412</c:v>
                </c:pt>
                <c:pt idx="158">
                  <c:v>5.5619004059174681</c:v>
                </c:pt>
                <c:pt idx="159">
                  <c:v>5.558227151547924</c:v>
                </c:pt>
                <c:pt idx="160">
                  <c:v>5.549007447944458</c:v>
                </c:pt>
                <c:pt idx="161">
                  <c:v>5.5468921735228234</c:v>
                </c:pt>
                <c:pt idx="162">
                  <c:v>5.5410684143473921</c:v>
                </c:pt>
                <c:pt idx="163">
                  <c:v>5.5386154594257064</c:v>
                </c:pt>
                <c:pt idx="164">
                  <c:v>5.5397857059071205</c:v>
                </c:pt>
                <c:pt idx="165">
                  <c:v>5.538956806859928</c:v>
                </c:pt>
                <c:pt idx="166">
                  <c:v>5.5474323176586804</c:v>
                </c:pt>
                <c:pt idx="167">
                  <c:v>5.5578852850851739</c:v>
                </c:pt>
                <c:pt idx="168">
                  <c:v>5.5683430614093981</c:v>
                </c:pt>
                <c:pt idx="169">
                  <c:v>5.5713984527123737</c:v>
                </c:pt>
                <c:pt idx="170">
                  <c:v>5.5746516815825196</c:v>
                </c:pt>
                <c:pt idx="171">
                  <c:v>5.5749070822575018</c:v>
                </c:pt>
                <c:pt idx="172">
                  <c:v>5.5757209116090518</c:v>
                </c:pt>
                <c:pt idx="173">
                  <c:v>5.5857322336724859</c:v>
                </c:pt>
                <c:pt idx="174">
                  <c:v>5.5824801512615556</c:v>
                </c:pt>
                <c:pt idx="175">
                  <c:v>5.5799101590799438</c:v>
                </c:pt>
                <c:pt idx="176">
                  <c:v>5.5751044612205698</c:v>
                </c:pt>
                <c:pt idx="177">
                  <c:v>5.5733629049290858</c:v>
                </c:pt>
                <c:pt idx="178">
                  <c:v>5.5716270454765882</c:v>
                </c:pt>
                <c:pt idx="179">
                  <c:v>5.5538845832438524</c:v>
                </c:pt>
                <c:pt idx="180">
                  <c:v>5.5241377072829918</c:v>
                </c:pt>
                <c:pt idx="181">
                  <c:v>5.5063760639158517</c:v>
                </c:pt>
                <c:pt idx="182">
                  <c:v>5.4849455935374261</c:v>
                </c:pt>
                <c:pt idx="183">
                  <c:v>5.4548702545671119</c:v>
                </c:pt>
                <c:pt idx="184">
                  <c:v>5.4365351025774116</c:v>
                </c:pt>
                <c:pt idx="185">
                  <c:v>5.4489901280120234</c:v>
                </c:pt>
                <c:pt idx="186">
                  <c:v>5.4577259501549538</c:v>
                </c:pt>
                <c:pt idx="187">
                  <c:v>5.4600111738935837</c:v>
                </c:pt>
                <c:pt idx="188">
                  <c:v>5.4610501987276363</c:v>
                </c:pt>
                <c:pt idx="189">
                  <c:v>5.465718793501896</c:v>
                </c:pt>
                <c:pt idx="190">
                  <c:v>5.4734190684404984</c:v>
                </c:pt>
                <c:pt idx="191">
                  <c:v>5.4859515860660641</c:v>
                </c:pt>
                <c:pt idx="192">
                  <c:v>5.4927077356779801</c:v>
                </c:pt>
                <c:pt idx="193">
                  <c:v>5.4963381069140462</c:v>
                </c:pt>
                <c:pt idx="194">
                  <c:v>5.4986776985817283</c:v>
                </c:pt>
                <c:pt idx="195">
                  <c:v>5.496509849071658</c:v>
                </c:pt>
                <c:pt idx="196">
                  <c:v>5.4963270257697685</c:v>
                </c:pt>
                <c:pt idx="197">
                  <c:v>5.4963345832944039</c:v>
                </c:pt>
                <c:pt idx="198">
                  <c:v>5.496931408367538</c:v>
                </c:pt>
                <c:pt idx="199">
                  <c:v>5.4976700544633275</c:v>
                </c:pt>
                <c:pt idx="200">
                  <c:v>5.499894907673796</c:v>
                </c:pt>
                <c:pt idx="201">
                  <c:v>5.4991307728553354</c:v>
                </c:pt>
                <c:pt idx="202">
                  <c:v>5.5032746188111457</c:v>
                </c:pt>
                <c:pt idx="203">
                  <c:v>5.5038104391156661</c:v>
                </c:pt>
                <c:pt idx="204">
                  <c:v>5.5083679087814996</c:v>
                </c:pt>
                <c:pt idx="205">
                  <c:v>5.5160424883077397</c:v>
                </c:pt>
                <c:pt idx="206">
                  <c:v>5.5428723736141858</c:v>
                </c:pt>
                <c:pt idx="207">
                  <c:v>5.5896052632304682</c:v>
                </c:pt>
                <c:pt idx="208">
                  <c:v>5.6181090752584764</c:v>
                </c:pt>
                <c:pt idx="209">
                  <c:v>5.6449809765860977</c:v>
                </c:pt>
                <c:pt idx="210">
                  <c:v>5.6655104923978987</c:v>
                </c:pt>
                <c:pt idx="211">
                  <c:v>5.6893066431030261</c:v>
                </c:pt>
                <c:pt idx="212">
                  <c:v>5.71906765813634</c:v>
                </c:pt>
                <c:pt idx="213">
                  <c:v>5.7447686160346381</c:v>
                </c:pt>
                <c:pt idx="214">
                  <c:v>5.7714400730818864</c:v>
                </c:pt>
                <c:pt idx="215">
                  <c:v>5.7820333249739742</c:v>
                </c:pt>
                <c:pt idx="216">
                  <c:v>5.7935447890551028</c:v>
                </c:pt>
                <c:pt idx="217">
                  <c:v>5.8070411089656098</c:v>
                </c:pt>
                <c:pt idx="218">
                  <c:v>5.8108877270310799</c:v>
                </c:pt>
                <c:pt idx="219">
                  <c:v>5.8146560325033576</c:v>
                </c:pt>
                <c:pt idx="220">
                  <c:v>5.8173234785383681</c:v>
                </c:pt>
                <c:pt idx="221">
                  <c:v>5.8162056533836015</c:v>
                </c:pt>
                <c:pt idx="222">
                  <c:v>5.8161051037625962</c:v>
                </c:pt>
                <c:pt idx="223">
                  <c:v>5.817891650517252</c:v>
                </c:pt>
                <c:pt idx="224">
                  <c:v>5.8405702439360843</c:v>
                </c:pt>
                <c:pt idx="225">
                  <c:v>5.8561257633235799</c:v>
                </c:pt>
                <c:pt idx="226">
                  <c:v>5.8738725712685556</c:v>
                </c:pt>
                <c:pt idx="227">
                  <c:v>5.8873417764117404</c:v>
                </c:pt>
                <c:pt idx="228">
                  <c:v>5.8958618321845382</c:v>
                </c:pt>
                <c:pt idx="229">
                  <c:v>5.9016951009919625</c:v>
                </c:pt>
                <c:pt idx="230">
                  <c:v>5.9107113551945138</c:v>
                </c:pt>
                <c:pt idx="231">
                  <c:v>5.9054309680657777</c:v>
                </c:pt>
                <c:pt idx="232">
                  <c:v>5.8978882987463681</c:v>
                </c:pt>
                <c:pt idx="233">
                  <c:v>5.8959253476548437</c:v>
                </c:pt>
                <c:pt idx="234">
                  <c:v>5.9149098557513646</c:v>
                </c:pt>
                <c:pt idx="235">
                  <c:v>6.0015851753560217</c:v>
                </c:pt>
                <c:pt idx="236">
                  <c:v>6.0626518405286518</c:v>
                </c:pt>
                <c:pt idx="237">
                  <c:v>6.1170558806464701</c:v>
                </c:pt>
                <c:pt idx="238">
                  <c:v>6.1781647947400327</c:v>
                </c:pt>
                <c:pt idx="239">
                  <c:v>6.2341464206998314</c:v>
                </c:pt>
                <c:pt idx="240">
                  <c:v>6.2909705510980078</c:v>
                </c:pt>
                <c:pt idx="241">
                  <c:v>6.3362133499350524</c:v>
                </c:pt>
                <c:pt idx="242">
                  <c:v>6.3917766972167653</c:v>
                </c:pt>
                <c:pt idx="243">
                  <c:v>6.4569079142447121</c:v>
                </c:pt>
                <c:pt idx="244">
                  <c:v>6.5083848114668896</c:v>
                </c:pt>
                <c:pt idx="245">
                  <c:v>6.5434673095441607</c:v>
                </c:pt>
                <c:pt idx="246">
                  <c:v>6.5653717005771739</c:v>
                </c:pt>
                <c:pt idx="247">
                  <c:v>6.5852171952916363</c:v>
                </c:pt>
                <c:pt idx="248">
                  <c:v>6.6021087756938295</c:v>
                </c:pt>
                <c:pt idx="249">
                  <c:v>6.615585031354362</c:v>
                </c:pt>
                <c:pt idx="250">
                  <c:v>6.6410187352765115</c:v>
                </c:pt>
                <c:pt idx="251">
                  <c:v>6.6615277096916676</c:v>
                </c:pt>
                <c:pt idx="252">
                  <c:v>6.6740175247664357</c:v>
                </c:pt>
                <c:pt idx="253">
                  <c:v>6.6830086129860611</c:v>
                </c:pt>
                <c:pt idx="254">
                  <c:v>6.6870037177202777</c:v>
                </c:pt>
                <c:pt idx="255">
                  <c:v>6.6894227320175199</c:v>
                </c:pt>
                <c:pt idx="256">
                  <c:v>6.6937233084292966</c:v>
                </c:pt>
                <c:pt idx="257">
                  <c:v>6.6943791655153264</c:v>
                </c:pt>
                <c:pt idx="258">
                  <c:v>6.6959198937558604</c:v>
                </c:pt>
                <c:pt idx="259">
                  <c:v>6.7033610417694165</c:v>
                </c:pt>
                <c:pt idx="260">
                  <c:v>6.7116873662250018</c:v>
                </c:pt>
                <c:pt idx="261">
                  <c:v>6.7172048389769241</c:v>
                </c:pt>
                <c:pt idx="262">
                  <c:v>6.718162474292706</c:v>
                </c:pt>
                <c:pt idx="263">
                  <c:v>6.7157204486265556</c:v>
                </c:pt>
                <c:pt idx="264">
                  <c:v>6.7157841437504278</c:v>
                </c:pt>
                <c:pt idx="265">
                  <c:v>6.716053875433512</c:v>
                </c:pt>
                <c:pt idx="266">
                  <c:v>6.7172498913023375</c:v>
                </c:pt>
                <c:pt idx="267">
                  <c:v>6.717592352486176</c:v>
                </c:pt>
                <c:pt idx="268">
                  <c:v>6.7154942949052066</c:v>
                </c:pt>
                <c:pt idx="269">
                  <c:v>6.7115203703587518</c:v>
                </c:pt>
                <c:pt idx="270">
                  <c:v>6.7049121116147381</c:v>
                </c:pt>
                <c:pt idx="271">
                  <c:v>6.6991328155946803</c:v>
                </c:pt>
                <c:pt idx="272">
                  <c:v>6.6989132203533561</c:v>
                </c:pt>
                <c:pt idx="273">
                  <c:v>6.6971109848990338</c:v>
                </c:pt>
                <c:pt idx="274">
                  <c:v>6.6934511950216207</c:v>
                </c:pt>
                <c:pt idx="275">
                  <c:v>6.6936580161000858</c:v>
                </c:pt>
                <c:pt idx="276">
                  <c:v>6.6971390840252516</c:v>
                </c:pt>
                <c:pt idx="277">
                  <c:v>6.7089306694378461</c:v>
                </c:pt>
                <c:pt idx="278">
                  <c:v>6.7108313050312045</c:v>
                </c:pt>
                <c:pt idx="279">
                  <c:v>6.7086553899065207</c:v>
                </c:pt>
                <c:pt idx="280">
                  <c:v>6.706229054277272</c:v>
                </c:pt>
                <c:pt idx="281">
                  <c:v>6.7065952144262102</c:v>
                </c:pt>
                <c:pt idx="282">
                  <c:v>6.7065926918316539</c:v>
                </c:pt>
                <c:pt idx="283">
                  <c:v>6.7073019855903278</c:v>
                </c:pt>
                <c:pt idx="284">
                  <c:v>6.7094354548437494</c:v>
                </c:pt>
                <c:pt idx="285">
                  <c:v>6.7182537055720539</c:v>
                </c:pt>
                <c:pt idx="286">
                  <c:v>6.7255897308545984</c:v>
                </c:pt>
                <c:pt idx="287">
                  <c:v>6.7379361916076839</c:v>
                </c:pt>
                <c:pt idx="288">
                  <c:v>6.7462483817525323</c:v>
                </c:pt>
                <c:pt idx="289">
                  <c:v>6.7541098156462462</c:v>
                </c:pt>
                <c:pt idx="290">
                  <c:v>6.7524177043337561</c:v>
                </c:pt>
                <c:pt idx="291">
                  <c:v>6.7559957884725241</c:v>
                </c:pt>
                <c:pt idx="292">
                  <c:v>6.753827287918492</c:v>
                </c:pt>
                <c:pt idx="293">
                  <c:v>6.7470160645405359</c:v>
                </c:pt>
                <c:pt idx="294">
                  <c:v>6.7450424483813283</c:v>
                </c:pt>
                <c:pt idx="295">
                  <c:v>6.7444161950686983</c:v>
                </c:pt>
                <c:pt idx="296">
                  <c:v>6.742105042848066</c:v>
                </c:pt>
                <c:pt idx="297">
                  <c:v>6.7414427817269065</c:v>
                </c:pt>
                <c:pt idx="298">
                  <c:v>6.7395058576847164</c:v>
                </c:pt>
                <c:pt idx="299">
                  <c:v>6.7443646243999202</c:v>
                </c:pt>
                <c:pt idx="300">
                  <c:v>6.7492296294962539</c:v>
                </c:pt>
                <c:pt idx="301">
                  <c:v>6.7506779592313766</c:v>
                </c:pt>
                <c:pt idx="302">
                  <c:v>6.7481518738445097</c:v>
                </c:pt>
                <c:pt idx="303">
                  <c:v>6.7480734990012223</c:v>
                </c:pt>
                <c:pt idx="304">
                  <c:v>6.7451329952724093</c:v>
                </c:pt>
                <c:pt idx="305">
                  <c:v>6.7460264904538443</c:v>
                </c:pt>
                <c:pt idx="306">
                  <c:v>6.7372731502444028</c:v>
                </c:pt>
                <c:pt idx="307">
                  <c:v>6.722522126841346</c:v>
                </c:pt>
                <c:pt idx="308">
                  <c:v>6.7145326904076557</c:v>
                </c:pt>
                <c:pt idx="309">
                  <c:v>6.7229077876507777</c:v>
                </c:pt>
                <c:pt idx="310">
                  <c:v>6.7120267013466659</c:v>
                </c:pt>
                <c:pt idx="311">
                  <c:v>6.7056167002963907</c:v>
                </c:pt>
                <c:pt idx="312">
                  <c:v>6.699399675099202</c:v>
                </c:pt>
                <c:pt idx="313">
                  <c:v>6.6918180002244503</c:v>
                </c:pt>
                <c:pt idx="314">
                  <c:v>6.6964612767631779</c:v>
                </c:pt>
                <c:pt idx="315">
                  <c:v>6.6954621302001236</c:v>
                </c:pt>
                <c:pt idx="316">
                  <c:v>6.6995769315409142</c:v>
                </c:pt>
                <c:pt idx="317">
                  <c:v>6.6921043799574678</c:v>
                </c:pt>
                <c:pt idx="318">
                  <c:v>6.6689179222532378</c:v>
                </c:pt>
                <c:pt idx="319">
                  <c:v>6.6499729708269886</c:v>
                </c:pt>
                <c:pt idx="320">
                  <c:v>6.6388443908359598</c:v>
                </c:pt>
                <c:pt idx="321">
                  <c:v>6.6341777885705344</c:v>
                </c:pt>
                <c:pt idx="322">
                  <c:v>6.6328768493667862</c:v>
                </c:pt>
                <c:pt idx="323">
                  <c:v>6.639502810719808</c:v>
                </c:pt>
                <c:pt idx="324">
                  <c:v>6.6482848323548236</c:v>
                </c:pt>
                <c:pt idx="325">
                  <c:v>6.6466387739201478</c:v>
                </c:pt>
                <c:pt idx="326">
                  <c:v>6.6453847564130646</c:v>
                </c:pt>
                <c:pt idx="327">
                  <c:v>6.650334451200588</c:v>
                </c:pt>
                <c:pt idx="328">
                  <c:v>6.6572209093814161</c:v>
                </c:pt>
                <c:pt idx="329">
                  <c:v>6.6640671955933399</c:v>
                </c:pt>
                <c:pt idx="330">
                  <c:v>6.6736383315438879</c:v>
                </c:pt>
                <c:pt idx="331">
                  <c:v>6.6778702678053623</c:v>
                </c:pt>
                <c:pt idx="332">
                  <c:v>6.6805181586520437</c:v>
                </c:pt>
                <c:pt idx="333">
                  <c:v>6.6907695272874843</c:v>
                </c:pt>
                <c:pt idx="334">
                  <c:v>6.7066101295261875</c:v>
                </c:pt>
                <c:pt idx="335">
                  <c:v>6.7204937432129785</c:v>
                </c:pt>
                <c:pt idx="336">
                  <c:v>6.736875417659836</c:v>
                </c:pt>
                <c:pt idx="337">
                  <c:v>6.7451513004950119</c:v>
                </c:pt>
                <c:pt idx="338">
                  <c:v>6.7553284460723626</c:v>
                </c:pt>
                <c:pt idx="339">
                  <c:v>6.7683637960031922</c:v>
                </c:pt>
                <c:pt idx="340">
                  <c:v>6.7738573501964439</c:v>
                </c:pt>
                <c:pt idx="341">
                  <c:v>6.7813394050915203</c:v>
                </c:pt>
                <c:pt idx="342">
                  <c:v>6.7955841093775442</c:v>
                </c:pt>
                <c:pt idx="343">
                  <c:v>6.8075337712532136</c:v>
                </c:pt>
                <c:pt idx="344">
                  <c:v>6.8288019215236799</c:v>
                </c:pt>
                <c:pt idx="345">
                  <c:v>6.8509858987451144</c:v>
                </c:pt>
                <c:pt idx="346">
                  <c:v>6.8747452152493844</c:v>
                </c:pt>
                <c:pt idx="347">
                  <c:v>6.889422639296936</c:v>
                </c:pt>
                <c:pt idx="348">
                  <c:v>6.8988353862186633</c:v>
                </c:pt>
                <c:pt idx="349">
                  <c:v>6.9073600445052197</c:v>
                </c:pt>
                <c:pt idx="350">
                  <c:v>6.9179789370768541</c:v>
                </c:pt>
                <c:pt idx="351">
                  <c:v>6.9268408071178937</c:v>
                </c:pt>
                <c:pt idx="352">
                  <c:v>6.9287129607190199</c:v>
                </c:pt>
                <c:pt idx="353">
                  <c:v>6.9394334555102306</c:v>
                </c:pt>
                <c:pt idx="354">
                  <c:v>6.94730085500077</c:v>
                </c:pt>
                <c:pt idx="355">
                  <c:v>6.9593018052102797</c:v>
                </c:pt>
                <c:pt idx="356">
                  <c:v>6.964278733176708</c:v>
                </c:pt>
                <c:pt idx="357">
                  <c:v>6.9699924773758415</c:v>
                </c:pt>
                <c:pt idx="358">
                  <c:v>6.9705697695961577</c:v>
                </c:pt>
                <c:pt idx="359">
                  <c:v>6.9667566078059879</c:v>
                </c:pt>
                <c:pt idx="360">
                  <c:v>6.9529005651770115</c:v>
                </c:pt>
                <c:pt idx="361">
                  <c:v>6.9429829459111776</c:v>
                </c:pt>
                <c:pt idx="362">
                  <c:v>6.9275372785733085</c:v>
                </c:pt>
                <c:pt idx="363">
                  <c:v>6.9146663367842693</c:v>
                </c:pt>
                <c:pt idx="364">
                  <c:v>6.9016070777301159</c:v>
                </c:pt>
                <c:pt idx="365">
                  <c:v>6.8934383288237697</c:v>
                </c:pt>
                <c:pt idx="366">
                  <c:v>6.8769574303230776</c:v>
                </c:pt>
                <c:pt idx="367">
                  <c:v>6.869802122792354</c:v>
                </c:pt>
                <c:pt idx="368">
                  <c:v>6.8561407483855525</c:v>
                </c:pt>
                <c:pt idx="369">
                  <c:v>6.8401608876900433</c:v>
                </c:pt>
                <c:pt idx="370">
                  <c:v>6.8177528474113887</c:v>
                </c:pt>
                <c:pt idx="371">
                  <c:v>6.7912238961994849</c:v>
                </c:pt>
                <c:pt idx="372">
                  <c:v>6.7620498622799659</c:v>
                </c:pt>
                <c:pt idx="373">
                  <c:v>6.7433301272791661</c:v>
                </c:pt>
                <c:pt idx="374">
                  <c:v>6.730544924281622</c:v>
                </c:pt>
                <c:pt idx="375">
                  <c:v>6.7160497289387919</c:v>
                </c:pt>
                <c:pt idx="376">
                  <c:v>6.7026540173707874</c:v>
                </c:pt>
                <c:pt idx="377">
                  <c:v>6.6980423535011822</c:v>
                </c:pt>
                <c:pt idx="378">
                  <c:v>6.6824465909037016</c:v>
                </c:pt>
                <c:pt idx="379">
                  <c:v>6.6638343844444199</c:v>
                </c:pt>
                <c:pt idx="380">
                  <c:v>6.6454007458116156</c:v>
                </c:pt>
                <c:pt idx="381">
                  <c:v>6.6248641168485642</c:v>
                </c:pt>
                <c:pt idx="382">
                  <c:v>6.6226709206113057</c:v>
                </c:pt>
                <c:pt idx="383">
                  <c:v>6.6003511534048158</c:v>
                </c:pt>
                <c:pt idx="384">
                  <c:v>6.5710646002903097</c:v>
                </c:pt>
                <c:pt idx="385">
                  <c:v>6.5470007332726192</c:v>
                </c:pt>
                <c:pt idx="386">
                  <c:v>6.5341732238989261</c:v>
                </c:pt>
                <c:pt idx="387">
                  <c:v>6.5172921005777678</c:v>
                </c:pt>
                <c:pt idx="388">
                  <c:v>6.488930871118936</c:v>
                </c:pt>
                <c:pt idx="389">
                  <c:v>6.4409701160110826</c:v>
                </c:pt>
                <c:pt idx="390">
                  <c:v>6.3943296142564101</c:v>
                </c:pt>
                <c:pt idx="391">
                  <c:v>6.3470952379804837</c:v>
                </c:pt>
                <c:pt idx="392">
                  <c:v>6.304127678528828</c:v>
                </c:pt>
                <c:pt idx="393">
                  <c:v>6.2668413410554802</c:v>
                </c:pt>
                <c:pt idx="394">
                  <c:v>6.235652452739112</c:v>
                </c:pt>
                <c:pt idx="395">
                  <c:v>6.2142865377110654</c:v>
                </c:pt>
                <c:pt idx="396">
                  <c:v>6.1990581271715861</c:v>
                </c:pt>
                <c:pt idx="397">
                  <c:v>6.1878564078552296</c:v>
                </c:pt>
                <c:pt idx="398">
                  <c:v>6.181682434979364</c:v>
                </c:pt>
                <c:pt idx="399">
                  <c:v>6.1774146932838274</c:v>
                </c:pt>
                <c:pt idx="400">
                  <c:v>6.170663262234048</c:v>
                </c:pt>
                <c:pt idx="401">
                  <c:v>6.1602826079357422</c:v>
                </c:pt>
                <c:pt idx="402">
                  <c:v>6.1531958568441043</c:v>
                </c:pt>
                <c:pt idx="403">
                  <c:v>6.1472028006501915</c:v>
                </c:pt>
                <c:pt idx="404">
                  <c:v>6.1414154140110977</c:v>
                </c:pt>
                <c:pt idx="405">
                  <c:v>6.1408068230391422</c:v>
                </c:pt>
                <c:pt idx="406">
                  <c:v>6.138077434927542</c:v>
                </c:pt>
                <c:pt idx="407">
                  <c:v>6.1357392204472641</c:v>
                </c:pt>
                <c:pt idx="408">
                  <c:v>6.1350503185397995</c:v>
                </c:pt>
                <c:pt idx="409">
                  <c:v>6.1363725505934079</c:v>
                </c:pt>
                <c:pt idx="410">
                  <c:v>6.1370372217693383</c:v>
                </c:pt>
                <c:pt idx="411">
                  <c:v>6.1395730977284337</c:v>
                </c:pt>
                <c:pt idx="412">
                  <c:v>6.1492838237006273</c:v>
                </c:pt>
                <c:pt idx="413">
                  <c:v>6.1600670379421647</c:v>
                </c:pt>
                <c:pt idx="414">
                  <c:v>6.1678440089573794</c:v>
                </c:pt>
                <c:pt idx="415">
                  <c:v>6.170288317005876</c:v>
                </c:pt>
                <c:pt idx="416">
                  <c:v>6.1721864867591281</c:v>
                </c:pt>
                <c:pt idx="417">
                  <c:v>6.1785133123772482</c:v>
                </c:pt>
                <c:pt idx="418">
                  <c:v>6.1826504363492614</c:v>
                </c:pt>
                <c:pt idx="419">
                  <c:v>6.1908414043623958</c:v>
                </c:pt>
                <c:pt idx="420">
                  <c:v>6.1968495314277483</c:v>
                </c:pt>
                <c:pt idx="421">
                  <c:v>6.1972570110239742</c:v>
                </c:pt>
                <c:pt idx="422">
                  <c:v>6.2014608780709057</c:v>
                </c:pt>
                <c:pt idx="423">
                  <c:v>6.2155675162531256</c:v>
                </c:pt>
                <c:pt idx="424">
                  <c:v>6.2258464250949359</c:v>
                </c:pt>
                <c:pt idx="425">
                  <c:v>6.2326626391869882</c:v>
                </c:pt>
                <c:pt idx="426">
                  <c:v>6.2312294231688083</c:v>
                </c:pt>
                <c:pt idx="427">
                  <c:v>6.2297439718749734</c:v>
                </c:pt>
                <c:pt idx="428">
                  <c:v>6.2253592191757416</c:v>
                </c:pt>
                <c:pt idx="429">
                  <c:v>6.2309664216732079</c:v>
                </c:pt>
                <c:pt idx="430">
                  <c:v>6.2322499782347656</c:v>
                </c:pt>
                <c:pt idx="431">
                  <c:v>6.2474073271841721</c:v>
                </c:pt>
                <c:pt idx="432">
                  <c:v>6.2632183965374537</c:v>
                </c:pt>
                <c:pt idx="433">
                  <c:v>6.27847012618306</c:v>
                </c:pt>
                <c:pt idx="434">
                  <c:v>6.297077528490882</c:v>
                </c:pt>
                <c:pt idx="435">
                  <c:v>6.3085151287470085</c:v>
                </c:pt>
                <c:pt idx="436">
                  <c:v>6.3050561521517956</c:v>
                </c:pt>
                <c:pt idx="437">
                  <c:v>6.2950047346612381</c:v>
                </c:pt>
                <c:pt idx="438">
                  <c:v>6.2825565305505817</c:v>
                </c:pt>
                <c:pt idx="439">
                  <c:v>6.2680092693276883</c:v>
                </c:pt>
                <c:pt idx="440">
                  <c:v>6.2611268489237322</c:v>
                </c:pt>
                <c:pt idx="441">
                  <c:v>6.253812738718536</c:v>
                </c:pt>
                <c:pt idx="442">
                  <c:v>6.2531000936777046</c:v>
                </c:pt>
                <c:pt idx="443">
                  <c:v>6.2525159681935323</c:v>
                </c:pt>
                <c:pt idx="444">
                  <c:v>6.2524187640422202</c:v>
                </c:pt>
                <c:pt idx="445">
                  <c:v>6.2516470251355996</c:v>
                </c:pt>
                <c:pt idx="446">
                  <c:v>6.2498211165282012</c:v>
                </c:pt>
                <c:pt idx="447">
                  <c:v>6.2500773843653725</c:v>
                </c:pt>
                <c:pt idx="448">
                  <c:v>6.2449203995581106</c:v>
                </c:pt>
                <c:pt idx="449">
                  <c:v>6.236986729518966</c:v>
                </c:pt>
                <c:pt idx="450">
                  <c:v>6.230279106086364</c:v>
                </c:pt>
                <c:pt idx="451">
                  <c:v>6.2285998997177963</c:v>
                </c:pt>
                <c:pt idx="452">
                  <c:v>6.2242422607838837</c:v>
                </c:pt>
                <c:pt idx="453">
                  <c:v>6.22159787726806</c:v>
                </c:pt>
                <c:pt idx="454">
                  <c:v>6.2180037602582621</c:v>
                </c:pt>
                <c:pt idx="455">
                  <c:v>6.2137562988627799</c:v>
                </c:pt>
                <c:pt idx="456">
                  <c:v>6.2087320091529321</c:v>
                </c:pt>
                <c:pt idx="457">
                  <c:v>6.1824974333562981</c:v>
                </c:pt>
                <c:pt idx="458">
                  <c:v>6.1760964496121051</c:v>
                </c:pt>
                <c:pt idx="459">
                  <c:v>6.1716754232143796</c:v>
                </c:pt>
                <c:pt idx="460">
                  <c:v>6.1752031437904522</c:v>
                </c:pt>
                <c:pt idx="461">
                  <c:v>6.1841101596435379</c:v>
                </c:pt>
                <c:pt idx="462">
                  <c:v>6.1920065801852981</c:v>
                </c:pt>
                <c:pt idx="463">
                  <c:v>6.2022456535249422</c:v>
                </c:pt>
                <c:pt idx="464">
                  <c:v>6.2103674040468881</c:v>
                </c:pt>
                <c:pt idx="465">
                  <c:v>6.2189196309952104</c:v>
                </c:pt>
                <c:pt idx="466">
                  <c:v>6.2281391735063316</c:v>
                </c:pt>
                <c:pt idx="467">
                  <c:v>6.233959043291188</c:v>
                </c:pt>
                <c:pt idx="468">
                  <c:v>6.2418438463786226</c:v>
                </c:pt>
                <c:pt idx="469">
                  <c:v>6.2531262739969442</c:v>
                </c:pt>
                <c:pt idx="470">
                  <c:v>6.2645066221871417</c:v>
                </c:pt>
                <c:pt idx="471">
                  <c:v>6.2762160660559063</c:v>
                </c:pt>
                <c:pt idx="472">
                  <c:v>6.2916833982561542</c:v>
                </c:pt>
                <c:pt idx="473">
                  <c:v>6.3085461228033202</c:v>
                </c:pt>
                <c:pt idx="474">
                  <c:v>6.3208478322611219</c:v>
                </c:pt>
                <c:pt idx="475">
                  <c:v>6.3344736693045638</c:v>
                </c:pt>
                <c:pt idx="476">
                  <c:v>6.3525915280533978</c:v>
                </c:pt>
                <c:pt idx="477">
                  <c:v>6.3701319700715437</c:v>
                </c:pt>
                <c:pt idx="478">
                  <c:v>6.3895067495929405</c:v>
                </c:pt>
                <c:pt idx="479">
                  <c:v>6.4090583308271842</c:v>
                </c:pt>
                <c:pt idx="480">
                  <c:v>6.4175091891211737</c:v>
                </c:pt>
                <c:pt idx="481">
                  <c:v>6.4269980111178944</c:v>
                </c:pt>
                <c:pt idx="482">
                  <c:v>6.4352153593020285</c:v>
                </c:pt>
                <c:pt idx="483">
                  <c:v>6.442354434729614</c:v>
                </c:pt>
                <c:pt idx="484">
                  <c:v>6.4450628633129705</c:v>
                </c:pt>
                <c:pt idx="485">
                  <c:v>6.4467107217081825</c:v>
                </c:pt>
                <c:pt idx="486">
                  <c:v>6.4423544009179246</c:v>
                </c:pt>
                <c:pt idx="487">
                  <c:v>6.4293351934640697</c:v>
                </c:pt>
                <c:pt idx="488">
                  <c:v>6.4162940522931624</c:v>
                </c:pt>
                <c:pt idx="489">
                  <c:v>6.4053657425504973</c:v>
                </c:pt>
                <c:pt idx="490">
                  <c:v>6.3971296431724394</c:v>
                </c:pt>
                <c:pt idx="491">
                  <c:v>6.390620512432438</c:v>
                </c:pt>
                <c:pt idx="492">
                  <c:v>6.3803188527600598</c:v>
                </c:pt>
                <c:pt idx="493">
                  <c:v>6.3723049692782023</c:v>
                </c:pt>
                <c:pt idx="494">
                  <c:v>6.3570431826909655</c:v>
                </c:pt>
                <c:pt idx="495">
                  <c:v>6.3428435727440364</c:v>
                </c:pt>
                <c:pt idx="496">
                  <c:v>6.330691884032702</c:v>
                </c:pt>
                <c:pt idx="497">
                  <c:v>6.3151667340881676</c:v>
                </c:pt>
                <c:pt idx="498">
                  <c:v>6.2899428216431277</c:v>
                </c:pt>
                <c:pt idx="499">
                  <c:v>6.2664860892570662</c:v>
                </c:pt>
                <c:pt idx="500">
                  <c:v>6.2428053277656916</c:v>
                </c:pt>
                <c:pt idx="501">
                  <c:v>6.22412764101019</c:v>
                </c:pt>
                <c:pt idx="502">
                  <c:v>6.2006250487117338</c:v>
                </c:pt>
                <c:pt idx="503">
                  <c:v>6.1729146211530539</c:v>
                </c:pt>
                <c:pt idx="504">
                  <c:v>6.1347138410621902</c:v>
                </c:pt>
                <c:pt idx="505">
                  <c:v>6.0934073667712223</c:v>
                </c:pt>
                <c:pt idx="506">
                  <c:v>6.0422792554089355</c:v>
                </c:pt>
                <c:pt idx="507">
                  <c:v>5.9851241347427324</c:v>
                </c:pt>
                <c:pt idx="508">
                  <c:v>5.9291143661719197</c:v>
                </c:pt>
                <c:pt idx="509">
                  <c:v>5.8674300065072842</c:v>
                </c:pt>
                <c:pt idx="510">
                  <c:v>5.8160998577002401</c:v>
                </c:pt>
                <c:pt idx="511">
                  <c:v>5.7787345412374282</c:v>
                </c:pt>
                <c:pt idx="512">
                  <c:v>5.7518611707919245</c:v>
                </c:pt>
                <c:pt idx="513">
                  <c:v>5.732760107767338</c:v>
                </c:pt>
                <c:pt idx="514">
                  <c:v>5.7204509532480454</c:v>
                </c:pt>
                <c:pt idx="515">
                  <c:v>5.7092228995462202</c:v>
                </c:pt>
                <c:pt idx="516">
                  <c:v>5.6906995059750933</c:v>
                </c:pt>
                <c:pt idx="517">
                  <c:v>5.6664505574676394</c:v>
                </c:pt>
                <c:pt idx="518">
                  <c:v>5.645146210063416</c:v>
                </c:pt>
                <c:pt idx="519">
                  <c:v>5.6259447239390505</c:v>
                </c:pt>
                <c:pt idx="520">
                  <c:v>5.6085371830376074</c:v>
                </c:pt>
                <c:pt idx="521">
                  <c:v>5.5905784943717221</c:v>
                </c:pt>
                <c:pt idx="522">
                  <c:v>5.5756197805440602</c:v>
                </c:pt>
                <c:pt idx="523">
                  <c:v>5.5673061973129601</c:v>
                </c:pt>
                <c:pt idx="524">
                  <c:v>5.5590188967689276</c:v>
                </c:pt>
                <c:pt idx="525">
                  <c:v>5.5526723490269525</c:v>
                </c:pt>
                <c:pt idx="526">
                  <c:v>5.5489473609552986</c:v>
                </c:pt>
                <c:pt idx="527">
                  <c:v>5.5464506321259162</c:v>
                </c:pt>
                <c:pt idx="528">
                  <c:v>5.5308999891566701</c:v>
                </c:pt>
                <c:pt idx="529">
                  <c:v>5.5024937181017135</c:v>
                </c:pt>
                <c:pt idx="530">
                  <c:v>5.4772765094068179</c:v>
                </c:pt>
                <c:pt idx="531">
                  <c:v>5.460469832140566</c:v>
                </c:pt>
                <c:pt idx="532">
                  <c:v>5.4466605514009103</c:v>
                </c:pt>
                <c:pt idx="533">
                  <c:v>5.4352521353309147</c:v>
                </c:pt>
                <c:pt idx="534">
                  <c:v>5.4185305679712199</c:v>
                </c:pt>
                <c:pt idx="535">
                  <c:v>5.4070737864818206</c:v>
                </c:pt>
                <c:pt idx="536">
                  <c:v>5.4019889793452682</c:v>
                </c:pt>
                <c:pt idx="537">
                  <c:v>5.3965935523392741</c:v>
                </c:pt>
                <c:pt idx="538">
                  <c:v>5.3914096728084271</c:v>
                </c:pt>
                <c:pt idx="539">
                  <c:v>5.3838311766806264</c:v>
                </c:pt>
                <c:pt idx="540">
                  <c:v>5.3755754290326534</c:v>
                </c:pt>
                <c:pt idx="541">
                  <c:v>5.3696138592791582</c:v>
                </c:pt>
                <c:pt idx="542">
                  <c:v>5.3618747248846628</c:v>
                </c:pt>
                <c:pt idx="543">
                  <c:v>5.3566238180530918</c:v>
                </c:pt>
                <c:pt idx="544">
                  <c:v>5.3564302299467315</c:v>
                </c:pt>
                <c:pt idx="545">
                  <c:v>5.3594553151655022</c:v>
                </c:pt>
                <c:pt idx="546">
                  <c:v>5.3686836748121056</c:v>
                </c:pt>
                <c:pt idx="547">
                  <c:v>5.3757874548853701</c:v>
                </c:pt>
                <c:pt idx="548">
                  <c:v>5.3872050647403116</c:v>
                </c:pt>
                <c:pt idx="549">
                  <c:v>5.3966766905785928</c:v>
                </c:pt>
                <c:pt idx="550">
                  <c:v>5.4071176968099257</c:v>
                </c:pt>
                <c:pt idx="551">
                  <c:v>5.4163150798517927</c:v>
                </c:pt>
                <c:pt idx="552">
                  <c:v>5.4236716643736997</c:v>
                </c:pt>
                <c:pt idx="553">
                  <c:v>5.4343123697821083</c:v>
                </c:pt>
                <c:pt idx="554">
                  <c:v>5.4472764958886373</c:v>
                </c:pt>
                <c:pt idx="555">
                  <c:v>5.4635708311037048</c:v>
                </c:pt>
                <c:pt idx="556">
                  <c:v>5.4787226433132519</c:v>
                </c:pt>
                <c:pt idx="557">
                  <c:v>5.4928000367671324</c:v>
                </c:pt>
                <c:pt idx="558">
                  <c:v>5.5067243098095977</c:v>
                </c:pt>
                <c:pt idx="559">
                  <c:v>5.5170674032932681</c:v>
                </c:pt>
                <c:pt idx="560">
                  <c:v>5.5251522251156118</c:v>
                </c:pt>
                <c:pt idx="561">
                  <c:v>5.5208227275871735</c:v>
                </c:pt>
                <c:pt idx="562">
                  <c:v>5.5135065417433724</c:v>
                </c:pt>
                <c:pt idx="563">
                  <c:v>5.5095891523592</c:v>
                </c:pt>
                <c:pt idx="564">
                  <c:v>5.4985899418573796</c:v>
                </c:pt>
                <c:pt idx="565">
                  <c:v>5.4840327251463385</c:v>
                </c:pt>
                <c:pt idx="566">
                  <c:v>5.4679500794300342</c:v>
                </c:pt>
                <c:pt idx="567">
                  <c:v>5.4522366732863281</c:v>
                </c:pt>
                <c:pt idx="568">
                  <c:v>5.4382469158103834</c:v>
                </c:pt>
                <c:pt idx="569">
                  <c:v>5.4184807058386415</c:v>
                </c:pt>
                <c:pt idx="570">
                  <c:v>5.4083855058167023</c:v>
                </c:pt>
                <c:pt idx="571">
                  <c:v>5.3979807932067345</c:v>
                </c:pt>
                <c:pt idx="572">
                  <c:v>5.3842403467401523</c:v>
                </c:pt>
                <c:pt idx="573">
                  <c:v>5.3726234742509522</c:v>
                </c:pt>
                <c:pt idx="574">
                  <c:v>5.3549607309552885</c:v>
                </c:pt>
                <c:pt idx="575">
                  <c:v>5.3244150607984357</c:v>
                </c:pt>
                <c:pt idx="576">
                  <c:v>5.2856480247143232</c:v>
                </c:pt>
                <c:pt idx="577">
                  <c:v>5.2477403143255383</c:v>
                </c:pt>
                <c:pt idx="578">
                  <c:v>5.2251150659787955</c:v>
                </c:pt>
                <c:pt idx="579">
                  <c:v>5.1952214319697694</c:v>
                </c:pt>
                <c:pt idx="580">
                  <c:v>5.1628457398155607</c:v>
                </c:pt>
                <c:pt idx="581">
                  <c:v>5.12992995769459</c:v>
                </c:pt>
                <c:pt idx="582">
                  <c:v>5.0972033319645922</c:v>
                </c:pt>
                <c:pt idx="583">
                  <c:v>5.0656346188562464</c:v>
                </c:pt>
                <c:pt idx="584">
                  <c:v>5.0301619923008021</c:v>
                </c:pt>
                <c:pt idx="585">
                  <c:v>4.9875934160266517</c:v>
                </c:pt>
                <c:pt idx="586">
                  <c:v>4.9343496184341742</c:v>
                </c:pt>
                <c:pt idx="587">
                  <c:v>4.8839348566273326</c:v>
                </c:pt>
                <c:pt idx="588">
                  <c:v>4.8378722473734141</c:v>
                </c:pt>
                <c:pt idx="589">
                  <c:v>4.7719422003877314</c:v>
                </c:pt>
                <c:pt idx="590">
                  <c:v>4.7079508635848137</c:v>
                </c:pt>
                <c:pt idx="591">
                  <c:v>4.6557513294634978</c:v>
                </c:pt>
                <c:pt idx="592">
                  <c:v>4.6101374220611682</c:v>
                </c:pt>
                <c:pt idx="593">
                  <c:v>4.5879160467682496</c:v>
                </c:pt>
                <c:pt idx="594">
                  <c:v>4.5714606108847358</c:v>
                </c:pt>
                <c:pt idx="595">
                  <c:v>4.5544190423851703</c:v>
                </c:pt>
                <c:pt idx="596">
                  <c:v>4.5380016880963039</c:v>
                </c:pt>
                <c:pt idx="597">
                  <c:v>4.5214084819195985</c:v>
                </c:pt>
                <c:pt idx="598">
                  <c:v>4.5113468803169816</c:v>
                </c:pt>
                <c:pt idx="599">
                  <c:v>4.500316292755568</c:v>
                </c:pt>
                <c:pt idx="600">
                  <c:v>4.4936003427472357</c:v>
                </c:pt>
                <c:pt idx="601">
                  <c:v>4.48903540083636</c:v>
                </c:pt>
                <c:pt idx="602">
                  <c:v>4.4837443101845595</c:v>
                </c:pt>
                <c:pt idx="603">
                  <c:v>4.4720799938362283</c:v>
                </c:pt>
                <c:pt idx="604">
                  <c:v>4.4532672824304997</c:v>
                </c:pt>
                <c:pt idx="605">
                  <c:v>4.4351917613536722</c:v>
                </c:pt>
                <c:pt idx="606">
                  <c:v>4.405983576850006</c:v>
                </c:pt>
                <c:pt idx="607">
                  <c:v>4.3829343117694499</c:v>
                </c:pt>
                <c:pt idx="608">
                  <c:v>4.354641793661596</c:v>
                </c:pt>
                <c:pt idx="609">
                  <c:v>4.3216403532203964</c:v>
                </c:pt>
                <c:pt idx="610">
                  <c:v>4.2903695451749941</c:v>
                </c:pt>
                <c:pt idx="611">
                  <c:v>4.2519260717527416</c:v>
                </c:pt>
                <c:pt idx="612">
                  <c:v>4.2135294142606501</c:v>
                </c:pt>
                <c:pt idx="613">
                  <c:v>4.1772745350430318</c:v>
                </c:pt>
                <c:pt idx="614">
                  <c:v>4.1398506631213277</c:v>
                </c:pt>
                <c:pt idx="615">
                  <c:v>4.0921744945839702</c:v>
                </c:pt>
                <c:pt idx="616">
                  <c:v>4.0477777116313636</c:v>
                </c:pt>
                <c:pt idx="617">
                  <c:v>3.9990223256019921</c:v>
                </c:pt>
                <c:pt idx="618">
                  <c:v>3.95551129442629</c:v>
                </c:pt>
                <c:pt idx="619">
                  <c:v>3.919254129501998</c:v>
                </c:pt>
                <c:pt idx="620">
                  <c:v>3.8933315062162661</c:v>
                </c:pt>
                <c:pt idx="621">
                  <c:v>3.8814079168398576</c:v>
                </c:pt>
                <c:pt idx="622">
                  <c:v>3.86191411422584</c:v>
                </c:pt>
                <c:pt idx="623">
                  <c:v>3.854436559660142</c:v>
                </c:pt>
                <c:pt idx="624">
                  <c:v>3.848675269819632</c:v>
                </c:pt>
                <c:pt idx="625">
                  <c:v>3.8426474143542859</c:v>
                </c:pt>
                <c:pt idx="626">
                  <c:v>3.8505525872275141</c:v>
                </c:pt>
                <c:pt idx="627">
                  <c:v>3.8666801699763882</c:v>
                </c:pt>
                <c:pt idx="628">
                  <c:v>3.8851064842546519</c:v>
                </c:pt>
                <c:pt idx="629">
                  <c:v>3.9009924070427999</c:v>
                </c:pt>
                <c:pt idx="630">
                  <c:v>3.9298517526658761</c:v>
                </c:pt>
                <c:pt idx="631">
                  <c:v>3.9500074738776561</c:v>
                </c:pt>
                <c:pt idx="632">
                  <c:v>3.9628711171506561</c:v>
                </c:pt>
                <c:pt idx="633">
                  <c:v>3.9725507023494342</c:v>
                </c:pt>
                <c:pt idx="634">
                  <c:v>3.9943528243427782</c:v>
                </c:pt>
                <c:pt idx="635">
                  <c:v>4.0108415961196986</c:v>
                </c:pt>
                <c:pt idx="636">
                  <c:v>4.0277162639975259</c:v>
                </c:pt>
                <c:pt idx="637">
                  <c:v>4.0471880889782597</c:v>
                </c:pt>
                <c:pt idx="638">
                  <c:v>4.085154068158956</c:v>
                </c:pt>
                <c:pt idx="639">
                  <c:v>4.144438826465918</c:v>
                </c:pt>
                <c:pt idx="640">
                  <c:v>4.2318770005544577</c:v>
                </c:pt>
                <c:pt idx="641">
                  <c:v>4.3307833906487119</c:v>
                </c:pt>
                <c:pt idx="642">
                  <c:v>4.4079213966889403</c:v>
                </c:pt>
                <c:pt idx="643">
                  <c:v>4.4788695500628375</c:v>
                </c:pt>
                <c:pt idx="644">
                  <c:v>4.5527203029158061</c:v>
                </c:pt>
                <c:pt idx="645">
                  <c:v>4.6133441446323156</c:v>
                </c:pt>
                <c:pt idx="646">
                  <c:v>4.6649727245261019</c:v>
                </c:pt>
                <c:pt idx="647">
                  <c:v>4.7105391356854804</c:v>
                </c:pt>
                <c:pt idx="648">
                  <c:v>4.7626318630146196</c:v>
                </c:pt>
                <c:pt idx="649">
                  <c:v>4.8246334130212496</c:v>
                </c:pt>
                <c:pt idx="650">
                  <c:v>4.8856266789639342</c:v>
                </c:pt>
                <c:pt idx="651">
                  <c:v>4.940957485855284</c:v>
                </c:pt>
                <c:pt idx="652">
                  <c:v>4.9911244263179722</c:v>
                </c:pt>
                <c:pt idx="653">
                  <c:v>5.0311775246425725</c:v>
                </c:pt>
                <c:pt idx="654">
                  <c:v>5.0897892260776718</c:v>
                </c:pt>
                <c:pt idx="655">
                  <c:v>5.1543689678589679</c:v>
                </c:pt>
                <c:pt idx="656">
                  <c:v>5.2139126857105724</c:v>
                </c:pt>
                <c:pt idx="657">
                  <c:v>5.2662772226874823</c:v>
                </c:pt>
                <c:pt idx="658">
                  <c:v>5.3152854651723018</c:v>
                </c:pt>
                <c:pt idx="659">
                  <c:v>5.3630765728077101</c:v>
                </c:pt>
                <c:pt idx="660">
                  <c:v>5.4046358369288239</c:v>
                </c:pt>
                <c:pt idx="661">
                  <c:v>5.436704809934386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43749</c:v>
                </c:pt>
                <c:pt idx="1">
                  <c:v>43748</c:v>
                </c:pt>
                <c:pt idx="2">
                  <c:v>43747</c:v>
                </c:pt>
                <c:pt idx="3">
                  <c:v>43746</c:v>
                </c:pt>
                <c:pt idx="4">
                  <c:v>43745</c:v>
                </c:pt>
                <c:pt idx="5">
                  <c:v>43742</c:v>
                </c:pt>
                <c:pt idx="6">
                  <c:v>43741</c:v>
                </c:pt>
                <c:pt idx="7">
                  <c:v>43740</c:v>
                </c:pt>
                <c:pt idx="8">
                  <c:v>43739</c:v>
                </c:pt>
                <c:pt idx="9">
                  <c:v>43738</c:v>
                </c:pt>
                <c:pt idx="10">
                  <c:v>43735</c:v>
                </c:pt>
                <c:pt idx="11">
                  <c:v>43734</c:v>
                </c:pt>
                <c:pt idx="12">
                  <c:v>43733</c:v>
                </c:pt>
                <c:pt idx="13">
                  <c:v>43732</c:v>
                </c:pt>
                <c:pt idx="14">
                  <c:v>43728</c:v>
                </c:pt>
                <c:pt idx="15">
                  <c:v>43727</c:v>
                </c:pt>
                <c:pt idx="16">
                  <c:v>43726</c:v>
                </c:pt>
                <c:pt idx="17">
                  <c:v>43725</c:v>
                </c:pt>
                <c:pt idx="18">
                  <c:v>43721</c:v>
                </c:pt>
                <c:pt idx="19">
                  <c:v>43720</c:v>
                </c:pt>
                <c:pt idx="20">
                  <c:v>43719</c:v>
                </c:pt>
                <c:pt idx="21">
                  <c:v>43718</c:v>
                </c:pt>
                <c:pt idx="22">
                  <c:v>43717</c:v>
                </c:pt>
                <c:pt idx="23">
                  <c:v>43714</c:v>
                </c:pt>
                <c:pt idx="24">
                  <c:v>43713</c:v>
                </c:pt>
                <c:pt idx="25">
                  <c:v>43712</c:v>
                </c:pt>
                <c:pt idx="26">
                  <c:v>43711</c:v>
                </c:pt>
                <c:pt idx="27">
                  <c:v>43710</c:v>
                </c:pt>
                <c:pt idx="28">
                  <c:v>43707</c:v>
                </c:pt>
                <c:pt idx="29">
                  <c:v>43706</c:v>
                </c:pt>
                <c:pt idx="30">
                  <c:v>43705</c:v>
                </c:pt>
                <c:pt idx="31">
                  <c:v>43704</c:v>
                </c:pt>
                <c:pt idx="32">
                  <c:v>43703</c:v>
                </c:pt>
                <c:pt idx="33">
                  <c:v>43700</c:v>
                </c:pt>
                <c:pt idx="34">
                  <c:v>43699</c:v>
                </c:pt>
                <c:pt idx="35">
                  <c:v>43698</c:v>
                </c:pt>
                <c:pt idx="36">
                  <c:v>43697</c:v>
                </c:pt>
                <c:pt idx="37">
                  <c:v>43696</c:v>
                </c:pt>
                <c:pt idx="38">
                  <c:v>43693</c:v>
                </c:pt>
                <c:pt idx="39">
                  <c:v>43692</c:v>
                </c:pt>
                <c:pt idx="40">
                  <c:v>43691</c:v>
                </c:pt>
                <c:pt idx="41">
                  <c:v>43690</c:v>
                </c:pt>
                <c:pt idx="42">
                  <c:v>43686</c:v>
                </c:pt>
                <c:pt idx="43">
                  <c:v>43685</c:v>
                </c:pt>
                <c:pt idx="44">
                  <c:v>43684</c:v>
                </c:pt>
                <c:pt idx="45">
                  <c:v>43683</c:v>
                </c:pt>
                <c:pt idx="46">
                  <c:v>43682</c:v>
                </c:pt>
                <c:pt idx="47">
                  <c:v>43679</c:v>
                </c:pt>
                <c:pt idx="48">
                  <c:v>43678</c:v>
                </c:pt>
                <c:pt idx="49">
                  <c:v>43677</c:v>
                </c:pt>
                <c:pt idx="50">
                  <c:v>43676</c:v>
                </c:pt>
                <c:pt idx="51">
                  <c:v>43675</c:v>
                </c:pt>
                <c:pt idx="52">
                  <c:v>43672</c:v>
                </c:pt>
                <c:pt idx="53">
                  <c:v>43671</c:v>
                </c:pt>
                <c:pt idx="54">
                  <c:v>43670</c:v>
                </c:pt>
                <c:pt idx="55">
                  <c:v>43669</c:v>
                </c:pt>
                <c:pt idx="56">
                  <c:v>43668</c:v>
                </c:pt>
                <c:pt idx="57">
                  <c:v>43665</c:v>
                </c:pt>
                <c:pt idx="58">
                  <c:v>43664</c:v>
                </c:pt>
                <c:pt idx="59">
                  <c:v>43663</c:v>
                </c:pt>
                <c:pt idx="60">
                  <c:v>43662</c:v>
                </c:pt>
                <c:pt idx="61">
                  <c:v>43658</c:v>
                </c:pt>
                <c:pt idx="62">
                  <c:v>43657</c:v>
                </c:pt>
                <c:pt idx="63">
                  <c:v>43656</c:v>
                </c:pt>
                <c:pt idx="64">
                  <c:v>43655</c:v>
                </c:pt>
                <c:pt idx="65">
                  <c:v>43654</c:v>
                </c:pt>
                <c:pt idx="66">
                  <c:v>43651</c:v>
                </c:pt>
                <c:pt idx="67">
                  <c:v>43650</c:v>
                </c:pt>
                <c:pt idx="68">
                  <c:v>43649</c:v>
                </c:pt>
                <c:pt idx="69">
                  <c:v>43648</c:v>
                </c:pt>
                <c:pt idx="70">
                  <c:v>43647</c:v>
                </c:pt>
                <c:pt idx="71">
                  <c:v>43644</c:v>
                </c:pt>
                <c:pt idx="72">
                  <c:v>43643</c:v>
                </c:pt>
                <c:pt idx="73">
                  <c:v>43642</c:v>
                </c:pt>
                <c:pt idx="74">
                  <c:v>43641</c:v>
                </c:pt>
                <c:pt idx="75">
                  <c:v>43640</c:v>
                </c:pt>
                <c:pt idx="76">
                  <c:v>43637</c:v>
                </c:pt>
                <c:pt idx="77">
                  <c:v>43636</c:v>
                </c:pt>
                <c:pt idx="78">
                  <c:v>43635</c:v>
                </c:pt>
                <c:pt idx="79">
                  <c:v>43634</c:v>
                </c:pt>
                <c:pt idx="80">
                  <c:v>43633</c:v>
                </c:pt>
                <c:pt idx="81">
                  <c:v>43630</c:v>
                </c:pt>
                <c:pt idx="82">
                  <c:v>43629</c:v>
                </c:pt>
                <c:pt idx="83">
                  <c:v>43628</c:v>
                </c:pt>
                <c:pt idx="84">
                  <c:v>43627</c:v>
                </c:pt>
                <c:pt idx="85">
                  <c:v>43626</c:v>
                </c:pt>
                <c:pt idx="86">
                  <c:v>43623</c:v>
                </c:pt>
                <c:pt idx="87">
                  <c:v>43622</c:v>
                </c:pt>
                <c:pt idx="88">
                  <c:v>43621</c:v>
                </c:pt>
                <c:pt idx="89">
                  <c:v>43620</c:v>
                </c:pt>
                <c:pt idx="90">
                  <c:v>43619</c:v>
                </c:pt>
                <c:pt idx="91">
                  <c:v>43616</c:v>
                </c:pt>
                <c:pt idx="92">
                  <c:v>43615</c:v>
                </c:pt>
                <c:pt idx="93">
                  <c:v>43614</c:v>
                </c:pt>
                <c:pt idx="94">
                  <c:v>43613</c:v>
                </c:pt>
                <c:pt idx="95">
                  <c:v>43612</c:v>
                </c:pt>
                <c:pt idx="96">
                  <c:v>43609</c:v>
                </c:pt>
                <c:pt idx="97">
                  <c:v>43608</c:v>
                </c:pt>
                <c:pt idx="98">
                  <c:v>43607</c:v>
                </c:pt>
                <c:pt idx="99">
                  <c:v>43606</c:v>
                </c:pt>
                <c:pt idx="100">
                  <c:v>43605</c:v>
                </c:pt>
                <c:pt idx="101">
                  <c:v>43602</c:v>
                </c:pt>
                <c:pt idx="102">
                  <c:v>43601</c:v>
                </c:pt>
                <c:pt idx="103">
                  <c:v>43600</c:v>
                </c:pt>
                <c:pt idx="104">
                  <c:v>43599</c:v>
                </c:pt>
                <c:pt idx="105">
                  <c:v>43598</c:v>
                </c:pt>
                <c:pt idx="106">
                  <c:v>43595</c:v>
                </c:pt>
                <c:pt idx="107">
                  <c:v>43594</c:v>
                </c:pt>
                <c:pt idx="108">
                  <c:v>43593</c:v>
                </c:pt>
                <c:pt idx="109">
                  <c:v>43592</c:v>
                </c:pt>
                <c:pt idx="110">
                  <c:v>43581</c:v>
                </c:pt>
                <c:pt idx="111">
                  <c:v>43580</c:v>
                </c:pt>
                <c:pt idx="112">
                  <c:v>43579</c:v>
                </c:pt>
                <c:pt idx="113">
                  <c:v>43578</c:v>
                </c:pt>
                <c:pt idx="114">
                  <c:v>43577</c:v>
                </c:pt>
                <c:pt idx="115">
                  <c:v>43574</c:v>
                </c:pt>
                <c:pt idx="116">
                  <c:v>43573</c:v>
                </c:pt>
                <c:pt idx="117">
                  <c:v>43572</c:v>
                </c:pt>
                <c:pt idx="118">
                  <c:v>43571</c:v>
                </c:pt>
                <c:pt idx="119">
                  <c:v>43570</c:v>
                </c:pt>
                <c:pt idx="120">
                  <c:v>43567</c:v>
                </c:pt>
                <c:pt idx="121">
                  <c:v>43566</c:v>
                </c:pt>
                <c:pt idx="122">
                  <c:v>43565</c:v>
                </c:pt>
                <c:pt idx="123">
                  <c:v>43564</c:v>
                </c:pt>
                <c:pt idx="124">
                  <c:v>43563</c:v>
                </c:pt>
                <c:pt idx="125">
                  <c:v>43560</c:v>
                </c:pt>
                <c:pt idx="126">
                  <c:v>43559</c:v>
                </c:pt>
                <c:pt idx="127">
                  <c:v>43558</c:v>
                </c:pt>
                <c:pt idx="128">
                  <c:v>43557</c:v>
                </c:pt>
                <c:pt idx="129">
                  <c:v>43556</c:v>
                </c:pt>
                <c:pt idx="130">
                  <c:v>43553</c:v>
                </c:pt>
                <c:pt idx="131">
                  <c:v>43552</c:v>
                </c:pt>
                <c:pt idx="132">
                  <c:v>43551</c:v>
                </c:pt>
                <c:pt idx="133">
                  <c:v>43550</c:v>
                </c:pt>
                <c:pt idx="134">
                  <c:v>43549</c:v>
                </c:pt>
                <c:pt idx="135">
                  <c:v>43546</c:v>
                </c:pt>
                <c:pt idx="136">
                  <c:v>43544</c:v>
                </c:pt>
                <c:pt idx="137">
                  <c:v>43543</c:v>
                </c:pt>
                <c:pt idx="138">
                  <c:v>43542</c:v>
                </c:pt>
                <c:pt idx="139">
                  <c:v>43539</c:v>
                </c:pt>
                <c:pt idx="140">
                  <c:v>43538</c:v>
                </c:pt>
                <c:pt idx="141">
                  <c:v>43537</c:v>
                </c:pt>
                <c:pt idx="142">
                  <c:v>43536</c:v>
                </c:pt>
                <c:pt idx="143">
                  <c:v>43535</c:v>
                </c:pt>
                <c:pt idx="144">
                  <c:v>43532</c:v>
                </c:pt>
                <c:pt idx="145">
                  <c:v>43531</c:v>
                </c:pt>
                <c:pt idx="146">
                  <c:v>43530</c:v>
                </c:pt>
                <c:pt idx="147">
                  <c:v>43529</c:v>
                </c:pt>
                <c:pt idx="148">
                  <c:v>43528</c:v>
                </c:pt>
                <c:pt idx="149">
                  <c:v>43525</c:v>
                </c:pt>
                <c:pt idx="150">
                  <c:v>43524</c:v>
                </c:pt>
                <c:pt idx="151">
                  <c:v>43523</c:v>
                </c:pt>
                <c:pt idx="152">
                  <c:v>43522</c:v>
                </c:pt>
                <c:pt idx="153">
                  <c:v>43521</c:v>
                </c:pt>
                <c:pt idx="154">
                  <c:v>43518</c:v>
                </c:pt>
                <c:pt idx="155">
                  <c:v>43517</c:v>
                </c:pt>
                <c:pt idx="156">
                  <c:v>43516</c:v>
                </c:pt>
                <c:pt idx="157">
                  <c:v>43515</c:v>
                </c:pt>
                <c:pt idx="158">
                  <c:v>43514</c:v>
                </c:pt>
                <c:pt idx="159">
                  <c:v>43511</c:v>
                </c:pt>
                <c:pt idx="160">
                  <c:v>43510</c:v>
                </c:pt>
                <c:pt idx="161">
                  <c:v>43509</c:v>
                </c:pt>
                <c:pt idx="162">
                  <c:v>43508</c:v>
                </c:pt>
                <c:pt idx="163">
                  <c:v>43504</c:v>
                </c:pt>
                <c:pt idx="164">
                  <c:v>43503</c:v>
                </c:pt>
                <c:pt idx="165">
                  <c:v>43502</c:v>
                </c:pt>
                <c:pt idx="166">
                  <c:v>43501</c:v>
                </c:pt>
                <c:pt idx="167">
                  <c:v>43500</c:v>
                </c:pt>
                <c:pt idx="168">
                  <c:v>43497</c:v>
                </c:pt>
                <c:pt idx="169">
                  <c:v>43496</c:v>
                </c:pt>
                <c:pt idx="170">
                  <c:v>43495</c:v>
                </c:pt>
                <c:pt idx="171">
                  <c:v>43494</c:v>
                </c:pt>
                <c:pt idx="172">
                  <c:v>43493</c:v>
                </c:pt>
                <c:pt idx="173">
                  <c:v>43490</c:v>
                </c:pt>
                <c:pt idx="174">
                  <c:v>43489</c:v>
                </c:pt>
                <c:pt idx="175">
                  <c:v>43488</c:v>
                </c:pt>
                <c:pt idx="176">
                  <c:v>43487</c:v>
                </c:pt>
                <c:pt idx="177">
                  <c:v>43486</c:v>
                </c:pt>
                <c:pt idx="178">
                  <c:v>43483</c:v>
                </c:pt>
                <c:pt idx="179">
                  <c:v>43482</c:v>
                </c:pt>
                <c:pt idx="180">
                  <c:v>43481</c:v>
                </c:pt>
                <c:pt idx="181">
                  <c:v>43480</c:v>
                </c:pt>
                <c:pt idx="182">
                  <c:v>43476</c:v>
                </c:pt>
                <c:pt idx="183">
                  <c:v>43475</c:v>
                </c:pt>
                <c:pt idx="184">
                  <c:v>43474</c:v>
                </c:pt>
                <c:pt idx="185">
                  <c:v>43473</c:v>
                </c:pt>
                <c:pt idx="186">
                  <c:v>43472</c:v>
                </c:pt>
                <c:pt idx="187">
                  <c:v>43469</c:v>
                </c:pt>
                <c:pt idx="188">
                  <c:v>43462</c:v>
                </c:pt>
                <c:pt idx="189">
                  <c:v>43461</c:v>
                </c:pt>
                <c:pt idx="190">
                  <c:v>43460</c:v>
                </c:pt>
                <c:pt idx="191">
                  <c:v>43459</c:v>
                </c:pt>
                <c:pt idx="192">
                  <c:v>43455</c:v>
                </c:pt>
                <c:pt idx="193">
                  <c:v>43454</c:v>
                </c:pt>
                <c:pt idx="194">
                  <c:v>43453</c:v>
                </c:pt>
                <c:pt idx="195">
                  <c:v>43452</c:v>
                </c:pt>
                <c:pt idx="196">
                  <c:v>43451</c:v>
                </c:pt>
                <c:pt idx="197">
                  <c:v>43448</c:v>
                </c:pt>
                <c:pt idx="198">
                  <c:v>43447</c:v>
                </c:pt>
                <c:pt idx="199">
                  <c:v>43446</c:v>
                </c:pt>
                <c:pt idx="200">
                  <c:v>43445</c:v>
                </c:pt>
                <c:pt idx="201">
                  <c:v>43444</c:v>
                </c:pt>
                <c:pt idx="202">
                  <c:v>43441</c:v>
                </c:pt>
                <c:pt idx="203">
                  <c:v>43440</c:v>
                </c:pt>
                <c:pt idx="204">
                  <c:v>43439</c:v>
                </c:pt>
                <c:pt idx="205">
                  <c:v>43438</c:v>
                </c:pt>
                <c:pt idx="206">
                  <c:v>43437</c:v>
                </c:pt>
                <c:pt idx="207">
                  <c:v>43434</c:v>
                </c:pt>
                <c:pt idx="208">
                  <c:v>43433</c:v>
                </c:pt>
                <c:pt idx="209">
                  <c:v>43432</c:v>
                </c:pt>
                <c:pt idx="210">
                  <c:v>43431</c:v>
                </c:pt>
                <c:pt idx="211">
                  <c:v>43430</c:v>
                </c:pt>
                <c:pt idx="212">
                  <c:v>43426</c:v>
                </c:pt>
                <c:pt idx="213">
                  <c:v>43425</c:v>
                </c:pt>
                <c:pt idx="214">
                  <c:v>43424</c:v>
                </c:pt>
                <c:pt idx="215">
                  <c:v>43423</c:v>
                </c:pt>
                <c:pt idx="216">
                  <c:v>43420</c:v>
                </c:pt>
                <c:pt idx="217">
                  <c:v>43419</c:v>
                </c:pt>
                <c:pt idx="218">
                  <c:v>43418</c:v>
                </c:pt>
                <c:pt idx="219">
                  <c:v>43417</c:v>
                </c:pt>
                <c:pt idx="220">
                  <c:v>43416</c:v>
                </c:pt>
                <c:pt idx="221">
                  <c:v>43413</c:v>
                </c:pt>
                <c:pt idx="222">
                  <c:v>43412</c:v>
                </c:pt>
                <c:pt idx="223">
                  <c:v>43411</c:v>
                </c:pt>
                <c:pt idx="224">
                  <c:v>43410</c:v>
                </c:pt>
                <c:pt idx="225">
                  <c:v>43409</c:v>
                </c:pt>
                <c:pt idx="226">
                  <c:v>43406</c:v>
                </c:pt>
                <c:pt idx="227">
                  <c:v>43405</c:v>
                </c:pt>
                <c:pt idx="228">
                  <c:v>43404</c:v>
                </c:pt>
                <c:pt idx="229">
                  <c:v>43403</c:v>
                </c:pt>
                <c:pt idx="230">
                  <c:v>43402</c:v>
                </c:pt>
                <c:pt idx="231">
                  <c:v>43399</c:v>
                </c:pt>
                <c:pt idx="232">
                  <c:v>43398</c:v>
                </c:pt>
                <c:pt idx="233">
                  <c:v>43397</c:v>
                </c:pt>
                <c:pt idx="234">
                  <c:v>43396</c:v>
                </c:pt>
                <c:pt idx="235">
                  <c:v>43395</c:v>
                </c:pt>
                <c:pt idx="236">
                  <c:v>43392</c:v>
                </c:pt>
                <c:pt idx="237">
                  <c:v>43391</c:v>
                </c:pt>
                <c:pt idx="238">
                  <c:v>43390</c:v>
                </c:pt>
                <c:pt idx="239">
                  <c:v>43389</c:v>
                </c:pt>
                <c:pt idx="240">
                  <c:v>43388</c:v>
                </c:pt>
                <c:pt idx="241">
                  <c:v>43385</c:v>
                </c:pt>
                <c:pt idx="242">
                  <c:v>43384</c:v>
                </c:pt>
                <c:pt idx="243">
                  <c:v>43383</c:v>
                </c:pt>
                <c:pt idx="244">
                  <c:v>43382</c:v>
                </c:pt>
                <c:pt idx="245">
                  <c:v>43378</c:v>
                </c:pt>
                <c:pt idx="246">
                  <c:v>43377</c:v>
                </c:pt>
                <c:pt idx="247">
                  <c:v>43376</c:v>
                </c:pt>
                <c:pt idx="248">
                  <c:v>43375</c:v>
                </c:pt>
                <c:pt idx="249">
                  <c:v>43374</c:v>
                </c:pt>
                <c:pt idx="250">
                  <c:v>43371</c:v>
                </c:pt>
                <c:pt idx="251">
                  <c:v>43370</c:v>
                </c:pt>
                <c:pt idx="252">
                  <c:v>43369</c:v>
                </c:pt>
                <c:pt idx="253">
                  <c:v>43368</c:v>
                </c:pt>
                <c:pt idx="254">
                  <c:v>43364</c:v>
                </c:pt>
                <c:pt idx="255">
                  <c:v>43363</c:v>
                </c:pt>
                <c:pt idx="256">
                  <c:v>43362</c:v>
                </c:pt>
                <c:pt idx="257">
                  <c:v>43361</c:v>
                </c:pt>
                <c:pt idx="258">
                  <c:v>43357</c:v>
                </c:pt>
                <c:pt idx="259">
                  <c:v>43356</c:v>
                </c:pt>
                <c:pt idx="260">
                  <c:v>43355</c:v>
                </c:pt>
                <c:pt idx="261">
                  <c:v>43354</c:v>
                </c:pt>
                <c:pt idx="262">
                  <c:v>43353</c:v>
                </c:pt>
                <c:pt idx="263">
                  <c:v>43350</c:v>
                </c:pt>
                <c:pt idx="264">
                  <c:v>43349</c:v>
                </c:pt>
                <c:pt idx="265">
                  <c:v>43348</c:v>
                </c:pt>
                <c:pt idx="266">
                  <c:v>43347</c:v>
                </c:pt>
                <c:pt idx="267">
                  <c:v>43346</c:v>
                </c:pt>
                <c:pt idx="268">
                  <c:v>43343</c:v>
                </c:pt>
                <c:pt idx="269">
                  <c:v>43342</c:v>
                </c:pt>
                <c:pt idx="270">
                  <c:v>43341</c:v>
                </c:pt>
                <c:pt idx="271">
                  <c:v>43340</c:v>
                </c:pt>
                <c:pt idx="272">
                  <c:v>43339</c:v>
                </c:pt>
                <c:pt idx="273">
                  <c:v>43336</c:v>
                </c:pt>
                <c:pt idx="274">
                  <c:v>43335</c:v>
                </c:pt>
                <c:pt idx="275">
                  <c:v>43334</c:v>
                </c:pt>
                <c:pt idx="276">
                  <c:v>43333</c:v>
                </c:pt>
                <c:pt idx="277">
                  <c:v>43332</c:v>
                </c:pt>
                <c:pt idx="278">
                  <c:v>43329</c:v>
                </c:pt>
                <c:pt idx="279">
                  <c:v>43328</c:v>
                </c:pt>
                <c:pt idx="280">
                  <c:v>43327</c:v>
                </c:pt>
                <c:pt idx="281">
                  <c:v>43326</c:v>
                </c:pt>
                <c:pt idx="282">
                  <c:v>43325</c:v>
                </c:pt>
                <c:pt idx="283">
                  <c:v>43322</c:v>
                </c:pt>
                <c:pt idx="284">
                  <c:v>43321</c:v>
                </c:pt>
                <c:pt idx="285">
                  <c:v>43320</c:v>
                </c:pt>
                <c:pt idx="286">
                  <c:v>43319</c:v>
                </c:pt>
                <c:pt idx="287">
                  <c:v>43318</c:v>
                </c:pt>
                <c:pt idx="288">
                  <c:v>43315</c:v>
                </c:pt>
                <c:pt idx="289">
                  <c:v>43314</c:v>
                </c:pt>
                <c:pt idx="290">
                  <c:v>43313</c:v>
                </c:pt>
                <c:pt idx="291">
                  <c:v>43312</c:v>
                </c:pt>
                <c:pt idx="292">
                  <c:v>43311</c:v>
                </c:pt>
                <c:pt idx="293">
                  <c:v>43308</c:v>
                </c:pt>
                <c:pt idx="294">
                  <c:v>43307</c:v>
                </c:pt>
                <c:pt idx="295">
                  <c:v>43306</c:v>
                </c:pt>
                <c:pt idx="296">
                  <c:v>43305</c:v>
                </c:pt>
                <c:pt idx="297">
                  <c:v>43304</c:v>
                </c:pt>
                <c:pt idx="298">
                  <c:v>43301</c:v>
                </c:pt>
                <c:pt idx="299">
                  <c:v>43300</c:v>
                </c:pt>
                <c:pt idx="300">
                  <c:v>43299</c:v>
                </c:pt>
                <c:pt idx="301">
                  <c:v>43298</c:v>
                </c:pt>
                <c:pt idx="302">
                  <c:v>43294</c:v>
                </c:pt>
                <c:pt idx="303">
                  <c:v>43293</c:v>
                </c:pt>
                <c:pt idx="304">
                  <c:v>43292</c:v>
                </c:pt>
                <c:pt idx="305">
                  <c:v>43291</c:v>
                </c:pt>
                <c:pt idx="306">
                  <c:v>43290</c:v>
                </c:pt>
                <c:pt idx="307">
                  <c:v>43287</c:v>
                </c:pt>
                <c:pt idx="308">
                  <c:v>43286</c:v>
                </c:pt>
                <c:pt idx="309">
                  <c:v>43285</c:v>
                </c:pt>
                <c:pt idx="310">
                  <c:v>43284</c:v>
                </c:pt>
                <c:pt idx="311">
                  <c:v>43283</c:v>
                </c:pt>
                <c:pt idx="312">
                  <c:v>43280</c:v>
                </c:pt>
                <c:pt idx="313">
                  <c:v>43279</c:v>
                </c:pt>
                <c:pt idx="314">
                  <c:v>43278</c:v>
                </c:pt>
                <c:pt idx="315">
                  <c:v>43277</c:v>
                </c:pt>
                <c:pt idx="316">
                  <c:v>43276</c:v>
                </c:pt>
                <c:pt idx="317">
                  <c:v>43273</c:v>
                </c:pt>
                <c:pt idx="318">
                  <c:v>43272</c:v>
                </c:pt>
                <c:pt idx="319">
                  <c:v>43271</c:v>
                </c:pt>
                <c:pt idx="320">
                  <c:v>43270</c:v>
                </c:pt>
                <c:pt idx="321">
                  <c:v>43269</c:v>
                </c:pt>
                <c:pt idx="322">
                  <c:v>43266</c:v>
                </c:pt>
                <c:pt idx="323">
                  <c:v>43265</c:v>
                </c:pt>
                <c:pt idx="324">
                  <c:v>43264</c:v>
                </c:pt>
                <c:pt idx="325">
                  <c:v>43263</c:v>
                </c:pt>
                <c:pt idx="326">
                  <c:v>43262</c:v>
                </c:pt>
                <c:pt idx="327">
                  <c:v>43259</c:v>
                </c:pt>
                <c:pt idx="328">
                  <c:v>43258</c:v>
                </c:pt>
                <c:pt idx="329">
                  <c:v>43257</c:v>
                </c:pt>
                <c:pt idx="330">
                  <c:v>43256</c:v>
                </c:pt>
                <c:pt idx="331">
                  <c:v>43255</c:v>
                </c:pt>
                <c:pt idx="332">
                  <c:v>43252</c:v>
                </c:pt>
                <c:pt idx="333">
                  <c:v>43251</c:v>
                </c:pt>
                <c:pt idx="334">
                  <c:v>43250</c:v>
                </c:pt>
                <c:pt idx="335">
                  <c:v>43249</c:v>
                </c:pt>
                <c:pt idx="336">
                  <c:v>43248</c:v>
                </c:pt>
                <c:pt idx="337">
                  <c:v>43245</c:v>
                </c:pt>
                <c:pt idx="338">
                  <c:v>43244</c:v>
                </c:pt>
                <c:pt idx="339">
                  <c:v>43243</c:v>
                </c:pt>
                <c:pt idx="340">
                  <c:v>43242</c:v>
                </c:pt>
                <c:pt idx="341">
                  <c:v>43241</c:v>
                </c:pt>
                <c:pt idx="342">
                  <c:v>43238</c:v>
                </c:pt>
                <c:pt idx="343">
                  <c:v>43237</c:v>
                </c:pt>
                <c:pt idx="344">
                  <c:v>43236</c:v>
                </c:pt>
                <c:pt idx="345">
                  <c:v>43235</c:v>
                </c:pt>
                <c:pt idx="346">
                  <c:v>43234</c:v>
                </c:pt>
                <c:pt idx="347">
                  <c:v>43231</c:v>
                </c:pt>
                <c:pt idx="348">
                  <c:v>43230</c:v>
                </c:pt>
                <c:pt idx="349">
                  <c:v>43229</c:v>
                </c:pt>
                <c:pt idx="350">
                  <c:v>43228</c:v>
                </c:pt>
                <c:pt idx="351">
                  <c:v>43227</c:v>
                </c:pt>
                <c:pt idx="352">
                  <c:v>43222</c:v>
                </c:pt>
                <c:pt idx="353">
                  <c:v>43221</c:v>
                </c:pt>
                <c:pt idx="354">
                  <c:v>43217</c:v>
                </c:pt>
                <c:pt idx="355">
                  <c:v>43216</c:v>
                </c:pt>
                <c:pt idx="356">
                  <c:v>43215</c:v>
                </c:pt>
                <c:pt idx="357">
                  <c:v>43214</c:v>
                </c:pt>
                <c:pt idx="358">
                  <c:v>43213</c:v>
                </c:pt>
                <c:pt idx="359">
                  <c:v>43210</c:v>
                </c:pt>
                <c:pt idx="360">
                  <c:v>43209</c:v>
                </c:pt>
                <c:pt idx="361">
                  <c:v>43208</c:v>
                </c:pt>
                <c:pt idx="362">
                  <c:v>43207</c:v>
                </c:pt>
                <c:pt idx="363">
                  <c:v>43206</c:v>
                </c:pt>
                <c:pt idx="364">
                  <c:v>43203</c:v>
                </c:pt>
                <c:pt idx="365">
                  <c:v>43202</c:v>
                </c:pt>
                <c:pt idx="366">
                  <c:v>43201</c:v>
                </c:pt>
                <c:pt idx="367">
                  <c:v>43200</c:v>
                </c:pt>
                <c:pt idx="368">
                  <c:v>43199</c:v>
                </c:pt>
                <c:pt idx="369">
                  <c:v>43196</c:v>
                </c:pt>
                <c:pt idx="370">
                  <c:v>43195</c:v>
                </c:pt>
                <c:pt idx="371">
                  <c:v>43194</c:v>
                </c:pt>
                <c:pt idx="372">
                  <c:v>43193</c:v>
                </c:pt>
                <c:pt idx="373">
                  <c:v>43192</c:v>
                </c:pt>
                <c:pt idx="374">
                  <c:v>43189</c:v>
                </c:pt>
                <c:pt idx="375">
                  <c:v>43188</c:v>
                </c:pt>
                <c:pt idx="376">
                  <c:v>43187</c:v>
                </c:pt>
                <c:pt idx="377">
                  <c:v>43186</c:v>
                </c:pt>
                <c:pt idx="378">
                  <c:v>43185</c:v>
                </c:pt>
                <c:pt idx="379">
                  <c:v>43182</c:v>
                </c:pt>
                <c:pt idx="380">
                  <c:v>43181</c:v>
                </c:pt>
                <c:pt idx="381">
                  <c:v>43179</c:v>
                </c:pt>
                <c:pt idx="382">
                  <c:v>43178</c:v>
                </c:pt>
                <c:pt idx="383">
                  <c:v>43175</c:v>
                </c:pt>
                <c:pt idx="384">
                  <c:v>43174</c:v>
                </c:pt>
                <c:pt idx="385">
                  <c:v>43173</c:v>
                </c:pt>
                <c:pt idx="386">
                  <c:v>43172</c:v>
                </c:pt>
                <c:pt idx="387">
                  <c:v>43171</c:v>
                </c:pt>
                <c:pt idx="388">
                  <c:v>43168</c:v>
                </c:pt>
                <c:pt idx="389">
                  <c:v>43167</c:v>
                </c:pt>
                <c:pt idx="390">
                  <c:v>43166</c:v>
                </c:pt>
                <c:pt idx="391">
                  <c:v>43165</c:v>
                </c:pt>
                <c:pt idx="392">
                  <c:v>43164</c:v>
                </c:pt>
                <c:pt idx="393">
                  <c:v>43161</c:v>
                </c:pt>
                <c:pt idx="394">
                  <c:v>43160</c:v>
                </c:pt>
                <c:pt idx="395">
                  <c:v>43159</c:v>
                </c:pt>
                <c:pt idx="396">
                  <c:v>43158</c:v>
                </c:pt>
                <c:pt idx="397">
                  <c:v>43157</c:v>
                </c:pt>
                <c:pt idx="398">
                  <c:v>43154</c:v>
                </c:pt>
                <c:pt idx="399">
                  <c:v>43153</c:v>
                </c:pt>
                <c:pt idx="400">
                  <c:v>43152</c:v>
                </c:pt>
                <c:pt idx="401">
                  <c:v>43151</c:v>
                </c:pt>
                <c:pt idx="402">
                  <c:v>43150</c:v>
                </c:pt>
                <c:pt idx="403">
                  <c:v>43147</c:v>
                </c:pt>
                <c:pt idx="404">
                  <c:v>43146</c:v>
                </c:pt>
                <c:pt idx="405">
                  <c:v>43145</c:v>
                </c:pt>
                <c:pt idx="406">
                  <c:v>43144</c:v>
                </c:pt>
                <c:pt idx="407">
                  <c:v>43140</c:v>
                </c:pt>
                <c:pt idx="408">
                  <c:v>43139</c:v>
                </c:pt>
                <c:pt idx="409">
                  <c:v>43138</c:v>
                </c:pt>
                <c:pt idx="410">
                  <c:v>43137</c:v>
                </c:pt>
                <c:pt idx="411">
                  <c:v>43136</c:v>
                </c:pt>
                <c:pt idx="412">
                  <c:v>43133</c:v>
                </c:pt>
                <c:pt idx="413">
                  <c:v>43132</c:v>
                </c:pt>
                <c:pt idx="414">
                  <c:v>43131</c:v>
                </c:pt>
                <c:pt idx="415">
                  <c:v>43130</c:v>
                </c:pt>
                <c:pt idx="416">
                  <c:v>43129</c:v>
                </c:pt>
                <c:pt idx="417">
                  <c:v>43126</c:v>
                </c:pt>
                <c:pt idx="418">
                  <c:v>43125</c:v>
                </c:pt>
                <c:pt idx="419">
                  <c:v>43124</c:v>
                </c:pt>
                <c:pt idx="420">
                  <c:v>43123</c:v>
                </c:pt>
                <c:pt idx="421">
                  <c:v>43122</c:v>
                </c:pt>
                <c:pt idx="422">
                  <c:v>43119</c:v>
                </c:pt>
                <c:pt idx="423">
                  <c:v>43118</c:v>
                </c:pt>
                <c:pt idx="424">
                  <c:v>43117</c:v>
                </c:pt>
                <c:pt idx="425">
                  <c:v>43116</c:v>
                </c:pt>
                <c:pt idx="426">
                  <c:v>43115</c:v>
                </c:pt>
                <c:pt idx="427">
                  <c:v>43112</c:v>
                </c:pt>
                <c:pt idx="428">
                  <c:v>43111</c:v>
                </c:pt>
                <c:pt idx="429">
                  <c:v>43110</c:v>
                </c:pt>
                <c:pt idx="430">
                  <c:v>43109</c:v>
                </c:pt>
                <c:pt idx="431">
                  <c:v>43105</c:v>
                </c:pt>
                <c:pt idx="432">
                  <c:v>43104</c:v>
                </c:pt>
                <c:pt idx="433">
                  <c:v>43098</c:v>
                </c:pt>
                <c:pt idx="434">
                  <c:v>43097</c:v>
                </c:pt>
                <c:pt idx="435">
                  <c:v>43096</c:v>
                </c:pt>
                <c:pt idx="436">
                  <c:v>43095</c:v>
                </c:pt>
                <c:pt idx="437">
                  <c:v>43094</c:v>
                </c:pt>
                <c:pt idx="438">
                  <c:v>43091</c:v>
                </c:pt>
                <c:pt idx="439">
                  <c:v>43090</c:v>
                </c:pt>
                <c:pt idx="440">
                  <c:v>43089</c:v>
                </c:pt>
                <c:pt idx="441">
                  <c:v>43088</c:v>
                </c:pt>
                <c:pt idx="442">
                  <c:v>43087</c:v>
                </c:pt>
                <c:pt idx="443">
                  <c:v>43084</c:v>
                </c:pt>
                <c:pt idx="444">
                  <c:v>43083</c:v>
                </c:pt>
                <c:pt idx="445">
                  <c:v>43082</c:v>
                </c:pt>
                <c:pt idx="446">
                  <c:v>43081</c:v>
                </c:pt>
                <c:pt idx="447">
                  <c:v>43080</c:v>
                </c:pt>
                <c:pt idx="448">
                  <c:v>43077</c:v>
                </c:pt>
                <c:pt idx="449">
                  <c:v>43076</c:v>
                </c:pt>
                <c:pt idx="450">
                  <c:v>43075</c:v>
                </c:pt>
                <c:pt idx="451">
                  <c:v>43074</c:v>
                </c:pt>
                <c:pt idx="452">
                  <c:v>43073</c:v>
                </c:pt>
                <c:pt idx="453">
                  <c:v>43070</c:v>
                </c:pt>
                <c:pt idx="454">
                  <c:v>43069</c:v>
                </c:pt>
                <c:pt idx="455">
                  <c:v>43068</c:v>
                </c:pt>
                <c:pt idx="456">
                  <c:v>43067</c:v>
                </c:pt>
                <c:pt idx="457">
                  <c:v>43066</c:v>
                </c:pt>
                <c:pt idx="458">
                  <c:v>43063</c:v>
                </c:pt>
                <c:pt idx="459">
                  <c:v>43061</c:v>
                </c:pt>
                <c:pt idx="460">
                  <c:v>43060</c:v>
                </c:pt>
                <c:pt idx="461">
                  <c:v>43059</c:v>
                </c:pt>
                <c:pt idx="462">
                  <c:v>43056</c:v>
                </c:pt>
                <c:pt idx="463">
                  <c:v>43055</c:v>
                </c:pt>
                <c:pt idx="464">
                  <c:v>43054</c:v>
                </c:pt>
                <c:pt idx="465">
                  <c:v>43053</c:v>
                </c:pt>
                <c:pt idx="466">
                  <c:v>43052</c:v>
                </c:pt>
                <c:pt idx="467">
                  <c:v>43049</c:v>
                </c:pt>
                <c:pt idx="468">
                  <c:v>43048</c:v>
                </c:pt>
                <c:pt idx="469">
                  <c:v>43047</c:v>
                </c:pt>
                <c:pt idx="470">
                  <c:v>43046</c:v>
                </c:pt>
                <c:pt idx="471">
                  <c:v>43045</c:v>
                </c:pt>
                <c:pt idx="472">
                  <c:v>43041</c:v>
                </c:pt>
                <c:pt idx="473">
                  <c:v>43040</c:v>
                </c:pt>
                <c:pt idx="474">
                  <c:v>43039</c:v>
                </c:pt>
                <c:pt idx="475">
                  <c:v>43038</c:v>
                </c:pt>
                <c:pt idx="476">
                  <c:v>43035</c:v>
                </c:pt>
                <c:pt idx="477">
                  <c:v>43034</c:v>
                </c:pt>
                <c:pt idx="478">
                  <c:v>43033</c:v>
                </c:pt>
                <c:pt idx="479">
                  <c:v>43032</c:v>
                </c:pt>
                <c:pt idx="480">
                  <c:v>43031</c:v>
                </c:pt>
                <c:pt idx="481">
                  <c:v>43028</c:v>
                </c:pt>
                <c:pt idx="482">
                  <c:v>43027</c:v>
                </c:pt>
                <c:pt idx="483">
                  <c:v>43026</c:v>
                </c:pt>
                <c:pt idx="484">
                  <c:v>43025</c:v>
                </c:pt>
                <c:pt idx="485">
                  <c:v>43024</c:v>
                </c:pt>
                <c:pt idx="486">
                  <c:v>43021</c:v>
                </c:pt>
                <c:pt idx="487">
                  <c:v>43020</c:v>
                </c:pt>
                <c:pt idx="488">
                  <c:v>43019</c:v>
                </c:pt>
                <c:pt idx="489">
                  <c:v>43018</c:v>
                </c:pt>
                <c:pt idx="490">
                  <c:v>43014</c:v>
                </c:pt>
                <c:pt idx="491">
                  <c:v>43013</c:v>
                </c:pt>
                <c:pt idx="492">
                  <c:v>43012</c:v>
                </c:pt>
                <c:pt idx="493">
                  <c:v>43011</c:v>
                </c:pt>
                <c:pt idx="494">
                  <c:v>43010</c:v>
                </c:pt>
                <c:pt idx="495">
                  <c:v>43007</c:v>
                </c:pt>
                <c:pt idx="496">
                  <c:v>43006</c:v>
                </c:pt>
                <c:pt idx="497">
                  <c:v>43005</c:v>
                </c:pt>
                <c:pt idx="498">
                  <c:v>43004</c:v>
                </c:pt>
                <c:pt idx="499">
                  <c:v>43003</c:v>
                </c:pt>
                <c:pt idx="500">
                  <c:v>43000</c:v>
                </c:pt>
                <c:pt idx="501">
                  <c:v>42999</c:v>
                </c:pt>
                <c:pt idx="502">
                  <c:v>42998</c:v>
                </c:pt>
                <c:pt idx="503">
                  <c:v>42997</c:v>
                </c:pt>
                <c:pt idx="504">
                  <c:v>42993</c:v>
                </c:pt>
                <c:pt idx="505">
                  <c:v>42992</c:v>
                </c:pt>
                <c:pt idx="506">
                  <c:v>42991</c:v>
                </c:pt>
                <c:pt idx="507">
                  <c:v>42990</c:v>
                </c:pt>
                <c:pt idx="508">
                  <c:v>42989</c:v>
                </c:pt>
                <c:pt idx="509">
                  <c:v>42986</c:v>
                </c:pt>
                <c:pt idx="510">
                  <c:v>42985</c:v>
                </c:pt>
                <c:pt idx="511">
                  <c:v>42984</c:v>
                </c:pt>
                <c:pt idx="512">
                  <c:v>42983</c:v>
                </c:pt>
                <c:pt idx="513">
                  <c:v>42982</c:v>
                </c:pt>
                <c:pt idx="514">
                  <c:v>42979</c:v>
                </c:pt>
                <c:pt idx="515">
                  <c:v>42978</c:v>
                </c:pt>
                <c:pt idx="516">
                  <c:v>42977</c:v>
                </c:pt>
                <c:pt idx="517">
                  <c:v>42976</c:v>
                </c:pt>
                <c:pt idx="518">
                  <c:v>42975</c:v>
                </c:pt>
                <c:pt idx="519">
                  <c:v>42972</c:v>
                </c:pt>
                <c:pt idx="520">
                  <c:v>42971</c:v>
                </c:pt>
                <c:pt idx="521">
                  <c:v>42970</c:v>
                </c:pt>
                <c:pt idx="522">
                  <c:v>42969</c:v>
                </c:pt>
                <c:pt idx="523">
                  <c:v>42968</c:v>
                </c:pt>
                <c:pt idx="524">
                  <c:v>42965</c:v>
                </c:pt>
                <c:pt idx="525">
                  <c:v>42964</c:v>
                </c:pt>
                <c:pt idx="526">
                  <c:v>42963</c:v>
                </c:pt>
                <c:pt idx="527">
                  <c:v>42962</c:v>
                </c:pt>
                <c:pt idx="528">
                  <c:v>42961</c:v>
                </c:pt>
                <c:pt idx="529">
                  <c:v>42957</c:v>
                </c:pt>
                <c:pt idx="530">
                  <c:v>42956</c:v>
                </c:pt>
                <c:pt idx="531">
                  <c:v>42955</c:v>
                </c:pt>
                <c:pt idx="532">
                  <c:v>42954</c:v>
                </c:pt>
                <c:pt idx="533">
                  <c:v>42951</c:v>
                </c:pt>
                <c:pt idx="534">
                  <c:v>42950</c:v>
                </c:pt>
                <c:pt idx="535">
                  <c:v>42949</c:v>
                </c:pt>
                <c:pt idx="536">
                  <c:v>42948</c:v>
                </c:pt>
                <c:pt idx="537">
                  <c:v>42947</c:v>
                </c:pt>
                <c:pt idx="538">
                  <c:v>42944</c:v>
                </c:pt>
                <c:pt idx="539">
                  <c:v>42943</c:v>
                </c:pt>
                <c:pt idx="540">
                  <c:v>42942</c:v>
                </c:pt>
                <c:pt idx="541">
                  <c:v>42941</c:v>
                </c:pt>
                <c:pt idx="542">
                  <c:v>42940</c:v>
                </c:pt>
                <c:pt idx="543">
                  <c:v>42937</c:v>
                </c:pt>
                <c:pt idx="544">
                  <c:v>42936</c:v>
                </c:pt>
                <c:pt idx="545">
                  <c:v>42935</c:v>
                </c:pt>
                <c:pt idx="546">
                  <c:v>42934</c:v>
                </c:pt>
                <c:pt idx="547">
                  <c:v>42930</c:v>
                </c:pt>
                <c:pt idx="548">
                  <c:v>42929</c:v>
                </c:pt>
                <c:pt idx="549">
                  <c:v>42928</c:v>
                </c:pt>
                <c:pt idx="550">
                  <c:v>42927</c:v>
                </c:pt>
                <c:pt idx="551">
                  <c:v>42926</c:v>
                </c:pt>
                <c:pt idx="552">
                  <c:v>42923</c:v>
                </c:pt>
                <c:pt idx="553">
                  <c:v>42922</c:v>
                </c:pt>
                <c:pt idx="554">
                  <c:v>42921</c:v>
                </c:pt>
                <c:pt idx="555">
                  <c:v>42920</c:v>
                </c:pt>
                <c:pt idx="556">
                  <c:v>42919</c:v>
                </c:pt>
                <c:pt idx="557">
                  <c:v>42916</c:v>
                </c:pt>
                <c:pt idx="558">
                  <c:v>42915</c:v>
                </c:pt>
                <c:pt idx="559">
                  <c:v>42914</c:v>
                </c:pt>
                <c:pt idx="560">
                  <c:v>42913</c:v>
                </c:pt>
                <c:pt idx="561">
                  <c:v>42912</c:v>
                </c:pt>
                <c:pt idx="562">
                  <c:v>42909</c:v>
                </c:pt>
                <c:pt idx="563">
                  <c:v>42908</c:v>
                </c:pt>
                <c:pt idx="564">
                  <c:v>42907</c:v>
                </c:pt>
                <c:pt idx="565">
                  <c:v>42906</c:v>
                </c:pt>
                <c:pt idx="566">
                  <c:v>42905</c:v>
                </c:pt>
                <c:pt idx="567">
                  <c:v>42902</c:v>
                </c:pt>
                <c:pt idx="568">
                  <c:v>42901</c:v>
                </c:pt>
                <c:pt idx="569">
                  <c:v>42900</c:v>
                </c:pt>
                <c:pt idx="570">
                  <c:v>42899</c:v>
                </c:pt>
                <c:pt idx="571">
                  <c:v>42898</c:v>
                </c:pt>
                <c:pt idx="572">
                  <c:v>42895</c:v>
                </c:pt>
                <c:pt idx="573">
                  <c:v>42894</c:v>
                </c:pt>
                <c:pt idx="574">
                  <c:v>42893</c:v>
                </c:pt>
                <c:pt idx="575">
                  <c:v>42892</c:v>
                </c:pt>
                <c:pt idx="576">
                  <c:v>42891</c:v>
                </c:pt>
                <c:pt idx="577">
                  <c:v>42888</c:v>
                </c:pt>
                <c:pt idx="578">
                  <c:v>42887</c:v>
                </c:pt>
                <c:pt idx="579">
                  <c:v>42886</c:v>
                </c:pt>
                <c:pt idx="580">
                  <c:v>42885</c:v>
                </c:pt>
                <c:pt idx="581">
                  <c:v>42884</c:v>
                </c:pt>
                <c:pt idx="582">
                  <c:v>42881</c:v>
                </c:pt>
                <c:pt idx="583">
                  <c:v>42880</c:v>
                </c:pt>
                <c:pt idx="584">
                  <c:v>42879</c:v>
                </c:pt>
                <c:pt idx="585">
                  <c:v>42878</c:v>
                </c:pt>
                <c:pt idx="586">
                  <c:v>42877</c:v>
                </c:pt>
                <c:pt idx="587">
                  <c:v>42874</c:v>
                </c:pt>
                <c:pt idx="588">
                  <c:v>42873</c:v>
                </c:pt>
                <c:pt idx="589">
                  <c:v>42872</c:v>
                </c:pt>
                <c:pt idx="590">
                  <c:v>42871</c:v>
                </c:pt>
                <c:pt idx="591">
                  <c:v>42870</c:v>
                </c:pt>
                <c:pt idx="592">
                  <c:v>42867</c:v>
                </c:pt>
                <c:pt idx="593">
                  <c:v>42866</c:v>
                </c:pt>
                <c:pt idx="594">
                  <c:v>42865</c:v>
                </c:pt>
                <c:pt idx="595">
                  <c:v>42864</c:v>
                </c:pt>
                <c:pt idx="596">
                  <c:v>42863</c:v>
                </c:pt>
                <c:pt idx="597">
                  <c:v>42857</c:v>
                </c:pt>
                <c:pt idx="598">
                  <c:v>42856</c:v>
                </c:pt>
                <c:pt idx="599">
                  <c:v>42853</c:v>
                </c:pt>
                <c:pt idx="600">
                  <c:v>42852</c:v>
                </c:pt>
                <c:pt idx="601">
                  <c:v>42851</c:v>
                </c:pt>
                <c:pt idx="602">
                  <c:v>42850</c:v>
                </c:pt>
                <c:pt idx="603">
                  <c:v>42849</c:v>
                </c:pt>
                <c:pt idx="604">
                  <c:v>42846</c:v>
                </c:pt>
                <c:pt idx="605">
                  <c:v>42845</c:v>
                </c:pt>
                <c:pt idx="606">
                  <c:v>42844</c:v>
                </c:pt>
                <c:pt idx="607">
                  <c:v>42843</c:v>
                </c:pt>
                <c:pt idx="608">
                  <c:v>42842</c:v>
                </c:pt>
                <c:pt idx="609">
                  <c:v>42839</c:v>
                </c:pt>
                <c:pt idx="610">
                  <c:v>42838</c:v>
                </c:pt>
                <c:pt idx="611">
                  <c:v>42837</c:v>
                </c:pt>
                <c:pt idx="612">
                  <c:v>42836</c:v>
                </c:pt>
                <c:pt idx="613">
                  <c:v>42835</c:v>
                </c:pt>
                <c:pt idx="614">
                  <c:v>42832</c:v>
                </c:pt>
                <c:pt idx="615">
                  <c:v>42831</c:v>
                </c:pt>
                <c:pt idx="616">
                  <c:v>42830</c:v>
                </c:pt>
                <c:pt idx="617">
                  <c:v>42829</c:v>
                </c:pt>
                <c:pt idx="618">
                  <c:v>42828</c:v>
                </c:pt>
                <c:pt idx="619">
                  <c:v>42825</c:v>
                </c:pt>
                <c:pt idx="620">
                  <c:v>42824</c:v>
                </c:pt>
                <c:pt idx="621">
                  <c:v>42823</c:v>
                </c:pt>
                <c:pt idx="622">
                  <c:v>42822</c:v>
                </c:pt>
                <c:pt idx="623">
                  <c:v>42821</c:v>
                </c:pt>
                <c:pt idx="624">
                  <c:v>42818</c:v>
                </c:pt>
                <c:pt idx="625">
                  <c:v>42817</c:v>
                </c:pt>
                <c:pt idx="626">
                  <c:v>42816</c:v>
                </c:pt>
                <c:pt idx="627">
                  <c:v>42815</c:v>
                </c:pt>
                <c:pt idx="628">
                  <c:v>42811</c:v>
                </c:pt>
                <c:pt idx="629">
                  <c:v>42810</c:v>
                </c:pt>
                <c:pt idx="630">
                  <c:v>42809</c:v>
                </c:pt>
                <c:pt idx="631">
                  <c:v>42808</c:v>
                </c:pt>
                <c:pt idx="632">
                  <c:v>42807</c:v>
                </c:pt>
                <c:pt idx="633">
                  <c:v>42804</c:v>
                </c:pt>
                <c:pt idx="634">
                  <c:v>42803</c:v>
                </c:pt>
                <c:pt idx="635">
                  <c:v>42802</c:v>
                </c:pt>
                <c:pt idx="636">
                  <c:v>42801</c:v>
                </c:pt>
                <c:pt idx="637">
                  <c:v>42800</c:v>
                </c:pt>
                <c:pt idx="638">
                  <c:v>42797</c:v>
                </c:pt>
                <c:pt idx="639">
                  <c:v>42796</c:v>
                </c:pt>
                <c:pt idx="640">
                  <c:v>42795</c:v>
                </c:pt>
                <c:pt idx="641">
                  <c:v>42794</c:v>
                </c:pt>
                <c:pt idx="642">
                  <c:v>42793</c:v>
                </c:pt>
                <c:pt idx="643">
                  <c:v>42790</c:v>
                </c:pt>
                <c:pt idx="644">
                  <c:v>42789</c:v>
                </c:pt>
                <c:pt idx="645">
                  <c:v>42788</c:v>
                </c:pt>
                <c:pt idx="646">
                  <c:v>42787</c:v>
                </c:pt>
                <c:pt idx="647">
                  <c:v>42786</c:v>
                </c:pt>
                <c:pt idx="648">
                  <c:v>42783</c:v>
                </c:pt>
                <c:pt idx="649">
                  <c:v>42782</c:v>
                </c:pt>
                <c:pt idx="650">
                  <c:v>42781</c:v>
                </c:pt>
                <c:pt idx="651">
                  <c:v>42780</c:v>
                </c:pt>
                <c:pt idx="652">
                  <c:v>42779</c:v>
                </c:pt>
                <c:pt idx="653">
                  <c:v>42776</c:v>
                </c:pt>
                <c:pt idx="654">
                  <c:v>42775</c:v>
                </c:pt>
                <c:pt idx="655">
                  <c:v>42774</c:v>
                </c:pt>
                <c:pt idx="656">
                  <c:v>42773</c:v>
                </c:pt>
                <c:pt idx="657">
                  <c:v>42772</c:v>
                </c:pt>
                <c:pt idx="658">
                  <c:v>42769</c:v>
                </c:pt>
                <c:pt idx="659">
                  <c:v>42768</c:v>
                </c:pt>
                <c:pt idx="660">
                  <c:v>42767</c:v>
                </c:pt>
                <c:pt idx="661">
                  <c:v>42766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4.1918276943957755</c:v>
                </c:pt>
                <c:pt idx="1">
                  <c:v>4.1967476649161393</c:v>
                </c:pt>
                <c:pt idx="2">
                  <c:v>4.1959800531108069</c:v>
                </c:pt>
                <c:pt idx="3">
                  <c:v>4.1973701446397653</c:v>
                </c:pt>
                <c:pt idx="4">
                  <c:v>4.2035416021547123</c:v>
                </c:pt>
                <c:pt idx="5">
                  <c:v>4.2059095832502429</c:v>
                </c:pt>
                <c:pt idx="6">
                  <c:v>4.207030014539292</c:v>
                </c:pt>
                <c:pt idx="7">
                  <c:v>4.2099015998949332</c:v>
                </c:pt>
                <c:pt idx="8">
                  <c:v>4.2095408995391734</c:v>
                </c:pt>
                <c:pt idx="9">
                  <c:v>4.2091107622720134</c:v>
                </c:pt>
                <c:pt idx="10">
                  <c:v>4.2052221151544229</c:v>
                </c:pt>
                <c:pt idx="11">
                  <c:v>4.1984661948809965</c:v>
                </c:pt>
                <c:pt idx="12">
                  <c:v>4.1842114197769051</c:v>
                </c:pt>
                <c:pt idx="13">
                  <c:v>4.1748687663829998</c:v>
                </c:pt>
                <c:pt idx="14">
                  <c:v>4.1625707413607955</c:v>
                </c:pt>
                <c:pt idx="15">
                  <c:v>4.1476665513946296</c:v>
                </c:pt>
                <c:pt idx="16">
                  <c:v>4.1437544993808801</c:v>
                </c:pt>
                <c:pt idx="17">
                  <c:v>4.1436868542560825</c:v>
                </c:pt>
                <c:pt idx="18">
                  <c:v>4.14231077505677</c:v>
                </c:pt>
                <c:pt idx="19">
                  <c:v>4.141048380339968</c:v>
                </c:pt>
                <c:pt idx="20">
                  <c:v>4.1423904723696365</c:v>
                </c:pt>
                <c:pt idx="21">
                  <c:v>4.1405702273280038</c:v>
                </c:pt>
                <c:pt idx="22">
                  <c:v>4.1374554414115403</c:v>
                </c:pt>
                <c:pt idx="23">
                  <c:v>4.139039835965014</c:v>
                </c:pt>
                <c:pt idx="24">
                  <c:v>4.144530897994227</c:v>
                </c:pt>
                <c:pt idx="25">
                  <c:v>4.1488318306240402</c:v>
                </c:pt>
                <c:pt idx="26">
                  <c:v>4.151459947063243</c:v>
                </c:pt>
                <c:pt idx="27">
                  <c:v>4.1518267021362849</c:v>
                </c:pt>
                <c:pt idx="28">
                  <c:v>4.1503328997640851</c:v>
                </c:pt>
                <c:pt idx="29">
                  <c:v>4.1491265370707735</c:v>
                </c:pt>
                <c:pt idx="30">
                  <c:v>4.1489649481198994</c:v>
                </c:pt>
                <c:pt idx="31">
                  <c:v>4.149118924684795</c:v>
                </c:pt>
                <c:pt idx="32">
                  <c:v>4.1459821686820622</c:v>
                </c:pt>
                <c:pt idx="33">
                  <c:v>4.1420535390744586</c:v>
                </c:pt>
                <c:pt idx="34">
                  <c:v>4.1410875917247907</c:v>
                </c:pt>
                <c:pt idx="35">
                  <c:v>4.141165940015779</c:v>
                </c:pt>
                <c:pt idx="36">
                  <c:v>4.1397218335323123</c:v>
                </c:pt>
                <c:pt idx="37">
                  <c:v>4.137848851584554</c:v>
                </c:pt>
                <c:pt idx="38">
                  <c:v>4.1357952476832178</c:v>
                </c:pt>
                <c:pt idx="39">
                  <c:v>4.1357627100397965</c:v>
                </c:pt>
                <c:pt idx="40">
                  <c:v>4.1341293411720681</c:v>
                </c:pt>
                <c:pt idx="41">
                  <c:v>4.1306774468010206</c:v>
                </c:pt>
                <c:pt idx="42">
                  <c:v>4.1251185847369882</c:v>
                </c:pt>
                <c:pt idx="43">
                  <c:v>4.1106685382833543</c:v>
                </c:pt>
                <c:pt idx="44">
                  <c:v>4.1014271139209617</c:v>
                </c:pt>
                <c:pt idx="45">
                  <c:v>4.0775859357840902</c:v>
                </c:pt>
                <c:pt idx="46">
                  <c:v>4.0491725229960318</c:v>
                </c:pt>
                <c:pt idx="47">
                  <c:v>4.0188153419763699</c:v>
                </c:pt>
                <c:pt idx="48">
                  <c:v>3.9569078883531663</c:v>
                </c:pt>
                <c:pt idx="49">
                  <c:v>3.9216954318084856</c:v>
                </c:pt>
                <c:pt idx="50">
                  <c:v>3.8812047084226862</c:v>
                </c:pt>
                <c:pt idx="51">
                  <c:v>3.8492744088825184</c:v>
                </c:pt>
                <c:pt idx="52">
                  <c:v>3.8112157355879002</c:v>
                </c:pt>
                <c:pt idx="53">
                  <c:v>3.7853940391124343</c:v>
                </c:pt>
                <c:pt idx="54">
                  <c:v>3.762697001509328</c:v>
                </c:pt>
                <c:pt idx="55">
                  <c:v>3.7255315150513097</c:v>
                </c:pt>
                <c:pt idx="56">
                  <c:v>3.6880380427573116</c:v>
                </c:pt>
                <c:pt idx="57">
                  <c:v>3.6720745015006822</c:v>
                </c:pt>
                <c:pt idx="58">
                  <c:v>3.6592699268937539</c:v>
                </c:pt>
                <c:pt idx="59">
                  <c:v>3.6530587818954618</c:v>
                </c:pt>
                <c:pt idx="60">
                  <c:v>3.6558004789894722</c:v>
                </c:pt>
                <c:pt idx="61">
                  <c:v>3.6554199677815724</c:v>
                </c:pt>
                <c:pt idx="62">
                  <c:v>3.6549556935827399</c:v>
                </c:pt>
                <c:pt idx="63">
                  <c:v>3.656964068987246</c:v>
                </c:pt>
                <c:pt idx="64">
                  <c:v>3.6542280262869502</c:v>
                </c:pt>
                <c:pt idx="65">
                  <c:v>3.6512725789567719</c:v>
                </c:pt>
                <c:pt idx="66">
                  <c:v>3.6498685090118244</c:v>
                </c:pt>
                <c:pt idx="67">
                  <c:v>3.6488245463895197</c:v>
                </c:pt>
                <c:pt idx="68">
                  <c:v>3.6466909327038142</c:v>
                </c:pt>
                <c:pt idx="69">
                  <c:v>3.651012565993708</c:v>
                </c:pt>
                <c:pt idx="70">
                  <c:v>3.6586961406614238</c:v>
                </c:pt>
                <c:pt idx="71">
                  <c:v>3.6688178899718542</c:v>
                </c:pt>
                <c:pt idx="72">
                  <c:v>3.6786773949327163</c:v>
                </c:pt>
                <c:pt idx="73">
                  <c:v>3.6932099875894462</c:v>
                </c:pt>
                <c:pt idx="74">
                  <c:v>3.704219806756222</c:v>
                </c:pt>
                <c:pt idx="75">
                  <c:v>3.7178154749630137</c:v>
                </c:pt>
                <c:pt idx="76">
                  <c:v>3.7321764317977877</c:v>
                </c:pt>
                <c:pt idx="77">
                  <c:v>3.7456015209064697</c:v>
                </c:pt>
                <c:pt idx="78">
                  <c:v>3.7579252709408864</c:v>
                </c:pt>
                <c:pt idx="79">
                  <c:v>3.7702213323565781</c:v>
                </c:pt>
                <c:pt idx="80">
                  <c:v>3.7851813379750596</c:v>
                </c:pt>
                <c:pt idx="81">
                  <c:v>3.7988800405519916</c:v>
                </c:pt>
                <c:pt idx="82">
                  <c:v>3.8116850053479405</c:v>
                </c:pt>
                <c:pt idx="83">
                  <c:v>3.826763714695824</c:v>
                </c:pt>
                <c:pt idx="84">
                  <c:v>3.8427833811734504</c:v>
                </c:pt>
                <c:pt idx="85">
                  <c:v>3.8636502116488503</c:v>
                </c:pt>
                <c:pt idx="86">
                  <c:v>3.8881254156193883</c:v>
                </c:pt>
                <c:pt idx="87">
                  <c:v>3.9190523070048862</c:v>
                </c:pt>
                <c:pt idx="88">
                  <c:v>3.95028118063943</c:v>
                </c:pt>
                <c:pt idx="89">
                  <c:v>3.9827880845611583</c:v>
                </c:pt>
                <c:pt idx="90">
                  <c:v>4.0205367017384219</c:v>
                </c:pt>
                <c:pt idx="91">
                  <c:v>4.047812675493212</c:v>
                </c:pt>
                <c:pt idx="92">
                  <c:v>4.0727922063019504</c:v>
                </c:pt>
                <c:pt idx="93">
                  <c:v>4.0999789044612784</c:v>
                </c:pt>
                <c:pt idx="94">
                  <c:v>4.1273922174638802</c:v>
                </c:pt>
                <c:pt idx="95">
                  <c:v>4.1417912849338467</c:v>
                </c:pt>
                <c:pt idx="96">
                  <c:v>4.1592661733646379</c:v>
                </c:pt>
                <c:pt idx="97">
                  <c:v>4.1760025455363605</c:v>
                </c:pt>
                <c:pt idx="98">
                  <c:v>4.1862206678879534</c:v>
                </c:pt>
                <c:pt idx="99">
                  <c:v>4.1814427782927837</c:v>
                </c:pt>
                <c:pt idx="100">
                  <c:v>4.1786867591531038</c:v>
                </c:pt>
                <c:pt idx="101">
                  <c:v>4.1754639817298838</c:v>
                </c:pt>
                <c:pt idx="102">
                  <c:v>4.1771082358496603</c:v>
                </c:pt>
                <c:pt idx="103">
                  <c:v>4.1802260856067166</c:v>
                </c:pt>
                <c:pt idx="104">
                  <c:v>4.1772000944806233</c:v>
                </c:pt>
                <c:pt idx="105">
                  <c:v>4.1589532136776537</c:v>
                </c:pt>
                <c:pt idx="106">
                  <c:v>4.1481383498946514</c:v>
                </c:pt>
                <c:pt idx="107">
                  <c:v>4.1333812751846457</c:v>
                </c:pt>
                <c:pt idx="108">
                  <c:v>4.1170015105062303</c:v>
                </c:pt>
                <c:pt idx="109">
                  <c:v>4.114081273551542</c:v>
                </c:pt>
                <c:pt idx="110">
                  <c:v>4.1309736457349677</c:v>
                </c:pt>
                <c:pt idx="111">
                  <c:v>4.1442526243123714</c:v>
                </c:pt>
                <c:pt idx="112">
                  <c:v>4.1572750378286525</c:v>
                </c:pt>
                <c:pt idx="113">
                  <c:v>4.170004625117012</c:v>
                </c:pt>
                <c:pt idx="114">
                  <c:v>4.1903578811003541</c:v>
                </c:pt>
                <c:pt idx="115">
                  <c:v>4.206553310094284</c:v>
                </c:pt>
                <c:pt idx="116">
                  <c:v>4.2185776356519096</c:v>
                </c:pt>
                <c:pt idx="117">
                  <c:v>4.2275362263281657</c:v>
                </c:pt>
                <c:pt idx="118">
                  <c:v>4.233172188375474</c:v>
                </c:pt>
                <c:pt idx="119">
                  <c:v>4.2420206751479217</c:v>
                </c:pt>
                <c:pt idx="120">
                  <c:v>4.2458796358117361</c:v>
                </c:pt>
                <c:pt idx="121">
                  <c:v>4.2472470066057397</c:v>
                </c:pt>
                <c:pt idx="122">
                  <c:v>4.2478401218691397</c:v>
                </c:pt>
                <c:pt idx="123">
                  <c:v>4.2492173211240196</c:v>
                </c:pt>
                <c:pt idx="124">
                  <c:v>4.249034039582364</c:v>
                </c:pt>
                <c:pt idx="125">
                  <c:v>4.2501440396256136</c:v>
                </c:pt>
                <c:pt idx="126">
                  <c:v>4.2510593698304042</c:v>
                </c:pt>
                <c:pt idx="127">
                  <c:v>4.253932972208446</c:v>
                </c:pt>
                <c:pt idx="128">
                  <c:v>4.2549554399892182</c:v>
                </c:pt>
                <c:pt idx="129">
                  <c:v>4.256865277556118</c:v>
                </c:pt>
                <c:pt idx="130">
                  <c:v>4.2655809235200106</c:v>
                </c:pt>
                <c:pt idx="131">
                  <c:v>4.27729678121415</c:v>
                </c:pt>
                <c:pt idx="132">
                  <c:v>4.281583767701246</c:v>
                </c:pt>
                <c:pt idx="133">
                  <c:v>4.2843363076942103</c:v>
                </c:pt>
                <c:pt idx="134">
                  <c:v>4.2859213191175627</c:v>
                </c:pt>
                <c:pt idx="135">
                  <c:v>4.2859440231069659</c:v>
                </c:pt>
                <c:pt idx="136">
                  <c:v>4.2861051636578136</c:v>
                </c:pt>
                <c:pt idx="137">
                  <c:v>4.2862675600210816</c:v>
                </c:pt>
                <c:pt idx="138">
                  <c:v>4.28746761162291</c:v>
                </c:pt>
                <c:pt idx="139">
                  <c:v>4.2898182220818377</c:v>
                </c:pt>
                <c:pt idx="140">
                  <c:v>4.2911894333583795</c:v>
                </c:pt>
                <c:pt idx="141">
                  <c:v>4.2931109767054307</c:v>
                </c:pt>
                <c:pt idx="142">
                  <c:v>4.2951147282576558</c:v>
                </c:pt>
                <c:pt idx="143">
                  <c:v>4.2988387870717579</c:v>
                </c:pt>
                <c:pt idx="144">
                  <c:v>4.2975103574680018</c:v>
                </c:pt>
                <c:pt idx="145">
                  <c:v>4.2962070342656284</c:v>
                </c:pt>
                <c:pt idx="146">
                  <c:v>4.2927027741123203</c:v>
                </c:pt>
                <c:pt idx="147">
                  <c:v>4.2903426496967283</c:v>
                </c:pt>
                <c:pt idx="148">
                  <c:v>4.2876740646078835</c:v>
                </c:pt>
                <c:pt idx="149">
                  <c:v>4.2878647348091183</c:v>
                </c:pt>
                <c:pt idx="150">
                  <c:v>4.2827353880383079</c:v>
                </c:pt>
                <c:pt idx="151">
                  <c:v>4.2805592597042477</c:v>
                </c:pt>
                <c:pt idx="152">
                  <c:v>4.2799033037058258</c:v>
                </c:pt>
                <c:pt idx="153">
                  <c:v>4.2786821562599764</c:v>
                </c:pt>
                <c:pt idx="154">
                  <c:v>4.2792798566727095</c:v>
                </c:pt>
                <c:pt idx="155">
                  <c:v>4.2787205110530957</c:v>
                </c:pt>
                <c:pt idx="156">
                  <c:v>4.2771025582086777</c:v>
                </c:pt>
                <c:pt idx="157">
                  <c:v>4.275333154830518</c:v>
                </c:pt>
                <c:pt idx="158">
                  <c:v>4.2756177028663327</c:v>
                </c:pt>
                <c:pt idx="159">
                  <c:v>4.276488795056216</c:v>
                </c:pt>
                <c:pt idx="160">
                  <c:v>4.2779200944241413</c:v>
                </c:pt>
                <c:pt idx="161">
                  <c:v>4.2783283117153159</c:v>
                </c:pt>
                <c:pt idx="162">
                  <c:v>4.2785325264326675</c:v>
                </c:pt>
                <c:pt idx="163">
                  <c:v>4.2786365686541536</c:v>
                </c:pt>
                <c:pt idx="164">
                  <c:v>4.2785443761593802</c:v>
                </c:pt>
                <c:pt idx="165">
                  <c:v>4.2787474499274127</c:v>
                </c:pt>
                <c:pt idx="166">
                  <c:v>4.27598860246834</c:v>
                </c:pt>
                <c:pt idx="167">
                  <c:v>4.2729334703854658</c:v>
                </c:pt>
                <c:pt idx="168">
                  <c:v>4.2701946803720228</c:v>
                </c:pt>
                <c:pt idx="169">
                  <c:v>4.2702609888009855</c:v>
                </c:pt>
                <c:pt idx="170">
                  <c:v>4.2771987391439605</c:v>
                </c:pt>
                <c:pt idx="171">
                  <c:v>4.2848107624101974</c:v>
                </c:pt>
                <c:pt idx="172">
                  <c:v>4.2964332032944483</c:v>
                </c:pt>
                <c:pt idx="173">
                  <c:v>4.3125168261095546</c:v>
                </c:pt>
                <c:pt idx="174">
                  <c:v>4.3451278711352641</c:v>
                </c:pt>
                <c:pt idx="175">
                  <c:v>4.3754260493713364</c:v>
                </c:pt>
                <c:pt idx="176">
                  <c:v>4.4075029894565896</c:v>
                </c:pt>
                <c:pt idx="177">
                  <c:v>4.4321707206868748</c:v>
                </c:pt>
                <c:pt idx="178">
                  <c:v>4.4619548463789327</c:v>
                </c:pt>
                <c:pt idx="179">
                  <c:v>4.5039224348903284</c:v>
                </c:pt>
                <c:pt idx="180">
                  <c:v>4.5623762511469286</c:v>
                </c:pt>
                <c:pt idx="181">
                  <c:v>4.609007351103708</c:v>
                </c:pt>
                <c:pt idx="182">
                  <c:v>4.6604249750400539</c:v>
                </c:pt>
                <c:pt idx="183">
                  <c:v>4.7197102306887473</c:v>
                </c:pt>
                <c:pt idx="184">
                  <c:v>4.762938574929648</c:v>
                </c:pt>
                <c:pt idx="185">
                  <c:v>4.7647014057516559</c:v>
                </c:pt>
                <c:pt idx="186">
                  <c:v>4.7685256068523465</c:v>
                </c:pt>
                <c:pt idx="187">
                  <c:v>4.775141523114856</c:v>
                </c:pt>
                <c:pt idx="188">
                  <c:v>4.7812700347997845</c:v>
                </c:pt>
                <c:pt idx="189">
                  <c:v>4.7835534789229435</c:v>
                </c:pt>
                <c:pt idx="190">
                  <c:v>4.7829984932622418</c:v>
                </c:pt>
                <c:pt idx="191">
                  <c:v>4.7845434061518963</c:v>
                </c:pt>
                <c:pt idx="192">
                  <c:v>4.7911206577565792</c:v>
                </c:pt>
                <c:pt idx="193">
                  <c:v>4.7953255527380945</c:v>
                </c:pt>
                <c:pt idx="194">
                  <c:v>4.7967244565317717</c:v>
                </c:pt>
                <c:pt idx="195">
                  <c:v>4.7955180944954217</c:v>
                </c:pt>
                <c:pt idx="196">
                  <c:v>4.7951059584888318</c:v>
                </c:pt>
                <c:pt idx="197">
                  <c:v>4.7951069647330158</c:v>
                </c:pt>
                <c:pt idx="198">
                  <c:v>4.7952684327841828</c:v>
                </c:pt>
                <c:pt idx="199">
                  <c:v>4.7955280692074123</c:v>
                </c:pt>
                <c:pt idx="200">
                  <c:v>4.7953346788979845</c:v>
                </c:pt>
                <c:pt idx="201">
                  <c:v>4.795468571687084</c:v>
                </c:pt>
                <c:pt idx="202">
                  <c:v>4.7946304338543939</c:v>
                </c:pt>
                <c:pt idx="203">
                  <c:v>4.7943811282961342</c:v>
                </c:pt>
                <c:pt idx="204">
                  <c:v>4.7932210007490799</c:v>
                </c:pt>
                <c:pt idx="205">
                  <c:v>4.7895488861312003</c:v>
                </c:pt>
                <c:pt idx="206">
                  <c:v>4.7789838498045345</c:v>
                </c:pt>
                <c:pt idx="207">
                  <c:v>4.7551073846401719</c:v>
                </c:pt>
                <c:pt idx="208">
                  <c:v>4.7444730954313039</c:v>
                </c:pt>
                <c:pt idx="209">
                  <c:v>4.7314572065271019</c:v>
                </c:pt>
                <c:pt idx="210">
                  <c:v>4.7229431011066021</c:v>
                </c:pt>
                <c:pt idx="211">
                  <c:v>4.7144513665281744</c:v>
                </c:pt>
                <c:pt idx="212">
                  <c:v>4.7011751319419597</c:v>
                </c:pt>
                <c:pt idx="213">
                  <c:v>4.6935147540785822</c:v>
                </c:pt>
                <c:pt idx="214">
                  <c:v>4.6877383836708537</c:v>
                </c:pt>
                <c:pt idx="215">
                  <c:v>4.6922388570162665</c:v>
                </c:pt>
                <c:pt idx="216">
                  <c:v>4.692876772621398</c:v>
                </c:pt>
                <c:pt idx="217">
                  <c:v>4.6935808888822699</c:v>
                </c:pt>
                <c:pt idx="218">
                  <c:v>4.6970508910026805</c:v>
                </c:pt>
                <c:pt idx="219">
                  <c:v>4.7094960578487619</c:v>
                </c:pt>
                <c:pt idx="220">
                  <c:v>4.7219478065393119</c:v>
                </c:pt>
                <c:pt idx="221">
                  <c:v>4.7377606671550776</c:v>
                </c:pt>
                <c:pt idx="222">
                  <c:v>4.7518798489668042</c:v>
                </c:pt>
                <c:pt idx="223">
                  <c:v>4.7668503595241685</c:v>
                </c:pt>
                <c:pt idx="224">
                  <c:v>4.7691300445418756</c:v>
                </c:pt>
                <c:pt idx="225">
                  <c:v>4.7844901937506803</c:v>
                </c:pt>
                <c:pt idx="226">
                  <c:v>4.7942798429248841</c:v>
                </c:pt>
                <c:pt idx="227">
                  <c:v>4.8018204444839805</c:v>
                </c:pt>
                <c:pt idx="228">
                  <c:v>4.8167518946094017</c:v>
                </c:pt>
                <c:pt idx="229">
                  <c:v>4.8274824978624382</c:v>
                </c:pt>
                <c:pt idx="230">
                  <c:v>4.8411605462592258</c:v>
                </c:pt>
                <c:pt idx="231">
                  <c:v>4.8632585020442427</c:v>
                </c:pt>
                <c:pt idx="232">
                  <c:v>4.8876382037288515</c:v>
                </c:pt>
                <c:pt idx="233">
                  <c:v>4.904746258676516</c:v>
                </c:pt>
                <c:pt idx="234">
                  <c:v>4.906321706536076</c:v>
                </c:pt>
                <c:pt idx="235">
                  <c:v>4.8637585360697386</c:v>
                </c:pt>
                <c:pt idx="236">
                  <c:v>4.8388202482248879</c:v>
                </c:pt>
                <c:pt idx="237">
                  <c:v>4.8246130723355307</c:v>
                </c:pt>
                <c:pt idx="238">
                  <c:v>4.8046874374002879</c:v>
                </c:pt>
                <c:pt idx="239">
                  <c:v>4.7872653045609681</c:v>
                </c:pt>
                <c:pt idx="240">
                  <c:v>4.7690480598392728</c:v>
                </c:pt>
                <c:pt idx="241">
                  <c:v>4.7548127315228079</c:v>
                </c:pt>
                <c:pt idx="242">
                  <c:v>4.7340957810901338</c:v>
                </c:pt>
                <c:pt idx="243">
                  <c:v>4.7080077007329075</c:v>
                </c:pt>
                <c:pt idx="244">
                  <c:v>4.6983448985491503</c:v>
                </c:pt>
                <c:pt idx="245">
                  <c:v>4.7025549574718202</c:v>
                </c:pt>
                <c:pt idx="246">
                  <c:v>4.7198790981573868</c:v>
                </c:pt>
                <c:pt idx="247">
                  <c:v>4.7350145279451636</c:v>
                </c:pt>
                <c:pt idx="248">
                  <c:v>4.7396279156605496</c:v>
                </c:pt>
                <c:pt idx="249">
                  <c:v>4.7481857937222571</c:v>
                </c:pt>
                <c:pt idx="250">
                  <c:v>4.7521420087597077</c:v>
                </c:pt>
                <c:pt idx="251">
                  <c:v>4.7594208042062922</c:v>
                </c:pt>
                <c:pt idx="252">
                  <c:v>4.7714733107469645</c:v>
                </c:pt>
                <c:pt idx="253">
                  <c:v>4.780861466905538</c:v>
                </c:pt>
                <c:pt idx="254">
                  <c:v>4.8002076502593818</c:v>
                </c:pt>
                <c:pt idx="255">
                  <c:v>4.8181416386572407</c:v>
                </c:pt>
                <c:pt idx="256">
                  <c:v>4.8305035205494438</c:v>
                </c:pt>
                <c:pt idx="257">
                  <c:v>4.8402793051833344</c:v>
                </c:pt>
                <c:pt idx="258">
                  <c:v>4.8526776477294202</c:v>
                </c:pt>
                <c:pt idx="259">
                  <c:v>4.8653443828444241</c:v>
                </c:pt>
                <c:pt idx="260">
                  <c:v>4.8750333282525382</c:v>
                </c:pt>
                <c:pt idx="261">
                  <c:v>4.8872370074985554</c:v>
                </c:pt>
                <c:pt idx="262">
                  <c:v>4.9055609857775337</c:v>
                </c:pt>
                <c:pt idx="263">
                  <c:v>4.9259650606749243</c:v>
                </c:pt>
                <c:pt idx="264">
                  <c:v>4.9430574734213319</c:v>
                </c:pt>
                <c:pt idx="265">
                  <c:v>4.9567178127092282</c:v>
                </c:pt>
                <c:pt idx="266">
                  <c:v>4.9664182575876019</c:v>
                </c:pt>
                <c:pt idx="267">
                  <c:v>4.9793337925710039</c:v>
                </c:pt>
                <c:pt idx="268">
                  <c:v>4.9971235415795343</c:v>
                </c:pt>
                <c:pt idx="269">
                  <c:v>5.0172769162181687</c:v>
                </c:pt>
                <c:pt idx="270">
                  <c:v>5.0469162974886421</c:v>
                </c:pt>
                <c:pt idx="271">
                  <c:v>5.0785605125677193</c:v>
                </c:pt>
                <c:pt idx="272">
                  <c:v>5.104266533005104</c:v>
                </c:pt>
                <c:pt idx="273">
                  <c:v>5.1312189215000856</c:v>
                </c:pt>
                <c:pt idx="274">
                  <c:v>5.1595104278149799</c:v>
                </c:pt>
                <c:pt idx="275">
                  <c:v>5.1836070813537933</c:v>
                </c:pt>
                <c:pt idx="276">
                  <c:v>5.2090604222351482</c:v>
                </c:pt>
                <c:pt idx="277">
                  <c:v>5.2279254005232936</c:v>
                </c:pt>
                <c:pt idx="278">
                  <c:v>5.2486274232257362</c:v>
                </c:pt>
                <c:pt idx="279">
                  <c:v>5.2723428926667202</c:v>
                </c:pt>
                <c:pt idx="280">
                  <c:v>5.2894061430345483</c:v>
                </c:pt>
                <c:pt idx="281">
                  <c:v>5.2976973060448902</c:v>
                </c:pt>
                <c:pt idx="282">
                  <c:v>5.2976883740034459</c:v>
                </c:pt>
                <c:pt idx="283">
                  <c:v>5.3034282761465716</c:v>
                </c:pt>
                <c:pt idx="284">
                  <c:v>5.3096140949419901</c:v>
                </c:pt>
                <c:pt idx="285">
                  <c:v>5.3179559761722652</c:v>
                </c:pt>
                <c:pt idx="286">
                  <c:v>5.3255846213890221</c:v>
                </c:pt>
                <c:pt idx="287">
                  <c:v>5.3288127471295965</c:v>
                </c:pt>
                <c:pt idx="288">
                  <c:v>5.3349670307333286</c:v>
                </c:pt>
                <c:pt idx="289">
                  <c:v>5.340504276541254</c:v>
                </c:pt>
                <c:pt idx="290">
                  <c:v>5.3561337343927837</c:v>
                </c:pt>
                <c:pt idx="291">
                  <c:v>5.3717356444628566</c:v>
                </c:pt>
                <c:pt idx="292">
                  <c:v>5.3833714957711276</c:v>
                </c:pt>
                <c:pt idx="293">
                  <c:v>5.4115404004710834</c:v>
                </c:pt>
                <c:pt idx="294">
                  <c:v>5.4348977943353916</c:v>
                </c:pt>
                <c:pt idx="295">
                  <c:v>5.4603519325808421</c:v>
                </c:pt>
                <c:pt idx="296">
                  <c:v>5.4910884447037338</c:v>
                </c:pt>
                <c:pt idx="297">
                  <c:v>5.521358521206734</c:v>
                </c:pt>
                <c:pt idx="298">
                  <c:v>5.5480941460644244</c:v>
                </c:pt>
                <c:pt idx="299">
                  <c:v>5.5558960669426396</c:v>
                </c:pt>
                <c:pt idx="300">
                  <c:v>5.5632768985863468</c:v>
                </c:pt>
                <c:pt idx="301">
                  <c:v>5.5711309267212439</c:v>
                </c:pt>
                <c:pt idx="302">
                  <c:v>5.5819645941296105</c:v>
                </c:pt>
                <c:pt idx="303">
                  <c:v>5.5963908440202985</c:v>
                </c:pt>
                <c:pt idx="304">
                  <c:v>5.61851864488973</c:v>
                </c:pt>
                <c:pt idx="305">
                  <c:v>5.6332784415468558</c:v>
                </c:pt>
                <c:pt idx="306">
                  <c:v>5.6680213919807381</c:v>
                </c:pt>
                <c:pt idx="307">
                  <c:v>5.7073720801970946</c:v>
                </c:pt>
                <c:pt idx="308">
                  <c:v>5.742024428532944</c:v>
                </c:pt>
                <c:pt idx="309">
                  <c:v>5.7512495548632625</c:v>
                </c:pt>
                <c:pt idx="310">
                  <c:v>5.7556650230252533</c:v>
                </c:pt>
                <c:pt idx="311">
                  <c:v>5.7556054497627898</c:v>
                </c:pt>
                <c:pt idx="312">
                  <c:v>5.7563679022650183</c:v>
                </c:pt>
                <c:pt idx="313">
                  <c:v>5.7593342891310302</c:v>
                </c:pt>
                <c:pt idx="314">
                  <c:v>5.7568998671939822</c:v>
                </c:pt>
                <c:pt idx="315">
                  <c:v>5.7574171485177761</c:v>
                </c:pt>
                <c:pt idx="316">
                  <c:v>5.7555823823085461</c:v>
                </c:pt>
                <c:pt idx="317">
                  <c:v>5.7593386763553722</c:v>
                </c:pt>
                <c:pt idx="318">
                  <c:v>5.7717234851786419</c:v>
                </c:pt>
                <c:pt idx="319">
                  <c:v>5.7801429156524922</c:v>
                </c:pt>
                <c:pt idx="320">
                  <c:v>5.7803419767509006</c:v>
                </c:pt>
                <c:pt idx="321">
                  <c:v>5.7741634521904661</c:v>
                </c:pt>
                <c:pt idx="322">
                  <c:v>5.7636559252204744</c:v>
                </c:pt>
                <c:pt idx="323">
                  <c:v>5.7445719459329716</c:v>
                </c:pt>
                <c:pt idx="324">
                  <c:v>5.7235498547512158</c:v>
                </c:pt>
                <c:pt idx="325">
                  <c:v>5.7078846575973925</c:v>
                </c:pt>
                <c:pt idx="326">
                  <c:v>5.695256398827536</c:v>
                </c:pt>
                <c:pt idx="327">
                  <c:v>5.6780066530523525</c:v>
                </c:pt>
                <c:pt idx="328">
                  <c:v>5.6608297370257246</c:v>
                </c:pt>
                <c:pt idx="329">
                  <c:v>5.6446814299565009</c:v>
                </c:pt>
                <c:pt idx="330">
                  <c:v>5.6253724316716127</c:v>
                </c:pt>
                <c:pt idx="331">
                  <c:v>5.614827001860478</c:v>
                </c:pt>
                <c:pt idx="332">
                  <c:v>5.6098204830267555</c:v>
                </c:pt>
                <c:pt idx="333">
                  <c:v>5.5908432177126564</c:v>
                </c:pt>
                <c:pt idx="334">
                  <c:v>5.5566631129489119</c:v>
                </c:pt>
                <c:pt idx="335">
                  <c:v>5.5242096507294018</c:v>
                </c:pt>
                <c:pt idx="336">
                  <c:v>5.4892599838525635</c:v>
                </c:pt>
                <c:pt idx="337">
                  <c:v>5.4688805548449473</c:v>
                </c:pt>
                <c:pt idx="338">
                  <c:v>5.4473317549703379</c:v>
                </c:pt>
                <c:pt idx="339">
                  <c:v>5.4192517630366686</c:v>
                </c:pt>
                <c:pt idx="340">
                  <c:v>5.4047855630561159</c:v>
                </c:pt>
                <c:pt idx="341">
                  <c:v>5.3866221427242795</c:v>
                </c:pt>
                <c:pt idx="342">
                  <c:v>5.356391860656756</c:v>
                </c:pt>
                <c:pt idx="343">
                  <c:v>5.3296491359295857</c:v>
                </c:pt>
                <c:pt idx="344">
                  <c:v>5.2884611011031799</c:v>
                </c:pt>
                <c:pt idx="345">
                  <c:v>5.2413576984737658</c:v>
                </c:pt>
                <c:pt idx="346">
                  <c:v>5.1875259596578962</c:v>
                </c:pt>
                <c:pt idx="347">
                  <c:v>5.1425661332994244</c:v>
                </c:pt>
                <c:pt idx="348">
                  <c:v>5.105587738198996</c:v>
                </c:pt>
                <c:pt idx="349">
                  <c:v>5.0700910505709995</c:v>
                </c:pt>
                <c:pt idx="350">
                  <c:v>5.0271216210228653</c:v>
                </c:pt>
                <c:pt idx="351">
                  <c:v>4.9792140995819656</c:v>
                </c:pt>
                <c:pt idx="352">
                  <c:v>4.9337046861256404</c:v>
                </c:pt>
                <c:pt idx="353">
                  <c:v>4.8846882348485101</c:v>
                </c:pt>
                <c:pt idx="354">
                  <c:v>4.8423451836908304</c:v>
                </c:pt>
                <c:pt idx="355">
                  <c:v>4.7978988338396595</c:v>
                </c:pt>
                <c:pt idx="356">
                  <c:v>4.7661259511737315</c:v>
                </c:pt>
                <c:pt idx="357">
                  <c:v>4.7362844526435577</c:v>
                </c:pt>
                <c:pt idx="358">
                  <c:v>4.7125116593384417</c:v>
                </c:pt>
                <c:pt idx="359">
                  <c:v>4.6933008812458317</c:v>
                </c:pt>
                <c:pt idx="360">
                  <c:v>4.6797244981445081</c:v>
                </c:pt>
                <c:pt idx="361">
                  <c:v>4.6577189165308219</c:v>
                </c:pt>
                <c:pt idx="362">
                  <c:v>4.6372911317097723</c:v>
                </c:pt>
                <c:pt idx="363">
                  <c:v>4.61676484057491</c:v>
                </c:pt>
                <c:pt idx="364">
                  <c:v>4.5960089388594643</c:v>
                </c:pt>
                <c:pt idx="365">
                  <c:v>4.5808524613374502</c:v>
                </c:pt>
                <c:pt idx="366">
                  <c:v>4.5688121735311817</c:v>
                </c:pt>
                <c:pt idx="367">
                  <c:v>4.5630076230068859</c:v>
                </c:pt>
                <c:pt idx="368">
                  <c:v>4.558478803661048</c:v>
                </c:pt>
                <c:pt idx="369">
                  <c:v>4.558510560604736</c:v>
                </c:pt>
                <c:pt idx="370">
                  <c:v>4.5573743920974321</c:v>
                </c:pt>
                <c:pt idx="371">
                  <c:v>4.5569442235757958</c:v>
                </c:pt>
                <c:pt idx="372">
                  <c:v>4.5624305170578943</c:v>
                </c:pt>
                <c:pt idx="373">
                  <c:v>4.5684173688014544</c:v>
                </c:pt>
                <c:pt idx="374">
                  <c:v>4.5726082307309373</c:v>
                </c:pt>
                <c:pt idx="375">
                  <c:v>4.5771991102403078</c:v>
                </c:pt>
                <c:pt idx="376">
                  <c:v>4.5795617816954719</c:v>
                </c:pt>
                <c:pt idx="377">
                  <c:v>4.5803283968853981</c:v>
                </c:pt>
                <c:pt idx="378">
                  <c:v>4.5841416010286782</c:v>
                </c:pt>
                <c:pt idx="379">
                  <c:v>4.5895164265648605</c:v>
                </c:pt>
                <c:pt idx="380">
                  <c:v>4.5953261508542642</c:v>
                </c:pt>
                <c:pt idx="381">
                  <c:v>4.6037954888890562</c:v>
                </c:pt>
                <c:pt idx="382">
                  <c:v>4.6048827251832947</c:v>
                </c:pt>
                <c:pt idx="383">
                  <c:v>4.6153131885339835</c:v>
                </c:pt>
                <c:pt idx="384">
                  <c:v>4.62859530461707</c:v>
                </c:pt>
                <c:pt idx="385">
                  <c:v>4.6373549103695</c:v>
                </c:pt>
                <c:pt idx="386">
                  <c:v>4.6416648724013934</c:v>
                </c:pt>
                <c:pt idx="387">
                  <c:v>4.6475538874192122</c:v>
                </c:pt>
                <c:pt idx="388">
                  <c:v>4.6576853362799246</c:v>
                </c:pt>
                <c:pt idx="389">
                  <c:v>4.6782963348035382</c:v>
                </c:pt>
                <c:pt idx="390">
                  <c:v>4.6975874536912894</c:v>
                </c:pt>
                <c:pt idx="391">
                  <c:v>4.7190551851214559</c:v>
                </c:pt>
                <c:pt idx="392">
                  <c:v>4.7394893199216517</c:v>
                </c:pt>
                <c:pt idx="393">
                  <c:v>4.7555099257716797</c:v>
                </c:pt>
                <c:pt idx="394">
                  <c:v>4.7689453692904689</c:v>
                </c:pt>
                <c:pt idx="395">
                  <c:v>4.7755430611718941</c:v>
                </c:pt>
                <c:pt idx="396">
                  <c:v>4.7786006469763347</c:v>
                </c:pt>
                <c:pt idx="397">
                  <c:v>4.7799162496277701</c:v>
                </c:pt>
                <c:pt idx="398">
                  <c:v>4.7784780892209957</c:v>
                </c:pt>
                <c:pt idx="399">
                  <c:v>4.7773712314981118</c:v>
                </c:pt>
                <c:pt idx="400">
                  <c:v>4.776894134835092</c:v>
                </c:pt>
                <c:pt idx="401">
                  <c:v>4.7731065567616584</c:v>
                </c:pt>
                <c:pt idx="402">
                  <c:v>4.7688477686968964</c:v>
                </c:pt>
                <c:pt idx="403">
                  <c:v>4.7650502078084482</c:v>
                </c:pt>
                <c:pt idx="404">
                  <c:v>4.7616306500311616</c:v>
                </c:pt>
                <c:pt idx="405">
                  <c:v>4.7615248272408177</c:v>
                </c:pt>
                <c:pt idx="406">
                  <c:v>4.7618924669141371</c:v>
                </c:pt>
                <c:pt idx="407">
                  <c:v>4.7619203344350955</c:v>
                </c:pt>
                <c:pt idx="408">
                  <c:v>4.7615747458881996</c:v>
                </c:pt>
                <c:pt idx="409">
                  <c:v>4.7627875578849723</c:v>
                </c:pt>
                <c:pt idx="410">
                  <c:v>4.7635386936161019</c:v>
                </c:pt>
                <c:pt idx="411">
                  <c:v>4.766253524840506</c:v>
                </c:pt>
                <c:pt idx="412">
                  <c:v>4.7651589546766919</c:v>
                </c:pt>
                <c:pt idx="413">
                  <c:v>4.764985193573656</c:v>
                </c:pt>
                <c:pt idx="414">
                  <c:v>4.7674960700639399</c:v>
                </c:pt>
                <c:pt idx="415">
                  <c:v>4.7678605926486641</c:v>
                </c:pt>
                <c:pt idx="416">
                  <c:v>4.7688418899912923</c:v>
                </c:pt>
                <c:pt idx="417">
                  <c:v>4.7736769978164126</c:v>
                </c:pt>
                <c:pt idx="418">
                  <c:v>4.7779401666210983</c:v>
                </c:pt>
                <c:pt idx="419">
                  <c:v>4.7889754108722835</c:v>
                </c:pt>
                <c:pt idx="420">
                  <c:v>4.8034925857142117</c:v>
                </c:pt>
                <c:pt idx="421">
                  <c:v>4.8242089411206459</c:v>
                </c:pt>
                <c:pt idx="422">
                  <c:v>4.8403957035391141</c:v>
                </c:pt>
                <c:pt idx="423">
                  <c:v>4.8498064451900742</c:v>
                </c:pt>
                <c:pt idx="424">
                  <c:v>4.8613375271505035</c:v>
                </c:pt>
                <c:pt idx="425">
                  <c:v>4.8802357322154917</c:v>
                </c:pt>
                <c:pt idx="426">
                  <c:v>4.9081134285607524</c:v>
                </c:pt>
                <c:pt idx="427">
                  <c:v>4.9384129064292059</c:v>
                </c:pt>
                <c:pt idx="428">
                  <c:v>4.973675168110498</c:v>
                </c:pt>
                <c:pt idx="429">
                  <c:v>5.0014792136672925</c:v>
                </c:pt>
                <c:pt idx="430">
                  <c:v>5.0359278158545742</c:v>
                </c:pt>
                <c:pt idx="431">
                  <c:v>5.0544637125339484</c:v>
                </c:pt>
                <c:pt idx="432">
                  <c:v>5.0732269526639655</c:v>
                </c:pt>
                <c:pt idx="433">
                  <c:v>5.0878905340164993</c:v>
                </c:pt>
                <c:pt idx="434">
                  <c:v>5.0972702100739182</c:v>
                </c:pt>
                <c:pt idx="435">
                  <c:v>5.1072291172558524</c:v>
                </c:pt>
                <c:pt idx="436">
                  <c:v>5.1329317974559636</c:v>
                </c:pt>
                <c:pt idx="437">
                  <c:v>5.1611772698740426</c:v>
                </c:pt>
                <c:pt idx="438">
                  <c:v>5.1875080504099378</c:v>
                </c:pt>
                <c:pt idx="439">
                  <c:v>5.2146770359742316</c:v>
                </c:pt>
                <c:pt idx="440">
                  <c:v>5.2282607898881874</c:v>
                </c:pt>
                <c:pt idx="441">
                  <c:v>5.2440922153729241</c:v>
                </c:pt>
                <c:pt idx="442">
                  <c:v>5.2483815563296359</c:v>
                </c:pt>
                <c:pt idx="443">
                  <c:v>5.2529237443202481</c:v>
                </c:pt>
                <c:pt idx="444">
                  <c:v>5.2525858662599596</c:v>
                </c:pt>
                <c:pt idx="445">
                  <c:v>5.2565445189020599</c:v>
                </c:pt>
                <c:pt idx="446">
                  <c:v>5.263278286360018</c:v>
                </c:pt>
                <c:pt idx="447">
                  <c:v>5.2612670203623679</c:v>
                </c:pt>
                <c:pt idx="448">
                  <c:v>5.2555040327474698</c:v>
                </c:pt>
                <c:pt idx="449">
                  <c:v>5.2492301855176535</c:v>
                </c:pt>
                <c:pt idx="450">
                  <c:v>5.2437647682318556</c:v>
                </c:pt>
                <c:pt idx="451">
                  <c:v>5.2371052893077845</c:v>
                </c:pt>
                <c:pt idx="452">
                  <c:v>5.2279452350526157</c:v>
                </c:pt>
                <c:pt idx="453">
                  <c:v>5.2208383417407394</c:v>
                </c:pt>
                <c:pt idx="454">
                  <c:v>5.2171334785196786</c:v>
                </c:pt>
                <c:pt idx="455">
                  <c:v>5.2116267554792604</c:v>
                </c:pt>
                <c:pt idx="456">
                  <c:v>5.1977994677503681</c:v>
                </c:pt>
                <c:pt idx="457">
                  <c:v>5.1949218462681817</c:v>
                </c:pt>
                <c:pt idx="458">
                  <c:v>5.177180976840134</c:v>
                </c:pt>
                <c:pt idx="459">
                  <c:v>5.1628884132652004</c:v>
                </c:pt>
                <c:pt idx="460">
                  <c:v>5.1412270069418886</c:v>
                </c:pt>
                <c:pt idx="461">
                  <c:v>5.1066999118674818</c:v>
                </c:pt>
                <c:pt idx="462">
                  <c:v>5.074614653173942</c:v>
                </c:pt>
                <c:pt idx="463">
                  <c:v>5.0440240385043378</c:v>
                </c:pt>
                <c:pt idx="464">
                  <c:v>5.0201352253547515</c:v>
                </c:pt>
                <c:pt idx="465">
                  <c:v>4.9968758203172703</c:v>
                </c:pt>
                <c:pt idx="466">
                  <c:v>4.9702598888209284</c:v>
                </c:pt>
                <c:pt idx="467">
                  <c:v>4.9465993810023718</c:v>
                </c:pt>
                <c:pt idx="468">
                  <c:v>4.9213813557808779</c:v>
                </c:pt>
                <c:pt idx="469">
                  <c:v>4.8883619147769153</c:v>
                </c:pt>
                <c:pt idx="470">
                  <c:v>4.8571492410423183</c:v>
                </c:pt>
                <c:pt idx="471">
                  <c:v>4.8258143086797736</c:v>
                </c:pt>
                <c:pt idx="472">
                  <c:v>4.7879800307244054</c:v>
                </c:pt>
                <c:pt idx="473">
                  <c:v>4.7495350130793996</c:v>
                </c:pt>
                <c:pt idx="474">
                  <c:v>4.7164757131059174</c:v>
                </c:pt>
                <c:pt idx="475">
                  <c:v>4.6801094064978761</c:v>
                </c:pt>
                <c:pt idx="476">
                  <c:v>4.6420044161308622</c:v>
                </c:pt>
                <c:pt idx="477">
                  <c:v>4.6037737019990761</c:v>
                </c:pt>
                <c:pt idx="478">
                  <c:v>4.5612702729358601</c:v>
                </c:pt>
                <c:pt idx="479">
                  <c:v>4.5172024441209562</c:v>
                </c:pt>
                <c:pt idx="480">
                  <c:v>4.482347652938846</c:v>
                </c:pt>
                <c:pt idx="481">
                  <c:v>4.4416989339490458</c:v>
                </c:pt>
                <c:pt idx="482">
                  <c:v>4.4042878221631119</c:v>
                </c:pt>
                <c:pt idx="483">
                  <c:v>4.3718751827868267</c:v>
                </c:pt>
                <c:pt idx="484">
                  <c:v>4.34648706549729</c:v>
                </c:pt>
                <c:pt idx="485">
                  <c:v>4.3244761668397977</c:v>
                </c:pt>
                <c:pt idx="486">
                  <c:v>4.3148446063841561</c:v>
                </c:pt>
                <c:pt idx="487">
                  <c:v>4.3062748097224706</c:v>
                </c:pt>
                <c:pt idx="488">
                  <c:v>4.2948154737660378</c:v>
                </c:pt>
                <c:pt idx="489">
                  <c:v>4.286542735638422</c:v>
                </c:pt>
                <c:pt idx="490">
                  <c:v>4.2782844133547204</c:v>
                </c:pt>
                <c:pt idx="491">
                  <c:v>4.2699884531703223</c:v>
                </c:pt>
                <c:pt idx="492">
                  <c:v>4.2607906055232201</c:v>
                </c:pt>
                <c:pt idx="493">
                  <c:v>4.2494460902954376</c:v>
                </c:pt>
                <c:pt idx="494">
                  <c:v>4.244304932332474</c:v>
                </c:pt>
                <c:pt idx="495">
                  <c:v>4.2323132604933038</c:v>
                </c:pt>
                <c:pt idx="496">
                  <c:v>4.2204134059613176</c:v>
                </c:pt>
                <c:pt idx="497">
                  <c:v>4.2117534837369117</c:v>
                </c:pt>
                <c:pt idx="498">
                  <c:v>4.2058447466159921</c:v>
                </c:pt>
                <c:pt idx="499">
                  <c:v>4.2036291556836947</c:v>
                </c:pt>
                <c:pt idx="500">
                  <c:v>4.2070359716674881</c:v>
                </c:pt>
                <c:pt idx="501">
                  <c:v>4.2104472971666702</c:v>
                </c:pt>
                <c:pt idx="502">
                  <c:v>4.2149261568921865</c:v>
                </c:pt>
                <c:pt idx="503">
                  <c:v>4.2154479534321263</c:v>
                </c:pt>
                <c:pt idx="504">
                  <c:v>4.2259175535265499</c:v>
                </c:pt>
                <c:pt idx="505">
                  <c:v>4.238768952710398</c:v>
                </c:pt>
                <c:pt idx="506">
                  <c:v>4.2583209185799245</c:v>
                </c:pt>
                <c:pt idx="507">
                  <c:v>4.2817848910378684</c:v>
                </c:pt>
                <c:pt idx="508">
                  <c:v>4.3035739754698596</c:v>
                </c:pt>
                <c:pt idx="509">
                  <c:v>4.3310127031605763</c:v>
                </c:pt>
                <c:pt idx="510">
                  <c:v>4.3538281192595596</c:v>
                </c:pt>
                <c:pt idx="511">
                  <c:v>4.3704801265857114</c:v>
                </c:pt>
                <c:pt idx="512">
                  <c:v>4.3801012094267957</c:v>
                </c:pt>
                <c:pt idx="513">
                  <c:v>4.3838105263118221</c:v>
                </c:pt>
                <c:pt idx="514">
                  <c:v>4.3875588455460939</c:v>
                </c:pt>
                <c:pt idx="515">
                  <c:v>4.3898628281513004</c:v>
                </c:pt>
                <c:pt idx="516">
                  <c:v>4.3921446302507263</c:v>
                </c:pt>
                <c:pt idx="517">
                  <c:v>4.3949195566231403</c:v>
                </c:pt>
                <c:pt idx="518">
                  <c:v>4.3852006593136839</c:v>
                </c:pt>
                <c:pt idx="519">
                  <c:v>4.3695968868185302</c:v>
                </c:pt>
                <c:pt idx="520">
                  <c:v>4.3531899517713919</c:v>
                </c:pt>
                <c:pt idx="521">
                  <c:v>4.3362306035195379</c:v>
                </c:pt>
                <c:pt idx="522">
                  <c:v>4.3178764544182195</c:v>
                </c:pt>
                <c:pt idx="523">
                  <c:v>4.2893502538928994</c:v>
                </c:pt>
                <c:pt idx="524">
                  <c:v>4.2624179699546119</c:v>
                </c:pt>
                <c:pt idx="525">
                  <c:v>4.2296107803012681</c:v>
                </c:pt>
                <c:pt idx="526">
                  <c:v>4.1927788819274019</c:v>
                </c:pt>
                <c:pt idx="527">
                  <c:v>4.1568807011586433</c:v>
                </c:pt>
                <c:pt idx="528">
                  <c:v>4.1371543064230307</c:v>
                </c:pt>
                <c:pt idx="529">
                  <c:v>4.1313944957338462</c:v>
                </c:pt>
                <c:pt idx="530">
                  <c:v>4.1237377024159221</c:v>
                </c:pt>
                <c:pt idx="531">
                  <c:v>4.1186442682400148</c:v>
                </c:pt>
                <c:pt idx="532">
                  <c:v>4.1092839741853897</c:v>
                </c:pt>
                <c:pt idx="533">
                  <c:v>4.1006697189360857</c:v>
                </c:pt>
                <c:pt idx="534">
                  <c:v>4.09638446224126</c:v>
                </c:pt>
                <c:pt idx="535">
                  <c:v>4.0885429448474202</c:v>
                </c:pt>
                <c:pt idx="536">
                  <c:v>4.0812041746945917</c:v>
                </c:pt>
                <c:pt idx="537">
                  <c:v>4.0729971010845265</c:v>
                </c:pt>
                <c:pt idx="538">
                  <c:v>4.063164170673172</c:v>
                </c:pt>
                <c:pt idx="539">
                  <c:v>4.0535609230258736</c:v>
                </c:pt>
                <c:pt idx="540">
                  <c:v>4.0473704109658462</c:v>
                </c:pt>
                <c:pt idx="541">
                  <c:v>4.0380067564173023</c:v>
                </c:pt>
                <c:pt idx="542">
                  <c:v>4.0294009090588379</c:v>
                </c:pt>
                <c:pt idx="543">
                  <c:v>4.0173832807557082</c:v>
                </c:pt>
                <c:pt idx="544">
                  <c:v>4.0011443938576683</c:v>
                </c:pt>
                <c:pt idx="545">
                  <c:v>3.9783178522000382</c:v>
                </c:pt>
                <c:pt idx="546">
                  <c:v>3.9453629730215538</c:v>
                </c:pt>
                <c:pt idx="547">
                  <c:v>3.9195673317221305</c:v>
                </c:pt>
                <c:pt idx="548">
                  <c:v>3.887550418225568</c:v>
                </c:pt>
                <c:pt idx="549">
                  <c:v>3.8556173324112284</c:v>
                </c:pt>
                <c:pt idx="550">
                  <c:v>3.823680021658094</c:v>
                </c:pt>
                <c:pt idx="551">
                  <c:v>3.7967385916760086</c:v>
                </c:pt>
                <c:pt idx="552">
                  <c:v>3.7731083448217002</c:v>
                </c:pt>
                <c:pt idx="553">
                  <c:v>3.7453621227832321</c:v>
                </c:pt>
                <c:pt idx="554">
                  <c:v>3.7142473940432814</c:v>
                </c:pt>
                <c:pt idx="555">
                  <c:v>3.6718216822027165</c:v>
                </c:pt>
                <c:pt idx="556">
                  <c:v>3.6337585867302478</c:v>
                </c:pt>
                <c:pt idx="557">
                  <c:v>3.5958367999396881</c:v>
                </c:pt>
                <c:pt idx="558">
                  <c:v>3.5555161202230616</c:v>
                </c:pt>
                <c:pt idx="559">
                  <c:v>3.5158048563209725</c:v>
                </c:pt>
                <c:pt idx="560">
                  <c:v>3.476827134869108</c:v>
                </c:pt>
                <c:pt idx="561">
                  <c:v>3.442284240613386</c:v>
                </c:pt>
                <c:pt idx="562">
                  <c:v>3.4116462109397281</c:v>
                </c:pt>
                <c:pt idx="563">
                  <c:v>3.3796955328398601</c:v>
                </c:pt>
                <c:pt idx="564">
                  <c:v>3.3532331094621801</c:v>
                </c:pt>
                <c:pt idx="565">
                  <c:v>3.3324657270360221</c:v>
                </c:pt>
                <c:pt idx="566">
                  <c:v>3.3143943322942864</c:v>
                </c:pt>
                <c:pt idx="567">
                  <c:v>3.2984560977870325</c:v>
                </c:pt>
                <c:pt idx="568">
                  <c:v>3.282954933083996</c:v>
                </c:pt>
                <c:pt idx="569">
                  <c:v>3.266574125912598</c:v>
                </c:pt>
                <c:pt idx="570">
                  <c:v>3.2454131028562783</c:v>
                </c:pt>
                <c:pt idx="571">
                  <c:v>3.223110518421306</c:v>
                </c:pt>
                <c:pt idx="572">
                  <c:v>3.2025650080455881</c:v>
                </c:pt>
                <c:pt idx="573">
                  <c:v>3.1802991317667879</c:v>
                </c:pt>
                <c:pt idx="574">
                  <c:v>3.1587605338919724</c:v>
                </c:pt>
                <c:pt idx="575">
                  <c:v>3.1438291179609843</c:v>
                </c:pt>
                <c:pt idx="576">
                  <c:v>3.1333169255996558</c:v>
                </c:pt>
                <c:pt idx="577">
                  <c:v>3.1263895263413417</c:v>
                </c:pt>
                <c:pt idx="578">
                  <c:v>3.1103843230789439</c:v>
                </c:pt>
                <c:pt idx="579">
                  <c:v>3.0948546302160898</c:v>
                </c:pt>
                <c:pt idx="580">
                  <c:v>3.0827148534048203</c:v>
                </c:pt>
                <c:pt idx="581">
                  <c:v>3.0706171963938695</c:v>
                </c:pt>
                <c:pt idx="582">
                  <c:v>3.060106607499308</c:v>
                </c:pt>
                <c:pt idx="583">
                  <c:v>3.0527446102455338</c:v>
                </c:pt>
                <c:pt idx="584">
                  <c:v>3.049991608099778</c:v>
                </c:pt>
                <c:pt idx="585">
                  <c:v>3.0549815435755079</c:v>
                </c:pt>
                <c:pt idx="586">
                  <c:v>3.067177484980006</c:v>
                </c:pt>
                <c:pt idx="587">
                  <c:v>3.0731859344272281</c:v>
                </c:pt>
                <c:pt idx="588">
                  <c:v>3.0767398909382262</c:v>
                </c:pt>
                <c:pt idx="589">
                  <c:v>3.0965118886462277</c:v>
                </c:pt>
                <c:pt idx="590">
                  <c:v>3.1169315657750261</c:v>
                </c:pt>
                <c:pt idx="591">
                  <c:v>3.132403119526002</c:v>
                </c:pt>
                <c:pt idx="592">
                  <c:v>3.1445707237934517</c:v>
                </c:pt>
                <c:pt idx="593">
                  <c:v>3.1390386707578899</c:v>
                </c:pt>
                <c:pt idx="594">
                  <c:v>3.132044415840844</c:v>
                </c:pt>
                <c:pt idx="595">
                  <c:v>3.1266350988365499</c:v>
                </c:pt>
                <c:pt idx="596">
                  <c:v>3.1238352464160357</c:v>
                </c:pt>
                <c:pt idx="597">
                  <c:v>3.1211543726887423</c:v>
                </c:pt>
                <c:pt idx="598">
                  <c:v>3.1157981568251181</c:v>
                </c:pt>
                <c:pt idx="599">
                  <c:v>3.1113364319440722</c:v>
                </c:pt>
                <c:pt idx="600">
                  <c:v>3.1043084047552441</c:v>
                </c:pt>
                <c:pt idx="601">
                  <c:v>3.0963086848108397</c:v>
                </c:pt>
                <c:pt idx="602">
                  <c:v>3.0899834655482397</c:v>
                </c:pt>
                <c:pt idx="603">
                  <c:v>3.086645175791312</c:v>
                </c:pt>
                <c:pt idx="604">
                  <c:v>3.08661279804394</c:v>
                </c:pt>
                <c:pt idx="605">
                  <c:v>3.0892909548055481</c:v>
                </c:pt>
                <c:pt idx="606">
                  <c:v>3.101086131533334</c:v>
                </c:pt>
                <c:pt idx="607">
                  <c:v>3.1101133849820499</c:v>
                </c:pt>
                <c:pt idx="608">
                  <c:v>3.120971517885744</c:v>
                </c:pt>
                <c:pt idx="609">
                  <c:v>3.1353501905931442</c:v>
                </c:pt>
                <c:pt idx="610">
                  <c:v>3.1486381473902858</c:v>
                </c:pt>
                <c:pt idx="611">
                  <c:v>3.1666136978280579</c:v>
                </c:pt>
                <c:pt idx="612">
                  <c:v>3.1840208921438498</c:v>
                </c:pt>
                <c:pt idx="613">
                  <c:v>3.2003087820414278</c:v>
                </c:pt>
                <c:pt idx="614">
                  <c:v>3.215620578815932</c:v>
                </c:pt>
                <c:pt idx="615">
                  <c:v>3.2344834253606898</c:v>
                </c:pt>
                <c:pt idx="616">
                  <c:v>3.2572917499850358</c:v>
                </c:pt>
                <c:pt idx="617">
                  <c:v>3.2853848621094079</c:v>
                </c:pt>
                <c:pt idx="618">
                  <c:v>3.3112058451588702</c:v>
                </c:pt>
                <c:pt idx="619">
                  <c:v>3.3330895028274821</c:v>
                </c:pt>
                <c:pt idx="620">
                  <c:v>3.346275866501994</c:v>
                </c:pt>
                <c:pt idx="621">
                  <c:v>3.350804284174342</c:v>
                </c:pt>
                <c:pt idx="622">
                  <c:v>3.35970674655736</c:v>
                </c:pt>
                <c:pt idx="623">
                  <c:v>3.3634570252089784</c:v>
                </c:pt>
                <c:pt idx="624">
                  <c:v>3.3665520261433284</c:v>
                </c:pt>
                <c:pt idx="625">
                  <c:v>3.3693928759763341</c:v>
                </c:pt>
                <c:pt idx="626">
                  <c:v>3.364039128180246</c:v>
                </c:pt>
                <c:pt idx="627">
                  <c:v>3.3524257370302921</c:v>
                </c:pt>
                <c:pt idx="628">
                  <c:v>3.3404132843633683</c:v>
                </c:pt>
                <c:pt idx="629">
                  <c:v>3.3315920379025998</c:v>
                </c:pt>
                <c:pt idx="630">
                  <c:v>3.3167044728798838</c:v>
                </c:pt>
                <c:pt idx="631">
                  <c:v>3.3081100523675837</c:v>
                </c:pt>
                <c:pt idx="632">
                  <c:v>3.3047205459451439</c:v>
                </c:pt>
                <c:pt idx="633">
                  <c:v>3.3044187659421662</c:v>
                </c:pt>
                <c:pt idx="634">
                  <c:v>3.2968283850445221</c:v>
                </c:pt>
                <c:pt idx="635">
                  <c:v>3.2932589965663221</c:v>
                </c:pt>
                <c:pt idx="636">
                  <c:v>3.289244947248894</c:v>
                </c:pt>
                <c:pt idx="637">
                  <c:v>3.2829119183324997</c:v>
                </c:pt>
                <c:pt idx="638">
                  <c:v>3.2648827202349437</c:v>
                </c:pt>
                <c:pt idx="639">
                  <c:v>3.2304860496489223</c:v>
                </c:pt>
                <c:pt idx="640">
                  <c:v>3.1735285197988219</c:v>
                </c:pt>
                <c:pt idx="641">
                  <c:v>3.1090129440601881</c:v>
                </c:pt>
                <c:pt idx="642">
                  <c:v>3.0627958916403002</c:v>
                </c:pt>
                <c:pt idx="643">
                  <c:v>3.022556058229902</c:v>
                </c:pt>
                <c:pt idx="644">
                  <c:v>2.9840212992003741</c:v>
                </c:pt>
                <c:pt idx="645">
                  <c:v>2.9574820539011237</c:v>
                </c:pt>
                <c:pt idx="646">
                  <c:v>2.9393247241409384</c:v>
                </c:pt>
                <c:pt idx="647">
                  <c:v>2.9260351400378402</c:v>
                </c:pt>
                <c:pt idx="648">
                  <c:v>2.91046488485396</c:v>
                </c:pt>
                <c:pt idx="649">
                  <c:v>2.8909501995057698</c:v>
                </c:pt>
                <c:pt idx="650">
                  <c:v>2.8737852338018257</c:v>
                </c:pt>
                <c:pt idx="651">
                  <c:v>2.862452391809656</c:v>
                </c:pt>
                <c:pt idx="652">
                  <c:v>2.8527751363875078</c:v>
                </c:pt>
                <c:pt idx="653">
                  <c:v>2.8513099593009481</c:v>
                </c:pt>
                <c:pt idx="654">
                  <c:v>2.8427053602241079</c:v>
                </c:pt>
                <c:pt idx="655">
                  <c:v>2.8304419901745517</c:v>
                </c:pt>
                <c:pt idx="656">
                  <c:v>2.8236445269377084</c:v>
                </c:pt>
                <c:pt idx="657">
                  <c:v>2.8217379680421777</c:v>
                </c:pt>
                <c:pt idx="658">
                  <c:v>2.8201430566961374</c:v>
                </c:pt>
                <c:pt idx="659">
                  <c:v>2.8186489841347897</c:v>
                </c:pt>
                <c:pt idx="660">
                  <c:v>2.8188580381632362</c:v>
                </c:pt>
                <c:pt idx="661">
                  <c:v>2.825160955340114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43749</c:v>
                </c:pt>
                <c:pt idx="1">
                  <c:v>43748</c:v>
                </c:pt>
                <c:pt idx="2">
                  <c:v>43747</c:v>
                </c:pt>
                <c:pt idx="3">
                  <c:v>43746</c:v>
                </c:pt>
                <c:pt idx="4">
                  <c:v>43745</c:v>
                </c:pt>
                <c:pt idx="5">
                  <c:v>43742</c:v>
                </c:pt>
                <c:pt idx="6">
                  <c:v>43741</c:v>
                </c:pt>
                <c:pt idx="7">
                  <c:v>43740</c:v>
                </c:pt>
                <c:pt idx="8">
                  <c:v>43739</c:v>
                </c:pt>
                <c:pt idx="9">
                  <c:v>43738</c:v>
                </c:pt>
                <c:pt idx="10">
                  <c:v>43735</c:v>
                </c:pt>
                <c:pt idx="11">
                  <c:v>43734</c:v>
                </c:pt>
                <c:pt idx="12">
                  <c:v>43733</c:v>
                </c:pt>
                <c:pt idx="13">
                  <c:v>43732</c:v>
                </c:pt>
                <c:pt idx="14">
                  <c:v>43728</c:v>
                </c:pt>
                <c:pt idx="15">
                  <c:v>43727</c:v>
                </c:pt>
                <c:pt idx="16">
                  <c:v>43726</c:v>
                </c:pt>
                <c:pt idx="17">
                  <c:v>43725</c:v>
                </c:pt>
                <c:pt idx="18">
                  <c:v>43721</c:v>
                </c:pt>
                <c:pt idx="19">
                  <c:v>43720</c:v>
                </c:pt>
                <c:pt idx="20">
                  <c:v>43719</c:v>
                </c:pt>
                <c:pt idx="21">
                  <c:v>43718</c:v>
                </c:pt>
                <c:pt idx="22">
                  <c:v>43717</c:v>
                </c:pt>
                <c:pt idx="23">
                  <c:v>43714</c:v>
                </c:pt>
                <c:pt idx="24">
                  <c:v>43713</c:v>
                </c:pt>
                <c:pt idx="25">
                  <c:v>43712</c:v>
                </c:pt>
                <c:pt idx="26">
                  <c:v>43711</c:v>
                </c:pt>
                <c:pt idx="27">
                  <c:v>43710</c:v>
                </c:pt>
                <c:pt idx="28">
                  <c:v>43707</c:v>
                </c:pt>
                <c:pt idx="29">
                  <c:v>43706</c:v>
                </c:pt>
                <c:pt idx="30">
                  <c:v>43705</c:v>
                </c:pt>
                <c:pt idx="31">
                  <c:v>43704</c:v>
                </c:pt>
                <c:pt idx="32">
                  <c:v>43703</c:v>
                </c:pt>
                <c:pt idx="33">
                  <c:v>43700</c:v>
                </c:pt>
                <c:pt idx="34">
                  <c:v>43699</c:v>
                </c:pt>
                <c:pt idx="35">
                  <c:v>43698</c:v>
                </c:pt>
                <c:pt idx="36">
                  <c:v>43697</c:v>
                </c:pt>
                <c:pt idx="37">
                  <c:v>43696</c:v>
                </c:pt>
                <c:pt idx="38">
                  <c:v>43693</c:v>
                </c:pt>
                <c:pt idx="39">
                  <c:v>43692</c:v>
                </c:pt>
                <c:pt idx="40">
                  <c:v>43691</c:v>
                </c:pt>
                <c:pt idx="41">
                  <c:v>43690</c:v>
                </c:pt>
                <c:pt idx="42">
                  <c:v>43686</c:v>
                </c:pt>
                <c:pt idx="43">
                  <c:v>43685</c:v>
                </c:pt>
                <c:pt idx="44">
                  <c:v>43684</c:v>
                </c:pt>
                <c:pt idx="45">
                  <c:v>43683</c:v>
                </c:pt>
                <c:pt idx="46">
                  <c:v>43682</c:v>
                </c:pt>
                <c:pt idx="47">
                  <c:v>43679</c:v>
                </c:pt>
                <c:pt idx="48">
                  <c:v>43678</c:v>
                </c:pt>
                <c:pt idx="49">
                  <c:v>43677</c:v>
                </c:pt>
                <c:pt idx="50">
                  <c:v>43676</c:v>
                </c:pt>
                <c:pt idx="51">
                  <c:v>43675</c:v>
                </c:pt>
                <c:pt idx="52">
                  <c:v>43672</c:v>
                </c:pt>
                <c:pt idx="53">
                  <c:v>43671</c:v>
                </c:pt>
                <c:pt idx="54">
                  <c:v>43670</c:v>
                </c:pt>
                <c:pt idx="55">
                  <c:v>43669</c:v>
                </c:pt>
                <c:pt idx="56">
                  <c:v>43668</c:v>
                </c:pt>
                <c:pt idx="57">
                  <c:v>43665</c:v>
                </c:pt>
                <c:pt idx="58">
                  <c:v>43664</c:v>
                </c:pt>
                <c:pt idx="59">
                  <c:v>43663</c:v>
                </c:pt>
                <c:pt idx="60">
                  <c:v>43662</c:v>
                </c:pt>
                <c:pt idx="61">
                  <c:v>43658</c:v>
                </c:pt>
                <c:pt idx="62">
                  <c:v>43657</c:v>
                </c:pt>
                <c:pt idx="63">
                  <c:v>43656</c:v>
                </c:pt>
                <c:pt idx="64">
                  <c:v>43655</c:v>
                </c:pt>
                <c:pt idx="65">
                  <c:v>43654</c:v>
                </c:pt>
                <c:pt idx="66">
                  <c:v>43651</c:v>
                </c:pt>
                <c:pt idx="67">
                  <c:v>43650</c:v>
                </c:pt>
                <c:pt idx="68">
                  <c:v>43649</c:v>
                </c:pt>
                <c:pt idx="69">
                  <c:v>43648</c:v>
                </c:pt>
                <c:pt idx="70">
                  <c:v>43647</c:v>
                </c:pt>
                <c:pt idx="71">
                  <c:v>43644</c:v>
                </c:pt>
                <c:pt idx="72">
                  <c:v>43643</c:v>
                </c:pt>
                <c:pt idx="73">
                  <c:v>43642</c:v>
                </c:pt>
                <c:pt idx="74">
                  <c:v>43641</c:v>
                </c:pt>
                <c:pt idx="75">
                  <c:v>43640</c:v>
                </c:pt>
                <c:pt idx="76">
                  <c:v>43637</c:v>
                </c:pt>
                <c:pt idx="77">
                  <c:v>43636</c:v>
                </c:pt>
                <c:pt idx="78">
                  <c:v>43635</c:v>
                </c:pt>
                <c:pt idx="79">
                  <c:v>43634</c:v>
                </c:pt>
                <c:pt idx="80">
                  <c:v>43633</c:v>
                </c:pt>
                <c:pt idx="81">
                  <c:v>43630</c:v>
                </c:pt>
                <c:pt idx="82">
                  <c:v>43629</c:v>
                </c:pt>
                <c:pt idx="83">
                  <c:v>43628</c:v>
                </c:pt>
                <c:pt idx="84">
                  <c:v>43627</c:v>
                </c:pt>
                <c:pt idx="85">
                  <c:v>43626</c:v>
                </c:pt>
                <c:pt idx="86">
                  <c:v>43623</c:v>
                </c:pt>
                <c:pt idx="87">
                  <c:v>43622</c:v>
                </c:pt>
                <c:pt idx="88">
                  <c:v>43621</c:v>
                </c:pt>
                <c:pt idx="89">
                  <c:v>43620</c:v>
                </c:pt>
                <c:pt idx="90">
                  <c:v>43619</c:v>
                </c:pt>
                <c:pt idx="91">
                  <c:v>43616</c:v>
                </c:pt>
                <c:pt idx="92">
                  <c:v>43615</c:v>
                </c:pt>
                <c:pt idx="93">
                  <c:v>43614</c:v>
                </c:pt>
                <c:pt idx="94">
                  <c:v>43613</c:v>
                </c:pt>
                <c:pt idx="95">
                  <c:v>43612</c:v>
                </c:pt>
                <c:pt idx="96">
                  <c:v>43609</c:v>
                </c:pt>
                <c:pt idx="97">
                  <c:v>43608</c:v>
                </c:pt>
                <c:pt idx="98">
                  <c:v>43607</c:v>
                </c:pt>
                <c:pt idx="99">
                  <c:v>43606</c:v>
                </c:pt>
                <c:pt idx="100">
                  <c:v>43605</c:v>
                </c:pt>
                <c:pt idx="101">
                  <c:v>43602</c:v>
                </c:pt>
                <c:pt idx="102">
                  <c:v>43601</c:v>
                </c:pt>
                <c:pt idx="103">
                  <c:v>43600</c:v>
                </c:pt>
                <c:pt idx="104">
                  <c:v>43599</c:v>
                </c:pt>
                <c:pt idx="105">
                  <c:v>43598</c:v>
                </c:pt>
                <c:pt idx="106">
                  <c:v>43595</c:v>
                </c:pt>
                <c:pt idx="107">
                  <c:v>43594</c:v>
                </c:pt>
                <c:pt idx="108">
                  <c:v>43593</c:v>
                </c:pt>
                <c:pt idx="109">
                  <c:v>43592</c:v>
                </c:pt>
                <c:pt idx="110">
                  <c:v>43581</c:v>
                </c:pt>
                <c:pt idx="111">
                  <c:v>43580</c:v>
                </c:pt>
                <c:pt idx="112">
                  <c:v>43579</c:v>
                </c:pt>
                <c:pt idx="113">
                  <c:v>43578</c:v>
                </c:pt>
                <c:pt idx="114">
                  <c:v>43577</c:v>
                </c:pt>
                <c:pt idx="115">
                  <c:v>43574</c:v>
                </c:pt>
                <c:pt idx="116">
                  <c:v>43573</c:v>
                </c:pt>
                <c:pt idx="117">
                  <c:v>43572</c:v>
                </c:pt>
                <c:pt idx="118">
                  <c:v>43571</c:v>
                </c:pt>
                <c:pt idx="119">
                  <c:v>43570</c:v>
                </c:pt>
                <c:pt idx="120">
                  <c:v>43567</c:v>
                </c:pt>
                <c:pt idx="121">
                  <c:v>43566</c:v>
                </c:pt>
                <c:pt idx="122">
                  <c:v>43565</c:v>
                </c:pt>
                <c:pt idx="123">
                  <c:v>43564</c:v>
                </c:pt>
                <c:pt idx="124">
                  <c:v>43563</c:v>
                </c:pt>
                <c:pt idx="125">
                  <c:v>43560</c:v>
                </c:pt>
                <c:pt idx="126">
                  <c:v>43559</c:v>
                </c:pt>
                <c:pt idx="127">
                  <c:v>43558</c:v>
                </c:pt>
                <c:pt idx="128">
                  <c:v>43557</c:v>
                </c:pt>
                <c:pt idx="129">
                  <c:v>43556</c:v>
                </c:pt>
                <c:pt idx="130">
                  <c:v>43553</c:v>
                </c:pt>
                <c:pt idx="131">
                  <c:v>43552</c:v>
                </c:pt>
                <c:pt idx="132">
                  <c:v>43551</c:v>
                </c:pt>
                <c:pt idx="133">
                  <c:v>43550</c:v>
                </c:pt>
                <c:pt idx="134">
                  <c:v>43549</c:v>
                </c:pt>
                <c:pt idx="135">
                  <c:v>43546</c:v>
                </c:pt>
                <c:pt idx="136">
                  <c:v>43544</c:v>
                </c:pt>
                <c:pt idx="137">
                  <c:v>43543</c:v>
                </c:pt>
                <c:pt idx="138">
                  <c:v>43542</c:v>
                </c:pt>
                <c:pt idx="139">
                  <c:v>43539</c:v>
                </c:pt>
                <c:pt idx="140">
                  <c:v>43538</c:v>
                </c:pt>
                <c:pt idx="141">
                  <c:v>43537</c:v>
                </c:pt>
                <c:pt idx="142">
                  <c:v>43536</c:v>
                </c:pt>
                <c:pt idx="143">
                  <c:v>43535</c:v>
                </c:pt>
                <c:pt idx="144">
                  <c:v>43532</c:v>
                </c:pt>
                <c:pt idx="145">
                  <c:v>43531</c:v>
                </c:pt>
                <c:pt idx="146">
                  <c:v>43530</c:v>
                </c:pt>
                <c:pt idx="147">
                  <c:v>43529</c:v>
                </c:pt>
                <c:pt idx="148">
                  <c:v>43528</c:v>
                </c:pt>
                <c:pt idx="149">
                  <c:v>43525</c:v>
                </c:pt>
                <c:pt idx="150">
                  <c:v>43524</c:v>
                </c:pt>
                <c:pt idx="151">
                  <c:v>43523</c:v>
                </c:pt>
                <c:pt idx="152">
                  <c:v>43522</c:v>
                </c:pt>
                <c:pt idx="153">
                  <c:v>43521</c:v>
                </c:pt>
                <c:pt idx="154">
                  <c:v>43518</c:v>
                </c:pt>
                <c:pt idx="155">
                  <c:v>43517</c:v>
                </c:pt>
                <c:pt idx="156">
                  <c:v>43516</c:v>
                </c:pt>
                <c:pt idx="157">
                  <c:v>43515</c:v>
                </c:pt>
                <c:pt idx="158">
                  <c:v>43514</c:v>
                </c:pt>
                <c:pt idx="159">
                  <c:v>43511</c:v>
                </c:pt>
                <c:pt idx="160">
                  <c:v>43510</c:v>
                </c:pt>
                <c:pt idx="161">
                  <c:v>43509</c:v>
                </c:pt>
                <c:pt idx="162">
                  <c:v>43508</c:v>
                </c:pt>
                <c:pt idx="163">
                  <c:v>43504</c:v>
                </c:pt>
                <c:pt idx="164">
                  <c:v>43503</c:v>
                </c:pt>
                <c:pt idx="165">
                  <c:v>43502</c:v>
                </c:pt>
                <c:pt idx="166">
                  <c:v>43501</c:v>
                </c:pt>
                <c:pt idx="167">
                  <c:v>43500</c:v>
                </c:pt>
                <c:pt idx="168">
                  <c:v>43497</c:v>
                </c:pt>
                <c:pt idx="169">
                  <c:v>43496</c:v>
                </c:pt>
                <c:pt idx="170">
                  <c:v>43495</c:v>
                </c:pt>
                <c:pt idx="171">
                  <c:v>43494</c:v>
                </c:pt>
                <c:pt idx="172">
                  <c:v>43493</c:v>
                </c:pt>
                <c:pt idx="173">
                  <c:v>43490</c:v>
                </c:pt>
                <c:pt idx="174">
                  <c:v>43489</c:v>
                </c:pt>
                <c:pt idx="175">
                  <c:v>43488</c:v>
                </c:pt>
                <c:pt idx="176">
                  <c:v>43487</c:v>
                </c:pt>
                <c:pt idx="177">
                  <c:v>43486</c:v>
                </c:pt>
                <c:pt idx="178">
                  <c:v>43483</c:v>
                </c:pt>
                <c:pt idx="179">
                  <c:v>43482</c:v>
                </c:pt>
                <c:pt idx="180">
                  <c:v>43481</c:v>
                </c:pt>
                <c:pt idx="181">
                  <c:v>43480</c:v>
                </c:pt>
                <c:pt idx="182">
                  <c:v>43476</c:v>
                </c:pt>
                <c:pt idx="183">
                  <c:v>43475</c:v>
                </c:pt>
                <c:pt idx="184">
                  <c:v>43474</c:v>
                </c:pt>
                <c:pt idx="185">
                  <c:v>43473</c:v>
                </c:pt>
                <c:pt idx="186">
                  <c:v>43472</c:v>
                </c:pt>
                <c:pt idx="187">
                  <c:v>43469</c:v>
                </c:pt>
                <c:pt idx="188">
                  <c:v>43462</c:v>
                </c:pt>
                <c:pt idx="189">
                  <c:v>43461</c:v>
                </c:pt>
                <c:pt idx="190">
                  <c:v>43460</c:v>
                </c:pt>
                <c:pt idx="191">
                  <c:v>43459</c:v>
                </c:pt>
                <c:pt idx="192">
                  <c:v>43455</c:v>
                </c:pt>
                <c:pt idx="193">
                  <c:v>43454</c:v>
                </c:pt>
                <c:pt idx="194">
                  <c:v>43453</c:v>
                </c:pt>
                <c:pt idx="195">
                  <c:v>43452</c:v>
                </c:pt>
                <c:pt idx="196">
                  <c:v>43451</c:v>
                </c:pt>
                <c:pt idx="197">
                  <c:v>43448</c:v>
                </c:pt>
                <c:pt idx="198">
                  <c:v>43447</c:v>
                </c:pt>
                <c:pt idx="199">
                  <c:v>43446</c:v>
                </c:pt>
                <c:pt idx="200">
                  <c:v>43445</c:v>
                </c:pt>
                <c:pt idx="201">
                  <c:v>43444</c:v>
                </c:pt>
                <c:pt idx="202">
                  <c:v>43441</c:v>
                </c:pt>
                <c:pt idx="203">
                  <c:v>43440</c:v>
                </c:pt>
                <c:pt idx="204">
                  <c:v>43439</c:v>
                </c:pt>
                <c:pt idx="205">
                  <c:v>43438</c:v>
                </c:pt>
                <c:pt idx="206">
                  <c:v>43437</c:v>
                </c:pt>
                <c:pt idx="207">
                  <c:v>43434</c:v>
                </c:pt>
                <c:pt idx="208">
                  <c:v>43433</c:v>
                </c:pt>
                <c:pt idx="209">
                  <c:v>43432</c:v>
                </c:pt>
                <c:pt idx="210">
                  <c:v>43431</c:v>
                </c:pt>
                <c:pt idx="211">
                  <c:v>43430</c:v>
                </c:pt>
                <c:pt idx="212">
                  <c:v>43426</c:v>
                </c:pt>
                <c:pt idx="213">
                  <c:v>43425</c:v>
                </c:pt>
                <c:pt idx="214">
                  <c:v>43424</c:v>
                </c:pt>
                <c:pt idx="215">
                  <c:v>43423</c:v>
                </c:pt>
                <c:pt idx="216">
                  <c:v>43420</c:v>
                </c:pt>
                <c:pt idx="217">
                  <c:v>43419</c:v>
                </c:pt>
                <c:pt idx="218">
                  <c:v>43418</c:v>
                </c:pt>
                <c:pt idx="219">
                  <c:v>43417</c:v>
                </c:pt>
                <c:pt idx="220">
                  <c:v>43416</c:v>
                </c:pt>
                <c:pt idx="221">
                  <c:v>43413</c:v>
                </c:pt>
                <c:pt idx="222">
                  <c:v>43412</c:v>
                </c:pt>
                <c:pt idx="223">
                  <c:v>43411</c:v>
                </c:pt>
                <c:pt idx="224">
                  <c:v>43410</c:v>
                </c:pt>
                <c:pt idx="225">
                  <c:v>43409</c:v>
                </c:pt>
                <c:pt idx="226">
                  <c:v>43406</c:v>
                </c:pt>
                <c:pt idx="227">
                  <c:v>43405</c:v>
                </c:pt>
                <c:pt idx="228">
                  <c:v>43404</c:v>
                </c:pt>
                <c:pt idx="229">
                  <c:v>43403</c:v>
                </c:pt>
                <c:pt idx="230">
                  <c:v>43402</c:v>
                </c:pt>
                <c:pt idx="231">
                  <c:v>43399</c:v>
                </c:pt>
                <c:pt idx="232">
                  <c:v>43398</c:v>
                </c:pt>
                <c:pt idx="233">
                  <c:v>43397</c:v>
                </c:pt>
                <c:pt idx="234">
                  <c:v>43396</c:v>
                </c:pt>
                <c:pt idx="235">
                  <c:v>43395</c:v>
                </c:pt>
                <c:pt idx="236">
                  <c:v>43392</c:v>
                </c:pt>
                <c:pt idx="237">
                  <c:v>43391</c:v>
                </c:pt>
                <c:pt idx="238">
                  <c:v>43390</c:v>
                </c:pt>
                <c:pt idx="239">
                  <c:v>43389</c:v>
                </c:pt>
                <c:pt idx="240">
                  <c:v>43388</c:v>
                </c:pt>
                <c:pt idx="241">
                  <c:v>43385</c:v>
                </c:pt>
                <c:pt idx="242">
                  <c:v>43384</c:v>
                </c:pt>
                <c:pt idx="243">
                  <c:v>43383</c:v>
                </c:pt>
                <c:pt idx="244">
                  <c:v>43382</c:v>
                </c:pt>
                <c:pt idx="245">
                  <c:v>43378</c:v>
                </c:pt>
                <c:pt idx="246">
                  <c:v>43377</c:v>
                </c:pt>
                <c:pt idx="247">
                  <c:v>43376</c:v>
                </c:pt>
                <c:pt idx="248">
                  <c:v>43375</c:v>
                </c:pt>
                <c:pt idx="249">
                  <c:v>43374</c:v>
                </c:pt>
                <c:pt idx="250">
                  <c:v>43371</c:v>
                </c:pt>
                <c:pt idx="251">
                  <c:v>43370</c:v>
                </c:pt>
                <c:pt idx="252">
                  <c:v>43369</c:v>
                </c:pt>
                <c:pt idx="253">
                  <c:v>43368</c:v>
                </c:pt>
                <c:pt idx="254">
                  <c:v>43364</c:v>
                </c:pt>
                <c:pt idx="255">
                  <c:v>43363</c:v>
                </c:pt>
                <c:pt idx="256">
                  <c:v>43362</c:v>
                </c:pt>
                <c:pt idx="257">
                  <c:v>43361</c:v>
                </c:pt>
                <c:pt idx="258">
                  <c:v>43357</c:v>
                </c:pt>
                <c:pt idx="259">
                  <c:v>43356</c:v>
                </c:pt>
                <c:pt idx="260">
                  <c:v>43355</c:v>
                </c:pt>
                <c:pt idx="261">
                  <c:v>43354</c:v>
                </c:pt>
                <c:pt idx="262">
                  <c:v>43353</c:v>
                </c:pt>
                <c:pt idx="263">
                  <c:v>43350</c:v>
                </c:pt>
                <c:pt idx="264">
                  <c:v>43349</c:v>
                </c:pt>
                <c:pt idx="265">
                  <c:v>43348</c:v>
                </c:pt>
                <c:pt idx="266">
                  <c:v>43347</c:v>
                </c:pt>
                <c:pt idx="267">
                  <c:v>43346</c:v>
                </c:pt>
                <c:pt idx="268">
                  <c:v>43343</c:v>
                </c:pt>
                <c:pt idx="269">
                  <c:v>43342</c:v>
                </c:pt>
                <c:pt idx="270">
                  <c:v>43341</c:v>
                </c:pt>
                <c:pt idx="271">
                  <c:v>43340</c:v>
                </c:pt>
                <c:pt idx="272">
                  <c:v>43339</c:v>
                </c:pt>
                <c:pt idx="273">
                  <c:v>43336</c:v>
                </c:pt>
                <c:pt idx="274">
                  <c:v>43335</c:v>
                </c:pt>
                <c:pt idx="275">
                  <c:v>43334</c:v>
                </c:pt>
                <c:pt idx="276">
                  <c:v>43333</c:v>
                </c:pt>
                <c:pt idx="277">
                  <c:v>43332</c:v>
                </c:pt>
                <c:pt idx="278">
                  <c:v>43329</c:v>
                </c:pt>
                <c:pt idx="279">
                  <c:v>43328</c:v>
                </c:pt>
                <c:pt idx="280">
                  <c:v>43327</c:v>
                </c:pt>
                <c:pt idx="281">
                  <c:v>43326</c:v>
                </c:pt>
                <c:pt idx="282">
                  <c:v>43325</c:v>
                </c:pt>
                <c:pt idx="283">
                  <c:v>43322</c:v>
                </c:pt>
                <c:pt idx="284">
                  <c:v>43321</c:v>
                </c:pt>
                <c:pt idx="285">
                  <c:v>43320</c:v>
                </c:pt>
                <c:pt idx="286">
                  <c:v>43319</c:v>
                </c:pt>
                <c:pt idx="287">
                  <c:v>43318</c:v>
                </c:pt>
                <c:pt idx="288">
                  <c:v>43315</c:v>
                </c:pt>
                <c:pt idx="289">
                  <c:v>43314</c:v>
                </c:pt>
                <c:pt idx="290">
                  <c:v>43313</c:v>
                </c:pt>
                <c:pt idx="291">
                  <c:v>43312</c:v>
                </c:pt>
                <c:pt idx="292">
                  <c:v>43311</c:v>
                </c:pt>
                <c:pt idx="293">
                  <c:v>43308</c:v>
                </c:pt>
                <c:pt idx="294">
                  <c:v>43307</c:v>
                </c:pt>
                <c:pt idx="295">
                  <c:v>43306</c:v>
                </c:pt>
                <c:pt idx="296">
                  <c:v>43305</c:v>
                </c:pt>
                <c:pt idx="297">
                  <c:v>43304</c:v>
                </c:pt>
                <c:pt idx="298">
                  <c:v>43301</c:v>
                </c:pt>
                <c:pt idx="299">
                  <c:v>43300</c:v>
                </c:pt>
                <c:pt idx="300">
                  <c:v>43299</c:v>
                </c:pt>
                <c:pt idx="301">
                  <c:v>43298</c:v>
                </c:pt>
                <c:pt idx="302">
                  <c:v>43294</c:v>
                </c:pt>
                <c:pt idx="303">
                  <c:v>43293</c:v>
                </c:pt>
                <c:pt idx="304">
                  <c:v>43292</c:v>
                </c:pt>
                <c:pt idx="305">
                  <c:v>43291</c:v>
                </c:pt>
                <c:pt idx="306">
                  <c:v>43290</c:v>
                </c:pt>
                <c:pt idx="307">
                  <c:v>43287</c:v>
                </c:pt>
                <c:pt idx="308">
                  <c:v>43286</c:v>
                </c:pt>
                <c:pt idx="309">
                  <c:v>43285</c:v>
                </c:pt>
                <c:pt idx="310">
                  <c:v>43284</c:v>
                </c:pt>
                <c:pt idx="311">
                  <c:v>43283</c:v>
                </c:pt>
                <c:pt idx="312">
                  <c:v>43280</c:v>
                </c:pt>
                <c:pt idx="313">
                  <c:v>43279</c:v>
                </c:pt>
                <c:pt idx="314">
                  <c:v>43278</c:v>
                </c:pt>
                <c:pt idx="315">
                  <c:v>43277</c:v>
                </c:pt>
                <c:pt idx="316">
                  <c:v>43276</c:v>
                </c:pt>
                <c:pt idx="317">
                  <c:v>43273</c:v>
                </c:pt>
                <c:pt idx="318">
                  <c:v>43272</c:v>
                </c:pt>
                <c:pt idx="319">
                  <c:v>43271</c:v>
                </c:pt>
                <c:pt idx="320">
                  <c:v>43270</c:v>
                </c:pt>
                <c:pt idx="321">
                  <c:v>43269</c:v>
                </c:pt>
                <c:pt idx="322">
                  <c:v>43266</c:v>
                </c:pt>
                <c:pt idx="323">
                  <c:v>43265</c:v>
                </c:pt>
                <c:pt idx="324">
                  <c:v>43264</c:v>
                </c:pt>
                <c:pt idx="325">
                  <c:v>43263</c:v>
                </c:pt>
                <c:pt idx="326">
                  <c:v>43262</c:v>
                </c:pt>
                <c:pt idx="327">
                  <c:v>43259</c:v>
                </c:pt>
                <c:pt idx="328">
                  <c:v>43258</c:v>
                </c:pt>
                <c:pt idx="329">
                  <c:v>43257</c:v>
                </c:pt>
                <c:pt idx="330">
                  <c:v>43256</c:v>
                </c:pt>
                <c:pt idx="331">
                  <c:v>43255</c:v>
                </c:pt>
                <c:pt idx="332">
                  <c:v>43252</c:v>
                </c:pt>
                <c:pt idx="333">
                  <c:v>43251</c:v>
                </c:pt>
                <c:pt idx="334">
                  <c:v>43250</c:v>
                </c:pt>
                <c:pt idx="335">
                  <c:v>43249</c:v>
                </c:pt>
                <c:pt idx="336">
                  <c:v>43248</c:v>
                </c:pt>
                <c:pt idx="337">
                  <c:v>43245</c:v>
                </c:pt>
                <c:pt idx="338">
                  <c:v>43244</c:v>
                </c:pt>
                <c:pt idx="339">
                  <c:v>43243</c:v>
                </c:pt>
                <c:pt idx="340">
                  <c:v>43242</c:v>
                </c:pt>
                <c:pt idx="341">
                  <c:v>43241</c:v>
                </c:pt>
                <c:pt idx="342">
                  <c:v>43238</c:v>
                </c:pt>
                <c:pt idx="343">
                  <c:v>43237</c:v>
                </c:pt>
                <c:pt idx="344">
                  <c:v>43236</c:v>
                </c:pt>
                <c:pt idx="345">
                  <c:v>43235</c:v>
                </c:pt>
                <c:pt idx="346">
                  <c:v>43234</c:v>
                </c:pt>
                <c:pt idx="347">
                  <c:v>43231</c:v>
                </c:pt>
                <c:pt idx="348">
                  <c:v>43230</c:v>
                </c:pt>
                <c:pt idx="349">
                  <c:v>43229</c:v>
                </c:pt>
                <c:pt idx="350">
                  <c:v>43228</c:v>
                </c:pt>
                <c:pt idx="351">
                  <c:v>43227</c:v>
                </c:pt>
                <c:pt idx="352">
                  <c:v>43222</c:v>
                </c:pt>
                <c:pt idx="353">
                  <c:v>43221</c:v>
                </c:pt>
                <c:pt idx="354">
                  <c:v>43217</c:v>
                </c:pt>
                <c:pt idx="355">
                  <c:v>43216</c:v>
                </c:pt>
                <c:pt idx="356">
                  <c:v>43215</c:v>
                </c:pt>
                <c:pt idx="357">
                  <c:v>43214</c:v>
                </c:pt>
                <c:pt idx="358">
                  <c:v>43213</c:v>
                </c:pt>
                <c:pt idx="359">
                  <c:v>43210</c:v>
                </c:pt>
                <c:pt idx="360">
                  <c:v>43209</c:v>
                </c:pt>
                <c:pt idx="361">
                  <c:v>43208</c:v>
                </c:pt>
                <c:pt idx="362">
                  <c:v>43207</c:v>
                </c:pt>
                <c:pt idx="363">
                  <c:v>43206</c:v>
                </c:pt>
                <c:pt idx="364">
                  <c:v>43203</c:v>
                </c:pt>
                <c:pt idx="365">
                  <c:v>43202</c:v>
                </c:pt>
                <c:pt idx="366">
                  <c:v>43201</c:v>
                </c:pt>
                <c:pt idx="367">
                  <c:v>43200</c:v>
                </c:pt>
                <c:pt idx="368">
                  <c:v>43199</c:v>
                </c:pt>
                <c:pt idx="369">
                  <c:v>43196</c:v>
                </c:pt>
                <c:pt idx="370">
                  <c:v>43195</c:v>
                </c:pt>
                <c:pt idx="371">
                  <c:v>43194</c:v>
                </c:pt>
                <c:pt idx="372">
                  <c:v>43193</c:v>
                </c:pt>
                <c:pt idx="373">
                  <c:v>43192</c:v>
                </c:pt>
                <c:pt idx="374">
                  <c:v>43189</c:v>
                </c:pt>
                <c:pt idx="375">
                  <c:v>43188</c:v>
                </c:pt>
                <c:pt idx="376">
                  <c:v>43187</c:v>
                </c:pt>
                <c:pt idx="377">
                  <c:v>43186</c:v>
                </c:pt>
                <c:pt idx="378">
                  <c:v>43185</c:v>
                </c:pt>
                <c:pt idx="379">
                  <c:v>43182</c:v>
                </c:pt>
                <c:pt idx="380">
                  <c:v>43181</c:v>
                </c:pt>
                <c:pt idx="381">
                  <c:v>43179</c:v>
                </c:pt>
                <c:pt idx="382">
                  <c:v>43178</c:v>
                </c:pt>
                <c:pt idx="383">
                  <c:v>43175</c:v>
                </c:pt>
                <c:pt idx="384">
                  <c:v>43174</c:v>
                </c:pt>
                <c:pt idx="385">
                  <c:v>43173</c:v>
                </c:pt>
                <c:pt idx="386">
                  <c:v>43172</c:v>
                </c:pt>
                <c:pt idx="387">
                  <c:v>43171</c:v>
                </c:pt>
                <c:pt idx="388">
                  <c:v>43168</c:v>
                </c:pt>
                <c:pt idx="389">
                  <c:v>43167</c:v>
                </c:pt>
                <c:pt idx="390">
                  <c:v>43166</c:v>
                </c:pt>
                <c:pt idx="391">
                  <c:v>43165</c:v>
                </c:pt>
                <c:pt idx="392">
                  <c:v>43164</c:v>
                </c:pt>
                <c:pt idx="393">
                  <c:v>43161</c:v>
                </c:pt>
                <c:pt idx="394">
                  <c:v>43160</c:v>
                </c:pt>
                <c:pt idx="395">
                  <c:v>43159</c:v>
                </c:pt>
                <c:pt idx="396">
                  <c:v>43158</c:v>
                </c:pt>
                <c:pt idx="397">
                  <c:v>43157</c:v>
                </c:pt>
                <c:pt idx="398">
                  <c:v>43154</c:v>
                </c:pt>
                <c:pt idx="399">
                  <c:v>43153</c:v>
                </c:pt>
                <c:pt idx="400">
                  <c:v>43152</c:v>
                </c:pt>
                <c:pt idx="401">
                  <c:v>43151</c:v>
                </c:pt>
                <c:pt idx="402">
                  <c:v>43150</c:v>
                </c:pt>
                <c:pt idx="403">
                  <c:v>43147</c:v>
                </c:pt>
                <c:pt idx="404">
                  <c:v>43146</c:v>
                </c:pt>
                <c:pt idx="405">
                  <c:v>43145</c:v>
                </c:pt>
                <c:pt idx="406">
                  <c:v>43144</c:v>
                </c:pt>
                <c:pt idx="407">
                  <c:v>43140</c:v>
                </c:pt>
                <c:pt idx="408">
                  <c:v>43139</c:v>
                </c:pt>
                <c:pt idx="409">
                  <c:v>43138</c:v>
                </c:pt>
                <c:pt idx="410">
                  <c:v>43137</c:v>
                </c:pt>
                <c:pt idx="411">
                  <c:v>43136</c:v>
                </c:pt>
                <c:pt idx="412">
                  <c:v>43133</c:v>
                </c:pt>
                <c:pt idx="413">
                  <c:v>43132</c:v>
                </c:pt>
                <c:pt idx="414">
                  <c:v>43131</c:v>
                </c:pt>
                <c:pt idx="415">
                  <c:v>43130</c:v>
                </c:pt>
                <c:pt idx="416">
                  <c:v>43129</c:v>
                </c:pt>
                <c:pt idx="417">
                  <c:v>43126</c:v>
                </c:pt>
                <c:pt idx="418">
                  <c:v>43125</c:v>
                </c:pt>
                <c:pt idx="419">
                  <c:v>43124</c:v>
                </c:pt>
                <c:pt idx="420">
                  <c:v>43123</c:v>
                </c:pt>
                <c:pt idx="421">
                  <c:v>43122</c:v>
                </c:pt>
                <c:pt idx="422">
                  <c:v>43119</c:v>
                </c:pt>
                <c:pt idx="423">
                  <c:v>43118</c:v>
                </c:pt>
                <c:pt idx="424">
                  <c:v>43117</c:v>
                </c:pt>
                <c:pt idx="425">
                  <c:v>43116</c:v>
                </c:pt>
                <c:pt idx="426">
                  <c:v>43115</c:v>
                </c:pt>
                <c:pt idx="427">
                  <c:v>43112</c:v>
                </c:pt>
                <c:pt idx="428">
                  <c:v>43111</c:v>
                </c:pt>
                <c:pt idx="429">
                  <c:v>43110</c:v>
                </c:pt>
                <c:pt idx="430">
                  <c:v>43109</c:v>
                </c:pt>
                <c:pt idx="431">
                  <c:v>43105</c:v>
                </c:pt>
                <c:pt idx="432">
                  <c:v>43104</c:v>
                </c:pt>
                <c:pt idx="433">
                  <c:v>43098</c:v>
                </c:pt>
                <c:pt idx="434">
                  <c:v>43097</c:v>
                </c:pt>
                <c:pt idx="435">
                  <c:v>43096</c:v>
                </c:pt>
                <c:pt idx="436">
                  <c:v>43095</c:v>
                </c:pt>
                <c:pt idx="437">
                  <c:v>43094</c:v>
                </c:pt>
                <c:pt idx="438">
                  <c:v>43091</c:v>
                </c:pt>
                <c:pt idx="439">
                  <c:v>43090</c:v>
                </c:pt>
                <c:pt idx="440">
                  <c:v>43089</c:v>
                </c:pt>
                <c:pt idx="441">
                  <c:v>43088</c:v>
                </c:pt>
                <c:pt idx="442">
                  <c:v>43087</c:v>
                </c:pt>
                <c:pt idx="443">
                  <c:v>43084</c:v>
                </c:pt>
                <c:pt idx="444">
                  <c:v>43083</c:v>
                </c:pt>
                <c:pt idx="445">
                  <c:v>43082</c:v>
                </c:pt>
                <c:pt idx="446">
                  <c:v>43081</c:v>
                </c:pt>
                <c:pt idx="447">
                  <c:v>43080</c:v>
                </c:pt>
                <c:pt idx="448">
                  <c:v>43077</c:v>
                </c:pt>
                <c:pt idx="449">
                  <c:v>43076</c:v>
                </c:pt>
                <c:pt idx="450">
                  <c:v>43075</c:v>
                </c:pt>
                <c:pt idx="451">
                  <c:v>43074</c:v>
                </c:pt>
                <c:pt idx="452">
                  <c:v>43073</c:v>
                </c:pt>
                <c:pt idx="453">
                  <c:v>43070</c:v>
                </c:pt>
                <c:pt idx="454">
                  <c:v>43069</c:v>
                </c:pt>
                <c:pt idx="455">
                  <c:v>43068</c:v>
                </c:pt>
                <c:pt idx="456">
                  <c:v>43067</c:v>
                </c:pt>
                <c:pt idx="457">
                  <c:v>43066</c:v>
                </c:pt>
                <c:pt idx="458">
                  <c:v>43063</c:v>
                </c:pt>
                <c:pt idx="459">
                  <c:v>43061</c:v>
                </c:pt>
                <c:pt idx="460">
                  <c:v>43060</c:v>
                </c:pt>
                <c:pt idx="461">
                  <c:v>43059</c:v>
                </c:pt>
                <c:pt idx="462">
                  <c:v>43056</c:v>
                </c:pt>
                <c:pt idx="463">
                  <c:v>43055</c:v>
                </c:pt>
                <c:pt idx="464">
                  <c:v>43054</c:v>
                </c:pt>
                <c:pt idx="465">
                  <c:v>43053</c:v>
                </c:pt>
                <c:pt idx="466">
                  <c:v>43052</c:v>
                </c:pt>
                <c:pt idx="467">
                  <c:v>43049</c:v>
                </c:pt>
                <c:pt idx="468">
                  <c:v>43048</c:v>
                </c:pt>
                <c:pt idx="469">
                  <c:v>43047</c:v>
                </c:pt>
                <c:pt idx="470">
                  <c:v>43046</c:v>
                </c:pt>
                <c:pt idx="471">
                  <c:v>43045</c:v>
                </c:pt>
                <c:pt idx="472">
                  <c:v>43041</c:v>
                </c:pt>
                <c:pt idx="473">
                  <c:v>43040</c:v>
                </c:pt>
                <c:pt idx="474">
                  <c:v>43039</c:v>
                </c:pt>
                <c:pt idx="475">
                  <c:v>43038</c:v>
                </c:pt>
                <c:pt idx="476">
                  <c:v>43035</c:v>
                </c:pt>
                <c:pt idx="477">
                  <c:v>43034</c:v>
                </c:pt>
                <c:pt idx="478">
                  <c:v>43033</c:v>
                </c:pt>
                <c:pt idx="479">
                  <c:v>43032</c:v>
                </c:pt>
                <c:pt idx="480">
                  <c:v>43031</c:v>
                </c:pt>
                <c:pt idx="481">
                  <c:v>43028</c:v>
                </c:pt>
                <c:pt idx="482">
                  <c:v>43027</c:v>
                </c:pt>
                <c:pt idx="483">
                  <c:v>43026</c:v>
                </c:pt>
                <c:pt idx="484">
                  <c:v>43025</c:v>
                </c:pt>
                <c:pt idx="485">
                  <c:v>43024</c:v>
                </c:pt>
                <c:pt idx="486">
                  <c:v>43021</c:v>
                </c:pt>
                <c:pt idx="487">
                  <c:v>43020</c:v>
                </c:pt>
                <c:pt idx="488">
                  <c:v>43019</c:v>
                </c:pt>
                <c:pt idx="489">
                  <c:v>43018</c:v>
                </c:pt>
                <c:pt idx="490">
                  <c:v>43014</c:v>
                </c:pt>
                <c:pt idx="491">
                  <c:v>43013</c:v>
                </c:pt>
                <c:pt idx="492">
                  <c:v>43012</c:v>
                </c:pt>
                <c:pt idx="493">
                  <c:v>43011</c:v>
                </c:pt>
                <c:pt idx="494">
                  <c:v>43010</c:v>
                </c:pt>
                <c:pt idx="495">
                  <c:v>43007</c:v>
                </c:pt>
                <c:pt idx="496">
                  <c:v>43006</c:v>
                </c:pt>
                <c:pt idx="497">
                  <c:v>43005</c:v>
                </c:pt>
                <c:pt idx="498">
                  <c:v>43004</c:v>
                </c:pt>
                <c:pt idx="499">
                  <c:v>43003</c:v>
                </c:pt>
                <c:pt idx="500">
                  <c:v>43000</c:v>
                </c:pt>
                <c:pt idx="501">
                  <c:v>42999</c:v>
                </c:pt>
                <c:pt idx="502">
                  <c:v>42998</c:v>
                </c:pt>
                <c:pt idx="503">
                  <c:v>42997</c:v>
                </c:pt>
                <c:pt idx="504">
                  <c:v>42993</c:v>
                </c:pt>
                <c:pt idx="505">
                  <c:v>42992</c:v>
                </c:pt>
                <c:pt idx="506">
                  <c:v>42991</c:v>
                </c:pt>
                <c:pt idx="507">
                  <c:v>42990</c:v>
                </c:pt>
                <c:pt idx="508">
                  <c:v>42989</c:v>
                </c:pt>
                <c:pt idx="509">
                  <c:v>42986</c:v>
                </c:pt>
                <c:pt idx="510">
                  <c:v>42985</c:v>
                </c:pt>
                <c:pt idx="511">
                  <c:v>42984</c:v>
                </c:pt>
                <c:pt idx="512">
                  <c:v>42983</c:v>
                </c:pt>
                <c:pt idx="513">
                  <c:v>42982</c:v>
                </c:pt>
                <c:pt idx="514">
                  <c:v>42979</c:v>
                </c:pt>
                <c:pt idx="515">
                  <c:v>42978</c:v>
                </c:pt>
                <c:pt idx="516">
                  <c:v>42977</c:v>
                </c:pt>
                <c:pt idx="517">
                  <c:v>42976</c:v>
                </c:pt>
                <c:pt idx="518">
                  <c:v>42975</c:v>
                </c:pt>
                <c:pt idx="519">
                  <c:v>42972</c:v>
                </c:pt>
                <c:pt idx="520">
                  <c:v>42971</c:v>
                </c:pt>
                <c:pt idx="521">
                  <c:v>42970</c:v>
                </c:pt>
                <c:pt idx="522">
                  <c:v>42969</c:v>
                </c:pt>
                <c:pt idx="523">
                  <c:v>42968</c:v>
                </c:pt>
                <c:pt idx="524">
                  <c:v>42965</c:v>
                </c:pt>
                <c:pt idx="525">
                  <c:v>42964</c:v>
                </c:pt>
                <c:pt idx="526">
                  <c:v>42963</c:v>
                </c:pt>
                <c:pt idx="527">
                  <c:v>42962</c:v>
                </c:pt>
                <c:pt idx="528">
                  <c:v>42961</c:v>
                </c:pt>
                <c:pt idx="529">
                  <c:v>42957</c:v>
                </c:pt>
                <c:pt idx="530">
                  <c:v>42956</c:v>
                </c:pt>
                <c:pt idx="531">
                  <c:v>42955</c:v>
                </c:pt>
                <c:pt idx="532">
                  <c:v>42954</c:v>
                </c:pt>
                <c:pt idx="533">
                  <c:v>42951</c:v>
                </c:pt>
                <c:pt idx="534">
                  <c:v>42950</c:v>
                </c:pt>
                <c:pt idx="535">
                  <c:v>42949</c:v>
                </c:pt>
                <c:pt idx="536">
                  <c:v>42948</c:v>
                </c:pt>
                <c:pt idx="537">
                  <c:v>42947</c:v>
                </c:pt>
                <c:pt idx="538">
                  <c:v>42944</c:v>
                </c:pt>
                <c:pt idx="539">
                  <c:v>42943</c:v>
                </c:pt>
                <c:pt idx="540">
                  <c:v>42942</c:v>
                </c:pt>
                <c:pt idx="541">
                  <c:v>42941</c:v>
                </c:pt>
                <c:pt idx="542">
                  <c:v>42940</c:v>
                </c:pt>
                <c:pt idx="543">
                  <c:v>42937</c:v>
                </c:pt>
                <c:pt idx="544">
                  <c:v>42936</c:v>
                </c:pt>
                <c:pt idx="545">
                  <c:v>42935</c:v>
                </c:pt>
                <c:pt idx="546">
                  <c:v>42934</c:v>
                </c:pt>
                <c:pt idx="547">
                  <c:v>42930</c:v>
                </c:pt>
                <c:pt idx="548">
                  <c:v>42929</c:v>
                </c:pt>
                <c:pt idx="549">
                  <c:v>42928</c:v>
                </c:pt>
                <c:pt idx="550">
                  <c:v>42927</c:v>
                </c:pt>
                <c:pt idx="551">
                  <c:v>42926</c:v>
                </c:pt>
                <c:pt idx="552">
                  <c:v>42923</c:v>
                </c:pt>
                <c:pt idx="553">
                  <c:v>42922</c:v>
                </c:pt>
                <c:pt idx="554">
                  <c:v>42921</c:v>
                </c:pt>
                <c:pt idx="555">
                  <c:v>42920</c:v>
                </c:pt>
                <c:pt idx="556">
                  <c:v>42919</c:v>
                </c:pt>
                <c:pt idx="557">
                  <c:v>42916</c:v>
                </c:pt>
                <c:pt idx="558">
                  <c:v>42915</c:v>
                </c:pt>
                <c:pt idx="559">
                  <c:v>42914</c:v>
                </c:pt>
                <c:pt idx="560">
                  <c:v>42913</c:v>
                </c:pt>
                <c:pt idx="561">
                  <c:v>42912</c:v>
                </c:pt>
                <c:pt idx="562">
                  <c:v>42909</c:v>
                </c:pt>
                <c:pt idx="563">
                  <c:v>42908</c:v>
                </c:pt>
                <c:pt idx="564">
                  <c:v>42907</c:v>
                </c:pt>
                <c:pt idx="565">
                  <c:v>42906</c:v>
                </c:pt>
                <c:pt idx="566">
                  <c:v>42905</c:v>
                </c:pt>
                <c:pt idx="567">
                  <c:v>42902</c:v>
                </c:pt>
                <c:pt idx="568">
                  <c:v>42901</c:v>
                </c:pt>
                <c:pt idx="569">
                  <c:v>42900</c:v>
                </c:pt>
                <c:pt idx="570">
                  <c:v>42899</c:v>
                </c:pt>
                <c:pt idx="571">
                  <c:v>42898</c:v>
                </c:pt>
                <c:pt idx="572">
                  <c:v>42895</c:v>
                </c:pt>
                <c:pt idx="573">
                  <c:v>42894</c:v>
                </c:pt>
                <c:pt idx="574">
                  <c:v>42893</c:v>
                </c:pt>
                <c:pt idx="575">
                  <c:v>42892</c:v>
                </c:pt>
                <c:pt idx="576">
                  <c:v>42891</c:v>
                </c:pt>
                <c:pt idx="577">
                  <c:v>42888</c:v>
                </c:pt>
                <c:pt idx="578">
                  <c:v>42887</c:v>
                </c:pt>
                <c:pt idx="579">
                  <c:v>42886</c:v>
                </c:pt>
                <c:pt idx="580">
                  <c:v>42885</c:v>
                </c:pt>
                <c:pt idx="581">
                  <c:v>42884</c:v>
                </c:pt>
                <c:pt idx="582">
                  <c:v>42881</c:v>
                </c:pt>
                <c:pt idx="583">
                  <c:v>42880</c:v>
                </c:pt>
                <c:pt idx="584">
                  <c:v>42879</c:v>
                </c:pt>
                <c:pt idx="585">
                  <c:v>42878</c:v>
                </c:pt>
                <c:pt idx="586">
                  <c:v>42877</c:v>
                </c:pt>
                <c:pt idx="587">
                  <c:v>42874</c:v>
                </c:pt>
                <c:pt idx="588">
                  <c:v>42873</c:v>
                </c:pt>
                <c:pt idx="589">
                  <c:v>42872</c:v>
                </c:pt>
                <c:pt idx="590">
                  <c:v>42871</c:v>
                </c:pt>
                <c:pt idx="591">
                  <c:v>42870</c:v>
                </c:pt>
                <c:pt idx="592">
                  <c:v>42867</c:v>
                </c:pt>
                <c:pt idx="593">
                  <c:v>42866</c:v>
                </c:pt>
                <c:pt idx="594">
                  <c:v>42865</c:v>
                </c:pt>
                <c:pt idx="595">
                  <c:v>42864</c:v>
                </c:pt>
                <c:pt idx="596">
                  <c:v>42863</c:v>
                </c:pt>
                <c:pt idx="597">
                  <c:v>42857</c:v>
                </c:pt>
                <c:pt idx="598">
                  <c:v>42856</c:v>
                </c:pt>
                <c:pt idx="599">
                  <c:v>42853</c:v>
                </c:pt>
                <c:pt idx="600">
                  <c:v>42852</c:v>
                </c:pt>
                <c:pt idx="601">
                  <c:v>42851</c:v>
                </c:pt>
                <c:pt idx="602">
                  <c:v>42850</c:v>
                </c:pt>
                <c:pt idx="603">
                  <c:v>42849</c:v>
                </c:pt>
                <c:pt idx="604">
                  <c:v>42846</c:v>
                </c:pt>
                <c:pt idx="605">
                  <c:v>42845</c:v>
                </c:pt>
                <c:pt idx="606">
                  <c:v>42844</c:v>
                </c:pt>
                <c:pt idx="607">
                  <c:v>42843</c:v>
                </c:pt>
                <c:pt idx="608">
                  <c:v>42842</c:v>
                </c:pt>
                <c:pt idx="609">
                  <c:v>42839</c:v>
                </c:pt>
                <c:pt idx="610">
                  <c:v>42838</c:v>
                </c:pt>
                <c:pt idx="611">
                  <c:v>42837</c:v>
                </c:pt>
                <c:pt idx="612">
                  <c:v>42836</c:v>
                </c:pt>
                <c:pt idx="613">
                  <c:v>42835</c:v>
                </c:pt>
                <c:pt idx="614">
                  <c:v>42832</c:v>
                </c:pt>
                <c:pt idx="615">
                  <c:v>42831</c:v>
                </c:pt>
                <c:pt idx="616">
                  <c:v>42830</c:v>
                </c:pt>
                <c:pt idx="617">
                  <c:v>42829</c:v>
                </c:pt>
                <c:pt idx="618">
                  <c:v>42828</c:v>
                </c:pt>
                <c:pt idx="619">
                  <c:v>42825</c:v>
                </c:pt>
                <c:pt idx="620">
                  <c:v>42824</c:v>
                </c:pt>
                <c:pt idx="621">
                  <c:v>42823</c:v>
                </c:pt>
                <c:pt idx="622">
                  <c:v>42822</c:v>
                </c:pt>
                <c:pt idx="623">
                  <c:v>42821</c:v>
                </c:pt>
                <c:pt idx="624">
                  <c:v>42818</c:v>
                </c:pt>
                <c:pt idx="625">
                  <c:v>42817</c:v>
                </c:pt>
                <c:pt idx="626">
                  <c:v>42816</c:v>
                </c:pt>
                <c:pt idx="627">
                  <c:v>42815</c:v>
                </c:pt>
                <c:pt idx="628">
                  <c:v>42811</c:v>
                </c:pt>
                <c:pt idx="629">
                  <c:v>42810</c:v>
                </c:pt>
                <c:pt idx="630">
                  <c:v>42809</c:v>
                </c:pt>
                <c:pt idx="631">
                  <c:v>42808</c:v>
                </c:pt>
                <c:pt idx="632">
                  <c:v>42807</c:v>
                </c:pt>
                <c:pt idx="633">
                  <c:v>42804</c:v>
                </c:pt>
                <c:pt idx="634">
                  <c:v>42803</c:v>
                </c:pt>
                <c:pt idx="635">
                  <c:v>42802</c:v>
                </c:pt>
                <c:pt idx="636">
                  <c:v>42801</c:v>
                </c:pt>
                <c:pt idx="637">
                  <c:v>42800</c:v>
                </c:pt>
                <c:pt idx="638">
                  <c:v>42797</c:v>
                </c:pt>
                <c:pt idx="639">
                  <c:v>42796</c:v>
                </c:pt>
                <c:pt idx="640">
                  <c:v>42795</c:v>
                </c:pt>
                <c:pt idx="641">
                  <c:v>42794</c:v>
                </c:pt>
                <c:pt idx="642">
                  <c:v>42793</c:v>
                </c:pt>
                <c:pt idx="643">
                  <c:v>42790</c:v>
                </c:pt>
                <c:pt idx="644">
                  <c:v>42789</c:v>
                </c:pt>
                <c:pt idx="645">
                  <c:v>42788</c:v>
                </c:pt>
                <c:pt idx="646">
                  <c:v>42787</c:v>
                </c:pt>
                <c:pt idx="647">
                  <c:v>42786</c:v>
                </c:pt>
                <c:pt idx="648">
                  <c:v>42783</c:v>
                </c:pt>
                <c:pt idx="649">
                  <c:v>42782</c:v>
                </c:pt>
                <c:pt idx="650">
                  <c:v>42781</c:v>
                </c:pt>
                <c:pt idx="651">
                  <c:v>42780</c:v>
                </c:pt>
                <c:pt idx="652">
                  <c:v>42779</c:v>
                </c:pt>
                <c:pt idx="653">
                  <c:v>42776</c:v>
                </c:pt>
                <c:pt idx="654">
                  <c:v>42775</c:v>
                </c:pt>
                <c:pt idx="655">
                  <c:v>42774</c:v>
                </c:pt>
                <c:pt idx="656">
                  <c:v>42773</c:v>
                </c:pt>
                <c:pt idx="657">
                  <c:v>42772</c:v>
                </c:pt>
                <c:pt idx="658">
                  <c:v>42769</c:v>
                </c:pt>
                <c:pt idx="659">
                  <c:v>42768</c:v>
                </c:pt>
                <c:pt idx="660">
                  <c:v>42767</c:v>
                </c:pt>
                <c:pt idx="661">
                  <c:v>42766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4.3895609333392196</c:v>
                </c:pt>
                <c:pt idx="1">
                  <c:v>4.3841607707152699</c:v>
                </c:pt>
                <c:pt idx="2">
                  <c:v>4.3820695679459103</c:v>
                </c:pt>
                <c:pt idx="3">
                  <c:v>4.3794907683550699</c:v>
                </c:pt>
                <c:pt idx="4">
                  <c:v>4.37605704029147</c:v>
                </c:pt>
                <c:pt idx="5">
                  <c:v>4.3726981540459899</c:v>
                </c:pt>
                <c:pt idx="6">
                  <c:v>4.3708371045264096</c:v>
                </c:pt>
                <c:pt idx="7">
                  <c:v>4.3690016320002201</c:v>
                </c:pt>
                <c:pt idx="8">
                  <c:v>4.3681088955604697</c:v>
                </c:pt>
                <c:pt idx="9">
                  <c:v>4.3677231372683298</c:v>
                </c:pt>
                <c:pt idx="10">
                  <c:v>4.3662331782439896</c:v>
                </c:pt>
                <c:pt idx="11">
                  <c:v>4.364160895176</c:v>
                </c:pt>
                <c:pt idx="12">
                  <c:v>4.3610721281446301</c:v>
                </c:pt>
                <c:pt idx="13">
                  <c:v>4.3592691109134902</c:v>
                </c:pt>
                <c:pt idx="14">
                  <c:v>4.3563811406346904</c:v>
                </c:pt>
                <c:pt idx="15">
                  <c:v>4.3534929967342597</c:v>
                </c:pt>
                <c:pt idx="16">
                  <c:v>4.3515247330264604</c:v>
                </c:pt>
                <c:pt idx="17">
                  <c:v>4.3514967086243601</c:v>
                </c:pt>
                <c:pt idx="18">
                  <c:v>4.3509694386444497</c:v>
                </c:pt>
                <c:pt idx="19">
                  <c:v>4.35047495389892</c:v>
                </c:pt>
                <c:pt idx="20">
                  <c:v>4.3512829550789904</c:v>
                </c:pt>
                <c:pt idx="21">
                  <c:v>4.35031335911418</c:v>
                </c:pt>
                <c:pt idx="22">
                  <c:v>4.3476372764341704</c:v>
                </c:pt>
                <c:pt idx="23">
                  <c:v>4.3429432622878403</c:v>
                </c:pt>
                <c:pt idx="24">
                  <c:v>4.3386077525680902</c:v>
                </c:pt>
                <c:pt idx="25">
                  <c:v>4.3351907969828503</c:v>
                </c:pt>
                <c:pt idx="26">
                  <c:v>4.3325642042899499</c:v>
                </c:pt>
                <c:pt idx="27">
                  <c:v>4.3331330507517798</c:v>
                </c:pt>
                <c:pt idx="28">
                  <c:v>4.3321220005910899</c:v>
                </c:pt>
                <c:pt idx="29">
                  <c:v>4.3307114534934001</c:v>
                </c:pt>
                <c:pt idx="30">
                  <c:v>4.3310344888119898</c:v>
                </c:pt>
                <c:pt idx="31">
                  <c:v>4.3309406575566998</c:v>
                </c:pt>
                <c:pt idx="32">
                  <c:v>4.33292197012383</c:v>
                </c:pt>
                <c:pt idx="33">
                  <c:v>4.3360142201097798</c:v>
                </c:pt>
                <c:pt idx="34">
                  <c:v>4.3373245441038399</c:v>
                </c:pt>
                <c:pt idx="35">
                  <c:v>4.3372093575679402</c:v>
                </c:pt>
                <c:pt idx="36">
                  <c:v>4.3380914289817998</c:v>
                </c:pt>
                <c:pt idx="37">
                  <c:v>4.33935124375515</c:v>
                </c:pt>
                <c:pt idx="38">
                  <c:v>4.3419492217907703</c:v>
                </c:pt>
                <c:pt idx="39">
                  <c:v>4.3423516840690004</c:v>
                </c:pt>
                <c:pt idx="40">
                  <c:v>4.3432386592420897</c:v>
                </c:pt>
                <c:pt idx="41">
                  <c:v>4.3459606060705802</c:v>
                </c:pt>
                <c:pt idx="42">
                  <c:v>4.3490963318839801</c:v>
                </c:pt>
                <c:pt idx="43">
                  <c:v>4.3541768246899304</c:v>
                </c:pt>
                <c:pt idx="44">
                  <c:v>4.3591122513971996</c:v>
                </c:pt>
                <c:pt idx="45">
                  <c:v>4.36669993328705</c:v>
                </c:pt>
                <c:pt idx="46">
                  <c:v>4.3749806135955396</c:v>
                </c:pt>
                <c:pt idx="47">
                  <c:v>4.3866370994022201</c:v>
                </c:pt>
                <c:pt idx="48">
                  <c:v>4.4039514159546203</c:v>
                </c:pt>
                <c:pt idx="49">
                  <c:v>4.4181249467511696</c:v>
                </c:pt>
                <c:pt idx="50">
                  <c:v>4.4327252920316003</c:v>
                </c:pt>
                <c:pt idx="51">
                  <c:v>4.4468325095768204</c:v>
                </c:pt>
                <c:pt idx="52">
                  <c:v>4.4614078561075603</c:v>
                </c:pt>
                <c:pt idx="53">
                  <c:v>4.4758187679393302</c:v>
                </c:pt>
                <c:pt idx="54">
                  <c:v>4.4911371638462798</c:v>
                </c:pt>
                <c:pt idx="55">
                  <c:v>4.5097756767764299</c:v>
                </c:pt>
                <c:pt idx="56">
                  <c:v>4.5293130387823997</c:v>
                </c:pt>
                <c:pt idx="57">
                  <c:v>4.54723085661964</c:v>
                </c:pt>
                <c:pt idx="58">
                  <c:v>4.5620931600910897</c:v>
                </c:pt>
                <c:pt idx="59">
                  <c:v>4.5760515317288899</c:v>
                </c:pt>
                <c:pt idx="60">
                  <c:v>4.5890659352065004</c:v>
                </c:pt>
                <c:pt idx="61">
                  <c:v>4.6010223611079804</c:v>
                </c:pt>
                <c:pt idx="62">
                  <c:v>4.6122161511600996</c:v>
                </c:pt>
                <c:pt idx="63">
                  <c:v>4.62752154144325</c:v>
                </c:pt>
                <c:pt idx="64">
                  <c:v>4.6426742731309201</c:v>
                </c:pt>
                <c:pt idx="65">
                  <c:v>4.6559669675278998</c:v>
                </c:pt>
                <c:pt idx="66">
                  <c:v>4.6684611034541801</c:v>
                </c:pt>
                <c:pt idx="67">
                  <c:v>4.6808292462355299</c:v>
                </c:pt>
                <c:pt idx="68">
                  <c:v>4.69404925869918</c:v>
                </c:pt>
                <c:pt idx="69">
                  <c:v>4.70729073020504</c:v>
                </c:pt>
                <c:pt idx="70">
                  <c:v>4.7209122557958496</c:v>
                </c:pt>
                <c:pt idx="71">
                  <c:v>4.73284510952133</c:v>
                </c:pt>
                <c:pt idx="72">
                  <c:v>4.7447592367687204</c:v>
                </c:pt>
                <c:pt idx="73">
                  <c:v>4.7576271772718002</c:v>
                </c:pt>
                <c:pt idx="74">
                  <c:v>4.77145090728912</c:v>
                </c:pt>
                <c:pt idx="75">
                  <c:v>4.7848873906396197</c:v>
                </c:pt>
                <c:pt idx="76">
                  <c:v>4.79786064276826</c:v>
                </c:pt>
                <c:pt idx="77">
                  <c:v>4.8085519674151698</c:v>
                </c:pt>
                <c:pt idx="78">
                  <c:v>4.8207215162663903</c:v>
                </c:pt>
                <c:pt idx="79">
                  <c:v>4.8325172400908798</c:v>
                </c:pt>
                <c:pt idx="80">
                  <c:v>4.8447537404957997</c:v>
                </c:pt>
                <c:pt idx="81">
                  <c:v>4.8563029829200497</c:v>
                </c:pt>
                <c:pt idx="82">
                  <c:v>4.8674473960396503</c:v>
                </c:pt>
                <c:pt idx="83">
                  <c:v>4.8791103382934997</c:v>
                </c:pt>
                <c:pt idx="84">
                  <c:v>4.8908703348441804</c:v>
                </c:pt>
                <c:pt idx="85">
                  <c:v>4.9046417116701804</c:v>
                </c:pt>
                <c:pt idx="86">
                  <c:v>4.9177683906648104</c:v>
                </c:pt>
                <c:pt idx="87">
                  <c:v>4.9323586462874003</c:v>
                </c:pt>
                <c:pt idx="88">
                  <c:v>4.9459740617712598</c:v>
                </c:pt>
                <c:pt idx="89">
                  <c:v>4.9590104160797104</c:v>
                </c:pt>
                <c:pt idx="90">
                  <c:v>4.9742345449797201</c:v>
                </c:pt>
                <c:pt idx="91">
                  <c:v>4.9860532260317498</c:v>
                </c:pt>
                <c:pt idx="92">
                  <c:v>4.9965808912460101</c:v>
                </c:pt>
                <c:pt idx="93">
                  <c:v>5.0072603675285201</c:v>
                </c:pt>
                <c:pt idx="94">
                  <c:v>5.0174743738407397</c:v>
                </c:pt>
                <c:pt idx="95">
                  <c:v>5.0218338639903104</c:v>
                </c:pt>
                <c:pt idx="96">
                  <c:v>5.0266422312731498</c:v>
                </c:pt>
                <c:pt idx="97">
                  <c:v>5.0309115886511302</c:v>
                </c:pt>
                <c:pt idx="98">
                  <c:v>5.0332809370673699</c:v>
                </c:pt>
                <c:pt idx="99">
                  <c:v>5.0322591120395801</c:v>
                </c:pt>
                <c:pt idx="100">
                  <c:v>5.0316424806969797</c:v>
                </c:pt>
                <c:pt idx="101">
                  <c:v>5.0309140989841499</c:v>
                </c:pt>
                <c:pt idx="102">
                  <c:v>5.03132306531006</c:v>
                </c:pt>
                <c:pt idx="103">
                  <c:v>5.0320262669047304</c:v>
                </c:pt>
                <c:pt idx="104">
                  <c:v>5.0313707789901398</c:v>
                </c:pt>
                <c:pt idx="105">
                  <c:v>5.0273752500455799</c:v>
                </c:pt>
                <c:pt idx="106">
                  <c:v>5.0247406066685798</c:v>
                </c:pt>
                <c:pt idx="107">
                  <c:v>5.0209564651856198</c:v>
                </c:pt>
                <c:pt idx="108">
                  <c:v>5.0166305297259903</c:v>
                </c:pt>
                <c:pt idx="109">
                  <c:v>5.0158102479866402</c:v>
                </c:pt>
                <c:pt idx="110">
                  <c:v>5.02227949905875</c:v>
                </c:pt>
                <c:pt idx="111">
                  <c:v>5.0277102893959897</c:v>
                </c:pt>
                <c:pt idx="112">
                  <c:v>5.0329957745637204</c:v>
                </c:pt>
                <c:pt idx="113">
                  <c:v>5.0382638162643101</c:v>
                </c:pt>
                <c:pt idx="114">
                  <c:v>5.0463804123856804</c:v>
                </c:pt>
                <c:pt idx="115">
                  <c:v>5.05395179163793</c:v>
                </c:pt>
                <c:pt idx="116">
                  <c:v>5.05886746537875</c:v>
                </c:pt>
                <c:pt idx="117">
                  <c:v>5.0624993687588802</c:v>
                </c:pt>
                <c:pt idx="118">
                  <c:v>5.0654825534562997</c:v>
                </c:pt>
                <c:pt idx="119">
                  <c:v>5.0705099199750601</c:v>
                </c:pt>
                <c:pt idx="120">
                  <c:v>5.0745706421392303</c:v>
                </c:pt>
                <c:pt idx="121">
                  <c:v>5.0759208371940101</c:v>
                </c:pt>
                <c:pt idx="122">
                  <c:v>5.0770165415940598</c:v>
                </c:pt>
                <c:pt idx="123">
                  <c:v>5.0726351872326001</c:v>
                </c:pt>
                <c:pt idx="124">
                  <c:v>5.0701852963037499</c:v>
                </c:pt>
                <c:pt idx="125">
                  <c:v>5.0668047909560299</c:v>
                </c:pt>
                <c:pt idx="126">
                  <c:v>5.0647667505015699</c:v>
                </c:pt>
                <c:pt idx="127">
                  <c:v>5.0601700587529299</c:v>
                </c:pt>
                <c:pt idx="128">
                  <c:v>5.0589654393997598</c:v>
                </c:pt>
                <c:pt idx="129">
                  <c:v>5.0554724312765797</c:v>
                </c:pt>
                <c:pt idx="130">
                  <c:v>5.0496945271942204</c:v>
                </c:pt>
                <c:pt idx="131">
                  <c:v>5.0393043527796504</c:v>
                </c:pt>
                <c:pt idx="132">
                  <c:v>5.0317150401050403</c:v>
                </c:pt>
                <c:pt idx="133">
                  <c:v>5.0257133263499503</c:v>
                </c:pt>
                <c:pt idx="134">
                  <c:v>5.0233694388755303</c:v>
                </c:pt>
                <c:pt idx="135">
                  <c:v>5.0232706782172203</c:v>
                </c:pt>
                <c:pt idx="136">
                  <c:v>5.0216463791662997</c:v>
                </c:pt>
                <c:pt idx="137">
                  <c:v>5.0209524906925598</c:v>
                </c:pt>
                <c:pt idx="138">
                  <c:v>5.01711702515568</c:v>
                </c:pt>
                <c:pt idx="139">
                  <c:v>5.0110820358908299</c:v>
                </c:pt>
                <c:pt idx="140">
                  <c:v>5.0051201379470696</c:v>
                </c:pt>
                <c:pt idx="141">
                  <c:v>5.0014244474081604</c:v>
                </c:pt>
                <c:pt idx="142">
                  <c:v>4.9972744692465101</c:v>
                </c:pt>
                <c:pt idx="143">
                  <c:v>4.9924352648437598</c:v>
                </c:pt>
                <c:pt idx="144">
                  <c:v>4.9858411407337702</c:v>
                </c:pt>
                <c:pt idx="145">
                  <c:v>4.9798814125191404</c:v>
                </c:pt>
                <c:pt idx="146">
                  <c:v>4.9749020050752701</c:v>
                </c:pt>
                <c:pt idx="147">
                  <c:v>4.97023934795524</c:v>
                </c:pt>
                <c:pt idx="148">
                  <c:v>4.9658484530241598</c:v>
                </c:pt>
                <c:pt idx="149">
                  <c:v>4.9605404099317703</c:v>
                </c:pt>
                <c:pt idx="150">
                  <c:v>4.9532721450633499</c:v>
                </c:pt>
                <c:pt idx="151">
                  <c:v>4.9479438988944899</c:v>
                </c:pt>
                <c:pt idx="152">
                  <c:v>4.9459103650837699</c:v>
                </c:pt>
                <c:pt idx="153">
                  <c:v>4.9406585471225002</c:v>
                </c:pt>
                <c:pt idx="154">
                  <c:v>4.9373571135175096</c:v>
                </c:pt>
                <c:pt idx="155">
                  <c:v>4.9330737899738599</c:v>
                </c:pt>
                <c:pt idx="156">
                  <c:v>4.9279481000807897</c:v>
                </c:pt>
                <c:pt idx="157">
                  <c:v>4.9224710422260296</c:v>
                </c:pt>
                <c:pt idx="158">
                  <c:v>4.9187590543919004</c:v>
                </c:pt>
                <c:pt idx="159">
                  <c:v>4.91735797330207</c:v>
                </c:pt>
                <c:pt idx="160">
                  <c:v>4.9134637711842997</c:v>
                </c:pt>
                <c:pt idx="161">
                  <c:v>4.9126102426190696</c:v>
                </c:pt>
                <c:pt idx="162">
                  <c:v>4.9098004703900298</c:v>
                </c:pt>
                <c:pt idx="163">
                  <c:v>4.90862601403993</c:v>
                </c:pt>
                <c:pt idx="164">
                  <c:v>4.9091650410332504</c:v>
                </c:pt>
                <c:pt idx="165">
                  <c:v>4.9088521283936704</c:v>
                </c:pt>
                <c:pt idx="166">
                  <c:v>4.9117104600635102</c:v>
                </c:pt>
                <c:pt idx="167">
                  <c:v>4.9154093777353198</c:v>
                </c:pt>
                <c:pt idx="168">
                  <c:v>4.9192688708907104</c:v>
                </c:pt>
                <c:pt idx="169">
                  <c:v>4.9208297207566796</c:v>
                </c:pt>
                <c:pt idx="170">
                  <c:v>4.92592521036324</c:v>
                </c:pt>
                <c:pt idx="171">
                  <c:v>4.9298589223338496</c:v>
                </c:pt>
                <c:pt idx="172">
                  <c:v>4.9360770574517501</c:v>
                </c:pt>
                <c:pt idx="173">
                  <c:v>4.9491245298910203</c:v>
                </c:pt>
                <c:pt idx="174">
                  <c:v>4.9638040111984099</c:v>
                </c:pt>
                <c:pt idx="175">
                  <c:v>4.9776681042256401</c:v>
                </c:pt>
                <c:pt idx="176">
                  <c:v>4.9913037253385797</c:v>
                </c:pt>
                <c:pt idx="177">
                  <c:v>5.0027668128079803</c:v>
                </c:pt>
                <c:pt idx="178">
                  <c:v>5.0167909459277604</c:v>
                </c:pt>
                <c:pt idx="179">
                  <c:v>5.0289035090670904</c:v>
                </c:pt>
                <c:pt idx="180">
                  <c:v>5.0432569792149602</c:v>
                </c:pt>
                <c:pt idx="181">
                  <c:v>5.0576917075097798</c:v>
                </c:pt>
                <c:pt idx="182">
                  <c:v>5.07268528428874</c:v>
                </c:pt>
                <c:pt idx="183">
                  <c:v>5.0872902426279296</c:v>
                </c:pt>
                <c:pt idx="184">
                  <c:v>5.0997368387535298</c:v>
                </c:pt>
                <c:pt idx="185">
                  <c:v>5.1068457668818397</c:v>
                </c:pt>
                <c:pt idx="186">
                  <c:v>5.1131257785036501</c:v>
                </c:pt>
                <c:pt idx="187">
                  <c:v>5.1175763485042198</c:v>
                </c:pt>
                <c:pt idx="188">
                  <c:v>5.1211601167637104</c:v>
                </c:pt>
                <c:pt idx="189">
                  <c:v>5.1246361362124198</c:v>
                </c:pt>
                <c:pt idx="190">
                  <c:v>5.1282087808513701</c:v>
                </c:pt>
                <c:pt idx="191">
                  <c:v>5.1352474961089802</c:v>
                </c:pt>
                <c:pt idx="192">
                  <c:v>5.1419141967172797</c:v>
                </c:pt>
                <c:pt idx="193">
                  <c:v>5.1458318298260703</c:v>
                </c:pt>
                <c:pt idx="194">
                  <c:v>5.14770107755675</c:v>
                </c:pt>
                <c:pt idx="195">
                  <c:v>5.1460139717835398</c:v>
                </c:pt>
                <c:pt idx="196">
                  <c:v>5.1457164921293002</c:v>
                </c:pt>
                <c:pt idx="197">
                  <c:v>5.1457207740137099</c:v>
                </c:pt>
                <c:pt idx="198">
                  <c:v>5.1460999205758604</c:v>
                </c:pt>
                <c:pt idx="199">
                  <c:v>5.1465990618353699</c:v>
                </c:pt>
                <c:pt idx="200">
                  <c:v>5.1476147932858902</c:v>
                </c:pt>
                <c:pt idx="201">
                  <c:v>5.1472996722712097</c:v>
                </c:pt>
                <c:pt idx="202">
                  <c:v>5.1489525263327698</c:v>
                </c:pt>
                <c:pt idx="203">
                  <c:v>5.1490957837059002</c:v>
                </c:pt>
                <c:pt idx="204">
                  <c:v>5.1507944547652897</c:v>
                </c:pt>
                <c:pt idx="205">
                  <c:v>5.15279568721947</c:v>
                </c:pt>
                <c:pt idx="206">
                  <c:v>5.1609281117093602</c:v>
                </c:pt>
                <c:pt idx="207">
                  <c:v>5.1723563239353201</c:v>
                </c:pt>
                <c:pt idx="208">
                  <c:v>5.1812910853448901</c:v>
                </c:pt>
                <c:pt idx="209">
                  <c:v>5.1882190915565998</c:v>
                </c:pt>
                <c:pt idx="210">
                  <c:v>5.1942267967522504</c:v>
                </c:pt>
                <c:pt idx="211">
                  <c:v>5.2018790048156003</c:v>
                </c:pt>
                <c:pt idx="212">
                  <c:v>5.2101213950391498</c:v>
                </c:pt>
                <c:pt idx="213">
                  <c:v>5.2191416850566101</c:v>
                </c:pt>
                <c:pt idx="214">
                  <c:v>5.2295892283763701</c:v>
                </c:pt>
                <c:pt idx="215">
                  <c:v>5.2371360909951203</c:v>
                </c:pt>
                <c:pt idx="216">
                  <c:v>5.2432107808382504</c:v>
                </c:pt>
                <c:pt idx="217">
                  <c:v>5.2503109989239398</c:v>
                </c:pt>
                <c:pt idx="218">
                  <c:v>5.2539693090168802</c:v>
                </c:pt>
                <c:pt idx="219">
                  <c:v>5.2620760451760598</c:v>
                </c:pt>
                <c:pt idx="220">
                  <c:v>5.26963564253884</c:v>
                </c:pt>
                <c:pt idx="221">
                  <c:v>5.2769831602693396</c:v>
                </c:pt>
                <c:pt idx="222">
                  <c:v>5.2839924763647002</c:v>
                </c:pt>
                <c:pt idx="223">
                  <c:v>5.2923710050207102</c:v>
                </c:pt>
                <c:pt idx="224">
                  <c:v>5.3048501442389799</c:v>
                </c:pt>
                <c:pt idx="225">
                  <c:v>5.3203079785371301</c:v>
                </c:pt>
                <c:pt idx="226">
                  <c:v>5.3340762070967198</c:v>
                </c:pt>
                <c:pt idx="227">
                  <c:v>5.3445811104478604</c:v>
                </c:pt>
                <c:pt idx="228">
                  <c:v>5.3563068633969699</c:v>
                </c:pt>
                <c:pt idx="229">
                  <c:v>5.3645887994272003</c:v>
                </c:pt>
                <c:pt idx="230">
                  <c:v>5.3759359507268698</c:v>
                </c:pt>
                <c:pt idx="231">
                  <c:v>5.3843447350550102</c:v>
                </c:pt>
                <c:pt idx="232">
                  <c:v>5.3927632512376098</c:v>
                </c:pt>
                <c:pt idx="233">
                  <c:v>5.4003358031656798</c:v>
                </c:pt>
                <c:pt idx="234">
                  <c:v>5.4106157811437203</c:v>
                </c:pt>
                <c:pt idx="235">
                  <c:v>5.4326718557128801</c:v>
                </c:pt>
                <c:pt idx="236">
                  <c:v>5.4507360443767698</c:v>
                </c:pt>
                <c:pt idx="237">
                  <c:v>5.4708344764910004</c:v>
                </c:pt>
                <c:pt idx="238">
                  <c:v>5.4914261160701603</c:v>
                </c:pt>
                <c:pt idx="239">
                  <c:v>5.5107058626303997</c:v>
                </c:pt>
                <c:pt idx="240">
                  <c:v>5.5300093054686403</c:v>
                </c:pt>
                <c:pt idx="241">
                  <c:v>5.5455130407289301</c:v>
                </c:pt>
                <c:pt idx="242">
                  <c:v>5.5629362391534496</c:v>
                </c:pt>
                <c:pt idx="243">
                  <c:v>5.5824578074888098</c:v>
                </c:pt>
                <c:pt idx="244">
                  <c:v>5.60336485500802</c:v>
                </c:pt>
                <c:pt idx="245">
                  <c:v>5.6230111335079904</c:v>
                </c:pt>
                <c:pt idx="246">
                  <c:v>5.6426253993672804</c:v>
                </c:pt>
                <c:pt idx="247">
                  <c:v>5.6601158616184</c:v>
                </c:pt>
                <c:pt idx="248">
                  <c:v>5.6708683456771896</c:v>
                </c:pt>
                <c:pt idx="249">
                  <c:v>5.6818854125383096</c:v>
                </c:pt>
                <c:pt idx="250">
                  <c:v>5.6965803720181096</c:v>
                </c:pt>
                <c:pt idx="251">
                  <c:v>5.7104742569489799</c:v>
                </c:pt>
                <c:pt idx="252">
                  <c:v>5.7227454177567001</c:v>
                </c:pt>
                <c:pt idx="253">
                  <c:v>5.7319350399457996</c:v>
                </c:pt>
                <c:pt idx="254">
                  <c:v>5.7436056839898297</c:v>
                </c:pt>
                <c:pt idx="255">
                  <c:v>5.7537821853373803</c:v>
                </c:pt>
                <c:pt idx="256">
                  <c:v>5.7621134144893702</c:v>
                </c:pt>
                <c:pt idx="257">
                  <c:v>5.7673292353493304</c:v>
                </c:pt>
                <c:pt idx="258">
                  <c:v>5.7742987707426403</c:v>
                </c:pt>
                <c:pt idx="259">
                  <c:v>5.7843527123069203</c:v>
                </c:pt>
                <c:pt idx="260">
                  <c:v>5.79336034723877</c:v>
                </c:pt>
                <c:pt idx="261">
                  <c:v>5.8022209232377397</c:v>
                </c:pt>
                <c:pt idx="262">
                  <c:v>5.8118617300351199</c:v>
                </c:pt>
                <c:pt idx="263">
                  <c:v>5.82084275465074</c:v>
                </c:pt>
                <c:pt idx="264">
                  <c:v>5.8294208085858799</c:v>
                </c:pt>
                <c:pt idx="265">
                  <c:v>5.8363858440713701</c:v>
                </c:pt>
                <c:pt idx="266">
                  <c:v>5.8418340744449697</c:v>
                </c:pt>
                <c:pt idx="267">
                  <c:v>5.84846307252859</c:v>
                </c:pt>
                <c:pt idx="268">
                  <c:v>5.8563089182423704</c:v>
                </c:pt>
                <c:pt idx="269">
                  <c:v>5.8643986432884603</c:v>
                </c:pt>
                <c:pt idx="270">
                  <c:v>5.8759142045516901</c:v>
                </c:pt>
                <c:pt idx="271">
                  <c:v>5.8888466640811998</c:v>
                </c:pt>
                <c:pt idx="272">
                  <c:v>5.9015898766792301</c:v>
                </c:pt>
                <c:pt idx="273">
                  <c:v>5.9141649531995597</c:v>
                </c:pt>
                <c:pt idx="274">
                  <c:v>5.9264808114183003</c:v>
                </c:pt>
                <c:pt idx="275">
                  <c:v>5.9386325487269396</c:v>
                </c:pt>
                <c:pt idx="276">
                  <c:v>5.9530997531301999</c:v>
                </c:pt>
                <c:pt idx="277">
                  <c:v>5.9684280349805698</c:v>
                </c:pt>
                <c:pt idx="278">
                  <c:v>5.9797293641284703</c:v>
                </c:pt>
                <c:pt idx="279">
                  <c:v>5.9904991412866204</c:v>
                </c:pt>
                <c:pt idx="280">
                  <c:v>5.9978175986559101</c:v>
                </c:pt>
                <c:pt idx="281">
                  <c:v>6.0021462602355502</c:v>
                </c:pt>
                <c:pt idx="282">
                  <c:v>6.0021405329175499</c:v>
                </c:pt>
                <c:pt idx="283">
                  <c:v>6.0053651308684497</c:v>
                </c:pt>
                <c:pt idx="284">
                  <c:v>6.0095247748928697</c:v>
                </c:pt>
                <c:pt idx="285">
                  <c:v>6.0181048408721596</c:v>
                </c:pt>
                <c:pt idx="286">
                  <c:v>6.0255871761218103</c:v>
                </c:pt>
                <c:pt idx="287">
                  <c:v>6.0333744693686402</c:v>
                </c:pt>
                <c:pt idx="288">
                  <c:v>6.0406077062429304</c:v>
                </c:pt>
                <c:pt idx="289">
                  <c:v>6.0473070460937501</c:v>
                </c:pt>
                <c:pt idx="290">
                  <c:v>6.0542757193632699</c:v>
                </c:pt>
                <c:pt idx="291">
                  <c:v>6.0638657164676903</c:v>
                </c:pt>
                <c:pt idx="292">
                  <c:v>6.0685993918448098</c:v>
                </c:pt>
                <c:pt idx="293">
                  <c:v>6.0792782325058097</c:v>
                </c:pt>
                <c:pt idx="294">
                  <c:v>6.0899701213583599</c:v>
                </c:pt>
                <c:pt idx="295">
                  <c:v>6.1023840638247702</c:v>
                </c:pt>
                <c:pt idx="296">
                  <c:v>6.1165967437758999</c:v>
                </c:pt>
                <c:pt idx="297">
                  <c:v>6.1314006514668202</c:v>
                </c:pt>
                <c:pt idx="298">
                  <c:v>6.1438000018745704</c:v>
                </c:pt>
                <c:pt idx="299">
                  <c:v>6.1501303456712799</c:v>
                </c:pt>
                <c:pt idx="300">
                  <c:v>6.1562532640413004</c:v>
                </c:pt>
                <c:pt idx="301">
                  <c:v>6.1609044429763102</c:v>
                </c:pt>
                <c:pt idx="302">
                  <c:v>6.1650582339870601</c:v>
                </c:pt>
                <c:pt idx="303">
                  <c:v>6.1722321715107604</c:v>
                </c:pt>
                <c:pt idx="304">
                  <c:v>6.1818258200810696</c:v>
                </c:pt>
                <c:pt idx="305">
                  <c:v>6.18965246600035</c:v>
                </c:pt>
                <c:pt idx="306">
                  <c:v>6.2026472711125704</c:v>
                </c:pt>
                <c:pt idx="307">
                  <c:v>6.2149471035192203</c:v>
                </c:pt>
                <c:pt idx="308">
                  <c:v>6.2282785594702998</c:v>
                </c:pt>
                <c:pt idx="309">
                  <c:v>6.2370786712570201</c:v>
                </c:pt>
                <c:pt idx="310">
                  <c:v>6.2338458621859596</c:v>
                </c:pt>
                <c:pt idx="311">
                  <c:v>6.2306110750295902</c:v>
                </c:pt>
                <c:pt idx="312">
                  <c:v>6.2278837886821101</c:v>
                </c:pt>
                <c:pt idx="313">
                  <c:v>6.2255761446777402</c:v>
                </c:pt>
                <c:pt idx="314">
                  <c:v>6.22668057197858</c:v>
                </c:pt>
                <c:pt idx="315">
                  <c:v>6.2264396393589498</c:v>
                </c:pt>
                <c:pt idx="316">
                  <c:v>6.2275796569247301</c:v>
                </c:pt>
                <c:pt idx="317">
                  <c:v>6.22572152815642</c:v>
                </c:pt>
                <c:pt idx="318">
                  <c:v>6.2203207037159398</c:v>
                </c:pt>
                <c:pt idx="319">
                  <c:v>6.2150579432397404</c:v>
                </c:pt>
                <c:pt idx="320">
                  <c:v>6.2095931837934302</c:v>
                </c:pt>
                <c:pt idx="321">
                  <c:v>6.2041706203805003</c:v>
                </c:pt>
                <c:pt idx="322">
                  <c:v>6.1982663872936303</c:v>
                </c:pt>
                <c:pt idx="323">
                  <c:v>6.1920373783263898</c:v>
                </c:pt>
                <c:pt idx="324">
                  <c:v>6.1859173435530197</c:v>
                </c:pt>
                <c:pt idx="325">
                  <c:v>6.1772617157587701</c:v>
                </c:pt>
                <c:pt idx="326">
                  <c:v>6.1703205776203003</c:v>
                </c:pt>
                <c:pt idx="327">
                  <c:v>6.1641705521264702</c:v>
                </c:pt>
                <c:pt idx="328">
                  <c:v>6.1590253232035703</c:v>
                </c:pt>
                <c:pt idx="329">
                  <c:v>6.1543743127749204</c:v>
                </c:pt>
                <c:pt idx="330">
                  <c:v>6.1495053816077503</c:v>
                </c:pt>
                <c:pt idx="331">
                  <c:v>6.1463486348329202</c:v>
                </c:pt>
                <c:pt idx="332">
                  <c:v>6.1451693208393996</c:v>
                </c:pt>
                <c:pt idx="333">
                  <c:v>6.1408063725000703</c:v>
                </c:pt>
                <c:pt idx="334">
                  <c:v>6.1316366212375497</c:v>
                </c:pt>
                <c:pt idx="335">
                  <c:v>6.1223516969711902</c:v>
                </c:pt>
                <c:pt idx="336">
                  <c:v>6.1130677007561998</c:v>
                </c:pt>
                <c:pt idx="337">
                  <c:v>6.1070159276699796</c:v>
                </c:pt>
                <c:pt idx="338">
                  <c:v>6.1013301005213503</c:v>
                </c:pt>
                <c:pt idx="339">
                  <c:v>6.0938077795199304</c:v>
                </c:pt>
                <c:pt idx="340">
                  <c:v>6.0893214566262799</c:v>
                </c:pt>
                <c:pt idx="341">
                  <c:v>6.0839807739078999</c:v>
                </c:pt>
                <c:pt idx="342">
                  <c:v>6.0759879850171501</c:v>
                </c:pt>
                <c:pt idx="343">
                  <c:v>6.0685914535913996</c:v>
                </c:pt>
                <c:pt idx="344">
                  <c:v>6.0586315113134299</c:v>
                </c:pt>
                <c:pt idx="345">
                  <c:v>6.0461717986094401</c:v>
                </c:pt>
                <c:pt idx="346">
                  <c:v>6.0311355874536403</c:v>
                </c:pt>
                <c:pt idx="347">
                  <c:v>6.0159943862981802</c:v>
                </c:pt>
                <c:pt idx="348">
                  <c:v>6.0022115622088297</c:v>
                </c:pt>
                <c:pt idx="349">
                  <c:v>5.9887255475381096</c:v>
                </c:pt>
                <c:pt idx="350">
                  <c:v>5.9725502790498597</c:v>
                </c:pt>
                <c:pt idx="351">
                  <c:v>5.9530274533499297</c:v>
                </c:pt>
                <c:pt idx="352">
                  <c:v>5.9312088234223301</c:v>
                </c:pt>
                <c:pt idx="353">
                  <c:v>5.9120608451793704</c:v>
                </c:pt>
                <c:pt idx="354">
                  <c:v>5.8948230193458002</c:v>
                </c:pt>
                <c:pt idx="355">
                  <c:v>5.8786003195249696</c:v>
                </c:pt>
                <c:pt idx="356">
                  <c:v>5.8652023421752197</c:v>
                </c:pt>
                <c:pt idx="357">
                  <c:v>5.8531384650096996</c:v>
                </c:pt>
                <c:pt idx="358">
                  <c:v>5.8415407144672997</c:v>
                </c:pt>
                <c:pt idx="359">
                  <c:v>5.8300287445259098</c:v>
                </c:pt>
                <c:pt idx="360">
                  <c:v>5.8163125316607598</c:v>
                </c:pt>
                <c:pt idx="361">
                  <c:v>5.8003509312209998</c:v>
                </c:pt>
                <c:pt idx="362">
                  <c:v>5.7824142051415404</c:v>
                </c:pt>
                <c:pt idx="363">
                  <c:v>5.7657155886795897</c:v>
                </c:pt>
                <c:pt idx="364">
                  <c:v>5.7488080082947901</c:v>
                </c:pt>
                <c:pt idx="365">
                  <c:v>5.7371453950806099</c:v>
                </c:pt>
                <c:pt idx="366">
                  <c:v>5.7228848019271297</c:v>
                </c:pt>
                <c:pt idx="367">
                  <c:v>5.71640487289962</c:v>
                </c:pt>
                <c:pt idx="368">
                  <c:v>5.7073097760233003</c:v>
                </c:pt>
                <c:pt idx="369">
                  <c:v>5.6993357241473896</c:v>
                </c:pt>
                <c:pt idx="370">
                  <c:v>5.6875636197544104</c:v>
                </c:pt>
                <c:pt idx="371">
                  <c:v>5.6740840598876403</c:v>
                </c:pt>
                <c:pt idx="372">
                  <c:v>5.6622401896689301</c:v>
                </c:pt>
                <c:pt idx="373">
                  <c:v>5.6558737480403103</c:v>
                </c:pt>
                <c:pt idx="374">
                  <c:v>5.6515765775062796</c:v>
                </c:pt>
                <c:pt idx="375">
                  <c:v>5.6466244195895499</c:v>
                </c:pt>
                <c:pt idx="376">
                  <c:v>5.6411078995331296</c:v>
                </c:pt>
                <c:pt idx="377">
                  <c:v>5.6391853751932901</c:v>
                </c:pt>
                <c:pt idx="378">
                  <c:v>5.6332940959661899</c:v>
                </c:pt>
                <c:pt idx="379">
                  <c:v>5.6266754055046402</c:v>
                </c:pt>
                <c:pt idx="380">
                  <c:v>5.6203634483329399</c:v>
                </c:pt>
                <c:pt idx="381">
                  <c:v>5.6143298028688102</c:v>
                </c:pt>
                <c:pt idx="382">
                  <c:v>5.6137768228973002</c:v>
                </c:pt>
                <c:pt idx="383">
                  <c:v>5.6078321709693997</c:v>
                </c:pt>
                <c:pt idx="384">
                  <c:v>5.5998299524536899</c:v>
                </c:pt>
                <c:pt idx="385">
                  <c:v>5.5921778218210596</c:v>
                </c:pt>
                <c:pt idx="386">
                  <c:v>5.5879190481501597</c:v>
                </c:pt>
                <c:pt idx="387">
                  <c:v>5.58242299399849</c:v>
                </c:pt>
                <c:pt idx="388">
                  <c:v>5.5733081036994303</c:v>
                </c:pt>
                <c:pt idx="389">
                  <c:v>5.5596332254073104</c:v>
                </c:pt>
                <c:pt idx="390">
                  <c:v>5.5459585339738497</c:v>
                </c:pt>
                <c:pt idx="391">
                  <c:v>5.5330752115509698</c:v>
                </c:pt>
                <c:pt idx="392">
                  <c:v>5.5218084992252399</c:v>
                </c:pt>
                <c:pt idx="393">
                  <c:v>5.51117563341358</c:v>
                </c:pt>
                <c:pt idx="394">
                  <c:v>5.5022989110147904</c:v>
                </c:pt>
                <c:pt idx="395">
                  <c:v>5.4949147994414798</c:v>
                </c:pt>
                <c:pt idx="396">
                  <c:v>5.4888293870739604</c:v>
                </c:pt>
                <c:pt idx="397">
                  <c:v>5.4838863287414998</c:v>
                </c:pt>
                <c:pt idx="398">
                  <c:v>5.4800802621001798</c:v>
                </c:pt>
                <c:pt idx="399">
                  <c:v>5.4773929623909696</c:v>
                </c:pt>
                <c:pt idx="400">
                  <c:v>5.47377869853457</c:v>
                </c:pt>
                <c:pt idx="401">
                  <c:v>5.4666945823487003</c:v>
                </c:pt>
                <c:pt idx="402">
                  <c:v>5.4610218127705004</c:v>
                </c:pt>
                <c:pt idx="403">
                  <c:v>5.4561265042293199</c:v>
                </c:pt>
                <c:pt idx="404">
                  <c:v>5.4515230320211296</c:v>
                </c:pt>
                <c:pt idx="405">
                  <c:v>5.4511658251399799</c:v>
                </c:pt>
                <c:pt idx="406">
                  <c:v>5.4499849509208396</c:v>
                </c:pt>
                <c:pt idx="407">
                  <c:v>5.4488297774411798</c:v>
                </c:pt>
                <c:pt idx="408">
                  <c:v>5.4483125322139996</c:v>
                </c:pt>
                <c:pt idx="409">
                  <c:v>5.4495800542391901</c:v>
                </c:pt>
                <c:pt idx="410">
                  <c:v>5.4502879576927201</c:v>
                </c:pt>
                <c:pt idx="411">
                  <c:v>5.4529133112844699</c:v>
                </c:pt>
                <c:pt idx="412">
                  <c:v>5.4572213891886596</c:v>
                </c:pt>
                <c:pt idx="413">
                  <c:v>5.4625261157579104</c:v>
                </c:pt>
                <c:pt idx="414">
                  <c:v>5.4676700395106597</c:v>
                </c:pt>
                <c:pt idx="415">
                  <c:v>5.4690744548272701</c:v>
                </c:pt>
                <c:pt idx="416">
                  <c:v>5.4705141883752102</c:v>
                </c:pt>
                <c:pt idx="417">
                  <c:v>5.4760951550968304</c:v>
                </c:pt>
                <c:pt idx="418">
                  <c:v>5.4802953014851798</c:v>
                </c:pt>
                <c:pt idx="419">
                  <c:v>5.4899084076173397</c:v>
                </c:pt>
                <c:pt idx="420">
                  <c:v>5.50017105857098</c:v>
                </c:pt>
                <c:pt idx="421">
                  <c:v>5.5107329760723101</c:v>
                </c:pt>
                <c:pt idx="422">
                  <c:v>5.5209282908050099</c:v>
                </c:pt>
                <c:pt idx="423">
                  <c:v>5.5326869807215999</c:v>
                </c:pt>
                <c:pt idx="424">
                  <c:v>5.5435919761227197</c:v>
                </c:pt>
                <c:pt idx="425">
                  <c:v>5.5564491857012399</c:v>
                </c:pt>
                <c:pt idx="426">
                  <c:v>5.5696714258647804</c:v>
                </c:pt>
                <c:pt idx="427">
                  <c:v>5.5840784391520897</c:v>
                </c:pt>
                <c:pt idx="428">
                  <c:v>5.5995171936431198</c:v>
                </c:pt>
                <c:pt idx="429">
                  <c:v>5.6162228176702502</c:v>
                </c:pt>
                <c:pt idx="430">
                  <c:v>5.6340888970446699</c:v>
                </c:pt>
                <c:pt idx="431">
                  <c:v>5.6509355198590603</c:v>
                </c:pt>
                <c:pt idx="432">
                  <c:v>5.6682226746007096</c:v>
                </c:pt>
                <c:pt idx="433">
                  <c:v>5.6831803300997796</c:v>
                </c:pt>
                <c:pt idx="434">
                  <c:v>5.6971738692824001</c:v>
                </c:pt>
                <c:pt idx="435">
                  <c:v>5.7078721230014304</c:v>
                </c:pt>
                <c:pt idx="436">
                  <c:v>5.7189939748038796</c:v>
                </c:pt>
                <c:pt idx="437">
                  <c:v>5.7280910022676403</c:v>
                </c:pt>
                <c:pt idx="438">
                  <c:v>5.7350322904802598</c:v>
                </c:pt>
                <c:pt idx="439">
                  <c:v>5.74134315265096</c:v>
                </c:pt>
                <c:pt idx="440">
                  <c:v>5.7446938194059598</c:v>
                </c:pt>
                <c:pt idx="441">
                  <c:v>5.7489524770457301</c:v>
                </c:pt>
                <c:pt idx="442">
                  <c:v>5.7507408250036702</c:v>
                </c:pt>
                <c:pt idx="443">
                  <c:v>5.7527198562568902</c:v>
                </c:pt>
                <c:pt idx="444">
                  <c:v>5.7525023151510899</c:v>
                </c:pt>
                <c:pt idx="445">
                  <c:v>5.7540957720188297</c:v>
                </c:pt>
                <c:pt idx="446">
                  <c:v>5.7565497014441096</c:v>
                </c:pt>
                <c:pt idx="447">
                  <c:v>5.7556722023638702</c:v>
                </c:pt>
                <c:pt idx="448">
                  <c:v>5.7502122161527902</c:v>
                </c:pt>
                <c:pt idx="449">
                  <c:v>5.7431084575183098</c:v>
                </c:pt>
                <c:pt idx="450">
                  <c:v>5.7370219371591098</c:v>
                </c:pt>
                <c:pt idx="451">
                  <c:v>5.7328525945127904</c:v>
                </c:pt>
                <c:pt idx="452">
                  <c:v>5.7260937479182497</c:v>
                </c:pt>
                <c:pt idx="453">
                  <c:v>5.7212181095043997</c:v>
                </c:pt>
                <c:pt idx="454">
                  <c:v>5.7175686193889703</c:v>
                </c:pt>
                <c:pt idx="455">
                  <c:v>5.7126915271710201</c:v>
                </c:pt>
                <c:pt idx="456">
                  <c:v>5.7032657384516501</c:v>
                </c:pt>
                <c:pt idx="457">
                  <c:v>5.6887096398122399</c:v>
                </c:pt>
                <c:pt idx="458">
                  <c:v>5.6766387132261196</c:v>
                </c:pt>
                <c:pt idx="459">
                  <c:v>5.66728191823979</c:v>
                </c:pt>
                <c:pt idx="460">
                  <c:v>5.6582150753661704</c:v>
                </c:pt>
                <c:pt idx="461">
                  <c:v>5.6454050357555099</c:v>
                </c:pt>
                <c:pt idx="462">
                  <c:v>5.6333106166796201</c:v>
                </c:pt>
                <c:pt idx="463">
                  <c:v>5.62313484601464</c:v>
                </c:pt>
                <c:pt idx="464">
                  <c:v>5.6152513147008198</c:v>
                </c:pt>
                <c:pt idx="465">
                  <c:v>5.6078977256562403</c:v>
                </c:pt>
                <c:pt idx="466">
                  <c:v>5.59919953116363</c:v>
                </c:pt>
                <c:pt idx="467">
                  <c:v>5.5902792121467799</c:v>
                </c:pt>
                <c:pt idx="468">
                  <c:v>5.5816126010797502</c:v>
                </c:pt>
                <c:pt idx="469">
                  <c:v>5.5707440943869297</c:v>
                </c:pt>
                <c:pt idx="470">
                  <c:v>5.56082793161473</c:v>
                </c:pt>
                <c:pt idx="471">
                  <c:v>5.5510151873678399</c:v>
                </c:pt>
                <c:pt idx="472">
                  <c:v>5.5398317144902798</c:v>
                </c:pt>
                <c:pt idx="473">
                  <c:v>5.5290405679413599</c:v>
                </c:pt>
                <c:pt idx="474">
                  <c:v>5.5186617726835197</c:v>
                </c:pt>
                <c:pt idx="475">
                  <c:v>5.5072915379012199</c:v>
                </c:pt>
                <c:pt idx="476">
                  <c:v>5.49729797209213</c:v>
                </c:pt>
                <c:pt idx="477">
                  <c:v>5.4869528360353099</c:v>
                </c:pt>
                <c:pt idx="478">
                  <c:v>5.4753885112644003</c:v>
                </c:pt>
                <c:pt idx="479">
                  <c:v>5.4631303874740702</c:v>
                </c:pt>
                <c:pt idx="480">
                  <c:v>5.4499284210300099</c:v>
                </c:pt>
                <c:pt idx="481">
                  <c:v>5.4343484725334701</c:v>
                </c:pt>
                <c:pt idx="482">
                  <c:v>5.4197515907325702</c:v>
                </c:pt>
                <c:pt idx="483">
                  <c:v>5.4071148087582204</c:v>
                </c:pt>
                <c:pt idx="484">
                  <c:v>5.3957749644051303</c:v>
                </c:pt>
                <c:pt idx="485">
                  <c:v>5.3855934442739901</c:v>
                </c:pt>
                <c:pt idx="486">
                  <c:v>5.3785995036510403</c:v>
                </c:pt>
                <c:pt idx="487">
                  <c:v>5.3678050015932701</c:v>
                </c:pt>
                <c:pt idx="488">
                  <c:v>5.3555547630296001</c:v>
                </c:pt>
                <c:pt idx="489">
                  <c:v>5.3459542390944597</c:v>
                </c:pt>
                <c:pt idx="490">
                  <c:v>5.3377070282635799</c:v>
                </c:pt>
                <c:pt idx="491">
                  <c:v>5.3303044828013801</c:v>
                </c:pt>
                <c:pt idx="492">
                  <c:v>5.32055472914164</c:v>
                </c:pt>
                <c:pt idx="493">
                  <c:v>5.31087552978682</c:v>
                </c:pt>
                <c:pt idx="494">
                  <c:v>5.3006740575117197</c:v>
                </c:pt>
                <c:pt idx="495">
                  <c:v>5.2875784166186701</c:v>
                </c:pt>
                <c:pt idx="496">
                  <c:v>5.2755526449970098</c:v>
                </c:pt>
                <c:pt idx="497">
                  <c:v>5.2634601089125397</c:v>
                </c:pt>
                <c:pt idx="498">
                  <c:v>5.2478937841295599</c:v>
                </c:pt>
                <c:pt idx="499">
                  <c:v>5.2350576224703804</c:v>
                </c:pt>
                <c:pt idx="500">
                  <c:v>5.2249206497165899</c:v>
                </c:pt>
                <c:pt idx="501">
                  <c:v>5.2172874690884301</c:v>
                </c:pt>
                <c:pt idx="502">
                  <c:v>5.2077756028019602</c:v>
                </c:pt>
                <c:pt idx="503">
                  <c:v>5.1941812872925901</c:v>
                </c:pt>
                <c:pt idx="504">
                  <c:v>5.18031569729437</c:v>
                </c:pt>
                <c:pt idx="505">
                  <c:v>5.1660881597408101</c:v>
                </c:pt>
                <c:pt idx="506">
                  <c:v>5.15030008699443</c:v>
                </c:pt>
                <c:pt idx="507">
                  <c:v>5.1334545128903004</c:v>
                </c:pt>
                <c:pt idx="508">
                  <c:v>5.1163441708208897</c:v>
                </c:pt>
                <c:pt idx="509">
                  <c:v>5.0992213548339302</c:v>
                </c:pt>
                <c:pt idx="510">
                  <c:v>5.0849639884798998</c:v>
                </c:pt>
                <c:pt idx="511">
                  <c:v>5.0746073339115698</c:v>
                </c:pt>
                <c:pt idx="512">
                  <c:v>5.0659811901093601</c:v>
                </c:pt>
                <c:pt idx="513">
                  <c:v>5.0582853170395801</c:v>
                </c:pt>
                <c:pt idx="514">
                  <c:v>5.0540048993970697</c:v>
                </c:pt>
                <c:pt idx="515">
                  <c:v>5.0495428638487603</c:v>
                </c:pt>
                <c:pt idx="516">
                  <c:v>5.0414220681129098</c:v>
                </c:pt>
                <c:pt idx="517">
                  <c:v>5.0306850570453898</c:v>
                </c:pt>
                <c:pt idx="518">
                  <c:v>5.0151734346885499</c:v>
                </c:pt>
                <c:pt idx="519">
                  <c:v>4.9977708053787904</c:v>
                </c:pt>
                <c:pt idx="520">
                  <c:v>4.9808635674044996</c:v>
                </c:pt>
                <c:pt idx="521">
                  <c:v>4.96340454894563</c:v>
                </c:pt>
                <c:pt idx="522">
                  <c:v>4.9467481174811399</c:v>
                </c:pt>
                <c:pt idx="523">
                  <c:v>4.9283282256029297</c:v>
                </c:pt>
                <c:pt idx="524">
                  <c:v>4.9107184333617697</c:v>
                </c:pt>
                <c:pt idx="525">
                  <c:v>4.8911415646641103</c:v>
                </c:pt>
                <c:pt idx="526">
                  <c:v>4.8708631214413503</c:v>
                </c:pt>
                <c:pt idx="527">
                  <c:v>4.8516656666422797</c:v>
                </c:pt>
                <c:pt idx="528">
                  <c:v>4.8340271477898504</c:v>
                </c:pt>
                <c:pt idx="529">
                  <c:v>4.8169441069177799</c:v>
                </c:pt>
                <c:pt idx="530">
                  <c:v>4.80050710591137</c:v>
                </c:pt>
                <c:pt idx="531">
                  <c:v>4.7895570501902904</c:v>
                </c:pt>
                <c:pt idx="532">
                  <c:v>4.77797226279315</c:v>
                </c:pt>
                <c:pt idx="533">
                  <c:v>4.7679609271335002</c:v>
                </c:pt>
                <c:pt idx="534">
                  <c:v>4.7574575151062399</c:v>
                </c:pt>
                <c:pt idx="535">
                  <c:v>4.7478083656646204</c:v>
                </c:pt>
                <c:pt idx="536">
                  <c:v>4.74159657701993</c:v>
                </c:pt>
                <c:pt idx="537">
                  <c:v>4.7347953267119003</c:v>
                </c:pt>
                <c:pt idx="538">
                  <c:v>4.7272869217407996</c:v>
                </c:pt>
                <c:pt idx="539">
                  <c:v>4.71869604985325</c:v>
                </c:pt>
                <c:pt idx="540">
                  <c:v>4.7114729199992498</c:v>
                </c:pt>
                <c:pt idx="541">
                  <c:v>4.7038103078482303</c:v>
                </c:pt>
                <c:pt idx="542">
                  <c:v>4.6956378169717503</c:v>
                </c:pt>
                <c:pt idx="543">
                  <c:v>4.6870035494044</c:v>
                </c:pt>
                <c:pt idx="544">
                  <c:v>4.6787873119021999</c:v>
                </c:pt>
                <c:pt idx="545">
                  <c:v>4.6688865836827702</c:v>
                </c:pt>
                <c:pt idx="546">
                  <c:v>4.6570233239168299</c:v>
                </c:pt>
                <c:pt idx="547">
                  <c:v>4.6476773933037503</c:v>
                </c:pt>
                <c:pt idx="548">
                  <c:v>4.6373777414829398</c:v>
                </c:pt>
                <c:pt idx="549">
                  <c:v>4.6261470114949104</c:v>
                </c:pt>
                <c:pt idx="550">
                  <c:v>4.6153988592340101</c:v>
                </c:pt>
                <c:pt idx="551">
                  <c:v>4.6065268357639004</c:v>
                </c:pt>
                <c:pt idx="552">
                  <c:v>4.5983900045977002</c:v>
                </c:pt>
                <c:pt idx="553">
                  <c:v>4.58983724628267</c:v>
                </c:pt>
                <c:pt idx="554">
                  <c:v>4.5807619449659596</c:v>
                </c:pt>
                <c:pt idx="555">
                  <c:v>4.5676962566532104</c:v>
                </c:pt>
                <c:pt idx="556">
                  <c:v>4.5562406150217498</c:v>
                </c:pt>
                <c:pt idx="557">
                  <c:v>4.5443184183534102</c:v>
                </c:pt>
                <c:pt idx="558">
                  <c:v>4.5311202150163297</c:v>
                </c:pt>
                <c:pt idx="559">
                  <c:v>4.5164361298071203</c:v>
                </c:pt>
                <c:pt idx="560">
                  <c:v>4.5009896799923599</c:v>
                </c:pt>
                <c:pt idx="561">
                  <c:v>4.4815534841002798</c:v>
                </c:pt>
                <c:pt idx="562">
                  <c:v>4.4625763763415502</c:v>
                </c:pt>
                <c:pt idx="563">
                  <c:v>4.4446423425995301</c:v>
                </c:pt>
                <c:pt idx="564">
                  <c:v>4.4259115256597799</c:v>
                </c:pt>
                <c:pt idx="565">
                  <c:v>4.4082492260911801</c:v>
                </c:pt>
                <c:pt idx="566">
                  <c:v>4.3911722058621603</c:v>
                </c:pt>
                <c:pt idx="567">
                  <c:v>4.3753463855366803</c:v>
                </c:pt>
                <c:pt idx="568">
                  <c:v>4.3606009244471897</c:v>
                </c:pt>
                <c:pt idx="569">
                  <c:v>4.3425274158756197</c:v>
                </c:pt>
                <c:pt idx="570">
                  <c:v>4.3268993043364903</c:v>
                </c:pt>
                <c:pt idx="571">
                  <c:v>4.3105456558140203</c:v>
                </c:pt>
                <c:pt idx="572">
                  <c:v>4.2934026773928702</c:v>
                </c:pt>
                <c:pt idx="573">
                  <c:v>4.2764613030088698</c:v>
                </c:pt>
                <c:pt idx="574">
                  <c:v>4.2568606324236304</c:v>
                </c:pt>
                <c:pt idx="575">
                  <c:v>4.23412208937971</c:v>
                </c:pt>
                <c:pt idx="576">
                  <c:v>4.2094824751569897</c:v>
                </c:pt>
                <c:pt idx="577">
                  <c:v>4.18706492033344</c:v>
                </c:pt>
                <c:pt idx="578">
                  <c:v>4.1677496945288697</c:v>
                </c:pt>
                <c:pt idx="579">
                  <c:v>4.1450380310929296</c:v>
                </c:pt>
                <c:pt idx="580">
                  <c:v>4.1227802966101903</c:v>
                </c:pt>
                <c:pt idx="581">
                  <c:v>4.1002735770442298</c:v>
                </c:pt>
                <c:pt idx="582">
                  <c:v>4.0786549697319501</c:v>
                </c:pt>
                <c:pt idx="583">
                  <c:v>4.0591896145508901</c:v>
                </c:pt>
                <c:pt idx="584">
                  <c:v>4.04007680020029</c:v>
                </c:pt>
                <c:pt idx="585">
                  <c:v>4.0212874798010798</c:v>
                </c:pt>
                <c:pt idx="586">
                  <c:v>4.0007635517070899</c:v>
                </c:pt>
                <c:pt idx="587">
                  <c:v>3.9785603955272801</c:v>
                </c:pt>
                <c:pt idx="588">
                  <c:v>3.9573060691558202</c:v>
                </c:pt>
                <c:pt idx="589">
                  <c:v>3.9342270445169798</c:v>
                </c:pt>
                <c:pt idx="590">
                  <c:v>3.9124412146799199</c:v>
                </c:pt>
                <c:pt idx="591">
                  <c:v>3.8940772244947501</c:v>
                </c:pt>
                <c:pt idx="592">
                  <c:v>3.8773540729273099</c:v>
                </c:pt>
                <c:pt idx="593">
                  <c:v>3.86347735876307</c:v>
                </c:pt>
                <c:pt idx="594">
                  <c:v>3.8517525133627899</c:v>
                </c:pt>
                <c:pt idx="595">
                  <c:v>3.8405270706108601</c:v>
                </c:pt>
                <c:pt idx="596">
                  <c:v>3.8309184672561698</c:v>
                </c:pt>
                <c:pt idx="597">
                  <c:v>3.8212814273041702</c:v>
                </c:pt>
                <c:pt idx="598">
                  <c:v>3.8135725185710498</c:v>
                </c:pt>
                <c:pt idx="599">
                  <c:v>3.8058263623498201</c:v>
                </c:pt>
                <c:pt idx="600">
                  <c:v>3.7989543737512399</c:v>
                </c:pt>
                <c:pt idx="601">
                  <c:v>3.7926720428235998</c:v>
                </c:pt>
                <c:pt idx="602">
                  <c:v>3.7868638878663998</c:v>
                </c:pt>
                <c:pt idx="603">
                  <c:v>3.7793625848137702</c:v>
                </c:pt>
                <c:pt idx="604">
                  <c:v>3.7699400402372198</c:v>
                </c:pt>
                <c:pt idx="605">
                  <c:v>3.7622413580796099</c:v>
                </c:pt>
                <c:pt idx="606">
                  <c:v>3.75353485419167</c:v>
                </c:pt>
                <c:pt idx="607">
                  <c:v>3.7465238483757499</c:v>
                </c:pt>
                <c:pt idx="608">
                  <c:v>3.73780665577367</c:v>
                </c:pt>
                <c:pt idx="609">
                  <c:v>3.7284952719067701</c:v>
                </c:pt>
                <c:pt idx="610">
                  <c:v>3.71950384628264</c:v>
                </c:pt>
                <c:pt idx="611">
                  <c:v>3.7092698847904</c:v>
                </c:pt>
                <c:pt idx="612">
                  <c:v>3.6987751532022499</c:v>
                </c:pt>
                <c:pt idx="613">
                  <c:v>3.6887916585422298</c:v>
                </c:pt>
                <c:pt idx="614">
                  <c:v>3.67773562096863</c:v>
                </c:pt>
                <c:pt idx="615">
                  <c:v>3.66332895997233</c:v>
                </c:pt>
                <c:pt idx="616">
                  <c:v>3.6525347308081999</c:v>
                </c:pt>
                <c:pt idx="617">
                  <c:v>3.6422035938557</c:v>
                </c:pt>
                <c:pt idx="618">
                  <c:v>3.6333585697925801</c:v>
                </c:pt>
                <c:pt idx="619">
                  <c:v>3.62617181616474</c:v>
                </c:pt>
                <c:pt idx="620">
                  <c:v>3.6198036863591301</c:v>
                </c:pt>
                <c:pt idx="621">
                  <c:v>3.6161061005070998</c:v>
                </c:pt>
                <c:pt idx="622">
                  <c:v>3.6108104303916</c:v>
                </c:pt>
                <c:pt idx="623">
                  <c:v>3.6089467924345602</c:v>
                </c:pt>
                <c:pt idx="624">
                  <c:v>3.6076136479814802</c:v>
                </c:pt>
                <c:pt idx="625">
                  <c:v>3.60602014516531</c:v>
                </c:pt>
                <c:pt idx="626">
                  <c:v>3.6072958577038801</c:v>
                </c:pt>
                <c:pt idx="627">
                  <c:v>3.6095529535033402</c:v>
                </c:pt>
                <c:pt idx="628">
                  <c:v>3.6127598843090101</c:v>
                </c:pt>
                <c:pt idx="629">
                  <c:v>3.6162922224726999</c:v>
                </c:pt>
                <c:pt idx="630">
                  <c:v>3.6232781127728799</c:v>
                </c:pt>
                <c:pt idx="631">
                  <c:v>3.6290587631226199</c:v>
                </c:pt>
                <c:pt idx="632">
                  <c:v>3.6337958315479</c:v>
                </c:pt>
                <c:pt idx="633">
                  <c:v>3.6384847341458002</c:v>
                </c:pt>
                <c:pt idx="634">
                  <c:v>3.6455906046936501</c:v>
                </c:pt>
                <c:pt idx="635">
                  <c:v>3.6520502963430101</c:v>
                </c:pt>
                <c:pt idx="636">
                  <c:v>3.6584806056232102</c:v>
                </c:pt>
                <c:pt idx="637">
                  <c:v>3.6650500036553799</c:v>
                </c:pt>
                <c:pt idx="638">
                  <c:v>3.6750183941969499</c:v>
                </c:pt>
                <c:pt idx="639">
                  <c:v>3.6874624380574201</c:v>
                </c:pt>
                <c:pt idx="640">
                  <c:v>3.7027027601766398</c:v>
                </c:pt>
                <c:pt idx="641">
                  <c:v>3.71989816735445</c:v>
                </c:pt>
                <c:pt idx="642">
                  <c:v>3.73535864416462</c:v>
                </c:pt>
                <c:pt idx="643">
                  <c:v>3.75071280414637</c:v>
                </c:pt>
                <c:pt idx="644">
                  <c:v>3.7683708010580901</c:v>
                </c:pt>
                <c:pt idx="645">
                  <c:v>3.7854130992667199</c:v>
                </c:pt>
                <c:pt idx="646">
                  <c:v>3.8021487243335201</c:v>
                </c:pt>
                <c:pt idx="647">
                  <c:v>3.8182871378616601</c:v>
                </c:pt>
                <c:pt idx="648">
                  <c:v>3.8365483739342898</c:v>
                </c:pt>
                <c:pt idx="649">
                  <c:v>3.8577918062635099</c:v>
                </c:pt>
                <c:pt idx="650">
                  <c:v>3.87970595638288</c:v>
                </c:pt>
                <c:pt idx="651">
                  <c:v>3.90170493883247</c:v>
                </c:pt>
                <c:pt idx="652">
                  <c:v>3.92194978135274</c:v>
                </c:pt>
                <c:pt idx="653">
                  <c:v>3.9412437419717601</c:v>
                </c:pt>
                <c:pt idx="654">
                  <c:v>3.9662472931508899</c:v>
                </c:pt>
                <c:pt idx="655">
                  <c:v>3.9924054790167598</c:v>
                </c:pt>
                <c:pt idx="656">
                  <c:v>4.0187786063241404</c:v>
                </c:pt>
                <c:pt idx="657">
                  <c:v>4.04400759536483</c:v>
                </c:pt>
                <c:pt idx="658">
                  <c:v>4.0677142609342196</c:v>
                </c:pt>
                <c:pt idx="659">
                  <c:v>4.0908627784712497</c:v>
                </c:pt>
                <c:pt idx="660">
                  <c:v>4.1117469375460303</c:v>
                </c:pt>
                <c:pt idx="661">
                  <c:v>4.13093288263725</c:v>
                </c:pt>
              </c:numCache>
            </c:numRef>
          </c:val>
        </c:ser>
        <c:marker val="1"/>
        <c:axId val="135572096"/>
        <c:axId val="135581056"/>
      </c:lineChart>
      <c:dateAx>
        <c:axId val="135572096"/>
        <c:scaling>
          <c:orientation val="minMax"/>
        </c:scaling>
        <c:axPos val="b"/>
        <c:numFmt formatCode="yyyy/mm/dd" sourceLinked="1"/>
        <c:tickLblPos val="nextTo"/>
        <c:crossAx val="135581056"/>
        <c:crosses val="autoZero"/>
        <c:auto val="1"/>
        <c:lblOffset val="100"/>
      </c:dateAx>
      <c:valAx>
        <c:axId val="135581056"/>
        <c:scaling>
          <c:orientation val="minMax"/>
        </c:scaling>
        <c:axPos val="l"/>
        <c:majorGridlines/>
        <c:numFmt formatCode="General" sourceLinked="1"/>
        <c:tickLblPos val="nextTo"/>
        <c:crossAx val="135572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3001"/>
          <c:y val="1.6268379869053041E-2"/>
          <c:w val="0.11146820076747001"/>
          <c:h val="0.1504558576043829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8"/>
  <sheetViews>
    <sheetView showGridLines="0" tabSelected="1" zoomScale="115" zoomScaleNormal="115" workbookViewId="0">
      <selection activeCell="H29" sqref="H29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8.62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108" t="s">
        <v>322</v>
      </c>
      <c r="D1" s="18"/>
      <c r="H1" s="1"/>
      <c r="I1" s="18" t="s">
        <v>48</v>
      </c>
      <c r="J1" s="104"/>
      <c r="K1" s="105">
        <v>43749</v>
      </c>
      <c r="L1" s="106"/>
      <c r="M1" s="32"/>
      <c r="N1" s="18" t="s">
        <v>426</v>
      </c>
      <c r="P1" s="105">
        <f ca="1">TODAY()</f>
        <v>43752</v>
      </c>
      <c r="Q1" s="107"/>
      <c r="U1" s="108" t="s">
        <v>47</v>
      </c>
      <c r="V1" s="108"/>
    </row>
    <row r="2" spans="2:23" ht="16.5" customHeight="1" thickBot="1">
      <c r="J2" s="203">
        <f>SUM(J4:J94)</f>
        <v>6491439</v>
      </c>
      <c r="R2" s="188">
        <f>SUM(R4:R94)</f>
        <v>18760.999999999971</v>
      </c>
      <c r="S2" s="189" t="e">
        <f>SUM(S4:S94)</f>
        <v>#DIV/0!</v>
      </c>
    </row>
    <row r="3" spans="2:23" ht="24.75" thickBot="1">
      <c r="C3" s="109" t="s">
        <v>302</v>
      </c>
      <c r="D3" s="119" t="s">
        <v>329</v>
      </c>
      <c r="E3" s="111"/>
      <c r="F3" s="110" t="s">
        <v>100</v>
      </c>
      <c r="G3" s="112" t="s">
        <v>101</v>
      </c>
      <c r="H3" s="113" t="s">
        <v>303</v>
      </c>
      <c r="I3" s="113" t="s">
        <v>304</v>
      </c>
      <c r="J3" s="111" t="s">
        <v>46</v>
      </c>
      <c r="K3" s="111" t="s">
        <v>305</v>
      </c>
      <c r="L3" s="113" t="s">
        <v>306</v>
      </c>
      <c r="M3" s="114" t="s">
        <v>330</v>
      </c>
      <c r="N3" s="111" t="s">
        <v>307</v>
      </c>
      <c r="O3" s="114" t="s">
        <v>324</v>
      </c>
      <c r="P3" s="111" t="s">
        <v>419</v>
      </c>
      <c r="Q3" s="111" t="s">
        <v>308</v>
      </c>
      <c r="R3" s="114" t="s">
        <v>326</v>
      </c>
      <c r="S3" s="117" t="s">
        <v>327</v>
      </c>
      <c r="T3" s="116"/>
      <c r="U3" s="118" t="s">
        <v>425</v>
      </c>
      <c r="V3" s="118" t="s">
        <v>328</v>
      </c>
      <c r="W3" s="115" t="s">
        <v>325</v>
      </c>
    </row>
    <row r="4" spans="2:23">
      <c r="B4" s="59" t="s">
        <v>297</v>
      </c>
      <c r="C4" s="77">
        <f>ROW()/2-1</f>
        <v>1</v>
      </c>
      <c r="D4" s="80">
        <v>43742</v>
      </c>
      <c r="E4" s="61" t="s">
        <v>310</v>
      </c>
      <c r="F4" s="61">
        <v>8750</v>
      </c>
      <c r="G4" s="101" t="s">
        <v>58</v>
      </c>
      <c r="H4" s="89">
        <v>1635</v>
      </c>
      <c r="I4" s="62">
        <v>600</v>
      </c>
      <c r="J4" s="90">
        <f t="shared" ref="J4:J11" si="0">H4*I4</f>
        <v>981000</v>
      </c>
      <c r="K4" s="83" t="s">
        <v>317</v>
      </c>
      <c r="L4" s="86">
        <v>1665</v>
      </c>
      <c r="M4" s="63">
        <f>360*2</f>
        <v>720</v>
      </c>
      <c r="N4" s="64">
        <v>162</v>
      </c>
      <c r="O4" s="64">
        <v>92</v>
      </c>
      <c r="P4" s="61">
        <f>(H4-L4)*I4-M4-N4-O4</f>
        <v>-18974</v>
      </c>
      <c r="Q4" s="91">
        <f t="shared" ref="Q4:Q11" si="1">P4/J4</f>
        <v>-1.9341488277268094E-2</v>
      </c>
      <c r="R4" s="186">
        <f>P4+P5</f>
        <v>34420.000000000036</v>
      </c>
      <c r="S4" s="66">
        <f t="shared" ref="S4" si="2">R4/(J4+J5)</f>
        <v>1.7611615274724844E-2</v>
      </c>
      <c r="U4" s="98">
        <f ca="1">$P$1</f>
        <v>43752</v>
      </c>
      <c r="V4" s="99">
        <f ca="1">DATEDIF(D4,U4,"d")</f>
        <v>10</v>
      </c>
      <c r="W4" s="99"/>
    </row>
    <row r="5" spans="2:23">
      <c r="B5" s="59"/>
      <c r="C5" s="78"/>
      <c r="D5" s="81"/>
      <c r="E5" s="67" t="s">
        <v>311</v>
      </c>
      <c r="F5" s="67">
        <v>8002</v>
      </c>
      <c r="G5" s="102" t="s">
        <v>57</v>
      </c>
      <c r="H5" s="92">
        <v>695.28</v>
      </c>
      <c r="I5" s="68">
        <v>1400</v>
      </c>
      <c r="J5" s="93">
        <f t="shared" si="0"/>
        <v>973392</v>
      </c>
      <c r="K5" s="202" t="s">
        <v>314</v>
      </c>
      <c r="L5" s="87">
        <v>734.5</v>
      </c>
      <c r="M5" s="69">
        <f t="shared" ref="M5:M13" si="3">360*2</f>
        <v>720</v>
      </c>
      <c r="N5" s="70">
        <v>386</v>
      </c>
      <c r="O5" s="70">
        <v>408</v>
      </c>
      <c r="P5" s="67">
        <f>(L5-H5)*I5-M5-N5-O5</f>
        <v>53394.000000000036</v>
      </c>
      <c r="Q5" s="94">
        <f t="shared" si="1"/>
        <v>5.4853543074116121E-2</v>
      </c>
      <c r="R5" s="187"/>
      <c r="S5" s="71"/>
      <c r="U5" s="99"/>
      <c r="V5" s="99"/>
      <c r="W5" s="99"/>
    </row>
    <row r="6" spans="2:23">
      <c r="B6" s="59" t="s">
        <v>297</v>
      </c>
      <c r="C6" s="79">
        <f>ROW()/2-1</f>
        <v>2</v>
      </c>
      <c r="D6" s="82">
        <v>43745</v>
      </c>
      <c r="E6" s="72" t="s">
        <v>310</v>
      </c>
      <c r="F6" s="72">
        <v>6770</v>
      </c>
      <c r="G6" s="103" t="s">
        <v>50</v>
      </c>
      <c r="H6" s="95">
        <v>2105</v>
      </c>
      <c r="I6" s="73">
        <v>400</v>
      </c>
      <c r="J6" s="96">
        <f t="shared" si="0"/>
        <v>842000</v>
      </c>
      <c r="K6" s="85" t="s">
        <v>319</v>
      </c>
      <c r="L6" s="88">
        <v>2110</v>
      </c>
      <c r="M6" s="74">
        <f t="shared" si="3"/>
        <v>720</v>
      </c>
      <c r="N6" s="75">
        <v>162</v>
      </c>
      <c r="O6" s="75">
        <v>92</v>
      </c>
      <c r="P6" s="72">
        <f>(H6-L6)*I6-M6-N6-O6</f>
        <v>-2974</v>
      </c>
      <c r="Q6" s="97">
        <f t="shared" si="1"/>
        <v>-3.5320665083135392E-3</v>
      </c>
      <c r="R6" s="187">
        <f>P6+P7</f>
        <v>4504.9999999999382</v>
      </c>
      <c r="S6" s="76">
        <f t="shared" ref="S6" si="4">R6/(J6+J7)</f>
        <v>2.6925309013493366E-3</v>
      </c>
      <c r="U6" s="98">
        <f t="shared" ref="U6" ca="1" si="5">$P$1</f>
        <v>43752</v>
      </c>
      <c r="V6" s="99">
        <f t="shared" ref="V6" ca="1" si="6">DATEDIF(D6,U6,"d")</f>
        <v>7</v>
      </c>
      <c r="W6" s="99"/>
    </row>
    <row r="7" spans="2:23">
      <c r="B7" s="59"/>
      <c r="C7" s="78"/>
      <c r="D7" s="81">
        <v>43745</v>
      </c>
      <c r="E7" s="67" t="s">
        <v>311</v>
      </c>
      <c r="F7" s="67">
        <v>8601</v>
      </c>
      <c r="G7" s="102" t="s">
        <v>53</v>
      </c>
      <c r="H7" s="92">
        <v>488.91</v>
      </c>
      <c r="I7" s="68">
        <v>1700</v>
      </c>
      <c r="J7" s="93">
        <f t="shared" si="0"/>
        <v>831147</v>
      </c>
      <c r="K7" s="202" t="s">
        <v>296</v>
      </c>
      <c r="L7" s="87">
        <v>494.2</v>
      </c>
      <c r="M7" s="69">
        <f t="shared" si="3"/>
        <v>720</v>
      </c>
      <c r="N7" s="70">
        <v>386</v>
      </c>
      <c r="O7" s="70">
        <v>408</v>
      </c>
      <c r="P7" s="67">
        <f>(L7-H7)*I7-M7-N7-O7</f>
        <v>7478.9999999999382</v>
      </c>
      <c r="Q7" s="94">
        <f t="shared" si="1"/>
        <v>8.9984082238159287E-3</v>
      </c>
      <c r="R7" s="187"/>
      <c r="S7" s="71"/>
      <c r="U7" s="99"/>
      <c r="V7" s="99"/>
      <c r="W7" s="99"/>
    </row>
    <row r="8" spans="2:23">
      <c r="B8" s="59" t="s">
        <v>297</v>
      </c>
      <c r="C8" s="79">
        <f>ROW()/2-1</f>
        <v>3</v>
      </c>
      <c r="D8" s="82">
        <v>43745</v>
      </c>
      <c r="E8" s="72" t="s">
        <v>310</v>
      </c>
      <c r="F8" s="72">
        <v>5803</v>
      </c>
      <c r="G8" s="103" t="s">
        <v>54</v>
      </c>
      <c r="H8" s="95">
        <v>413</v>
      </c>
      <c r="I8" s="73">
        <v>1700</v>
      </c>
      <c r="J8" s="96">
        <f t="shared" si="0"/>
        <v>702100</v>
      </c>
      <c r="K8" s="85" t="s">
        <v>320</v>
      </c>
      <c r="L8" s="88">
        <v>436</v>
      </c>
      <c r="M8" s="74">
        <f t="shared" si="3"/>
        <v>720</v>
      </c>
      <c r="N8" s="75">
        <v>162</v>
      </c>
      <c r="O8" s="75">
        <v>92</v>
      </c>
      <c r="P8" s="72">
        <f>(H8-L8)*I8-M8-N8-O8</f>
        <v>-40074</v>
      </c>
      <c r="Q8" s="97">
        <f t="shared" si="1"/>
        <v>-5.7077339410340405E-2</v>
      </c>
      <c r="R8" s="187">
        <f>P8+P9</f>
        <v>-19588</v>
      </c>
      <c r="S8" s="76">
        <f>R8/(J8+J9)</f>
        <v>-1.4172635844005499E-2</v>
      </c>
      <c r="U8" s="98">
        <f t="shared" ref="U8" ca="1" si="7">$P$1</f>
        <v>43752</v>
      </c>
      <c r="V8" s="99">
        <f t="shared" ref="V8" ca="1" si="8">DATEDIF(D8,U8,"d")</f>
        <v>7</v>
      </c>
      <c r="W8" s="99"/>
    </row>
    <row r="9" spans="2:23">
      <c r="B9" s="59"/>
      <c r="C9" s="78"/>
      <c r="D9" s="81">
        <v>43745</v>
      </c>
      <c r="E9" s="67" t="s">
        <v>311</v>
      </c>
      <c r="F9" s="67">
        <v>7259</v>
      </c>
      <c r="G9" s="102" t="s">
        <v>55</v>
      </c>
      <c r="H9" s="92">
        <v>3400</v>
      </c>
      <c r="I9" s="92">
        <v>200</v>
      </c>
      <c r="J9" s="93">
        <f t="shared" si="0"/>
        <v>680000</v>
      </c>
      <c r="K9" s="202" t="s">
        <v>296</v>
      </c>
      <c r="L9" s="87">
        <v>3510</v>
      </c>
      <c r="M9" s="69">
        <f t="shared" si="3"/>
        <v>720</v>
      </c>
      <c r="N9" s="70">
        <v>386</v>
      </c>
      <c r="O9" s="70">
        <v>408</v>
      </c>
      <c r="P9" s="67">
        <f>(L9-H9)*I9-M9-N9-O9</f>
        <v>20486</v>
      </c>
      <c r="Q9" s="94">
        <f t="shared" si="1"/>
        <v>3.0126470588235293E-2</v>
      </c>
      <c r="R9" s="187"/>
      <c r="S9" s="71"/>
      <c r="U9" s="99"/>
      <c r="V9" s="99"/>
      <c r="W9" s="99"/>
    </row>
    <row r="10" spans="2:23">
      <c r="B10" s="59" t="s">
        <v>297</v>
      </c>
      <c r="C10" s="79">
        <f>ROW()/2-1</f>
        <v>4</v>
      </c>
      <c r="D10" s="82">
        <v>43748</v>
      </c>
      <c r="E10" s="72" t="s">
        <v>310</v>
      </c>
      <c r="F10" s="72">
        <v>7186</v>
      </c>
      <c r="G10" s="103" t="s">
        <v>312</v>
      </c>
      <c r="H10" s="95">
        <v>410</v>
      </c>
      <c r="I10" s="72">
        <v>1800</v>
      </c>
      <c r="J10" s="72">
        <f t="shared" si="0"/>
        <v>738000</v>
      </c>
      <c r="K10" s="100" t="s">
        <v>316</v>
      </c>
      <c r="L10" s="95">
        <v>410</v>
      </c>
      <c r="M10" s="72">
        <f t="shared" si="3"/>
        <v>720</v>
      </c>
      <c r="N10" s="72">
        <v>162</v>
      </c>
      <c r="O10" s="100">
        <v>92</v>
      </c>
      <c r="P10" s="95">
        <f>(H10-L10)*I10-M10-N10-O10</f>
        <v>-974</v>
      </c>
      <c r="Q10" s="97">
        <f t="shared" si="1"/>
        <v>-1.3197831978319784E-3</v>
      </c>
      <c r="R10" s="187">
        <f>P10+P11</f>
        <v>1912</v>
      </c>
      <c r="S10" s="76">
        <f t="shared" ref="S10" si="9">R10/(J10+J11)</f>
        <v>1.2903225806451613E-3</v>
      </c>
      <c r="U10" s="98">
        <f t="shared" ref="U10:U12" ca="1" si="10">$P$1</f>
        <v>43752</v>
      </c>
      <c r="V10" s="99">
        <f t="shared" ref="V10" ca="1" si="11">DATEDIF(D10,U10,"d")</f>
        <v>4</v>
      </c>
      <c r="W10" s="99"/>
    </row>
    <row r="11" spans="2:23">
      <c r="B11" s="59"/>
      <c r="C11" s="78"/>
      <c r="D11" s="81">
        <v>43748</v>
      </c>
      <c r="E11" s="67" t="s">
        <v>311</v>
      </c>
      <c r="F11" s="67">
        <v>8309</v>
      </c>
      <c r="G11" s="102" t="s">
        <v>313</v>
      </c>
      <c r="H11" s="92">
        <v>3719</v>
      </c>
      <c r="I11" s="92">
        <v>200</v>
      </c>
      <c r="J11" s="93">
        <f t="shared" si="0"/>
        <v>743800</v>
      </c>
      <c r="K11" s="84" t="s">
        <v>316</v>
      </c>
      <c r="L11" s="87">
        <v>3741</v>
      </c>
      <c r="M11" s="69">
        <f t="shared" si="3"/>
        <v>720</v>
      </c>
      <c r="N11" s="70">
        <v>386</v>
      </c>
      <c r="O11" s="70">
        <v>408</v>
      </c>
      <c r="P11" s="67">
        <f>(L11-H11)*I11-M11-N11-O11</f>
        <v>2886</v>
      </c>
      <c r="Q11" s="94">
        <f t="shared" si="1"/>
        <v>3.880075289056198E-3</v>
      </c>
      <c r="R11" s="187"/>
      <c r="S11" s="71"/>
      <c r="U11" s="99"/>
      <c r="V11" s="99"/>
      <c r="W11" s="99"/>
    </row>
    <row r="12" spans="2:23">
      <c r="B12" s="59" t="s">
        <v>297</v>
      </c>
      <c r="C12" s="79">
        <f>ROW()/2-1</f>
        <v>5</v>
      </c>
      <c r="D12" s="82">
        <v>43753</v>
      </c>
      <c r="E12" s="72" t="s">
        <v>310</v>
      </c>
      <c r="F12" s="72">
        <v>7453</v>
      </c>
      <c r="G12" s="103"/>
      <c r="H12" s="95"/>
      <c r="I12" s="72">
        <v>500</v>
      </c>
      <c r="J12" s="72">
        <f t="shared" ref="J12:J13" si="12">H12*I12</f>
        <v>0</v>
      </c>
      <c r="K12" s="100" t="s">
        <v>316</v>
      </c>
      <c r="L12" s="95"/>
      <c r="M12" s="72">
        <f t="shared" si="3"/>
        <v>720</v>
      </c>
      <c r="N12" s="72">
        <v>162</v>
      </c>
      <c r="O12" s="100">
        <v>92</v>
      </c>
      <c r="P12" s="95">
        <f>(H12-L12)*I12-M12-N12-O12</f>
        <v>-974</v>
      </c>
      <c r="Q12" s="97" t="e">
        <f t="shared" ref="Q12:Q13" si="13">P12/J12</f>
        <v>#DIV/0!</v>
      </c>
      <c r="R12" s="187">
        <f>P12+P13</f>
        <v>-2488</v>
      </c>
      <c r="S12" s="76" t="e">
        <f t="shared" ref="S12" si="14">R12/(J12+J13)</f>
        <v>#DIV/0!</v>
      </c>
      <c r="U12" s="98">
        <f t="shared" ca="1" si="10"/>
        <v>43752</v>
      </c>
      <c r="V12" s="99" t="e">
        <f t="shared" ref="V12" ca="1" si="15">DATEDIF(D12,U12,"d")</f>
        <v>#NUM!</v>
      </c>
      <c r="W12" s="99"/>
    </row>
    <row r="13" spans="2:23">
      <c r="B13" s="59"/>
      <c r="C13" s="78"/>
      <c r="D13" s="81">
        <v>43748</v>
      </c>
      <c r="E13" s="67" t="s">
        <v>311</v>
      </c>
      <c r="F13" s="67">
        <v>8308</v>
      </c>
      <c r="G13" s="102"/>
      <c r="H13" s="92"/>
      <c r="I13" s="92">
        <v>2300</v>
      </c>
      <c r="J13" s="93">
        <f t="shared" si="12"/>
        <v>0</v>
      </c>
      <c r="K13" s="84" t="s">
        <v>316</v>
      </c>
      <c r="L13" s="87"/>
      <c r="M13" s="69">
        <f t="shared" si="3"/>
        <v>720</v>
      </c>
      <c r="N13" s="70">
        <v>386</v>
      </c>
      <c r="O13" s="70">
        <v>408</v>
      </c>
      <c r="P13" s="67">
        <f>(L13-H13)*I13-M13-N13-O13</f>
        <v>-1514</v>
      </c>
      <c r="Q13" s="94" t="e">
        <f t="shared" si="13"/>
        <v>#DIV/0!</v>
      </c>
      <c r="R13" s="187"/>
      <c r="S13" s="71"/>
      <c r="U13" s="99"/>
      <c r="V13" s="99"/>
      <c r="W13" s="99"/>
    </row>
    <row r="18" spans="9:9">
      <c r="I18" s="60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P1:Q1"/>
    <mergeCell ref="U4:U5"/>
    <mergeCell ref="U6:U7"/>
    <mergeCell ref="U8:U9"/>
    <mergeCell ref="D6:D7"/>
    <mergeCell ref="D8:D9"/>
    <mergeCell ref="D10:D11"/>
    <mergeCell ref="K1:L1"/>
    <mergeCell ref="W4:W5"/>
    <mergeCell ref="C6:C7"/>
    <mergeCell ref="R6:R7"/>
    <mergeCell ref="S6:S7"/>
    <mergeCell ref="V6:V7"/>
    <mergeCell ref="W6:W7"/>
    <mergeCell ref="C4:C5"/>
    <mergeCell ref="R4:R5"/>
    <mergeCell ref="S4:S5"/>
    <mergeCell ref="V4:V5"/>
    <mergeCell ref="D4:D5"/>
    <mergeCell ref="W8:W9"/>
    <mergeCell ref="C8:C9"/>
    <mergeCell ref="R8:R9"/>
    <mergeCell ref="S8:S9"/>
    <mergeCell ref="V8:V9"/>
    <mergeCell ref="W10:W11"/>
    <mergeCell ref="C10:C11"/>
    <mergeCell ref="R10:R11"/>
    <mergeCell ref="S10:S11"/>
    <mergeCell ref="V10:V11"/>
    <mergeCell ref="U10:U11"/>
  </mergeCells>
  <phoneticPr fontId="1" type="noConversion"/>
  <dataValidations count="1">
    <dataValidation type="custom" allowBlank="1" showInputMessage="1" showErrorMessage="1" sqref="K4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9"/>
  <sheetViews>
    <sheetView showGridLines="0" zoomScaleNormal="100" workbookViewId="0">
      <selection activeCell="U16" sqref="U16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9.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9" hidden="1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108" t="s">
        <v>420</v>
      </c>
      <c r="R2" s="205">
        <f>SUM(R4:R1000)</f>
        <v>91756</v>
      </c>
      <c r="U2" s="108" t="s">
        <v>295</v>
      </c>
    </row>
    <row r="3" spans="2:29" ht="30" customHeight="1" thickBot="1">
      <c r="C3" s="109" t="s">
        <v>302</v>
      </c>
      <c r="D3" s="193" t="s">
        <v>329</v>
      </c>
      <c r="E3" s="111"/>
      <c r="F3" s="112" t="s">
        <v>100</v>
      </c>
      <c r="G3" s="112" t="s">
        <v>101</v>
      </c>
      <c r="H3" s="114" t="s">
        <v>434</v>
      </c>
      <c r="I3" s="114" t="s">
        <v>431</v>
      </c>
      <c r="J3" s="111" t="s">
        <v>46</v>
      </c>
      <c r="K3" s="111" t="s">
        <v>305</v>
      </c>
      <c r="L3" s="114" t="s">
        <v>432</v>
      </c>
      <c r="M3" s="114" t="s">
        <v>330</v>
      </c>
      <c r="N3" s="111" t="s">
        <v>307</v>
      </c>
      <c r="O3" s="114" t="s">
        <v>324</v>
      </c>
      <c r="P3" s="113" t="s">
        <v>433</v>
      </c>
      <c r="Q3" s="113" t="s">
        <v>309</v>
      </c>
      <c r="R3" s="114" t="s">
        <v>326</v>
      </c>
      <c r="S3" s="117" t="s">
        <v>327</v>
      </c>
      <c r="T3" s="116"/>
      <c r="U3" s="118" t="s">
        <v>421</v>
      </c>
      <c r="V3" s="118" t="s">
        <v>328</v>
      </c>
      <c r="W3" s="118" t="s">
        <v>325</v>
      </c>
      <c r="AA3" s="118" t="s">
        <v>428</v>
      </c>
      <c r="AB3" s="118" t="s">
        <v>429</v>
      </c>
      <c r="AC3" s="118" t="s">
        <v>430</v>
      </c>
    </row>
    <row r="4" spans="2:29">
      <c r="C4" s="77">
        <v>1</v>
      </c>
      <c r="D4" s="181">
        <v>43726</v>
      </c>
      <c r="E4" s="61" t="s">
        <v>422</v>
      </c>
      <c r="F4" s="61">
        <v>6472</v>
      </c>
      <c r="G4" s="101" t="s">
        <v>423</v>
      </c>
      <c r="H4" s="89">
        <v>320</v>
      </c>
      <c r="I4" s="62">
        <v>1200</v>
      </c>
      <c r="J4" s="90">
        <v>384000</v>
      </c>
      <c r="K4" s="83" t="s">
        <v>317</v>
      </c>
      <c r="L4" s="86">
        <v>313</v>
      </c>
      <c r="M4" s="63">
        <v>360</v>
      </c>
      <c r="N4" s="64">
        <v>162</v>
      </c>
      <c r="O4" s="64">
        <v>92</v>
      </c>
      <c r="P4" s="61">
        <v>7786</v>
      </c>
      <c r="Q4" s="91">
        <v>2.0276041666666668E-2</v>
      </c>
      <c r="R4" s="65">
        <f>P4+P5</f>
        <v>32</v>
      </c>
      <c r="S4" s="66">
        <f t="shared" ref="S4" si="0">R4/(J4+J5)</f>
        <v>4.308255694975497E-5</v>
      </c>
      <c r="U4" s="190">
        <v>43742</v>
      </c>
      <c r="V4" s="183">
        <f>DATEDIF(D4,U4,"d")</f>
        <v>16</v>
      </c>
      <c r="W4" s="191" t="s">
        <v>427</v>
      </c>
      <c r="AA4" s="65">
        <f>YEAR(U4)</f>
        <v>2019</v>
      </c>
      <c r="AB4" s="65">
        <f>MONTH(U4)</f>
        <v>10</v>
      </c>
      <c r="AC4" s="65" t="str">
        <f>IF(R4&gt;0,"○","☓")</f>
        <v>○</v>
      </c>
    </row>
    <row r="5" spans="2:29">
      <c r="C5" s="78"/>
      <c r="D5" s="184"/>
      <c r="E5" s="67" t="s">
        <v>424</v>
      </c>
      <c r="F5" s="67">
        <v>6752</v>
      </c>
      <c r="G5" s="102" t="s">
        <v>152</v>
      </c>
      <c r="H5" s="92">
        <v>896.9</v>
      </c>
      <c r="I5" s="68">
        <v>400</v>
      </c>
      <c r="J5" s="93">
        <v>358760</v>
      </c>
      <c r="K5" s="84" t="s">
        <v>318</v>
      </c>
      <c r="L5" s="87">
        <v>880.4</v>
      </c>
      <c r="M5" s="69">
        <v>360</v>
      </c>
      <c r="N5" s="70">
        <v>386</v>
      </c>
      <c r="O5" s="70">
        <v>408</v>
      </c>
      <c r="P5" s="67">
        <v>-7754</v>
      </c>
      <c r="Q5" s="94">
        <v>-2.1613334819935333E-2</v>
      </c>
      <c r="R5" s="71"/>
      <c r="S5" s="194"/>
      <c r="U5" s="195"/>
      <c r="V5" s="196"/>
      <c r="W5" s="197"/>
      <c r="AA5" s="71"/>
      <c r="AB5" s="71"/>
      <c r="AC5" s="71"/>
    </row>
    <row r="6" spans="2:29">
      <c r="C6" s="77">
        <v>2</v>
      </c>
      <c r="D6" s="185">
        <v>43732</v>
      </c>
      <c r="E6" s="61" t="s">
        <v>310</v>
      </c>
      <c r="F6" s="61">
        <v>6305</v>
      </c>
      <c r="G6" s="101" t="s">
        <v>59</v>
      </c>
      <c r="H6" s="89">
        <v>2638</v>
      </c>
      <c r="I6" s="62">
        <v>300</v>
      </c>
      <c r="J6" s="90">
        <v>791400</v>
      </c>
      <c r="K6" s="83" t="s">
        <v>317</v>
      </c>
      <c r="L6" s="86">
        <v>2464</v>
      </c>
      <c r="M6" s="63">
        <v>720</v>
      </c>
      <c r="N6" s="64">
        <v>162</v>
      </c>
      <c r="O6" s="64">
        <v>92</v>
      </c>
      <c r="P6" s="61">
        <v>51226</v>
      </c>
      <c r="Q6" s="91">
        <v>6.4728329542582771E-2</v>
      </c>
      <c r="R6" s="65">
        <f>P6+P7</f>
        <v>39212</v>
      </c>
      <c r="S6" s="76">
        <f t="shared" ref="S6" si="1">R6/(J6+J7)</f>
        <v>2.4835011717018178E-2</v>
      </c>
      <c r="T6" s="3"/>
      <c r="U6" s="199">
        <v>43748</v>
      </c>
      <c r="V6" s="200">
        <f>DATEDIF(D6,U6,"d")</f>
        <v>16</v>
      </c>
      <c r="W6" s="201" t="s">
        <v>427</v>
      </c>
      <c r="AA6" s="65">
        <f t="shared" ref="AA6:AA9" si="2">YEAR(U6)</f>
        <v>2019</v>
      </c>
      <c r="AB6" s="65">
        <f t="shared" ref="AB6:AB9" si="3">MONTH(U6)</f>
        <v>10</v>
      </c>
      <c r="AC6" s="65" t="str">
        <f>IF(R6&gt;0,"○","☓")</f>
        <v>○</v>
      </c>
    </row>
    <row r="7" spans="2:29">
      <c r="C7" s="78"/>
      <c r="D7" s="182"/>
      <c r="E7" s="67" t="s">
        <v>311</v>
      </c>
      <c r="F7" s="67">
        <v>3861</v>
      </c>
      <c r="G7" s="102" t="s">
        <v>94</v>
      </c>
      <c r="H7" s="92">
        <v>525</v>
      </c>
      <c r="I7" s="68">
        <v>1500</v>
      </c>
      <c r="J7" s="93">
        <v>787500</v>
      </c>
      <c r="K7" s="84" t="s">
        <v>318</v>
      </c>
      <c r="L7" s="87">
        <v>518</v>
      </c>
      <c r="M7" s="69">
        <v>720</v>
      </c>
      <c r="N7" s="70">
        <v>386</v>
      </c>
      <c r="O7" s="70">
        <v>408</v>
      </c>
      <c r="P7" s="67">
        <v>-12014</v>
      </c>
      <c r="Q7" s="94">
        <v>-1.5255873015873016E-2</v>
      </c>
      <c r="R7" s="71"/>
      <c r="S7" s="71"/>
      <c r="T7" s="3"/>
      <c r="U7" s="199"/>
      <c r="V7" s="200"/>
      <c r="W7" s="201"/>
      <c r="AA7" s="71"/>
      <c r="AB7" s="71"/>
      <c r="AC7" s="71"/>
    </row>
    <row r="8" spans="2:29">
      <c r="B8" s="59"/>
      <c r="C8" s="79">
        <f>ROW()/2-1</f>
        <v>3</v>
      </c>
      <c r="D8" s="185">
        <v>43747</v>
      </c>
      <c r="E8" s="72" t="s">
        <v>321</v>
      </c>
      <c r="F8" s="72">
        <v>3099</v>
      </c>
      <c r="G8" s="103" t="s">
        <v>92</v>
      </c>
      <c r="H8" s="95">
        <v>872</v>
      </c>
      <c r="I8" s="72">
        <v>1200</v>
      </c>
      <c r="J8" s="72">
        <f t="shared" ref="J8:J9" si="4">H8*I8</f>
        <v>1046400</v>
      </c>
      <c r="K8" s="100" t="s">
        <v>316</v>
      </c>
      <c r="L8" s="95">
        <v>861</v>
      </c>
      <c r="M8" s="72">
        <f t="shared" ref="M8:M9" si="5">360*2</f>
        <v>720</v>
      </c>
      <c r="N8" s="72">
        <v>162</v>
      </c>
      <c r="O8" s="100">
        <v>92</v>
      </c>
      <c r="P8" s="95">
        <f>(H8-L8)*I8-M8-N8-O8</f>
        <v>12226</v>
      </c>
      <c r="Q8" s="97">
        <f t="shared" ref="Q8:Q9" si="6">P8/J8</f>
        <v>1.1683868501529053E-2</v>
      </c>
      <c r="R8" s="187">
        <f>P8+P9</f>
        <v>52512</v>
      </c>
      <c r="S8" s="66">
        <f t="shared" ref="S8" si="7">R8/(J8+J9)</f>
        <v>2.5675728535106589E-2</v>
      </c>
      <c r="U8" s="198">
        <v>43753</v>
      </c>
      <c r="V8" s="78">
        <f t="shared" ref="V8" si="8">DATEDIF(D8,U8,"d")</f>
        <v>6</v>
      </c>
      <c r="W8" s="197" t="s">
        <v>435</v>
      </c>
      <c r="AA8" s="65">
        <f t="shared" ref="AA8:AA9" si="9">YEAR(U8)</f>
        <v>2019</v>
      </c>
      <c r="AB8" s="65">
        <f t="shared" ref="AB8:AB9" si="10">MONTH(U8)</f>
        <v>10</v>
      </c>
      <c r="AC8" s="65" t="str">
        <f t="shared" ref="AC8:AC9" si="11">IF(R8&gt;0,"○","☓")</f>
        <v>○</v>
      </c>
    </row>
    <row r="9" spans="2:29">
      <c r="B9" s="59"/>
      <c r="C9" s="78"/>
      <c r="D9" s="182">
        <v>43747</v>
      </c>
      <c r="E9" s="67" t="s">
        <v>311</v>
      </c>
      <c r="F9" s="67">
        <v>7211</v>
      </c>
      <c r="G9" s="102" t="s">
        <v>56</v>
      </c>
      <c r="H9" s="92">
        <v>454</v>
      </c>
      <c r="I9" s="92">
        <v>2200</v>
      </c>
      <c r="J9" s="93">
        <f t="shared" si="4"/>
        <v>998800</v>
      </c>
      <c r="K9" s="84" t="s">
        <v>316</v>
      </c>
      <c r="L9" s="87">
        <v>473</v>
      </c>
      <c r="M9" s="69">
        <f t="shared" si="5"/>
        <v>720</v>
      </c>
      <c r="N9" s="70">
        <v>386</v>
      </c>
      <c r="O9" s="70">
        <v>408</v>
      </c>
      <c r="P9" s="67">
        <f>(L9-H9)*I9-M9-N9-O9</f>
        <v>40286</v>
      </c>
      <c r="Q9" s="94">
        <f t="shared" si="6"/>
        <v>4.0334401281537847E-2</v>
      </c>
      <c r="R9" s="187"/>
      <c r="S9" s="71"/>
      <c r="U9" s="98"/>
      <c r="V9" s="99"/>
      <c r="W9" s="192"/>
      <c r="AA9" s="71"/>
      <c r="AB9" s="71"/>
      <c r="AC9" s="71"/>
    </row>
  </sheetData>
  <mergeCells count="30"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C8:C9"/>
    <mergeCell ref="D8:D9"/>
    <mergeCell ref="R8:R9"/>
    <mergeCell ref="S8:S9"/>
    <mergeCell ref="U8:U9"/>
    <mergeCell ref="V8:V9"/>
    <mergeCell ref="W8:W9"/>
    <mergeCell ref="W4:W5"/>
    <mergeCell ref="W6:W7"/>
  </mergeCells>
  <phoneticPr fontId="1" type="noConversion"/>
  <dataValidations count="1">
    <dataValidation type="custom" allowBlank="1" showInputMessage="1" showErrorMessage="1" sqref="K4 K6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3" sqref="B3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zoomScale="115" zoomScaleNormal="115" workbookViewId="0">
      <selection activeCell="E21" sqref="E21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46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46">
        <v>2.5</v>
      </c>
    </row>
    <row r="8" spans="1:8">
      <c r="B8" s="4" t="s">
        <v>8</v>
      </c>
      <c r="C8" s="25">
        <v>2</v>
      </c>
      <c r="D8" s="25">
        <v>3</v>
      </c>
      <c r="F8" s="4" t="s">
        <v>106</v>
      </c>
      <c r="G8" s="46">
        <v>2.5</v>
      </c>
    </row>
    <row r="9" spans="1:8">
      <c r="B9" s="4" t="s">
        <v>9</v>
      </c>
      <c r="C9" s="25">
        <v>0.9</v>
      </c>
      <c r="D9" s="24">
        <v>1</v>
      </c>
      <c r="E9" s="1"/>
      <c r="F9" s="4" t="s">
        <v>107</v>
      </c>
      <c r="G9" s="26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108</v>
      </c>
      <c r="G10" s="25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98</v>
      </c>
      <c r="C17" s="47" t="s">
        <v>96</v>
      </c>
      <c r="D17" s="48"/>
      <c r="E17" s="49"/>
      <c r="F17" s="49"/>
    </row>
    <row r="18" spans="2:7">
      <c r="B18" s="4" t="s">
        <v>95</v>
      </c>
      <c r="C18" s="47" t="s">
        <v>97</v>
      </c>
      <c r="D18" s="48"/>
      <c r="E18" s="49"/>
      <c r="F18" s="49"/>
      <c r="G18" s="49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C286"/>
  <sheetViews>
    <sheetView showGridLines="0" zoomScaleNormal="100" workbookViewId="0">
      <selection activeCell="J30" sqref="J30"/>
    </sheetView>
  </sheetViews>
  <sheetFormatPr defaultRowHeight="14.25"/>
  <cols>
    <col min="1" max="1" width="5" customWidth="1"/>
    <col min="2" max="2" width="5.625" style="27" customWidth="1"/>
    <col min="3" max="3" width="13.875" style="32" customWidth="1"/>
    <col min="4" max="4" width="10" style="32" customWidth="1"/>
    <col min="5" max="5" width="9.125" customWidth="1"/>
    <col min="6" max="6" width="5.5" customWidth="1"/>
    <col min="7" max="7" width="4.75" customWidth="1"/>
    <col min="8" max="8" width="6.5" style="29" customWidth="1"/>
    <col min="9" max="9" width="15.5" style="32" customWidth="1"/>
    <col min="10" max="10" width="12.5" style="32" customWidth="1"/>
    <col min="11" max="11" width="7.5" style="29" customWidth="1"/>
    <col min="12" max="12" width="6.875" style="29" customWidth="1"/>
    <col min="13" max="13" width="4.625" style="29" customWidth="1"/>
    <col min="14" max="14" width="7.625" style="29" customWidth="1"/>
    <col min="15" max="15" width="6.75" style="29" customWidth="1"/>
    <col min="16" max="17" width="7.875" style="29" customWidth="1"/>
    <col min="18" max="18" width="7.375" style="29" customWidth="1"/>
    <col min="19" max="19" width="9.875" style="29" customWidth="1"/>
    <col min="20" max="20" width="10.25" style="29" customWidth="1"/>
    <col min="21" max="21" width="6.125" style="27" customWidth="1"/>
    <col min="22" max="22" width="7" style="29" customWidth="1"/>
    <col min="23" max="23" width="8.875" style="29" customWidth="1"/>
    <col min="24" max="24" width="6.5" style="29" customWidth="1"/>
    <col min="25" max="25" width="5.875" style="29" customWidth="1"/>
    <col min="26" max="26" width="7.5" style="29" customWidth="1"/>
    <col min="27" max="27" width="6.875" style="29" customWidth="1"/>
    <col min="28" max="28" width="6.375" style="29" customWidth="1"/>
    <col min="29" max="29" width="7" style="29" customWidth="1"/>
  </cols>
  <sheetData>
    <row r="1" spans="1:29" ht="15" thickBot="1"/>
    <row r="2" spans="1:29">
      <c r="B2" s="54" t="s">
        <v>102</v>
      </c>
      <c r="C2" s="51"/>
      <c r="D2" s="51"/>
      <c r="E2" s="51"/>
      <c r="F2" s="51"/>
      <c r="G2" s="52"/>
      <c r="H2" s="55" t="s">
        <v>103</v>
      </c>
      <c r="I2" s="51"/>
      <c r="J2" s="51"/>
      <c r="K2" s="51"/>
      <c r="L2" s="51"/>
      <c r="M2" s="52"/>
      <c r="N2" s="50" t="s">
        <v>105</v>
      </c>
      <c r="O2" s="51"/>
      <c r="P2" s="51"/>
      <c r="Q2" s="51"/>
      <c r="R2" s="52"/>
      <c r="S2" s="53" t="s">
        <v>109</v>
      </c>
      <c r="T2" s="51"/>
      <c r="U2" s="51"/>
      <c r="V2" s="51"/>
      <c r="W2" s="51"/>
      <c r="X2" s="51"/>
      <c r="Y2" s="52"/>
      <c r="Z2" s="33" t="s">
        <v>104</v>
      </c>
      <c r="AA2" s="34"/>
      <c r="AB2" s="34"/>
      <c r="AC2" s="35"/>
    </row>
    <row r="3" spans="1:29" s="23" customFormat="1" ht="28.5" customHeight="1" thickBot="1">
      <c r="A3" s="22"/>
      <c r="B3" s="30" t="s">
        <v>299</v>
      </c>
      <c r="C3" s="218" t="s">
        <v>301</v>
      </c>
      <c r="D3" s="218" t="s">
        <v>453</v>
      </c>
      <c r="E3" s="218" t="s">
        <v>455</v>
      </c>
      <c r="F3" s="218" t="s">
        <v>459</v>
      </c>
      <c r="G3" s="219"/>
      <c r="H3" s="31" t="s">
        <v>298</v>
      </c>
      <c r="I3" s="36" t="s">
        <v>300</v>
      </c>
      <c r="J3" s="36" t="s">
        <v>452</v>
      </c>
      <c r="K3" s="36" t="s">
        <v>454</v>
      </c>
      <c r="L3" s="36" t="s">
        <v>460</v>
      </c>
      <c r="M3" s="37"/>
      <c r="N3" s="38" t="s">
        <v>456</v>
      </c>
      <c r="O3" s="39" t="s">
        <v>457</v>
      </c>
      <c r="P3" s="39" t="s">
        <v>461</v>
      </c>
      <c r="Q3" s="39" t="s">
        <v>462</v>
      </c>
      <c r="R3" s="40" t="s">
        <v>458</v>
      </c>
      <c r="S3" s="41" t="s">
        <v>463</v>
      </c>
      <c r="T3" s="42" t="s">
        <v>464</v>
      </c>
      <c r="U3" s="28" t="s">
        <v>465</v>
      </c>
      <c r="V3" s="28" t="s">
        <v>466</v>
      </c>
      <c r="W3" s="28" t="s">
        <v>469</v>
      </c>
      <c r="X3" s="42" t="s">
        <v>468</v>
      </c>
      <c r="Y3" s="43" t="s">
        <v>467</v>
      </c>
      <c r="Z3" s="44" t="s">
        <v>471</v>
      </c>
      <c r="AA3" s="45" t="s">
        <v>472</v>
      </c>
      <c r="AB3" s="45" t="s">
        <v>470</v>
      </c>
      <c r="AC3" s="45" t="s">
        <v>473</v>
      </c>
    </row>
    <row r="4" spans="1:29">
      <c r="A4" s="204" t="s">
        <v>436</v>
      </c>
      <c r="B4" s="222">
        <v>1942</v>
      </c>
      <c r="C4" s="32" t="s">
        <v>114</v>
      </c>
      <c r="D4" s="32" t="s">
        <v>115</v>
      </c>
      <c r="E4">
        <v>1005</v>
      </c>
      <c r="F4">
        <v>1000</v>
      </c>
      <c r="H4" s="29">
        <v>9412</v>
      </c>
      <c r="I4" s="32" t="s">
        <v>116</v>
      </c>
      <c r="J4" s="32" t="s">
        <v>117</v>
      </c>
      <c r="K4" s="29">
        <v>442</v>
      </c>
      <c r="L4" s="29">
        <v>2300</v>
      </c>
      <c r="N4" s="29">
        <v>2.6375518344684901</v>
      </c>
      <c r="O4" s="29">
        <v>5.04</v>
      </c>
      <c r="P4" s="29">
        <v>1005000</v>
      </c>
      <c r="Q4" s="29">
        <v>1016600</v>
      </c>
      <c r="R4" s="29">
        <v>1.1499999999999999</v>
      </c>
      <c r="S4" s="29">
        <v>647020</v>
      </c>
      <c r="T4" s="29">
        <v>34054</v>
      </c>
      <c r="U4" s="57">
        <v>19</v>
      </c>
      <c r="V4" s="58">
        <v>17</v>
      </c>
      <c r="W4" s="58" t="s">
        <v>275</v>
      </c>
      <c r="X4" s="29">
        <v>89.47</v>
      </c>
      <c r="Y4" s="29">
        <v>12</v>
      </c>
      <c r="Z4" s="29">
        <v>0.94078437724469399</v>
      </c>
      <c r="AA4" s="29">
        <v>0.94758887929889601</v>
      </c>
      <c r="AB4" s="29">
        <v>1.7448783578596699E-4</v>
      </c>
      <c r="AC4" s="29">
        <v>2.8887730557709698E-4</v>
      </c>
    </row>
    <row r="5" spans="1:29">
      <c r="A5" s="204" t="s">
        <v>436</v>
      </c>
      <c r="B5" s="220">
        <v>7453</v>
      </c>
      <c r="C5" s="32" t="s">
        <v>150</v>
      </c>
      <c r="D5" s="32" t="s">
        <v>138</v>
      </c>
      <c r="E5">
        <v>2101</v>
      </c>
      <c r="F5">
        <v>500</v>
      </c>
      <c r="H5" s="29">
        <v>8308</v>
      </c>
      <c r="I5" s="32" t="s">
        <v>148</v>
      </c>
      <c r="J5" s="32" t="s">
        <v>121</v>
      </c>
      <c r="K5" s="29">
        <v>448.8</v>
      </c>
      <c r="L5" s="29">
        <v>2300</v>
      </c>
      <c r="N5" s="29">
        <v>2.9515686612896901</v>
      </c>
      <c r="O5" s="29">
        <v>6.23</v>
      </c>
      <c r="P5" s="29">
        <v>1050500</v>
      </c>
      <c r="Q5" s="29">
        <v>1032240</v>
      </c>
      <c r="R5" s="29">
        <v>1.74</v>
      </c>
      <c r="S5" s="29">
        <v>378202</v>
      </c>
      <c r="T5" s="29">
        <v>19905</v>
      </c>
      <c r="U5" s="57">
        <v>19</v>
      </c>
      <c r="V5" s="58">
        <v>12</v>
      </c>
      <c r="W5" s="58" t="s">
        <v>276</v>
      </c>
      <c r="X5" s="29">
        <v>63.16</v>
      </c>
      <c r="Y5" s="29">
        <v>11</v>
      </c>
      <c r="Z5" s="29">
        <v>0.90726564463305703</v>
      </c>
      <c r="AA5" s="29">
        <v>0.90378171958988596</v>
      </c>
      <c r="AB5" s="29">
        <v>3.30353688584362E-3</v>
      </c>
      <c r="AC5" s="29">
        <v>0.34924408453655997</v>
      </c>
    </row>
    <row r="6" spans="1:29">
      <c r="A6" s="204" t="s">
        <v>436</v>
      </c>
      <c r="B6" s="221">
        <v>3861</v>
      </c>
      <c r="C6" s="32" t="s">
        <v>94</v>
      </c>
      <c r="D6" s="32" t="s">
        <v>118</v>
      </c>
      <c r="E6">
        <v>543</v>
      </c>
      <c r="F6">
        <v>2000</v>
      </c>
      <c r="H6" s="29">
        <v>5411</v>
      </c>
      <c r="I6" s="32" t="s">
        <v>133</v>
      </c>
      <c r="J6" s="32" t="s">
        <v>134</v>
      </c>
      <c r="K6" s="29">
        <v>1325</v>
      </c>
      <c r="L6" s="29">
        <v>800</v>
      </c>
      <c r="N6" s="29">
        <v>2.7050769370407899</v>
      </c>
      <c r="O6" s="29">
        <v>4.5599999999999996</v>
      </c>
      <c r="P6" s="29">
        <v>1086000</v>
      </c>
      <c r="Q6" s="29">
        <v>1060000</v>
      </c>
      <c r="R6" s="29">
        <v>2.4500000000000002</v>
      </c>
      <c r="S6" s="29">
        <v>354060</v>
      </c>
      <c r="T6" s="29">
        <v>18635</v>
      </c>
      <c r="U6" s="57">
        <v>19</v>
      </c>
      <c r="V6" s="58">
        <v>11</v>
      </c>
      <c r="W6" s="58" t="s">
        <v>277</v>
      </c>
      <c r="X6" s="29">
        <v>57.89</v>
      </c>
      <c r="Y6" s="29">
        <v>13</v>
      </c>
      <c r="Z6" s="29">
        <v>0.97147656235207203</v>
      </c>
      <c r="AA6" s="29">
        <v>0.94012006732434805</v>
      </c>
      <c r="AB6" s="29">
        <v>2.0408662727186199E-3</v>
      </c>
      <c r="AC6" s="29">
        <v>0.24981177032487301</v>
      </c>
    </row>
    <row r="7" spans="1:29">
      <c r="A7" s="204" t="s">
        <v>436</v>
      </c>
      <c r="B7" s="27">
        <v>4182</v>
      </c>
      <c r="C7" s="32" t="s">
        <v>127</v>
      </c>
      <c r="D7" s="32" t="s">
        <v>90</v>
      </c>
      <c r="E7">
        <v>1498</v>
      </c>
      <c r="F7">
        <v>700</v>
      </c>
      <c r="H7" s="179">
        <v>3099</v>
      </c>
      <c r="I7" s="32" t="s">
        <v>92</v>
      </c>
      <c r="J7" s="32" t="s">
        <v>138</v>
      </c>
      <c r="K7" s="29">
        <v>861</v>
      </c>
      <c r="L7" s="29">
        <v>1200</v>
      </c>
      <c r="N7" s="29">
        <v>-2.6650511695814898</v>
      </c>
      <c r="O7" s="29">
        <v>-7.43</v>
      </c>
      <c r="P7" s="29">
        <v>1048600</v>
      </c>
      <c r="Q7" s="29">
        <v>1033200</v>
      </c>
      <c r="R7" s="29">
        <v>1.47</v>
      </c>
      <c r="S7" s="29">
        <v>136657</v>
      </c>
      <c r="T7" s="29">
        <v>7192</v>
      </c>
      <c r="U7" s="57">
        <v>19</v>
      </c>
      <c r="V7" s="58">
        <v>13</v>
      </c>
      <c r="W7" s="58" t="s">
        <v>278</v>
      </c>
      <c r="X7" s="29">
        <v>68.42</v>
      </c>
      <c r="Y7" s="29">
        <v>12</v>
      </c>
      <c r="Z7" s="29">
        <v>0.95246188259987397</v>
      </c>
      <c r="AA7" s="29">
        <v>0.90500720687897895</v>
      </c>
      <c r="AB7" s="29">
        <v>2.3385379182769599E-2</v>
      </c>
      <c r="AC7" s="29">
        <v>0.106419761016758</v>
      </c>
    </row>
    <row r="8" spans="1:29">
      <c r="A8" s="204" t="s">
        <v>436</v>
      </c>
      <c r="B8" s="222">
        <v>3148</v>
      </c>
      <c r="C8" s="32" t="s">
        <v>229</v>
      </c>
      <c r="D8" s="32" t="s">
        <v>138</v>
      </c>
      <c r="E8">
        <v>2647</v>
      </c>
      <c r="F8">
        <v>400</v>
      </c>
      <c r="H8" s="29">
        <v>9412</v>
      </c>
      <c r="I8" s="32" t="s">
        <v>116</v>
      </c>
      <c r="J8" s="32" t="s">
        <v>117</v>
      </c>
      <c r="K8" s="29">
        <v>442</v>
      </c>
      <c r="L8" s="29">
        <v>2400</v>
      </c>
      <c r="N8" s="29">
        <v>2.26473341572486</v>
      </c>
      <c r="O8" s="29">
        <v>4.82</v>
      </c>
      <c r="P8" s="29">
        <v>1058800</v>
      </c>
      <c r="Q8" s="29">
        <v>1060800</v>
      </c>
      <c r="R8" s="29">
        <v>0.19</v>
      </c>
      <c r="S8" s="29">
        <v>130313</v>
      </c>
      <c r="T8" s="29">
        <v>8688</v>
      </c>
      <c r="U8" s="57">
        <v>15</v>
      </c>
      <c r="V8" s="58">
        <v>9</v>
      </c>
      <c r="W8" s="58" t="s">
        <v>279</v>
      </c>
      <c r="X8" s="29">
        <v>60</v>
      </c>
      <c r="Y8" s="29">
        <v>12</v>
      </c>
      <c r="Z8" s="29">
        <v>0.90044611112744199</v>
      </c>
      <c r="AA8" s="29">
        <v>0.94902371107557904</v>
      </c>
      <c r="AB8" s="29">
        <v>1.2053225977048099E-2</v>
      </c>
      <c r="AC8" s="29">
        <v>4.8017204048051999E-4</v>
      </c>
    </row>
    <row r="9" spans="1:29">
      <c r="A9" s="204" t="s">
        <v>436</v>
      </c>
      <c r="B9" s="180">
        <v>6770</v>
      </c>
      <c r="C9" s="32" t="s">
        <v>50</v>
      </c>
      <c r="D9" s="32" t="s">
        <v>126</v>
      </c>
      <c r="E9">
        <v>2110</v>
      </c>
      <c r="F9">
        <v>500</v>
      </c>
      <c r="H9" s="179">
        <v>8601</v>
      </c>
      <c r="I9" s="32" t="s">
        <v>53</v>
      </c>
      <c r="J9" s="32" t="s">
        <v>171</v>
      </c>
      <c r="K9" s="29">
        <v>494.2</v>
      </c>
      <c r="L9" s="29">
        <v>2100</v>
      </c>
      <c r="N9" s="29">
        <v>2.1093437317848398</v>
      </c>
      <c r="O9" s="29">
        <v>6.28</v>
      </c>
      <c r="P9" s="29">
        <v>1055000</v>
      </c>
      <c r="Q9" s="29">
        <v>1037820</v>
      </c>
      <c r="R9" s="29">
        <v>1.63</v>
      </c>
      <c r="S9" s="29">
        <v>123816</v>
      </c>
      <c r="T9" s="29">
        <v>6517</v>
      </c>
      <c r="U9" s="57">
        <v>19</v>
      </c>
      <c r="V9" s="58">
        <v>11</v>
      </c>
      <c r="W9" s="58" t="s">
        <v>280</v>
      </c>
      <c r="X9" s="29">
        <v>57.89</v>
      </c>
      <c r="Y9" s="29">
        <v>12</v>
      </c>
      <c r="Z9" s="29">
        <v>0.90607206447934097</v>
      </c>
      <c r="AA9" s="29">
        <v>0.92776572373873001</v>
      </c>
      <c r="AB9" s="29">
        <v>0.105993420148773</v>
      </c>
      <c r="AC9" s="29">
        <v>0.14553520388515101</v>
      </c>
    </row>
    <row r="10" spans="1:29">
      <c r="A10" s="204" t="s">
        <v>436</v>
      </c>
      <c r="B10" s="180">
        <v>7186</v>
      </c>
      <c r="C10" s="32" t="s">
        <v>51</v>
      </c>
      <c r="D10" s="32" t="s">
        <v>121</v>
      </c>
      <c r="E10">
        <v>410</v>
      </c>
      <c r="F10">
        <v>1800</v>
      </c>
      <c r="H10" s="179">
        <v>8309</v>
      </c>
      <c r="I10" s="32" t="s">
        <v>52</v>
      </c>
      <c r="J10" s="32" t="s">
        <v>121</v>
      </c>
      <c r="K10" s="29">
        <v>3741</v>
      </c>
      <c r="L10" s="29">
        <v>200</v>
      </c>
      <c r="N10" s="29">
        <v>2.14911014276039</v>
      </c>
      <c r="O10" s="29">
        <v>4.28</v>
      </c>
      <c r="P10" s="29">
        <v>738000</v>
      </c>
      <c r="Q10" s="29">
        <v>748200</v>
      </c>
      <c r="R10" s="29">
        <v>1.36</v>
      </c>
      <c r="S10" s="29">
        <v>80736</v>
      </c>
      <c r="T10" s="29">
        <v>4749</v>
      </c>
      <c r="U10" s="57">
        <v>17</v>
      </c>
      <c r="V10" s="58">
        <v>9</v>
      </c>
      <c r="W10" s="58" t="s">
        <v>281</v>
      </c>
      <c r="X10" s="29">
        <v>52.94</v>
      </c>
      <c r="Y10" s="29">
        <v>13</v>
      </c>
      <c r="Z10" s="29">
        <v>0.95245026425786194</v>
      </c>
      <c r="AA10" s="29">
        <v>0.95062235333323497</v>
      </c>
      <c r="AB10" s="29">
        <v>0.220496847700141</v>
      </c>
      <c r="AC10" s="29">
        <v>0.34670733565552703</v>
      </c>
    </row>
    <row r="11" spans="1:29">
      <c r="A11" s="204" t="s">
        <v>436</v>
      </c>
      <c r="B11" s="222">
        <v>4182</v>
      </c>
      <c r="C11" s="32" t="s">
        <v>127</v>
      </c>
      <c r="D11" s="32" t="s">
        <v>90</v>
      </c>
      <c r="E11">
        <v>1498</v>
      </c>
      <c r="F11">
        <v>700</v>
      </c>
      <c r="H11" s="29">
        <v>6752</v>
      </c>
      <c r="I11" s="32" t="s">
        <v>152</v>
      </c>
      <c r="J11" s="32" t="s">
        <v>126</v>
      </c>
      <c r="K11" s="29">
        <v>877.9</v>
      </c>
      <c r="L11" s="29">
        <v>1200</v>
      </c>
      <c r="N11" s="29">
        <v>2.66637290543758</v>
      </c>
      <c r="O11" s="29">
        <v>8.41</v>
      </c>
      <c r="P11" s="29">
        <v>1048600</v>
      </c>
      <c r="Q11" s="29">
        <v>1053480</v>
      </c>
      <c r="R11" s="29">
        <v>0.47</v>
      </c>
      <c r="S11" s="29">
        <v>79924</v>
      </c>
      <c r="T11" s="29">
        <v>4207</v>
      </c>
      <c r="U11" s="57">
        <v>19</v>
      </c>
      <c r="V11" s="58">
        <v>11</v>
      </c>
      <c r="W11" s="58" t="s">
        <v>282</v>
      </c>
      <c r="X11" s="29">
        <v>57.89</v>
      </c>
      <c r="Y11" s="29">
        <v>13</v>
      </c>
      <c r="Z11" s="29">
        <v>0.911540251672323</v>
      </c>
      <c r="AA11" s="29">
        <v>0.94715390113208298</v>
      </c>
      <c r="AB11" s="29">
        <v>0.10851109719752</v>
      </c>
      <c r="AC11" s="29">
        <v>2.38301238779999E-2</v>
      </c>
    </row>
    <row r="12" spans="1:29">
      <c r="A12" s="204" t="s">
        <v>436</v>
      </c>
      <c r="B12" s="180">
        <v>5802</v>
      </c>
      <c r="C12" s="32" t="s">
        <v>210</v>
      </c>
      <c r="D12" s="32" t="s">
        <v>211</v>
      </c>
      <c r="E12">
        <v>1385</v>
      </c>
      <c r="F12">
        <v>700</v>
      </c>
      <c r="H12" s="29">
        <v>7211</v>
      </c>
      <c r="I12" s="32" t="s">
        <v>56</v>
      </c>
      <c r="J12" s="32" t="s">
        <v>123</v>
      </c>
      <c r="K12" s="29">
        <v>473</v>
      </c>
      <c r="L12" s="29">
        <v>2000</v>
      </c>
      <c r="N12" s="29">
        <v>2.2714494099906402</v>
      </c>
      <c r="O12" s="29">
        <v>4.13</v>
      </c>
      <c r="P12" s="29">
        <v>969500</v>
      </c>
      <c r="Q12" s="29">
        <v>946000</v>
      </c>
      <c r="R12" s="29">
        <v>2.42</v>
      </c>
      <c r="S12" s="29">
        <v>60840</v>
      </c>
      <c r="T12" s="29">
        <v>3579</v>
      </c>
      <c r="U12" s="57">
        <v>17</v>
      </c>
      <c r="V12" s="58">
        <v>10</v>
      </c>
      <c r="W12" s="58" t="s">
        <v>283</v>
      </c>
      <c r="X12" s="29">
        <v>58.82</v>
      </c>
      <c r="Y12" s="29">
        <v>14</v>
      </c>
      <c r="Z12" s="29">
        <v>0.96148215359936795</v>
      </c>
      <c r="AA12" s="29">
        <v>0.93452873252110602</v>
      </c>
      <c r="AB12" s="29">
        <v>3.4226503305550701E-2</v>
      </c>
      <c r="AC12" s="29">
        <v>2.3903999467275401E-2</v>
      </c>
    </row>
    <row r="13" spans="1:29">
      <c r="A13" s="204" t="s">
        <v>436</v>
      </c>
      <c r="B13" s="27">
        <v>4182</v>
      </c>
      <c r="C13" s="32" t="s">
        <v>127</v>
      </c>
      <c r="D13" s="32" t="s">
        <v>90</v>
      </c>
      <c r="E13">
        <v>1498</v>
      </c>
      <c r="F13">
        <v>600</v>
      </c>
      <c r="H13" s="29">
        <v>5019</v>
      </c>
      <c r="I13" s="32" t="s">
        <v>251</v>
      </c>
      <c r="J13" s="32" t="s">
        <v>200</v>
      </c>
      <c r="K13" s="29">
        <v>3120</v>
      </c>
      <c r="L13" s="29">
        <v>300</v>
      </c>
      <c r="N13" s="29">
        <v>2.13714650753563</v>
      </c>
      <c r="O13" s="29">
        <v>5.25</v>
      </c>
      <c r="P13" s="29">
        <v>898800</v>
      </c>
      <c r="Q13" s="29">
        <v>936000</v>
      </c>
      <c r="R13" s="29">
        <v>3.97</v>
      </c>
      <c r="S13" s="29">
        <v>42210</v>
      </c>
      <c r="T13" s="29">
        <v>3518</v>
      </c>
      <c r="U13" s="57">
        <v>12</v>
      </c>
      <c r="V13" s="58">
        <v>7</v>
      </c>
      <c r="W13" s="58" t="s">
        <v>284</v>
      </c>
      <c r="X13" s="29">
        <v>58.33</v>
      </c>
      <c r="Y13" s="29">
        <v>11</v>
      </c>
      <c r="Z13" s="29">
        <v>0.94145351355492002</v>
      </c>
      <c r="AA13" s="29">
        <v>0.90799794465072203</v>
      </c>
      <c r="AB13" s="29">
        <v>3.30083354751501E-2</v>
      </c>
      <c r="AC13" s="29">
        <v>0.13849508899226401</v>
      </c>
    </row>
    <row r="14" spans="1:29">
      <c r="A14" s="204" t="s">
        <v>436</v>
      </c>
      <c r="B14" s="27">
        <v>6923</v>
      </c>
      <c r="C14" s="32" t="s">
        <v>164</v>
      </c>
      <c r="D14" s="32" t="s">
        <v>126</v>
      </c>
      <c r="E14">
        <v>2908</v>
      </c>
      <c r="F14">
        <v>300</v>
      </c>
      <c r="H14" s="29">
        <v>3116</v>
      </c>
      <c r="I14" s="32" t="s">
        <v>196</v>
      </c>
      <c r="J14" s="32" t="s">
        <v>123</v>
      </c>
      <c r="K14" s="29">
        <v>1493</v>
      </c>
      <c r="L14" s="29">
        <v>600</v>
      </c>
      <c r="N14" s="29">
        <v>-2.4553678499779599</v>
      </c>
      <c r="O14" s="29">
        <v>-4.9000000000000004</v>
      </c>
      <c r="P14" s="29">
        <v>872400</v>
      </c>
      <c r="Q14" s="29">
        <v>895800</v>
      </c>
      <c r="R14" s="29">
        <v>2.68</v>
      </c>
      <c r="S14" s="29">
        <v>21401</v>
      </c>
      <c r="T14" s="29">
        <v>1529</v>
      </c>
      <c r="U14" s="57">
        <v>14</v>
      </c>
      <c r="V14" s="58">
        <v>8</v>
      </c>
      <c r="W14" s="58" t="s">
        <v>285</v>
      </c>
      <c r="X14" s="29">
        <v>57.14</v>
      </c>
      <c r="Y14" s="29">
        <v>12</v>
      </c>
      <c r="Z14" s="29">
        <v>0.90510269211227801</v>
      </c>
      <c r="AA14" s="29">
        <v>0.96614324688026698</v>
      </c>
      <c r="AB14" s="29">
        <v>0.12968370068443599</v>
      </c>
      <c r="AC14" s="29">
        <v>4.3268182404683997E-2</v>
      </c>
    </row>
    <row r="15" spans="1:29">
      <c r="A15" s="204" t="s">
        <v>436</v>
      </c>
      <c r="B15" s="27">
        <v>4182</v>
      </c>
      <c r="C15" s="32" t="s">
        <v>127</v>
      </c>
      <c r="D15" s="32" t="s">
        <v>90</v>
      </c>
      <c r="E15">
        <v>1498</v>
      </c>
      <c r="F15">
        <v>700</v>
      </c>
      <c r="H15" s="29">
        <v>7167</v>
      </c>
      <c r="I15" s="32" t="s">
        <v>146</v>
      </c>
      <c r="J15" s="32" t="s">
        <v>121</v>
      </c>
      <c r="K15" s="29">
        <v>263</v>
      </c>
      <c r="L15" s="29">
        <v>4000</v>
      </c>
      <c r="N15" s="29">
        <v>2.7022240271040299</v>
      </c>
      <c r="O15" s="29">
        <v>7.59</v>
      </c>
      <c r="P15" s="29">
        <v>1048600</v>
      </c>
      <c r="Q15" s="29">
        <v>1052000</v>
      </c>
      <c r="R15" s="29">
        <v>0.32</v>
      </c>
      <c r="S15" s="29">
        <v>6848</v>
      </c>
      <c r="T15" s="29">
        <v>403</v>
      </c>
      <c r="U15" s="57">
        <v>17</v>
      </c>
      <c r="V15" s="58">
        <v>10</v>
      </c>
      <c r="W15" s="58" t="s">
        <v>281</v>
      </c>
      <c r="X15" s="29">
        <v>58.82</v>
      </c>
      <c r="Y15" s="29">
        <v>14</v>
      </c>
      <c r="Z15" s="29">
        <v>0.92720154232610297</v>
      </c>
      <c r="AA15" s="29">
        <v>0.93110235004671504</v>
      </c>
      <c r="AB15" s="29">
        <v>0.273926117575786</v>
      </c>
      <c r="AC15" s="29">
        <v>0.265047721007652</v>
      </c>
    </row>
    <row r="16" spans="1:29">
      <c r="A16" s="204" t="s">
        <v>436</v>
      </c>
      <c r="B16" s="27">
        <v>4188</v>
      </c>
      <c r="C16" s="32" t="s">
        <v>226</v>
      </c>
      <c r="D16" s="32" t="s">
        <v>90</v>
      </c>
      <c r="E16">
        <v>812.5</v>
      </c>
      <c r="F16">
        <v>1300</v>
      </c>
      <c r="H16" s="29">
        <v>8411</v>
      </c>
      <c r="I16" s="32" t="s">
        <v>182</v>
      </c>
      <c r="J16" s="32" t="s">
        <v>121</v>
      </c>
      <c r="K16" s="29">
        <v>162.1</v>
      </c>
      <c r="L16" s="29">
        <v>6500</v>
      </c>
      <c r="N16" s="29">
        <v>2.6740145549643302</v>
      </c>
      <c r="O16" s="29">
        <v>5.13</v>
      </c>
      <c r="P16" s="29">
        <v>1056250</v>
      </c>
      <c r="Q16" s="29">
        <v>1053650</v>
      </c>
      <c r="R16" s="29">
        <v>0.25</v>
      </c>
      <c r="S16" s="29">
        <v>-8799</v>
      </c>
      <c r="T16" s="29">
        <v>-463</v>
      </c>
      <c r="U16" s="57">
        <v>19</v>
      </c>
      <c r="V16" s="58">
        <v>8</v>
      </c>
      <c r="W16" s="58" t="s">
        <v>286</v>
      </c>
      <c r="X16" s="29">
        <v>42.11</v>
      </c>
      <c r="Y16" s="29">
        <v>12</v>
      </c>
      <c r="Z16" s="29">
        <v>0.90740199145534495</v>
      </c>
      <c r="AA16" s="29">
        <v>0.91021632050474299</v>
      </c>
      <c r="AB16" s="29">
        <v>7.42743104679969E-3</v>
      </c>
      <c r="AC16" s="29">
        <v>6.7104564250306101E-2</v>
      </c>
    </row>
    <row r="17" spans="1:29">
      <c r="A17" s="204" t="s">
        <v>436</v>
      </c>
      <c r="B17" s="27">
        <v>5802</v>
      </c>
      <c r="C17" s="32" t="s">
        <v>210</v>
      </c>
      <c r="D17" s="32" t="s">
        <v>211</v>
      </c>
      <c r="E17">
        <v>1385</v>
      </c>
      <c r="F17">
        <v>700</v>
      </c>
      <c r="H17" s="29">
        <v>7182</v>
      </c>
      <c r="I17" s="32" t="s">
        <v>218</v>
      </c>
      <c r="J17" s="32" t="s">
        <v>121</v>
      </c>
      <c r="K17" s="29">
        <v>1036</v>
      </c>
      <c r="L17" s="29">
        <v>900</v>
      </c>
      <c r="N17" s="29">
        <v>2.0486798620540698</v>
      </c>
      <c r="O17" s="29">
        <v>4.47</v>
      </c>
      <c r="P17" s="29">
        <v>969500</v>
      </c>
      <c r="Q17" s="29">
        <v>932400</v>
      </c>
      <c r="R17" s="29">
        <v>3.83</v>
      </c>
      <c r="S17" s="29">
        <v>-21779</v>
      </c>
      <c r="T17" s="29">
        <v>-1281</v>
      </c>
      <c r="U17" s="57">
        <v>17</v>
      </c>
      <c r="V17" s="58">
        <v>9</v>
      </c>
      <c r="W17" s="58" t="s">
        <v>287</v>
      </c>
      <c r="X17" s="29">
        <v>52.94</v>
      </c>
      <c r="Y17" s="29">
        <v>16</v>
      </c>
      <c r="Z17" s="29">
        <v>0.91573839325723505</v>
      </c>
      <c r="AA17" s="29">
        <v>0.94048074334844001</v>
      </c>
      <c r="AB17" s="29">
        <v>0.30399375433135301</v>
      </c>
      <c r="AC17" s="29">
        <v>1.5194869860110901E-2</v>
      </c>
    </row>
    <row r="18" spans="1:29">
      <c r="A18" s="204" t="s">
        <v>436</v>
      </c>
      <c r="B18" s="27">
        <v>4631</v>
      </c>
      <c r="C18" s="32" t="s">
        <v>221</v>
      </c>
      <c r="D18" s="32" t="s">
        <v>90</v>
      </c>
      <c r="E18">
        <v>3050</v>
      </c>
      <c r="F18">
        <v>300</v>
      </c>
      <c r="H18" s="29">
        <v>3405</v>
      </c>
      <c r="I18" s="32" t="s">
        <v>190</v>
      </c>
      <c r="J18" s="32" t="s">
        <v>90</v>
      </c>
      <c r="K18" s="29">
        <v>1312</v>
      </c>
      <c r="L18" s="29">
        <v>700</v>
      </c>
      <c r="N18" s="29">
        <v>-2.13714681149896</v>
      </c>
      <c r="O18" s="29">
        <v>-3.63</v>
      </c>
      <c r="P18" s="29">
        <v>915000</v>
      </c>
      <c r="Q18" s="29">
        <v>918400</v>
      </c>
      <c r="R18" s="29">
        <v>0.37</v>
      </c>
      <c r="S18" s="29">
        <v>-65496</v>
      </c>
      <c r="T18" s="29">
        <v>-4366</v>
      </c>
      <c r="U18" s="57">
        <v>15</v>
      </c>
      <c r="V18" s="58">
        <v>7</v>
      </c>
      <c r="W18" s="58" t="s">
        <v>288</v>
      </c>
      <c r="X18" s="29">
        <v>46.67</v>
      </c>
      <c r="Y18" s="29">
        <v>14</v>
      </c>
      <c r="Z18" s="29">
        <v>0.94569605893256503</v>
      </c>
      <c r="AA18" s="29">
        <v>0.90262605749842495</v>
      </c>
      <c r="AB18" s="29">
        <v>3.7300109737271103E-2</v>
      </c>
      <c r="AC18" s="29">
        <v>0.28836783878380901</v>
      </c>
    </row>
    <row r="19" spans="1:29">
      <c r="A19" s="204" t="s">
        <v>436</v>
      </c>
      <c r="B19" s="180">
        <v>8359</v>
      </c>
      <c r="C19" s="32" t="s">
        <v>174</v>
      </c>
      <c r="D19" s="32" t="s">
        <v>121</v>
      </c>
      <c r="E19">
        <v>451</v>
      </c>
      <c r="F19">
        <v>1700</v>
      </c>
      <c r="H19" s="179">
        <v>8309</v>
      </c>
      <c r="I19" s="32" t="s">
        <v>52</v>
      </c>
      <c r="J19" s="32" t="s">
        <v>121</v>
      </c>
      <c r="K19" s="29">
        <v>3741</v>
      </c>
      <c r="L19" s="29">
        <v>200</v>
      </c>
      <c r="N19" s="29">
        <v>-2.8808343645509802</v>
      </c>
      <c r="O19" s="29">
        <v>-7.61</v>
      </c>
      <c r="P19" s="29">
        <v>766700</v>
      </c>
      <c r="Q19" s="29">
        <v>748200</v>
      </c>
      <c r="R19" s="29">
        <v>2.4700000000000002</v>
      </c>
      <c r="S19" s="29">
        <v>-70449</v>
      </c>
      <c r="T19" s="29">
        <v>-3914</v>
      </c>
      <c r="U19" s="57">
        <v>18</v>
      </c>
      <c r="V19" s="58">
        <v>7</v>
      </c>
      <c r="W19" s="58" t="s">
        <v>289</v>
      </c>
      <c r="X19" s="29">
        <v>38.89</v>
      </c>
      <c r="Y19" s="29">
        <v>15</v>
      </c>
      <c r="Z19" s="29">
        <v>0.91917068725205497</v>
      </c>
      <c r="AA19" s="29">
        <v>0.91600550422827998</v>
      </c>
      <c r="AB19" s="29">
        <v>2.8240528484188999E-4</v>
      </c>
      <c r="AC19" s="29">
        <v>0.16467409822033599</v>
      </c>
    </row>
    <row r="20" spans="1:29">
      <c r="A20" s="204" t="s">
        <v>436</v>
      </c>
      <c r="B20" s="27">
        <v>1942</v>
      </c>
      <c r="C20" s="32" t="s">
        <v>114</v>
      </c>
      <c r="D20" s="32" t="s">
        <v>115</v>
      </c>
      <c r="E20">
        <v>1005</v>
      </c>
      <c r="F20">
        <v>1000</v>
      </c>
      <c r="H20" s="29">
        <v>1959</v>
      </c>
      <c r="I20" s="32" t="s">
        <v>262</v>
      </c>
      <c r="J20" s="32" t="s">
        <v>115</v>
      </c>
      <c r="K20" s="29">
        <v>3500</v>
      </c>
      <c r="L20" s="29">
        <v>300</v>
      </c>
      <c r="N20" s="29">
        <v>2.1023826409055402</v>
      </c>
      <c r="O20" s="29">
        <v>3.15</v>
      </c>
      <c r="P20" s="29">
        <v>1005000</v>
      </c>
      <c r="Q20" s="29">
        <v>1050000</v>
      </c>
      <c r="R20" s="29">
        <v>4.29</v>
      </c>
      <c r="S20" s="29">
        <v>-84594</v>
      </c>
      <c r="T20" s="29">
        <v>-7050</v>
      </c>
      <c r="U20" s="57">
        <v>12</v>
      </c>
      <c r="V20" s="58">
        <v>4</v>
      </c>
      <c r="W20" s="58" t="s">
        <v>290</v>
      </c>
      <c r="X20" s="29">
        <v>33.33</v>
      </c>
      <c r="Y20" s="29">
        <v>15</v>
      </c>
      <c r="Z20" s="29">
        <v>0.945437800866051</v>
      </c>
      <c r="AA20" s="29">
        <v>0.96103451739061596</v>
      </c>
      <c r="AB20" s="29">
        <v>1.00567378358936E-2</v>
      </c>
      <c r="AC20" s="29">
        <v>3.59643683479094E-4</v>
      </c>
    </row>
    <row r="21" spans="1:29">
      <c r="A21" s="204" t="s">
        <v>436</v>
      </c>
      <c r="B21" s="27">
        <v>7189</v>
      </c>
      <c r="C21" s="32" t="s">
        <v>120</v>
      </c>
      <c r="D21" s="32" t="s">
        <v>121</v>
      </c>
      <c r="E21">
        <v>762</v>
      </c>
      <c r="F21">
        <v>1400</v>
      </c>
      <c r="H21" s="29">
        <v>8377</v>
      </c>
      <c r="I21" s="32" t="s">
        <v>137</v>
      </c>
      <c r="J21" s="32" t="s">
        <v>121</v>
      </c>
      <c r="K21" s="29">
        <v>1036</v>
      </c>
      <c r="L21" s="29">
        <v>1000</v>
      </c>
      <c r="N21" s="29">
        <v>2.6860634860825598</v>
      </c>
      <c r="O21" s="29">
        <v>5.53</v>
      </c>
      <c r="P21" s="29">
        <v>1066800</v>
      </c>
      <c r="Q21" s="29">
        <v>1036000</v>
      </c>
      <c r="R21" s="29">
        <v>2.97</v>
      </c>
      <c r="S21" s="29">
        <v>-97687</v>
      </c>
      <c r="T21" s="29">
        <v>-6105</v>
      </c>
      <c r="U21" s="57">
        <v>16</v>
      </c>
      <c r="V21" s="58">
        <v>8</v>
      </c>
      <c r="W21" s="58" t="s">
        <v>291</v>
      </c>
      <c r="X21" s="29">
        <v>50</v>
      </c>
      <c r="Y21" s="29">
        <v>14</v>
      </c>
      <c r="Z21" s="29">
        <v>0.94485905288226701</v>
      </c>
      <c r="AA21" s="29">
        <v>0.95616566638171596</v>
      </c>
      <c r="AB21" s="29">
        <v>0.21901668302605901</v>
      </c>
      <c r="AC21" s="29">
        <v>0.17214517286919201</v>
      </c>
    </row>
    <row r="22" spans="1:29">
      <c r="A22" s="204" t="s">
        <v>436</v>
      </c>
      <c r="B22" s="180">
        <v>5803</v>
      </c>
      <c r="C22" s="32" t="s">
        <v>54</v>
      </c>
      <c r="D22" s="32" t="s">
        <v>211</v>
      </c>
      <c r="E22">
        <v>436</v>
      </c>
      <c r="F22">
        <v>2500</v>
      </c>
      <c r="H22" s="29">
        <v>5991</v>
      </c>
      <c r="I22" s="32" t="s">
        <v>167</v>
      </c>
      <c r="J22" s="32" t="s">
        <v>168</v>
      </c>
      <c r="K22" s="29">
        <v>825</v>
      </c>
      <c r="L22" s="29">
        <v>1300</v>
      </c>
      <c r="N22" s="29">
        <v>2.44961516881901</v>
      </c>
      <c r="O22" s="29">
        <v>9.84</v>
      </c>
      <c r="P22" s="29">
        <v>1090000</v>
      </c>
      <c r="Q22" s="29">
        <v>1072500</v>
      </c>
      <c r="R22" s="29">
        <v>1.63</v>
      </c>
      <c r="S22" s="29">
        <v>-109942</v>
      </c>
      <c r="T22" s="29">
        <v>-6467</v>
      </c>
      <c r="U22" s="57">
        <v>17</v>
      </c>
      <c r="V22" s="58">
        <v>8</v>
      </c>
      <c r="W22" s="58" t="s">
        <v>292</v>
      </c>
      <c r="X22" s="29">
        <v>47.06</v>
      </c>
      <c r="Y22" s="29">
        <v>13</v>
      </c>
      <c r="Z22" s="29">
        <v>0.90614403186909398</v>
      </c>
      <c r="AA22" s="29">
        <v>0.92165534382699998</v>
      </c>
      <c r="AB22" s="29">
        <v>0.137342330946888</v>
      </c>
      <c r="AC22" s="29">
        <v>3.1007852678298999E-2</v>
      </c>
    </row>
    <row r="23" spans="1:29">
      <c r="A23" s="204" t="s">
        <v>436</v>
      </c>
      <c r="B23" s="27">
        <v>4182</v>
      </c>
      <c r="C23" s="32" t="s">
        <v>127</v>
      </c>
      <c r="D23" s="32" t="s">
        <v>90</v>
      </c>
      <c r="E23">
        <v>1498</v>
      </c>
      <c r="F23">
        <v>700</v>
      </c>
      <c r="H23" s="29">
        <v>9505</v>
      </c>
      <c r="I23" s="32" t="s">
        <v>194</v>
      </c>
      <c r="J23" s="32" t="s">
        <v>195</v>
      </c>
      <c r="K23" s="29">
        <v>731</v>
      </c>
      <c r="L23" s="29">
        <v>1400</v>
      </c>
      <c r="N23" s="29">
        <v>2.12268535842724</v>
      </c>
      <c r="O23" s="29">
        <v>6.81</v>
      </c>
      <c r="P23" s="29">
        <v>1048600</v>
      </c>
      <c r="Q23" s="29">
        <v>1023400</v>
      </c>
      <c r="R23" s="29">
        <v>2.4</v>
      </c>
      <c r="S23" s="29">
        <v>-159412</v>
      </c>
      <c r="T23" s="29">
        <v>-6376</v>
      </c>
      <c r="U23" s="57">
        <v>25</v>
      </c>
      <c r="V23" s="58">
        <v>12</v>
      </c>
      <c r="W23" s="58" t="s">
        <v>293</v>
      </c>
      <c r="X23" s="29">
        <v>48</v>
      </c>
      <c r="Y23" s="29">
        <v>11</v>
      </c>
      <c r="Z23" s="29">
        <v>0.90813829930371404</v>
      </c>
      <c r="AA23" s="29">
        <v>0.91498318794524403</v>
      </c>
      <c r="AB23" s="29">
        <v>7.5796221642766295E-2</v>
      </c>
      <c r="AC23" s="29">
        <v>7.8977619332227994E-2</v>
      </c>
    </row>
    <row r="24" spans="1:29">
      <c r="U24" s="57"/>
      <c r="V24" s="58"/>
      <c r="W24" s="58"/>
    </row>
    <row r="25" spans="1:29">
      <c r="U25" s="57"/>
      <c r="V25" s="58"/>
      <c r="W25" s="58"/>
    </row>
    <row r="26" spans="1:29">
      <c r="U26" s="57"/>
      <c r="V26" s="58"/>
      <c r="W26" s="58"/>
    </row>
    <row r="27" spans="1:29">
      <c r="U27" s="57"/>
      <c r="V27" s="58"/>
      <c r="W27" s="58"/>
    </row>
    <row r="28" spans="1:29">
      <c r="U28" s="57"/>
      <c r="V28" s="58"/>
      <c r="W28" s="58"/>
    </row>
    <row r="29" spans="1:29">
      <c r="U29" s="57"/>
      <c r="V29" s="58"/>
      <c r="W29" s="58"/>
    </row>
    <row r="30" spans="1:29">
      <c r="U30" s="57"/>
      <c r="V30" s="58"/>
      <c r="W30" s="58"/>
    </row>
    <row r="31" spans="1:29">
      <c r="U31" s="57"/>
      <c r="V31" s="58"/>
      <c r="W31" s="58"/>
    </row>
    <row r="32" spans="1:29">
      <c r="U32" s="57"/>
      <c r="V32" s="58"/>
      <c r="W32" s="58"/>
    </row>
    <row r="33" spans="21:23">
      <c r="U33" s="57"/>
      <c r="V33" s="58"/>
      <c r="W33" s="58"/>
    </row>
    <row r="34" spans="21:23">
      <c r="U34" s="57"/>
      <c r="V34" s="58"/>
      <c r="W34" s="58"/>
    </row>
    <row r="35" spans="21:23">
      <c r="U35" s="57"/>
      <c r="V35" s="58"/>
      <c r="W35" s="58"/>
    </row>
    <row r="36" spans="21:23">
      <c r="U36" s="57"/>
      <c r="V36" s="58"/>
      <c r="W36" s="58"/>
    </row>
    <row r="37" spans="21:23">
      <c r="U37" s="57"/>
      <c r="V37" s="58"/>
      <c r="W37" s="58"/>
    </row>
    <row r="38" spans="21:23">
      <c r="U38" s="57"/>
      <c r="V38" s="58"/>
      <c r="W38" s="58"/>
    </row>
    <row r="39" spans="21:23">
      <c r="U39" s="57"/>
      <c r="V39" s="58"/>
      <c r="W39" s="58"/>
    </row>
    <row r="40" spans="21:23">
      <c r="U40" s="57"/>
      <c r="V40" s="58"/>
      <c r="W40" s="58"/>
    </row>
    <row r="41" spans="21:23">
      <c r="U41" s="57"/>
      <c r="V41" s="58"/>
      <c r="W41" s="58"/>
    </row>
    <row r="42" spans="21:23">
      <c r="U42" s="57"/>
      <c r="V42" s="58"/>
      <c r="W42" s="58"/>
    </row>
    <row r="43" spans="21:23">
      <c r="U43" s="57"/>
      <c r="V43" s="58"/>
      <c r="W43" s="58"/>
    </row>
    <row r="44" spans="21:23">
      <c r="U44" s="57"/>
      <c r="V44" s="58"/>
      <c r="W44" s="58"/>
    </row>
    <row r="45" spans="21:23">
      <c r="U45" s="57"/>
      <c r="V45" s="58"/>
      <c r="W45" s="58"/>
    </row>
    <row r="46" spans="21:23">
      <c r="U46" s="57"/>
      <c r="V46" s="58"/>
      <c r="W46" s="58"/>
    </row>
    <row r="47" spans="21:23">
      <c r="U47" s="57"/>
      <c r="V47" s="58"/>
      <c r="W47" s="58"/>
    </row>
    <row r="48" spans="21:23">
      <c r="U48" s="57"/>
      <c r="V48" s="58"/>
      <c r="W48" s="58"/>
    </row>
    <row r="49" spans="21:23">
      <c r="U49" s="57"/>
      <c r="V49" s="58"/>
      <c r="W49" s="58"/>
    </row>
    <row r="50" spans="21:23">
      <c r="U50" s="57"/>
      <c r="V50" s="58"/>
      <c r="W50" s="58"/>
    </row>
    <row r="51" spans="21:23">
      <c r="U51" s="57"/>
      <c r="V51" s="58"/>
      <c r="W51" s="58"/>
    </row>
    <row r="52" spans="21:23">
      <c r="U52" s="57"/>
      <c r="V52" s="58"/>
      <c r="W52" s="58"/>
    </row>
    <row r="53" spans="21:23">
      <c r="U53" s="57"/>
      <c r="V53" s="58"/>
      <c r="W53" s="58"/>
    </row>
    <row r="54" spans="21:23">
      <c r="U54" s="57"/>
      <c r="V54" s="58"/>
      <c r="W54" s="58"/>
    </row>
    <row r="55" spans="21:23">
      <c r="U55" s="57"/>
      <c r="V55" s="58"/>
      <c r="W55" s="58"/>
    </row>
    <row r="56" spans="21:23">
      <c r="U56" s="57"/>
      <c r="V56" s="58"/>
      <c r="W56" s="58"/>
    </row>
    <row r="57" spans="21:23">
      <c r="U57" s="57"/>
      <c r="V57" s="58"/>
      <c r="W57" s="58"/>
    </row>
    <row r="58" spans="21:23">
      <c r="U58" s="57"/>
      <c r="V58" s="58"/>
      <c r="W58" s="58"/>
    </row>
    <row r="59" spans="21:23">
      <c r="U59" s="57"/>
      <c r="V59" s="58"/>
      <c r="W59" s="58"/>
    </row>
    <row r="60" spans="21:23">
      <c r="U60" s="57"/>
      <c r="V60" s="58"/>
      <c r="W60" s="58"/>
    </row>
    <row r="61" spans="21:23">
      <c r="U61" s="57"/>
      <c r="V61" s="58"/>
      <c r="W61" s="58"/>
    </row>
    <row r="62" spans="21:23">
      <c r="U62" s="57"/>
      <c r="V62" s="58"/>
      <c r="W62" s="58"/>
    </row>
    <row r="63" spans="21:23">
      <c r="U63" s="57"/>
      <c r="V63" s="58"/>
      <c r="W63" s="58"/>
    </row>
    <row r="64" spans="21:23">
      <c r="U64" s="57"/>
      <c r="V64" s="58"/>
      <c r="W64" s="58"/>
    </row>
    <row r="65" spans="21:23">
      <c r="U65" s="57"/>
      <c r="V65" s="58"/>
      <c r="W65" s="58"/>
    </row>
    <row r="66" spans="21:23">
      <c r="U66" s="57"/>
      <c r="V66" s="58"/>
      <c r="W66" s="58"/>
    </row>
    <row r="67" spans="21:23">
      <c r="U67" s="57"/>
      <c r="V67" s="58"/>
      <c r="W67" s="58"/>
    </row>
    <row r="68" spans="21:23">
      <c r="U68" s="57"/>
      <c r="V68" s="58"/>
      <c r="W68" s="58"/>
    </row>
    <row r="69" spans="21:23">
      <c r="U69" s="57"/>
      <c r="V69" s="58"/>
      <c r="W69" s="58"/>
    </row>
    <row r="70" spans="21:23">
      <c r="U70" s="57"/>
      <c r="V70" s="58"/>
      <c r="W70" s="58"/>
    </row>
    <row r="71" spans="21:23">
      <c r="U71" s="57"/>
      <c r="V71" s="58"/>
      <c r="W71" s="58"/>
    </row>
    <row r="72" spans="21:23">
      <c r="U72" s="57"/>
      <c r="V72" s="58"/>
      <c r="W72" s="58"/>
    </row>
    <row r="73" spans="21:23">
      <c r="U73" s="57"/>
      <c r="V73" s="58"/>
      <c r="W73" s="58"/>
    </row>
    <row r="74" spans="21:23">
      <c r="U74" s="57"/>
      <c r="V74" s="58"/>
      <c r="W74" s="58"/>
    </row>
    <row r="75" spans="21:23">
      <c r="U75" s="57"/>
      <c r="V75" s="58"/>
      <c r="W75" s="58"/>
    </row>
    <row r="76" spans="21:23">
      <c r="U76" s="57"/>
      <c r="V76" s="58"/>
      <c r="W76" s="58"/>
    </row>
    <row r="77" spans="21:23">
      <c r="U77" s="57"/>
      <c r="V77" s="58"/>
      <c r="W77" s="58"/>
    </row>
    <row r="78" spans="21:23">
      <c r="U78" s="57"/>
      <c r="V78" s="58"/>
      <c r="W78" s="58"/>
    </row>
    <row r="79" spans="21:23">
      <c r="U79" s="57"/>
      <c r="V79" s="58"/>
      <c r="W79" s="58"/>
    </row>
    <row r="80" spans="21:23">
      <c r="U80" s="57"/>
      <c r="V80" s="58"/>
      <c r="W80" s="58"/>
    </row>
    <row r="81" spans="21:23">
      <c r="U81" s="57"/>
      <c r="V81" s="58"/>
      <c r="W81" s="58"/>
    </row>
    <row r="82" spans="21:23">
      <c r="U82" s="57"/>
      <c r="V82" s="58"/>
      <c r="W82" s="58"/>
    </row>
    <row r="83" spans="21:23">
      <c r="U83" s="57"/>
      <c r="V83" s="58"/>
      <c r="W83" s="58"/>
    </row>
    <row r="84" spans="21:23">
      <c r="U84" s="57"/>
      <c r="V84" s="58"/>
      <c r="W84" s="58"/>
    </row>
    <row r="85" spans="21:23">
      <c r="U85" s="57"/>
      <c r="V85" s="58"/>
      <c r="W85" s="58"/>
    </row>
    <row r="86" spans="21:23">
      <c r="U86" s="57"/>
      <c r="V86" s="58"/>
      <c r="W86" s="58"/>
    </row>
    <row r="87" spans="21:23">
      <c r="U87" s="57"/>
      <c r="V87" s="58"/>
      <c r="W87" s="58"/>
    </row>
    <row r="88" spans="21:23">
      <c r="U88" s="57"/>
      <c r="V88" s="58"/>
      <c r="W88" s="58"/>
    </row>
    <row r="89" spans="21:23">
      <c r="U89" s="57"/>
      <c r="V89" s="58"/>
      <c r="W89" s="58"/>
    </row>
    <row r="90" spans="21:23">
      <c r="U90" s="57"/>
      <c r="V90" s="58"/>
      <c r="W90" s="58"/>
    </row>
    <row r="91" spans="21:23">
      <c r="U91" s="57"/>
      <c r="V91" s="58"/>
      <c r="W91" s="58"/>
    </row>
    <row r="92" spans="21:23">
      <c r="U92" s="57"/>
      <c r="V92" s="58"/>
      <c r="W92" s="58"/>
    </row>
    <row r="93" spans="21:23">
      <c r="U93" s="57"/>
      <c r="V93" s="58"/>
      <c r="W93" s="58"/>
    </row>
    <row r="94" spans="21:23">
      <c r="U94" s="57"/>
      <c r="V94" s="58"/>
      <c r="W94" s="58"/>
    </row>
    <row r="95" spans="21:23">
      <c r="U95" s="57"/>
      <c r="V95" s="58"/>
      <c r="W95" s="58"/>
    </row>
    <row r="96" spans="21:23">
      <c r="U96" s="57"/>
      <c r="V96" s="58"/>
      <c r="W96" s="58"/>
    </row>
    <row r="97" spans="21:23">
      <c r="U97" s="57"/>
      <c r="V97" s="58"/>
      <c r="W97" s="58"/>
    </row>
    <row r="98" spans="21:23">
      <c r="U98" s="57"/>
      <c r="V98" s="58"/>
      <c r="W98" s="58"/>
    </row>
    <row r="99" spans="21:23">
      <c r="U99" s="57"/>
      <c r="V99" s="58"/>
      <c r="W99" s="58"/>
    </row>
    <row r="100" spans="21:23">
      <c r="U100" s="57"/>
      <c r="V100" s="58"/>
      <c r="W100" s="58"/>
    </row>
    <row r="101" spans="21:23">
      <c r="U101" s="57"/>
      <c r="V101" s="58"/>
      <c r="W101" s="58"/>
    </row>
    <row r="102" spans="21:23">
      <c r="U102" s="57"/>
      <c r="V102" s="58"/>
      <c r="W102" s="58"/>
    </row>
    <row r="103" spans="21:23">
      <c r="U103" s="57"/>
      <c r="V103" s="58"/>
      <c r="W103" s="58"/>
    </row>
    <row r="104" spans="21:23">
      <c r="U104" s="57"/>
      <c r="V104" s="58"/>
      <c r="W104" s="58"/>
    </row>
    <row r="105" spans="21:23">
      <c r="U105" s="57"/>
      <c r="V105" s="58"/>
      <c r="W105" s="58"/>
    </row>
    <row r="106" spans="21:23">
      <c r="U106" s="57"/>
      <c r="V106" s="58"/>
      <c r="W106" s="58"/>
    </row>
    <row r="107" spans="21:23">
      <c r="U107" s="57"/>
      <c r="V107" s="58"/>
      <c r="W107" s="58"/>
    </row>
    <row r="108" spans="21:23">
      <c r="U108" s="57"/>
      <c r="V108" s="58"/>
      <c r="W108" s="58"/>
    </row>
    <row r="109" spans="21:23">
      <c r="U109" s="57"/>
      <c r="V109" s="58"/>
      <c r="W109" s="58"/>
    </row>
    <row r="110" spans="21:23">
      <c r="U110" s="57"/>
      <c r="V110" s="58"/>
      <c r="W110" s="58"/>
    </row>
    <row r="111" spans="21:23">
      <c r="U111" s="57"/>
      <c r="V111" s="58"/>
      <c r="W111" s="58"/>
    </row>
    <row r="112" spans="21:23">
      <c r="U112" s="57"/>
      <c r="V112" s="58"/>
      <c r="W112" s="58"/>
    </row>
    <row r="113" spans="21:23">
      <c r="U113" s="57"/>
      <c r="V113" s="58"/>
      <c r="W113" s="58"/>
    </row>
    <row r="114" spans="21:23">
      <c r="U114" s="57"/>
      <c r="V114" s="58"/>
      <c r="W114" s="58"/>
    </row>
    <row r="115" spans="21:23">
      <c r="U115" s="57"/>
      <c r="V115" s="58"/>
      <c r="W115" s="58"/>
    </row>
    <row r="116" spans="21:23">
      <c r="U116" s="57"/>
      <c r="V116" s="58"/>
      <c r="W116" s="58"/>
    </row>
    <row r="117" spans="21:23">
      <c r="U117" s="57"/>
      <c r="V117" s="58"/>
      <c r="W117" s="58"/>
    </row>
    <row r="118" spans="21:23">
      <c r="U118" s="57"/>
      <c r="V118" s="58"/>
      <c r="W118" s="58"/>
    </row>
    <row r="119" spans="21:23">
      <c r="U119" s="57"/>
      <c r="V119" s="58"/>
      <c r="W119" s="58"/>
    </row>
    <row r="120" spans="21:23">
      <c r="U120" s="57"/>
      <c r="V120" s="58"/>
      <c r="W120" s="58"/>
    </row>
    <row r="121" spans="21:23">
      <c r="U121" s="57"/>
      <c r="V121" s="58"/>
      <c r="W121" s="58"/>
    </row>
    <row r="122" spans="21:23">
      <c r="U122" s="57"/>
      <c r="V122" s="58"/>
      <c r="W122" s="58"/>
    </row>
    <row r="123" spans="21:23">
      <c r="U123" s="57"/>
      <c r="V123" s="58"/>
      <c r="W123" s="58"/>
    </row>
    <row r="124" spans="21:23">
      <c r="U124" s="57"/>
      <c r="V124" s="58"/>
      <c r="W124" s="58"/>
    </row>
    <row r="125" spans="21:23">
      <c r="U125" s="57"/>
      <c r="V125" s="58"/>
      <c r="W125" s="58"/>
    </row>
    <row r="126" spans="21:23">
      <c r="U126" s="57"/>
      <c r="V126" s="58"/>
      <c r="W126" s="58"/>
    </row>
    <row r="127" spans="21:23">
      <c r="U127" s="57"/>
      <c r="V127" s="58"/>
      <c r="W127" s="58"/>
    </row>
    <row r="128" spans="21:23">
      <c r="U128" s="57"/>
      <c r="V128" s="58"/>
      <c r="W128" s="58"/>
    </row>
    <row r="129" spans="21:23">
      <c r="U129" s="57"/>
      <c r="V129" s="58"/>
      <c r="W129" s="58"/>
    </row>
    <row r="130" spans="21:23">
      <c r="U130" s="57"/>
      <c r="V130" s="58"/>
      <c r="W130" s="58"/>
    </row>
    <row r="131" spans="21:23">
      <c r="U131" s="57"/>
      <c r="V131" s="58"/>
      <c r="W131" s="58"/>
    </row>
    <row r="132" spans="21:23">
      <c r="U132" s="57"/>
      <c r="V132" s="58"/>
      <c r="W132" s="58"/>
    </row>
    <row r="133" spans="21:23">
      <c r="U133" s="57"/>
      <c r="V133" s="58"/>
      <c r="W133" s="58"/>
    </row>
    <row r="134" spans="21:23">
      <c r="U134" s="57"/>
      <c r="V134" s="58"/>
      <c r="W134" s="58"/>
    </row>
    <row r="135" spans="21:23">
      <c r="U135" s="57"/>
      <c r="V135" s="58"/>
      <c r="W135" s="58"/>
    </row>
    <row r="136" spans="21:23">
      <c r="U136" s="57"/>
      <c r="V136" s="58"/>
      <c r="W136" s="58"/>
    </row>
    <row r="137" spans="21:23">
      <c r="U137" s="57"/>
      <c r="V137" s="58"/>
      <c r="W137" s="58"/>
    </row>
    <row r="138" spans="21:23">
      <c r="U138" s="57"/>
      <c r="V138" s="58"/>
      <c r="W138" s="58"/>
    </row>
    <row r="139" spans="21:23">
      <c r="U139" s="57"/>
      <c r="V139" s="58"/>
      <c r="W139" s="58"/>
    </row>
    <row r="140" spans="21:23">
      <c r="U140" s="57"/>
      <c r="V140" s="58"/>
      <c r="W140" s="58"/>
    </row>
    <row r="141" spans="21:23">
      <c r="U141" s="57"/>
      <c r="V141" s="58"/>
      <c r="W141" s="58"/>
    </row>
    <row r="142" spans="21:23">
      <c r="U142" s="57"/>
      <c r="V142" s="58"/>
      <c r="W142" s="58"/>
    </row>
    <row r="143" spans="21:23">
      <c r="U143" s="57"/>
      <c r="V143" s="58"/>
      <c r="W143" s="58"/>
    </row>
    <row r="144" spans="21:23">
      <c r="U144" s="57"/>
      <c r="V144" s="58"/>
      <c r="W144" s="58"/>
    </row>
    <row r="145" spans="21:23">
      <c r="U145" s="57"/>
      <c r="V145" s="58"/>
      <c r="W145" s="58"/>
    </row>
    <row r="146" spans="21:23">
      <c r="U146" s="57"/>
      <c r="V146" s="58"/>
      <c r="W146" s="58"/>
    </row>
    <row r="147" spans="21:23">
      <c r="U147" s="57"/>
      <c r="V147" s="58"/>
      <c r="W147" s="58"/>
    </row>
    <row r="148" spans="21:23">
      <c r="U148" s="57"/>
      <c r="V148" s="58"/>
      <c r="W148" s="58"/>
    </row>
    <row r="149" spans="21:23">
      <c r="U149" s="57"/>
      <c r="V149" s="58"/>
      <c r="W149" s="58"/>
    </row>
    <row r="150" spans="21:23">
      <c r="U150" s="57"/>
      <c r="V150" s="58"/>
      <c r="W150" s="58"/>
    </row>
    <row r="151" spans="21:23">
      <c r="U151" s="57"/>
      <c r="V151" s="58"/>
      <c r="W151" s="58"/>
    </row>
    <row r="152" spans="21:23">
      <c r="U152" s="57"/>
      <c r="V152" s="58"/>
      <c r="W152" s="58"/>
    </row>
    <row r="153" spans="21:23">
      <c r="U153" s="57"/>
      <c r="V153" s="58"/>
      <c r="W153" s="58"/>
    </row>
    <row r="154" spans="21:23">
      <c r="U154" s="57"/>
      <c r="V154" s="58"/>
      <c r="W154" s="58"/>
    </row>
    <row r="155" spans="21:23">
      <c r="U155" s="57"/>
      <c r="V155" s="58"/>
      <c r="W155" s="58"/>
    </row>
    <row r="156" spans="21:23">
      <c r="U156" s="57"/>
      <c r="V156" s="58"/>
      <c r="W156" s="58"/>
    </row>
    <row r="157" spans="21:23">
      <c r="U157" s="57"/>
      <c r="V157" s="58"/>
      <c r="W157" s="58"/>
    </row>
    <row r="158" spans="21:23">
      <c r="U158" s="57"/>
      <c r="V158" s="58"/>
      <c r="W158" s="58"/>
    </row>
    <row r="159" spans="21:23">
      <c r="U159" s="57"/>
      <c r="V159" s="58"/>
      <c r="W159" s="58"/>
    </row>
    <row r="160" spans="21:23">
      <c r="U160" s="57"/>
      <c r="V160" s="58"/>
      <c r="W160" s="58"/>
    </row>
    <row r="161" spans="21:23">
      <c r="U161" s="57"/>
      <c r="V161" s="58"/>
      <c r="W161" s="58"/>
    </row>
    <row r="162" spans="21:23">
      <c r="U162" s="57"/>
      <c r="V162" s="58"/>
      <c r="W162" s="58"/>
    </row>
    <row r="163" spans="21:23">
      <c r="U163" s="57"/>
      <c r="V163" s="58"/>
      <c r="W163" s="58"/>
    </row>
    <row r="164" spans="21:23">
      <c r="U164" s="57"/>
      <c r="V164" s="58"/>
      <c r="W164" s="58"/>
    </row>
    <row r="165" spans="21:23">
      <c r="U165" s="57"/>
      <c r="V165" s="58"/>
      <c r="W165" s="58"/>
    </row>
    <row r="166" spans="21:23">
      <c r="U166" s="57"/>
      <c r="V166" s="58"/>
      <c r="W166" s="58"/>
    </row>
    <row r="167" spans="21:23">
      <c r="U167" s="57"/>
      <c r="V167" s="58"/>
      <c r="W167" s="58"/>
    </row>
    <row r="168" spans="21:23">
      <c r="U168" s="57"/>
      <c r="V168" s="58"/>
      <c r="W168" s="58"/>
    </row>
    <row r="169" spans="21:23">
      <c r="U169" s="57"/>
      <c r="V169" s="58"/>
      <c r="W169" s="58"/>
    </row>
    <row r="170" spans="21:23">
      <c r="U170" s="57"/>
      <c r="V170" s="58"/>
      <c r="W170" s="58"/>
    </row>
    <row r="171" spans="21:23">
      <c r="U171" s="57"/>
      <c r="V171" s="58"/>
      <c r="W171" s="58"/>
    </row>
    <row r="172" spans="21:23">
      <c r="U172" s="57"/>
      <c r="V172" s="58"/>
      <c r="W172" s="58"/>
    </row>
    <row r="173" spans="21:23">
      <c r="U173" s="57"/>
      <c r="V173" s="58"/>
      <c r="W173" s="58"/>
    </row>
    <row r="174" spans="21:23">
      <c r="U174" s="57"/>
      <c r="V174" s="58"/>
      <c r="W174" s="58"/>
    </row>
    <row r="175" spans="21:23">
      <c r="U175" s="57"/>
      <c r="V175" s="58"/>
      <c r="W175" s="58"/>
    </row>
    <row r="176" spans="21:23">
      <c r="U176" s="57"/>
      <c r="V176" s="58"/>
      <c r="W176" s="58"/>
    </row>
    <row r="177" spans="21:23">
      <c r="U177" s="57"/>
      <c r="V177" s="58"/>
      <c r="W177" s="58"/>
    </row>
    <row r="178" spans="21:23">
      <c r="U178" s="57"/>
      <c r="V178" s="58"/>
      <c r="W178" s="58"/>
    </row>
    <row r="179" spans="21:23">
      <c r="U179" s="57"/>
      <c r="V179" s="58"/>
      <c r="W179" s="58"/>
    </row>
    <row r="180" spans="21:23">
      <c r="U180" s="57"/>
      <c r="V180" s="58"/>
      <c r="W180" s="58"/>
    </row>
    <row r="181" spans="21:23">
      <c r="U181" s="57"/>
      <c r="V181" s="58"/>
      <c r="W181" s="58"/>
    </row>
    <row r="182" spans="21:23">
      <c r="U182" s="57"/>
      <c r="V182" s="58"/>
      <c r="W182" s="58"/>
    </row>
    <row r="183" spans="21:23">
      <c r="U183" s="57"/>
      <c r="V183" s="58"/>
      <c r="W183" s="58"/>
    </row>
    <row r="184" spans="21:23">
      <c r="U184" s="57"/>
      <c r="V184" s="58"/>
      <c r="W184" s="58"/>
    </row>
    <row r="185" spans="21:23">
      <c r="U185" s="57"/>
      <c r="V185" s="58"/>
      <c r="W185" s="58"/>
    </row>
    <row r="186" spans="21:23">
      <c r="U186" s="57"/>
      <c r="V186" s="58"/>
      <c r="W186" s="58"/>
    </row>
    <row r="187" spans="21:23">
      <c r="U187" s="57"/>
      <c r="V187" s="58"/>
      <c r="W187" s="58"/>
    </row>
    <row r="188" spans="21:23">
      <c r="U188" s="57"/>
      <c r="V188" s="58"/>
      <c r="W188" s="58"/>
    </row>
    <row r="189" spans="21:23">
      <c r="U189" s="57"/>
      <c r="V189" s="58"/>
      <c r="W189" s="58"/>
    </row>
    <row r="190" spans="21:23">
      <c r="U190" s="57"/>
      <c r="V190" s="58"/>
      <c r="W190" s="58"/>
    </row>
    <row r="191" spans="21:23">
      <c r="U191" s="57"/>
      <c r="V191" s="58"/>
      <c r="W191" s="58"/>
    </row>
    <row r="192" spans="21:23">
      <c r="U192" s="57"/>
      <c r="V192" s="58"/>
      <c r="W192" s="58"/>
    </row>
    <row r="193" spans="21:23">
      <c r="U193" s="57"/>
      <c r="V193" s="58"/>
      <c r="W193" s="58"/>
    </row>
    <row r="194" spans="21:23">
      <c r="U194" s="57"/>
      <c r="V194" s="58"/>
      <c r="W194" s="58"/>
    </row>
    <row r="195" spans="21:23">
      <c r="U195" s="57"/>
      <c r="V195" s="58"/>
      <c r="W195" s="58"/>
    </row>
    <row r="196" spans="21:23">
      <c r="U196" s="57"/>
      <c r="V196" s="58"/>
      <c r="W196" s="58"/>
    </row>
    <row r="197" spans="21:23">
      <c r="U197" s="57"/>
      <c r="V197" s="58"/>
      <c r="W197" s="58"/>
    </row>
    <row r="198" spans="21:23">
      <c r="U198" s="57"/>
      <c r="V198" s="58"/>
      <c r="W198" s="58"/>
    </row>
    <row r="199" spans="21:23">
      <c r="U199" s="57"/>
      <c r="V199" s="58"/>
      <c r="W199" s="58"/>
    </row>
    <row r="200" spans="21:23">
      <c r="U200" s="57"/>
      <c r="V200" s="58"/>
      <c r="W200" s="58"/>
    </row>
    <row r="201" spans="21:23">
      <c r="U201" s="57"/>
      <c r="V201" s="58"/>
      <c r="W201" s="58"/>
    </row>
    <row r="202" spans="21:23">
      <c r="U202" s="57"/>
      <c r="V202" s="58"/>
      <c r="W202" s="58"/>
    </row>
    <row r="203" spans="21:23">
      <c r="U203" s="57"/>
      <c r="V203" s="58"/>
      <c r="W203" s="58"/>
    </row>
    <row r="204" spans="21:23">
      <c r="U204" s="57"/>
      <c r="V204" s="58"/>
      <c r="W204" s="58"/>
    </row>
    <row r="205" spans="21:23">
      <c r="U205" s="57"/>
      <c r="V205" s="58"/>
      <c r="W205" s="58"/>
    </row>
    <row r="206" spans="21:23">
      <c r="U206" s="57"/>
      <c r="V206" s="58"/>
      <c r="W206" s="58"/>
    </row>
    <row r="207" spans="21:23">
      <c r="U207" s="57"/>
      <c r="V207" s="58"/>
      <c r="W207" s="58"/>
    </row>
    <row r="208" spans="21:23">
      <c r="U208" s="57"/>
      <c r="V208" s="58"/>
      <c r="W208" s="58"/>
    </row>
    <row r="209" spans="21:23">
      <c r="U209" s="57"/>
      <c r="V209" s="58"/>
      <c r="W209" s="58"/>
    </row>
    <row r="210" spans="21:23">
      <c r="U210" s="57"/>
      <c r="V210" s="58"/>
      <c r="W210" s="58"/>
    </row>
    <row r="211" spans="21:23">
      <c r="U211" s="57"/>
      <c r="V211" s="58"/>
      <c r="W211" s="58"/>
    </row>
    <row r="212" spans="21:23">
      <c r="U212" s="57"/>
      <c r="V212" s="58"/>
      <c r="W212" s="58"/>
    </row>
    <row r="213" spans="21:23">
      <c r="U213" s="57"/>
      <c r="V213" s="58"/>
      <c r="W213" s="58"/>
    </row>
    <row r="214" spans="21:23">
      <c r="U214" s="57"/>
      <c r="V214" s="58"/>
      <c r="W214" s="58"/>
    </row>
    <row r="215" spans="21:23">
      <c r="U215" s="57"/>
      <c r="V215" s="58"/>
      <c r="W215" s="58"/>
    </row>
    <row r="216" spans="21:23">
      <c r="U216" s="57"/>
      <c r="V216" s="58"/>
      <c r="W216" s="58"/>
    </row>
    <row r="217" spans="21:23">
      <c r="U217" s="57"/>
      <c r="V217" s="58"/>
      <c r="W217" s="58"/>
    </row>
    <row r="218" spans="21:23">
      <c r="U218" s="57"/>
      <c r="V218" s="58"/>
      <c r="W218" s="58"/>
    </row>
    <row r="219" spans="21:23">
      <c r="U219" s="57"/>
      <c r="V219" s="58"/>
      <c r="W219" s="58"/>
    </row>
    <row r="220" spans="21:23">
      <c r="U220" s="57"/>
      <c r="V220" s="58"/>
      <c r="W220" s="58"/>
    </row>
    <row r="221" spans="21:23">
      <c r="U221" s="57"/>
      <c r="V221" s="58"/>
      <c r="W221" s="58"/>
    </row>
    <row r="222" spans="21:23">
      <c r="U222" s="57"/>
      <c r="V222" s="58"/>
      <c r="W222" s="58"/>
    </row>
    <row r="223" spans="21:23">
      <c r="U223" s="57"/>
      <c r="V223" s="58"/>
      <c r="W223" s="58"/>
    </row>
    <row r="224" spans="21:23">
      <c r="U224" s="57"/>
      <c r="V224" s="58"/>
      <c r="W224" s="58"/>
    </row>
    <row r="225" spans="21:23">
      <c r="U225" s="57"/>
      <c r="V225" s="58"/>
      <c r="W225" s="58"/>
    </row>
    <row r="226" spans="21:23">
      <c r="U226" s="57"/>
      <c r="V226" s="58"/>
      <c r="W226" s="58"/>
    </row>
    <row r="227" spans="21:23">
      <c r="U227" s="57"/>
      <c r="V227" s="58"/>
      <c r="W227" s="58"/>
    </row>
    <row r="228" spans="21:23">
      <c r="U228" s="57"/>
      <c r="V228" s="58"/>
      <c r="W228" s="58"/>
    </row>
    <row r="229" spans="21:23">
      <c r="U229" s="57"/>
      <c r="V229" s="58"/>
      <c r="W229" s="58"/>
    </row>
    <row r="230" spans="21:23">
      <c r="U230" s="57"/>
      <c r="V230" s="58"/>
      <c r="W230" s="58"/>
    </row>
    <row r="231" spans="21:23">
      <c r="U231" s="57"/>
      <c r="V231" s="58"/>
      <c r="W231" s="58"/>
    </row>
    <row r="232" spans="21:23">
      <c r="U232" s="57"/>
      <c r="V232" s="58"/>
      <c r="W232" s="58"/>
    </row>
    <row r="233" spans="21:23">
      <c r="U233" s="57"/>
      <c r="V233" s="58"/>
      <c r="W233" s="58"/>
    </row>
    <row r="234" spans="21:23">
      <c r="U234" s="57"/>
      <c r="V234" s="58"/>
      <c r="W234" s="58"/>
    </row>
    <row r="235" spans="21:23">
      <c r="U235" s="57"/>
      <c r="V235" s="58"/>
      <c r="W235" s="58"/>
    </row>
    <row r="236" spans="21:23">
      <c r="U236" s="57"/>
      <c r="V236" s="58"/>
      <c r="W236" s="58"/>
    </row>
    <row r="237" spans="21:23">
      <c r="U237" s="57"/>
      <c r="V237" s="58"/>
      <c r="W237" s="58"/>
    </row>
    <row r="238" spans="21:23">
      <c r="U238" s="57"/>
      <c r="V238" s="58"/>
      <c r="W238" s="58"/>
    </row>
    <row r="239" spans="21:23">
      <c r="U239" s="57"/>
      <c r="V239" s="58"/>
      <c r="W239" s="58"/>
    </row>
    <row r="240" spans="21:23">
      <c r="U240" s="57"/>
      <c r="V240" s="58"/>
      <c r="W240" s="58"/>
    </row>
    <row r="241" spans="21:23">
      <c r="U241" s="57"/>
      <c r="V241" s="58"/>
      <c r="W241" s="58"/>
    </row>
    <row r="242" spans="21:23">
      <c r="U242" s="57"/>
      <c r="V242" s="58"/>
      <c r="W242" s="58"/>
    </row>
    <row r="243" spans="21:23">
      <c r="U243" s="57"/>
      <c r="V243" s="58"/>
      <c r="W243" s="58"/>
    </row>
    <row r="244" spans="21:23">
      <c r="U244" s="57"/>
      <c r="V244" s="58"/>
      <c r="W244" s="58"/>
    </row>
    <row r="245" spans="21:23">
      <c r="U245" s="57"/>
      <c r="V245" s="58"/>
      <c r="W245" s="58"/>
    </row>
    <row r="246" spans="21:23">
      <c r="U246" s="57"/>
      <c r="V246" s="58"/>
      <c r="W246" s="58"/>
    </row>
    <row r="247" spans="21:23">
      <c r="U247" s="57"/>
      <c r="V247" s="58"/>
      <c r="W247" s="58"/>
    </row>
    <row r="248" spans="21:23">
      <c r="U248" s="57"/>
      <c r="V248" s="58"/>
      <c r="W248" s="58"/>
    </row>
    <row r="249" spans="21:23">
      <c r="U249" s="57"/>
      <c r="V249" s="58"/>
      <c r="W249" s="58"/>
    </row>
    <row r="250" spans="21:23">
      <c r="U250" s="57"/>
      <c r="V250" s="58"/>
      <c r="W250" s="58"/>
    </row>
    <row r="251" spans="21:23">
      <c r="U251" s="57"/>
      <c r="V251" s="58"/>
      <c r="W251" s="58"/>
    </row>
    <row r="252" spans="21:23">
      <c r="U252" s="57"/>
      <c r="V252" s="58"/>
      <c r="W252" s="58"/>
    </row>
    <row r="253" spans="21:23">
      <c r="U253" s="57"/>
      <c r="V253" s="58"/>
      <c r="W253" s="58"/>
    </row>
    <row r="254" spans="21:23">
      <c r="U254" s="57"/>
      <c r="V254" s="58"/>
      <c r="W254" s="58"/>
    </row>
    <row r="255" spans="21:23">
      <c r="U255" s="57"/>
      <c r="V255" s="58"/>
      <c r="W255" s="58"/>
    </row>
    <row r="256" spans="21:23">
      <c r="U256" s="57"/>
      <c r="V256" s="58"/>
      <c r="W256" s="58"/>
    </row>
    <row r="257" spans="21:23">
      <c r="U257" s="57"/>
      <c r="V257" s="58"/>
      <c r="W257" s="58"/>
    </row>
    <row r="258" spans="21:23">
      <c r="U258" s="57"/>
      <c r="V258" s="58"/>
      <c r="W258" s="58"/>
    </row>
    <row r="259" spans="21:23">
      <c r="U259" s="57"/>
      <c r="V259" s="58"/>
      <c r="W259" s="58"/>
    </row>
    <row r="260" spans="21:23">
      <c r="U260" s="57"/>
      <c r="V260" s="58"/>
      <c r="W260" s="58"/>
    </row>
    <row r="261" spans="21:23">
      <c r="U261" s="57"/>
      <c r="V261" s="58"/>
      <c r="W261" s="58"/>
    </row>
    <row r="262" spans="21:23">
      <c r="U262" s="57"/>
      <c r="V262" s="58"/>
      <c r="W262" s="58"/>
    </row>
    <row r="263" spans="21:23">
      <c r="U263" s="57"/>
      <c r="V263" s="58"/>
      <c r="W263" s="58"/>
    </row>
    <row r="264" spans="21:23">
      <c r="U264" s="57"/>
      <c r="V264" s="58"/>
      <c r="W264" s="58"/>
    </row>
    <row r="265" spans="21:23">
      <c r="U265" s="57"/>
      <c r="V265" s="58"/>
      <c r="W265" s="58"/>
    </row>
    <row r="266" spans="21:23">
      <c r="U266" s="57"/>
      <c r="V266" s="58"/>
      <c r="W266" s="58"/>
    </row>
    <row r="267" spans="21:23">
      <c r="U267" s="57"/>
      <c r="V267" s="58"/>
      <c r="W267" s="58"/>
    </row>
    <row r="268" spans="21:23">
      <c r="U268" s="57"/>
      <c r="V268" s="58"/>
      <c r="W268" s="58"/>
    </row>
    <row r="269" spans="21:23">
      <c r="U269" s="57"/>
      <c r="V269" s="58"/>
      <c r="W269" s="58"/>
    </row>
    <row r="270" spans="21:23">
      <c r="U270" s="57"/>
      <c r="V270" s="58"/>
      <c r="W270" s="58"/>
    </row>
    <row r="271" spans="21:23">
      <c r="U271" s="57"/>
      <c r="V271" s="58"/>
      <c r="W271" s="58"/>
    </row>
    <row r="272" spans="21:23">
      <c r="U272" s="57"/>
      <c r="V272" s="58"/>
      <c r="W272" s="58"/>
    </row>
    <row r="273" spans="21:23">
      <c r="U273" s="57"/>
      <c r="V273" s="58"/>
      <c r="W273" s="58"/>
    </row>
    <row r="274" spans="21:23">
      <c r="U274" s="57"/>
      <c r="V274" s="58"/>
      <c r="W274" s="58"/>
    </row>
    <row r="275" spans="21:23">
      <c r="U275" s="57"/>
      <c r="V275" s="58"/>
      <c r="W275" s="58"/>
    </row>
    <row r="276" spans="21:23">
      <c r="U276" s="57"/>
      <c r="V276" s="58"/>
      <c r="W276" s="58"/>
    </row>
    <row r="277" spans="21:23">
      <c r="U277" s="57"/>
      <c r="V277" s="58"/>
      <c r="W277" s="58"/>
    </row>
    <row r="278" spans="21:23">
      <c r="U278" s="57"/>
      <c r="V278" s="58"/>
      <c r="W278" s="58"/>
    </row>
    <row r="279" spans="21:23">
      <c r="U279" s="57"/>
      <c r="V279" s="58"/>
      <c r="W279" s="58"/>
    </row>
    <row r="280" spans="21:23">
      <c r="U280" s="57"/>
      <c r="V280" s="58"/>
      <c r="W280" s="58"/>
    </row>
    <row r="281" spans="21:23">
      <c r="U281" s="57"/>
      <c r="V281" s="58"/>
      <c r="W281" s="58"/>
    </row>
    <row r="282" spans="21:23">
      <c r="U282" s="57"/>
      <c r="V282" s="58"/>
      <c r="W282" s="58"/>
    </row>
    <row r="283" spans="21:23">
      <c r="U283" s="57"/>
      <c r="V283" s="58"/>
      <c r="W283" s="58"/>
    </row>
    <row r="284" spans="21:23">
      <c r="U284" s="57"/>
      <c r="V284" s="58"/>
      <c r="W284" s="58"/>
    </row>
    <row r="285" spans="21:23">
      <c r="U285" s="57"/>
      <c r="V285" s="58"/>
      <c r="W285" s="58"/>
    </row>
    <row r="286" spans="21:23">
      <c r="U286" s="57"/>
      <c r="V286" s="58"/>
      <c r="W286" s="58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5" display="Select"/>
    <hyperlink ref="A6" display="Select"/>
    <hyperlink ref="A7" display="Select"/>
    <hyperlink ref="A8" display="Select"/>
    <hyperlink ref="A9" display="Select"/>
    <hyperlink ref="A10" display="Select"/>
    <hyperlink ref="A11" display="Select"/>
    <hyperlink ref="A12" display="Select"/>
    <hyperlink ref="A13" display="Select"/>
    <hyperlink ref="A14" display="Select"/>
    <hyperlink ref="A15" display="Select"/>
    <hyperlink ref="A16" display="Select"/>
    <hyperlink ref="A17" display="Select"/>
    <hyperlink ref="A18" display="Select"/>
    <hyperlink ref="A19" display="Select"/>
    <hyperlink ref="A20" display="Select"/>
    <hyperlink ref="A21" display="Select"/>
    <hyperlink ref="A22" display="Select"/>
    <hyperlink ref="A23" display="Select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E31" sqref="E31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56" t="s">
        <v>294</v>
      </c>
      <c r="D2" s="49"/>
      <c r="E2">
        <v>8804</v>
      </c>
      <c r="G2" s="1" t="s">
        <v>32</v>
      </c>
    </row>
    <row r="3" spans="3:11">
      <c r="C3" s="56" t="s">
        <v>35</v>
      </c>
      <c r="D3" s="49"/>
      <c r="E3">
        <v>5711</v>
      </c>
    </row>
    <row r="4" spans="3:11">
      <c r="C4" s="56" t="s">
        <v>25</v>
      </c>
      <c r="D4" s="49"/>
    </row>
    <row r="5" spans="3:11">
      <c r="C5" s="56" t="s">
        <v>26</v>
      </c>
      <c r="D5" s="49"/>
    </row>
    <row r="6" spans="3:11">
      <c r="C6" s="56" t="s">
        <v>28</v>
      </c>
      <c r="D6" s="49"/>
    </row>
    <row r="7" spans="3:11">
      <c r="C7" s="56" t="s">
        <v>27</v>
      </c>
      <c r="D7" s="49"/>
    </row>
    <row r="8" spans="3:11">
      <c r="C8" s="56" t="s">
        <v>29</v>
      </c>
      <c r="D8" s="49"/>
      <c r="K8" s="1" t="s">
        <v>41</v>
      </c>
    </row>
    <row r="9" spans="3:11">
      <c r="C9" s="56" t="s">
        <v>20</v>
      </c>
      <c r="D9" s="49"/>
      <c r="K9" s="1" t="s">
        <v>42</v>
      </c>
    </row>
    <row r="10" spans="3:11">
      <c r="C10" s="56" t="s">
        <v>9</v>
      </c>
      <c r="D10" s="49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I34" sqref="I34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T777"/>
  <sheetViews>
    <sheetView showGridLines="0" workbookViewId="0">
      <selection activeCell="H44" sqref="H44"/>
    </sheetView>
  </sheetViews>
  <sheetFormatPr defaultRowHeight="14.25"/>
  <cols>
    <col min="1" max="1" width="10.875" customWidth="1"/>
  </cols>
  <sheetData>
    <row r="1" spans="1:20" ht="22.5" customHeight="1" thickBot="1">
      <c r="A1" s="217" t="s">
        <v>474</v>
      </c>
      <c r="B1" s="217"/>
      <c r="C1" s="217"/>
    </row>
    <row r="2" spans="1:20">
      <c r="B2" s="206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8"/>
    </row>
    <row r="3" spans="1:20">
      <c r="B3" s="20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210"/>
    </row>
    <row r="4" spans="1:20">
      <c r="B4" s="20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210"/>
    </row>
    <row r="5" spans="1:20">
      <c r="B5" s="20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210"/>
    </row>
    <row r="6" spans="1:20">
      <c r="B6" s="20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210"/>
    </row>
    <row r="7" spans="1:20">
      <c r="B7" s="20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210"/>
    </row>
    <row r="8" spans="1:20">
      <c r="B8" s="20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210"/>
    </row>
    <row r="9" spans="1:20">
      <c r="B9" s="20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210"/>
    </row>
    <row r="10" spans="1:20">
      <c r="B10" s="20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210"/>
    </row>
    <row r="11" spans="1:20">
      <c r="B11" s="20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210"/>
    </row>
    <row r="12" spans="1:20">
      <c r="B12" s="20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210"/>
    </row>
    <row r="13" spans="1:20">
      <c r="B13" s="20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210"/>
    </row>
    <row r="14" spans="1:20">
      <c r="B14" s="20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210"/>
    </row>
    <row r="15" spans="1:20">
      <c r="B15" s="20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210"/>
    </row>
    <row r="16" spans="1:20">
      <c r="B16" s="20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210"/>
    </row>
    <row r="17" spans="2:20">
      <c r="B17" s="20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210"/>
    </row>
    <row r="18" spans="2:20">
      <c r="B18" s="20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210"/>
    </row>
    <row r="19" spans="2:20">
      <c r="B19" s="20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210"/>
    </row>
    <row r="20" spans="2:20">
      <c r="B20" s="209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210"/>
    </row>
    <row r="21" spans="2:20">
      <c r="B21" s="209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210"/>
    </row>
    <row r="22" spans="2:20">
      <c r="B22" s="209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210"/>
    </row>
    <row r="23" spans="2:20">
      <c r="B23" s="20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210"/>
    </row>
    <row r="24" spans="2:20">
      <c r="B24" s="20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210"/>
    </row>
    <row r="25" spans="2:20">
      <c r="B25" s="209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210"/>
    </row>
    <row r="26" spans="2:20">
      <c r="B26" s="20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210"/>
    </row>
    <row r="27" spans="2:20">
      <c r="B27" s="20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210"/>
    </row>
    <row r="28" spans="2:20">
      <c r="B28" s="20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210"/>
    </row>
    <row r="29" spans="2:20">
      <c r="B29" s="20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210"/>
    </row>
    <row r="30" spans="2:20">
      <c r="B30" s="20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210"/>
    </row>
    <row r="31" spans="2:20">
      <c r="B31" s="20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210"/>
    </row>
    <row r="32" spans="2:20">
      <c r="B32" s="20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210"/>
    </row>
    <row r="33" spans="1:20">
      <c r="B33" s="20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210"/>
    </row>
    <row r="34" spans="1:20">
      <c r="B34" s="20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210"/>
    </row>
    <row r="35" spans="1:20">
      <c r="B35" s="20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210"/>
    </row>
    <row r="36" spans="1:20">
      <c r="B36" s="20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210"/>
    </row>
    <row r="37" spans="1:20">
      <c r="B37" s="20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210"/>
    </row>
    <row r="38" spans="1:20" ht="15" thickBot="1">
      <c r="B38" s="211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3"/>
    </row>
    <row r="40" spans="1:20">
      <c r="A40" s="215" t="s">
        <v>443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</row>
    <row r="41" spans="1:20">
      <c r="A41" t="s">
        <v>437</v>
      </c>
      <c r="B41" t="s">
        <v>444</v>
      </c>
      <c r="C41" t="s">
        <v>445</v>
      </c>
      <c r="D41" t="s">
        <v>446</v>
      </c>
      <c r="E41" t="s">
        <v>447</v>
      </c>
      <c r="F41" t="s">
        <v>438</v>
      </c>
      <c r="G41" t="s">
        <v>439</v>
      </c>
      <c r="H41" t="s">
        <v>440</v>
      </c>
      <c r="I41" t="s">
        <v>441</v>
      </c>
      <c r="J41" t="s">
        <v>442</v>
      </c>
      <c r="L41" t="s">
        <v>448</v>
      </c>
      <c r="M41" t="s">
        <v>449</v>
      </c>
      <c r="N41" t="s">
        <v>450</v>
      </c>
      <c r="O41" t="s">
        <v>451</v>
      </c>
    </row>
    <row r="42" spans="1:20">
      <c r="A42" s="19">
        <v>43749</v>
      </c>
      <c r="B42">
        <v>2030</v>
      </c>
      <c r="C42">
        <v>2101</v>
      </c>
      <c r="D42">
        <v>447</v>
      </c>
      <c r="E42">
        <v>448.8</v>
      </c>
      <c r="F42">
        <v>4.6813725490196001</v>
      </c>
      <c r="G42">
        <v>4.3895609333392196</v>
      </c>
      <c r="H42">
        <v>9.88666194717219E-2</v>
      </c>
      <c r="I42">
        <v>2.9515686612896901</v>
      </c>
      <c r="J42">
        <v>6.23</v>
      </c>
      <c r="L42">
        <v>4.4884275528109416</v>
      </c>
      <c r="M42">
        <v>4.2906943138674976</v>
      </c>
      <c r="N42">
        <v>4.5872941722826637</v>
      </c>
      <c r="O42">
        <v>4.1918276943957755</v>
      </c>
    </row>
    <row r="43" spans="1:20">
      <c r="A43" s="19">
        <v>43748</v>
      </c>
      <c r="B43">
        <v>2010</v>
      </c>
      <c r="C43">
        <v>1990</v>
      </c>
      <c r="D43">
        <v>443.7</v>
      </c>
      <c r="E43">
        <v>443.1</v>
      </c>
      <c r="F43">
        <v>4.4910855337395601</v>
      </c>
      <c r="G43">
        <v>4.3841607707152699</v>
      </c>
      <c r="H43">
        <v>9.3706552899565407E-2</v>
      </c>
      <c r="I43">
        <v>1.14105961339635</v>
      </c>
      <c r="J43">
        <v>2.38</v>
      </c>
      <c r="L43">
        <v>4.4778673236148352</v>
      </c>
      <c r="M43">
        <v>4.2904542178157046</v>
      </c>
      <c r="N43">
        <v>4.5715738765144005</v>
      </c>
      <c r="O43">
        <v>4.1967476649161393</v>
      </c>
    </row>
    <row r="44" spans="1:20">
      <c r="A44" s="19">
        <v>43747</v>
      </c>
      <c r="B44">
        <v>2058</v>
      </c>
      <c r="C44">
        <v>2019</v>
      </c>
      <c r="D44">
        <v>440.3</v>
      </c>
      <c r="E44">
        <v>443.9</v>
      </c>
      <c r="F44">
        <v>4.5483216940752396</v>
      </c>
      <c r="G44">
        <v>4.3820695679459103</v>
      </c>
      <c r="H44">
        <v>9.3044757417551693E-2</v>
      </c>
      <c r="I44">
        <v>1.7867973515503399</v>
      </c>
      <c r="J44">
        <v>3.66</v>
      </c>
      <c r="L44">
        <v>4.475114325363462</v>
      </c>
      <c r="M44">
        <v>4.2890248105283586</v>
      </c>
      <c r="N44">
        <v>4.5681590827810137</v>
      </c>
      <c r="O44">
        <v>4.1959800531108069</v>
      </c>
    </row>
    <row r="45" spans="1:20">
      <c r="A45" s="19">
        <v>43746</v>
      </c>
      <c r="B45">
        <v>2028</v>
      </c>
      <c r="C45">
        <v>2068</v>
      </c>
      <c r="D45">
        <v>448.6</v>
      </c>
      <c r="E45">
        <v>446.6</v>
      </c>
      <c r="F45">
        <v>4.6305418719211797</v>
      </c>
      <c r="G45">
        <v>4.3794907683550699</v>
      </c>
      <c r="H45">
        <v>9.1060311857652204E-2</v>
      </c>
      <c r="I45">
        <v>2.75697610127399</v>
      </c>
      <c r="J45">
        <v>5.42</v>
      </c>
      <c r="L45">
        <v>4.4705510802127222</v>
      </c>
      <c r="M45">
        <v>4.2884304564974176</v>
      </c>
      <c r="N45">
        <v>4.5616113920703745</v>
      </c>
      <c r="O45">
        <v>4.1973701446397653</v>
      </c>
    </row>
    <row r="46" spans="1:20">
      <c r="A46" s="19">
        <v>43745</v>
      </c>
      <c r="B46">
        <v>2028</v>
      </c>
      <c r="C46">
        <v>2033</v>
      </c>
      <c r="D46">
        <v>449.7</v>
      </c>
      <c r="E46">
        <v>444.6</v>
      </c>
      <c r="F46">
        <v>4.5726495726495697</v>
      </c>
      <c r="G46">
        <v>4.37605704029147</v>
      </c>
      <c r="H46">
        <v>8.6257719068378799E-2</v>
      </c>
      <c r="I46">
        <v>2.27912973449076</v>
      </c>
      <c r="J46">
        <v>4.3</v>
      </c>
      <c r="L46">
        <v>4.4623147593598489</v>
      </c>
      <c r="M46">
        <v>4.2897993212230912</v>
      </c>
      <c r="N46">
        <v>4.5485724784282278</v>
      </c>
      <c r="O46">
        <v>4.2035416021547123</v>
      </c>
    </row>
    <row r="47" spans="1:20">
      <c r="A47" s="19">
        <v>43742</v>
      </c>
      <c r="B47">
        <v>2064</v>
      </c>
      <c r="C47">
        <v>2033</v>
      </c>
      <c r="D47">
        <v>449.3</v>
      </c>
      <c r="E47">
        <v>451</v>
      </c>
      <c r="F47">
        <v>4.5077605321507699</v>
      </c>
      <c r="G47">
        <v>4.3726981540459899</v>
      </c>
      <c r="H47">
        <v>8.3394285397873594E-2</v>
      </c>
      <c r="I47">
        <v>1.61956394806189</v>
      </c>
      <c r="J47">
        <v>3</v>
      </c>
      <c r="L47">
        <v>4.4560924394438635</v>
      </c>
      <c r="M47">
        <v>4.2893038686481164</v>
      </c>
      <c r="N47">
        <v>4.539486724841737</v>
      </c>
      <c r="O47">
        <v>4.2059095832502429</v>
      </c>
    </row>
    <row r="48" spans="1:20">
      <c r="A48" s="19">
        <v>43741</v>
      </c>
      <c r="B48">
        <v>2031</v>
      </c>
      <c r="C48">
        <v>2069</v>
      </c>
      <c r="D48">
        <v>453.6</v>
      </c>
      <c r="E48">
        <v>455.5</v>
      </c>
      <c r="F48">
        <v>4.5422612513721097</v>
      </c>
      <c r="G48">
        <v>4.3708371045264096</v>
      </c>
      <c r="H48">
        <v>8.1903544993558897E-2</v>
      </c>
      <c r="I48">
        <v>2.0930003317828301</v>
      </c>
      <c r="J48">
        <v>3.77</v>
      </c>
      <c r="L48">
        <v>4.4527406495199688</v>
      </c>
      <c r="M48">
        <v>4.2889335595328504</v>
      </c>
      <c r="N48">
        <v>4.5346441945135272</v>
      </c>
      <c r="O48">
        <v>4.207030014539292</v>
      </c>
    </row>
    <row r="49" spans="1:15">
      <c r="A49" s="19">
        <v>43740</v>
      </c>
      <c r="B49">
        <v>2030</v>
      </c>
      <c r="C49">
        <v>2046</v>
      </c>
      <c r="D49">
        <v>458.5</v>
      </c>
      <c r="E49">
        <v>462.3</v>
      </c>
      <c r="F49">
        <v>4.42569759896171</v>
      </c>
      <c r="G49">
        <v>4.3690016320002201</v>
      </c>
      <c r="H49">
        <v>7.9550016052643294E-2</v>
      </c>
      <c r="I49">
        <v>0.71270842892064701</v>
      </c>
      <c r="J49">
        <v>1.28</v>
      </c>
      <c r="L49">
        <v>4.4485516480528631</v>
      </c>
      <c r="M49">
        <v>4.2894516159475771</v>
      </c>
      <c r="N49">
        <v>4.528101664105507</v>
      </c>
      <c r="O49">
        <v>4.2099015998949332</v>
      </c>
    </row>
    <row r="50" spans="1:15">
      <c r="A50" s="19">
        <v>43739</v>
      </c>
      <c r="B50">
        <v>2036</v>
      </c>
      <c r="C50">
        <v>2037</v>
      </c>
      <c r="D50">
        <v>464</v>
      </c>
      <c r="E50">
        <v>465.3</v>
      </c>
      <c r="F50">
        <v>4.3778207607994801</v>
      </c>
      <c r="G50">
        <v>4.3681088955604697</v>
      </c>
      <c r="H50">
        <v>7.9283998010648296E-2</v>
      </c>
      <c r="I50">
        <v>0.122494645611941</v>
      </c>
      <c r="J50">
        <v>0.22</v>
      </c>
      <c r="L50">
        <v>4.4473928935711182</v>
      </c>
      <c r="M50">
        <v>4.2888248975498211</v>
      </c>
      <c r="N50">
        <v>4.5266768915817659</v>
      </c>
      <c r="O50">
        <v>4.2095408995391734</v>
      </c>
    </row>
    <row r="51" spans="1:15">
      <c r="A51" s="19">
        <v>43738</v>
      </c>
      <c r="B51">
        <v>2020</v>
      </c>
      <c r="C51">
        <v>2018</v>
      </c>
      <c r="D51">
        <v>465</v>
      </c>
      <c r="E51">
        <v>463</v>
      </c>
      <c r="F51">
        <v>4.3585313174945997</v>
      </c>
      <c r="G51">
        <v>4.3677231372683298</v>
      </c>
      <c r="H51">
        <v>7.9306187498158001E-2</v>
      </c>
      <c r="I51">
        <v>-0.115902933474688</v>
      </c>
      <c r="J51">
        <v>-0.21</v>
      </c>
      <c r="L51">
        <v>4.447029324766488</v>
      </c>
      <c r="M51">
        <v>4.2884169497701716</v>
      </c>
      <c r="N51">
        <v>4.5263355122646463</v>
      </c>
      <c r="O51">
        <v>4.2091107622720134</v>
      </c>
    </row>
    <row r="52" spans="1:15">
      <c r="A52" s="19">
        <v>43735</v>
      </c>
      <c r="B52">
        <v>2070</v>
      </c>
      <c r="C52">
        <v>2040</v>
      </c>
      <c r="D52">
        <v>470.1</v>
      </c>
      <c r="E52">
        <v>468.9</v>
      </c>
      <c r="F52">
        <v>4.3506078055022304</v>
      </c>
      <c r="G52">
        <v>4.3662331782439896</v>
      </c>
      <c r="H52">
        <v>8.0505531544783196E-2</v>
      </c>
      <c r="I52">
        <v>-0.19409067230444699</v>
      </c>
      <c r="J52">
        <v>-0.36</v>
      </c>
      <c r="L52">
        <v>4.4467387097887725</v>
      </c>
      <c r="M52">
        <v>4.2857276466992067</v>
      </c>
      <c r="N52">
        <v>4.5272442413335563</v>
      </c>
      <c r="O52">
        <v>4.2052221151544229</v>
      </c>
    </row>
    <row r="53" spans="1:15">
      <c r="A53" s="19">
        <v>43734</v>
      </c>
      <c r="B53">
        <v>2080</v>
      </c>
      <c r="C53">
        <v>2084</v>
      </c>
      <c r="D53">
        <v>481</v>
      </c>
      <c r="E53">
        <v>482</v>
      </c>
      <c r="F53">
        <v>4.3236514522821503</v>
      </c>
      <c r="G53">
        <v>4.364160895176</v>
      </c>
      <c r="H53">
        <v>8.2847350147501803E-2</v>
      </c>
      <c r="I53">
        <v>-0.48896485912611598</v>
      </c>
      <c r="J53">
        <v>-0.94</v>
      </c>
      <c r="L53">
        <v>4.4470082453235023</v>
      </c>
      <c r="M53">
        <v>4.2813135450284978</v>
      </c>
      <c r="N53">
        <v>4.5298555954710036</v>
      </c>
      <c r="O53">
        <v>4.1984661948809965</v>
      </c>
    </row>
    <row r="54" spans="1:15">
      <c r="A54" s="19">
        <v>43733</v>
      </c>
      <c r="B54">
        <v>2085</v>
      </c>
      <c r="C54">
        <v>2033</v>
      </c>
      <c r="D54">
        <v>477</v>
      </c>
      <c r="E54">
        <v>479.6</v>
      </c>
      <c r="F54">
        <v>4.2389491242702197</v>
      </c>
      <c r="G54">
        <v>4.3610721281446301</v>
      </c>
      <c r="H54">
        <v>8.8430354183862497E-2</v>
      </c>
      <c r="I54">
        <v>-1.3810077433422101</v>
      </c>
      <c r="J54">
        <v>-2.88</v>
      </c>
      <c r="L54">
        <v>4.4495024823284925</v>
      </c>
      <c r="M54">
        <v>4.2726417739607676</v>
      </c>
      <c r="N54">
        <v>4.537932836512355</v>
      </c>
      <c r="O54">
        <v>4.1842114197769051</v>
      </c>
    </row>
    <row r="55" spans="1:15">
      <c r="A55" s="19">
        <v>43732</v>
      </c>
      <c r="B55">
        <v>2065</v>
      </c>
      <c r="C55">
        <v>2056</v>
      </c>
      <c r="D55">
        <v>480.7</v>
      </c>
      <c r="E55">
        <v>476.8</v>
      </c>
      <c r="F55">
        <v>4.3120805369127497</v>
      </c>
      <c r="G55">
        <v>4.3592691109134902</v>
      </c>
      <c r="H55">
        <v>9.2200172265245406E-2</v>
      </c>
      <c r="I55">
        <v>-0.51180570319311702</v>
      </c>
      <c r="J55">
        <v>-1.0900000000000001</v>
      </c>
      <c r="L55">
        <v>4.4514692831787359</v>
      </c>
      <c r="M55">
        <v>4.2670689386482445</v>
      </c>
      <c r="N55">
        <v>4.5436694554439807</v>
      </c>
      <c r="O55">
        <v>4.1748687663829998</v>
      </c>
    </row>
    <row r="56" spans="1:15">
      <c r="A56" s="19">
        <v>43728</v>
      </c>
      <c r="B56">
        <v>2090</v>
      </c>
      <c r="C56">
        <v>2046</v>
      </c>
      <c r="D56">
        <v>480</v>
      </c>
      <c r="E56">
        <v>480.8</v>
      </c>
      <c r="F56">
        <v>4.25540765391015</v>
      </c>
      <c r="G56">
        <v>4.3563811406346904</v>
      </c>
      <c r="H56">
        <v>9.6905199636947298E-2</v>
      </c>
      <c r="I56">
        <v>-1.04198213411499</v>
      </c>
      <c r="J56">
        <v>-2.37</v>
      </c>
      <c r="L56">
        <v>4.4532863402716378</v>
      </c>
      <c r="M56">
        <v>4.259475940997743</v>
      </c>
      <c r="N56">
        <v>4.5501915399085853</v>
      </c>
      <c r="O56">
        <v>4.1625707413607955</v>
      </c>
    </row>
    <row r="57" spans="1:15">
      <c r="A57" s="19">
        <v>43727</v>
      </c>
      <c r="B57">
        <v>2059</v>
      </c>
      <c r="C57">
        <v>2087</v>
      </c>
      <c r="D57">
        <v>482.2</v>
      </c>
      <c r="E57">
        <v>477</v>
      </c>
      <c r="F57">
        <v>4.3752620545073304</v>
      </c>
      <c r="G57">
        <v>4.3534929967342597</v>
      </c>
      <c r="H57">
        <v>0.10291322266981499</v>
      </c>
      <c r="I57">
        <v>0.21152828770040799</v>
      </c>
      <c r="J57">
        <v>0.5</v>
      </c>
      <c r="L57">
        <v>4.4564062194040748</v>
      </c>
      <c r="M57">
        <v>4.2505797740644446</v>
      </c>
      <c r="N57">
        <v>4.5593194420738898</v>
      </c>
      <c r="O57">
        <v>4.1476665513946296</v>
      </c>
    </row>
    <row r="58" spans="1:15">
      <c r="A58" s="19">
        <v>43726</v>
      </c>
      <c r="B58">
        <v>2061</v>
      </c>
      <c r="C58">
        <v>2039</v>
      </c>
      <c r="D58">
        <v>474.5</v>
      </c>
      <c r="E58">
        <v>476.5</v>
      </c>
      <c r="F58">
        <v>4.2791185729275902</v>
      </c>
      <c r="G58">
        <v>4.3515247330264604</v>
      </c>
      <c r="H58">
        <v>0.10388511682279</v>
      </c>
      <c r="I58">
        <v>-0.69698299730827795</v>
      </c>
      <c r="J58">
        <v>-1.69</v>
      </c>
      <c r="L58">
        <v>4.45540984984925</v>
      </c>
      <c r="M58">
        <v>4.2476396162036707</v>
      </c>
      <c r="N58">
        <v>4.5592949666720406</v>
      </c>
      <c r="O58">
        <v>4.1437544993808801</v>
      </c>
    </row>
    <row r="59" spans="1:15">
      <c r="A59" s="19">
        <v>43725</v>
      </c>
      <c r="B59">
        <v>2037</v>
      </c>
      <c r="C59">
        <v>2060</v>
      </c>
      <c r="D59">
        <v>476.3</v>
      </c>
      <c r="E59">
        <v>480.5</v>
      </c>
      <c r="F59">
        <v>4.2872008324661799</v>
      </c>
      <c r="G59">
        <v>4.3514967086243601</v>
      </c>
      <c r="H59">
        <v>0.103904927184139</v>
      </c>
      <c r="I59">
        <v>-0.61879525736294205</v>
      </c>
      <c r="J59">
        <v>-1.5</v>
      </c>
      <c r="L59">
        <v>4.4554016358084993</v>
      </c>
      <c r="M59">
        <v>4.2475917814402209</v>
      </c>
      <c r="N59">
        <v>4.5593065629926377</v>
      </c>
      <c r="O59">
        <v>4.1436868542560825</v>
      </c>
    </row>
    <row r="60" spans="1:15">
      <c r="A60" s="19">
        <v>43721</v>
      </c>
      <c r="B60">
        <v>2061</v>
      </c>
      <c r="C60">
        <v>2048</v>
      </c>
      <c r="D60">
        <v>477.6</v>
      </c>
      <c r="E60">
        <v>477.6</v>
      </c>
      <c r="F60">
        <v>4.2881072026800604</v>
      </c>
      <c r="G60">
        <v>4.3509694386444497</v>
      </c>
      <c r="H60">
        <v>0.10432933179384</v>
      </c>
      <c r="I60">
        <v>-0.60253655308180398</v>
      </c>
      <c r="J60">
        <v>-1.47</v>
      </c>
      <c r="L60">
        <v>4.45529877043829</v>
      </c>
      <c r="M60">
        <v>4.2466401068506094</v>
      </c>
      <c r="N60">
        <v>4.5596281022321294</v>
      </c>
      <c r="O60">
        <v>4.14231077505677</v>
      </c>
    </row>
    <row r="61" spans="1:15">
      <c r="A61" s="19">
        <v>43720</v>
      </c>
      <c r="B61">
        <v>2081</v>
      </c>
      <c r="C61">
        <v>2035</v>
      </c>
      <c r="D61">
        <v>475</v>
      </c>
      <c r="E61">
        <v>474.8</v>
      </c>
      <c r="F61">
        <v>4.2860151642796902</v>
      </c>
      <c r="G61">
        <v>4.35047495389892</v>
      </c>
      <c r="H61">
        <v>0.104713286779476</v>
      </c>
      <c r="I61">
        <v>-0.61558367234697198</v>
      </c>
      <c r="J61">
        <v>-1.5</v>
      </c>
      <c r="L61">
        <v>4.455188240678396</v>
      </c>
      <c r="M61">
        <v>4.245761667119444</v>
      </c>
      <c r="N61">
        <v>4.559901527457872</v>
      </c>
      <c r="O61">
        <v>4.141048380339968</v>
      </c>
    </row>
    <row r="62" spans="1:15">
      <c r="A62" s="19">
        <v>43719</v>
      </c>
      <c r="B62">
        <v>2010</v>
      </c>
      <c r="C62">
        <v>2066</v>
      </c>
      <c r="D62">
        <v>463.9</v>
      </c>
      <c r="E62">
        <v>475.9</v>
      </c>
      <c r="F62">
        <v>4.3412481613784397</v>
      </c>
      <c r="G62">
        <v>4.3512829550789904</v>
      </c>
      <c r="H62">
        <v>0.10444624135467701</v>
      </c>
      <c r="I62">
        <v>-9.6076159088195001E-2</v>
      </c>
      <c r="J62">
        <v>-0.23</v>
      </c>
      <c r="L62">
        <v>4.4557291964336674</v>
      </c>
      <c r="M62">
        <v>4.2468367137243135</v>
      </c>
      <c r="N62">
        <v>4.5601754377883443</v>
      </c>
      <c r="O62">
        <v>4.1423904723696365</v>
      </c>
    </row>
    <row r="63" spans="1:15">
      <c r="A63" s="19">
        <v>43718</v>
      </c>
      <c r="B63">
        <v>1991</v>
      </c>
      <c r="C63">
        <v>1989</v>
      </c>
      <c r="D63">
        <v>443</v>
      </c>
      <c r="E63">
        <v>447.9</v>
      </c>
      <c r="F63">
        <v>4.4407233757535103</v>
      </c>
      <c r="G63">
        <v>4.35031335911418</v>
      </c>
      <c r="H63">
        <v>0.10487156589308801</v>
      </c>
      <c r="I63">
        <v>0.86210228548988299</v>
      </c>
      <c r="J63">
        <v>2.04</v>
      </c>
      <c r="L63">
        <v>4.4551849250072681</v>
      </c>
      <c r="M63">
        <v>4.2454417932210919</v>
      </c>
      <c r="N63">
        <v>4.5600564909003563</v>
      </c>
      <c r="O63">
        <v>4.1405702273280038</v>
      </c>
    </row>
    <row r="64" spans="1:15">
      <c r="A64" s="19">
        <v>43717</v>
      </c>
      <c r="B64">
        <v>1966</v>
      </c>
      <c r="C64">
        <v>1962</v>
      </c>
      <c r="D64">
        <v>423.9</v>
      </c>
      <c r="E64">
        <v>427.4</v>
      </c>
      <c r="F64">
        <v>4.5905474964903998</v>
      </c>
      <c r="G64">
        <v>4.3476372764341704</v>
      </c>
      <c r="H64">
        <v>0.105090917511315</v>
      </c>
      <c r="I64">
        <v>2.3114292443975999</v>
      </c>
      <c r="J64">
        <v>5.29</v>
      </c>
      <c r="L64">
        <v>4.452728193945485</v>
      </c>
      <c r="M64">
        <v>4.2425463589228558</v>
      </c>
      <c r="N64">
        <v>4.5578191114568005</v>
      </c>
      <c r="O64">
        <v>4.1374554414115403</v>
      </c>
    </row>
    <row r="65" spans="1:15">
      <c r="A65" s="19">
        <v>43714</v>
      </c>
      <c r="B65">
        <v>1965</v>
      </c>
      <c r="C65">
        <v>1954</v>
      </c>
      <c r="D65">
        <v>423.8</v>
      </c>
      <c r="E65">
        <v>423.3</v>
      </c>
      <c r="F65">
        <v>4.6161115048429</v>
      </c>
      <c r="G65">
        <v>4.3429432622878403</v>
      </c>
      <c r="H65">
        <v>0.10195171316141299</v>
      </c>
      <c r="I65">
        <v>2.6793884485547599</v>
      </c>
      <c r="J65">
        <v>5.92</v>
      </c>
      <c r="L65">
        <v>4.4448949754492535</v>
      </c>
      <c r="M65">
        <v>4.2409915491264272</v>
      </c>
      <c r="N65">
        <v>4.5468466886106667</v>
      </c>
      <c r="O65">
        <v>4.139039835965014</v>
      </c>
    </row>
    <row r="66" spans="1:15">
      <c r="A66" s="19">
        <v>43713</v>
      </c>
      <c r="B66">
        <v>1903</v>
      </c>
      <c r="C66">
        <v>1925</v>
      </c>
      <c r="D66">
        <v>420.4</v>
      </c>
      <c r="E66">
        <v>421</v>
      </c>
      <c r="F66">
        <v>4.5724465558194698</v>
      </c>
      <c r="G66">
        <v>4.3386077525680902</v>
      </c>
      <c r="H66">
        <v>9.7038427286931503E-2</v>
      </c>
      <c r="I66">
        <v>2.4097546692502099</v>
      </c>
      <c r="J66">
        <v>5.1100000000000003</v>
      </c>
      <c r="L66">
        <v>4.4356461798550217</v>
      </c>
      <c r="M66">
        <v>4.2415693252811586</v>
      </c>
      <c r="N66">
        <v>4.5326846071419533</v>
      </c>
      <c r="O66">
        <v>4.144530897994227</v>
      </c>
    </row>
    <row r="67" spans="1:15">
      <c r="A67" s="19">
        <v>43712</v>
      </c>
      <c r="B67">
        <v>1837</v>
      </c>
      <c r="C67">
        <v>1883</v>
      </c>
      <c r="D67">
        <v>416.2</v>
      </c>
      <c r="E67">
        <v>416.2</v>
      </c>
      <c r="F67">
        <v>4.5242671792407396</v>
      </c>
      <c r="G67">
        <v>4.3351907969828503</v>
      </c>
      <c r="H67">
        <v>9.3179483179404901E-2</v>
      </c>
      <c r="I67">
        <v>2.0291632428766402</v>
      </c>
      <c r="J67">
        <v>4.18</v>
      </c>
      <c r="L67">
        <v>4.4283702801622553</v>
      </c>
      <c r="M67">
        <v>4.2420113138034452</v>
      </c>
      <c r="N67">
        <v>4.5215497633416604</v>
      </c>
      <c r="O67">
        <v>4.1488318306240402</v>
      </c>
    </row>
    <row r="68" spans="1:15">
      <c r="A68" s="19">
        <v>43711</v>
      </c>
      <c r="B68">
        <v>1810</v>
      </c>
      <c r="C68">
        <v>1815</v>
      </c>
      <c r="D68">
        <v>416.6</v>
      </c>
      <c r="E68">
        <v>419.4</v>
      </c>
      <c r="F68">
        <v>4.3276108726752502</v>
      </c>
      <c r="G68">
        <v>4.3325642042899499</v>
      </c>
      <c r="H68">
        <v>9.0552128613353294E-2</v>
      </c>
      <c r="I68">
        <v>-5.4701437619998801E-2</v>
      </c>
      <c r="J68">
        <v>-0.11</v>
      </c>
      <c r="L68">
        <v>4.4231163329033034</v>
      </c>
      <c r="M68">
        <v>4.2420120756765964</v>
      </c>
      <c r="N68">
        <v>4.5136684615166569</v>
      </c>
      <c r="O68">
        <v>4.151459947063243</v>
      </c>
    </row>
    <row r="69" spans="1:15">
      <c r="A69" s="19">
        <v>43710</v>
      </c>
      <c r="B69">
        <v>1849</v>
      </c>
      <c r="C69">
        <v>1810</v>
      </c>
      <c r="D69">
        <v>413.4</v>
      </c>
      <c r="E69">
        <v>416.2</v>
      </c>
      <c r="F69">
        <v>4.3488707352234499</v>
      </c>
      <c r="G69">
        <v>4.3331330507517798</v>
      </c>
      <c r="H69">
        <v>9.0653174307747594E-2</v>
      </c>
      <c r="I69">
        <v>0.17360323664168001</v>
      </c>
      <c r="J69">
        <v>0.36</v>
      </c>
      <c r="L69">
        <v>4.4237862250595272</v>
      </c>
      <c r="M69">
        <v>4.2424798764440323</v>
      </c>
      <c r="N69">
        <v>4.5144393993672747</v>
      </c>
      <c r="O69">
        <v>4.1518267021362849</v>
      </c>
    </row>
    <row r="70" spans="1:15">
      <c r="A70" s="19">
        <v>43707</v>
      </c>
      <c r="B70">
        <v>1800</v>
      </c>
      <c r="C70">
        <v>1831</v>
      </c>
      <c r="D70">
        <v>413.4</v>
      </c>
      <c r="E70">
        <v>417</v>
      </c>
      <c r="F70">
        <v>4.3908872901678597</v>
      </c>
      <c r="G70">
        <v>4.3321220005910899</v>
      </c>
      <c r="H70">
        <v>9.0894550413502306E-2</v>
      </c>
      <c r="I70">
        <v>0.64652159353264305</v>
      </c>
      <c r="J70">
        <v>1.34</v>
      </c>
      <c r="L70">
        <v>4.4230165510045918</v>
      </c>
      <c r="M70">
        <v>4.241227450177588</v>
      </c>
      <c r="N70">
        <v>4.5139111014180946</v>
      </c>
      <c r="O70">
        <v>4.1503328997640851</v>
      </c>
    </row>
    <row r="71" spans="1:15">
      <c r="A71" s="19">
        <v>43706</v>
      </c>
      <c r="B71">
        <v>1786</v>
      </c>
      <c r="C71">
        <v>1789</v>
      </c>
      <c r="D71">
        <v>406.3</v>
      </c>
      <c r="E71">
        <v>407.8</v>
      </c>
      <c r="F71">
        <v>4.3869543894065703</v>
      </c>
      <c r="G71">
        <v>4.3307114534934001</v>
      </c>
      <c r="H71">
        <v>9.0792458211313196E-2</v>
      </c>
      <c r="I71">
        <v>0.61946704628554194</v>
      </c>
      <c r="J71">
        <v>1.28</v>
      </c>
      <c r="L71">
        <v>4.421503911704713</v>
      </c>
      <c r="M71">
        <v>4.2399189952820873</v>
      </c>
      <c r="N71">
        <v>4.5122963699160268</v>
      </c>
      <c r="O71">
        <v>4.1491265370707735</v>
      </c>
    </row>
    <row r="72" spans="1:15">
      <c r="A72" s="19">
        <v>43705</v>
      </c>
      <c r="B72">
        <v>1767</v>
      </c>
      <c r="C72">
        <v>1797</v>
      </c>
      <c r="D72">
        <v>402</v>
      </c>
      <c r="E72">
        <v>403.4</v>
      </c>
      <c r="F72">
        <v>4.4546355974219098</v>
      </c>
      <c r="G72">
        <v>4.3310344888119898</v>
      </c>
      <c r="H72">
        <v>9.1034770346045402E-2</v>
      </c>
      <c r="I72">
        <v>1.3577351614122899</v>
      </c>
      <c r="J72">
        <v>2.77</v>
      </c>
      <c r="L72">
        <v>4.4220692591580351</v>
      </c>
      <c r="M72">
        <v>4.2399997184659446</v>
      </c>
      <c r="N72">
        <v>4.5131040295040803</v>
      </c>
      <c r="O72">
        <v>4.1489649481198994</v>
      </c>
    </row>
    <row r="73" spans="1:15">
      <c r="A73" s="19">
        <v>43704</v>
      </c>
      <c r="B73">
        <v>1764</v>
      </c>
      <c r="C73">
        <v>1766</v>
      </c>
      <c r="D73">
        <v>405</v>
      </c>
      <c r="E73">
        <v>403.5</v>
      </c>
      <c r="F73">
        <v>4.3767038413878501</v>
      </c>
      <c r="G73">
        <v>4.3309406575566998</v>
      </c>
      <c r="H73">
        <v>9.0910866435952406E-2</v>
      </c>
      <c r="I73">
        <v>0.50338519062947795</v>
      </c>
      <c r="J73">
        <v>1.05</v>
      </c>
      <c r="L73">
        <v>4.4218515239926521</v>
      </c>
      <c r="M73">
        <v>4.2400297911207474</v>
      </c>
      <c r="N73">
        <v>4.5127623904286045</v>
      </c>
      <c r="O73">
        <v>4.149118924684795</v>
      </c>
    </row>
    <row r="74" spans="1:15">
      <c r="A74" s="19">
        <v>43703</v>
      </c>
      <c r="B74">
        <v>1750</v>
      </c>
      <c r="C74">
        <v>1738</v>
      </c>
      <c r="D74">
        <v>400</v>
      </c>
      <c r="E74">
        <v>401.7</v>
      </c>
      <c r="F74">
        <v>4.3266118994274301</v>
      </c>
      <c r="G74">
        <v>4.33292197012383</v>
      </c>
      <c r="H74">
        <v>9.3469900720884097E-2</v>
      </c>
      <c r="I74">
        <v>-6.7509119489150601E-2</v>
      </c>
      <c r="J74">
        <v>-0.15</v>
      </c>
      <c r="L74">
        <v>4.4263918708447143</v>
      </c>
      <c r="M74">
        <v>4.2394520694029456</v>
      </c>
      <c r="N74">
        <v>4.5198617715655978</v>
      </c>
      <c r="O74">
        <v>4.1459821686820622</v>
      </c>
    </row>
    <row r="75" spans="1:15">
      <c r="A75" s="19">
        <v>43700</v>
      </c>
      <c r="B75">
        <v>1801</v>
      </c>
      <c r="C75">
        <v>1797</v>
      </c>
      <c r="D75">
        <v>406.8</v>
      </c>
      <c r="E75">
        <v>411</v>
      </c>
      <c r="F75">
        <v>4.3722627737226203</v>
      </c>
      <c r="G75">
        <v>4.3360142201097798</v>
      </c>
      <c r="H75">
        <v>9.6980340517660593E-2</v>
      </c>
      <c r="I75">
        <v>0.37377218330388701</v>
      </c>
      <c r="J75">
        <v>0.83</v>
      </c>
      <c r="L75">
        <v>4.4329945606274404</v>
      </c>
      <c r="M75">
        <v>4.2390338795921192</v>
      </c>
      <c r="N75">
        <v>4.5299749011451009</v>
      </c>
      <c r="O75">
        <v>4.1420535390744586</v>
      </c>
    </row>
    <row r="76" spans="1:15">
      <c r="A76" s="19">
        <v>43699</v>
      </c>
      <c r="B76">
        <v>1800</v>
      </c>
      <c r="C76">
        <v>1801</v>
      </c>
      <c r="D76">
        <v>407.5</v>
      </c>
      <c r="E76">
        <v>407.1</v>
      </c>
      <c r="F76">
        <v>4.4239744534512404</v>
      </c>
      <c r="G76">
        <v>4.3373245441038399</v>
      </c>
      <c r="H76">
        <v>9.8118476189524503E-2</v>
      </c>
      <c r="I76">
        <v>0.88311511462965098</v>
      </c>
      <c r="J76">
        <v>1.96</v>
      </c>
      <c r="L76">
        <v>4.4354430202933646</v>
      </c>
      <c r="M76">
        <v>4.2392060679143153</v>
      </c>
      <c r="N76">
        <v>4.5335614964828892</v>
      </c>
      <c r="O76">
        <v>4.1410875917247907</v>
      </c>
    </row>
    <row r="77" spans="1:15">
      <c r="A77" s="19">
        <v>43698</v>
      </c>
      <c r="B77">
        <v>1785</v>
      </c>
      <c r="C77">
        <v>1800</v>
      </c>
      <c r="D77">
        <v>405.1</v>
      </c>
      <c r="E77">
        <v>405.9</v>
      </c>
      <c r="F77">
        <v>4.4345898004434501</v>
      </c>
      <c r="G77">
        <v>4.3372093575679402</v>
      </c>
      <c r="H77">
        <v>9.8021708776080504E-2</v>
      </c>
      <c r="I77">
        <v>0.99345791959178698</v>
      </c>
      <c r="J77">
        <v>2.2000000000000002</v>
      </c>
      <c r="L77">
        <v>4.4352310663440209</v>
      </c>
      <c r="M77">
        <v>4.2391876487918596</v>
      </c>
      <c r="N77">
        <v>4.5332527751201015</v>
      </c>
      <c r="O77">
        <v>4.141165940015779</v>
      </c>
    </row>
    <row r="78" spans="1:15">
      <c r="A78" s="19">
        <v>43697</v>
      </c>
      <c r="B78">
        <v>1798</v>
      </c>
      <c r="C78">
        <v>1814</v>
      </c>
      <c r="D78">
        <v>415.6</v>
      </c>
      <c r="E78">
        <v>410.8</v>
      </c>
      <c r="F78">
        <v>4.4157740993183996</v>
      </c>
      <c r="G78">
        <v>4.3380914289817998</v>
      </c>
      <c r="H78">
        <v>9.9184797724743895E-2</v>
      </c>
      <c r="I78">
        <v>0.78321146101628603</v>
      </c>
      <c r="J78">
        <v>1.76</v>
      </c>
      <c r="L78">
        <v>4.437276226706544</v>
      </c>
      <c r="M78">
        <v>4.2389066312570556</v>
      </c>
      <c r="N78">
        <v>4.5364610244312873</v>
      </c>
      <c r="O78">
        <v>4.1397218335323123</v>
      </c>
    </row>
    <row r="79" spans="1:15">
      <c r="A79" s="19">
        <v>43696</v>
      </c>
      <c r="B79">
        <v>1778</v>
      </c>
      <c r="C79">
        <v>1791</v>
      </c>
      <c r="D79">
        <v>410.9</v>
      </c>
      <c r="E79">
        <v>413.2</v>
      </c>
      <c r="F79">
        <v>4.33446272991287</v>
      </c>
      <c r="G79">
        <v>4.33935124375515</v>
      </c>
      <c r="H79">
        <v>0.10075119608529801</v>
      </c>
      <c r="I79">
        <v>-4.8520653175549197E-2</v>
      </c>
      <c r="J79">
        <v>-0.11</v>
      </c>
      <c r="L79">
        <v>4.4401024398404481</v>
      </c>
      <c r="M79">
        <v>4.238600047669852</v>
      </c>
      <c r="N79">
        <v>4.5408536359257461</v>
      </c>
      <c r="O79">
        <v>4.137848851584554</v>
      </c>
    </row>
    <row r="80" spans="1:15">
      <c r="A80" s="19">
        <v>43693</v>
      </c>
      <c r="B80">
        <v>1811</v>
      </c>
      <c r="C80">
        <v>1786</v>
      </c>
      <c r="D80">
        <v>406.4</v>
      </c>
      <c r="E80">
        <v>407.5</v>
      </c>
      <c r="F80">
        <v>4.3828220858895701</v>
      </c>
      <c r="G80">
        <v>4.3419492217907703</v>
      </c>
      <c r="H80">
        <v>0.10307698705377601</v>
      </c>
      <c r="I80">
        <v>0.39652753991997403</v>
      </c>
      <c r="J80">
        <v>0.93</v>
      </c>
      <c r="L80">
        <v>4.4450262088445465</v>
      </c>
      <c r="M80">
        <v>4.238872234736994</v>
      </c>
      <c r="N80">
        <v>4.5481031958983227</v>
      </c>
      <c r="O80">
        <v>4.1357952476832178</v>
      </c>
    </row>
    <row r="81" spans="1:15">
      <c r="A81" s="19">
        <v>43692</v>
      </c>
      <c r="B81">
        <v>1784</v>
      </c>
      <c r="C81">
        <v>1827</v>
      </c>
      <c r="D81">
        <v>404.6</v>
      </c>
      <c r="E81">
        <v>409.9</v>
      </c>
      <c r="F81">
        <v>4.45718467919004</v>
      </c>
      <c r="G81">
        <v>4.3423516840690004</v>
      </c>
      <c r="H81">
        <v>0.103294487014602</v>
      </c>
      <c r="I81">
        <v>1.1117049751629999</v>
      </c>
      <c r="J81">
        <v>2.58</v>
      </c>
      <c r="L81">
        <v>4.4456461710836024</v>
      </c>
      <c r="M81">
        <v>4.2390571970543984</v>
      </c>
      <c r="N81">
        <v>4.5489406580982044</v>
      </c>
      <c r="O81">
        <v>4.1357627100397965</v>
      </c>
    </row>
    <row r="82" spans="1:15">
      <c r="A82" s="19">
        <v>43691</v>
      </c>
      <c r="B82">
        <v>1852</v>
      </c>
      <c r="C82">
        <v>1818</v>
      </c>
      <c r="D82">
        <v>419.5</v>
      </c>
      <c r="E82">
        <v>416.7</v>
      </c>
      <c r="F82">
        <v>4.3628509719222404</v>
      </c>
      <c r="G82">
        <v>4.3432386592420897</v>
      </c>
      <c r="H82">
        <v>0.104554659035011</v>
      </c>
      <c r="I82">
        <v>0.18757951927884101</v>
      </c>
      <c r="J82">
        <v>0.45</v>
      </c>
      <c r="L82">
        <v>4.4477933182771006</v>
      </c>
      <c r="M82">
        <v>4.2386840002070789</v>
      </c>
      <c r="N82">
        <v>4.5523479773121114</v>
      </c>
      <c r="O82">
        <v>4.1341293411720681</v>
      </c>
    </row>
    <row r="83" spans="1:15">
      <c r="A83" s="19">
        <v>43690</v>
      </c>
      <c r="B83">
        <v>1852</v>
      </c>
      <c r="C83">
        <v>1830</v>
      </c>
      <c r="D83">
        <v>420</v>
      </c>
      <c r="E83">
        <v>417.6</v>
      </c>
      <c r="F83">
        <v>4.3821839080459704</v>
      </c>
      <c r="G83">
        <v>4.3459606060705802</v>
      </c>
      <c r="H83">
        <v>0.10764157963477999</v>
      </c>
      <c r="I83">
        <v>0.33651774805142698</v>
      </c>
      <c r="J83">
        <v>0.83</v>
      </c>
      <c r="L83">
        <v>4.4536021857053605</v>
      </c>
      <c r="M83">
        <v>4.2383190264357999</v>
      </c>
      <c r="N83">
        <v>4.5612437653401399</v>
      </c>
      <c r="O83">
        <v>4.1306774468010206</v>
      </c>
    </row>
    <row r="84" spans="1:15">
      <c r="A84" s="19">
        <v>43686</v>
      </c>
      <c r="B84">
        <v>1842</v>
      </c>
      <c r="C84">
        <v>1860</v>
      </c>
      <c r="D84">
        <v>422.7</v>
      </c>
      <c r="E84">
        <v>424.1</v>
      </c>
      <c r="F84">
        <v>4.3857580759254802</v>
      </c>
      <c r="G84">
        <v>4.3490963318839801</v>
      </c>
      <c r="H84">
        <v>0.111988873573496</v>
      </c>
      <c r="I84">
        <v>0.32736952227169502</v>
      </c>
      <c r="J84">
        <v>0.84</v>
      </c>
      <c r="L84">
        <v>4.4610852054574766</v>
      </c>
      <c r="M84">
        <v>4.2371074583104837</v>
      </c>
      <c r="N84">
        <v>4.5730740790309721</v>
      </c>
      <c r="O84">
        <v>4.1251185847369882</v>
      </c>
    </row>
    <row r="85" spans="1:15">
      <c r="A85" s="19">
        <v>43685</v>
      </c>
      <c r="B85">
        <v>1856</v>
      </c>
      <c r="C85">
        <v>1842</v>
      </c>
      <c r="D85">
        <v>426.5</v>
      </c>
      <c r="E85">
        <v>423.3</v>
      </c>
      <c r="F85">
        <v>4.3515237420269299</v>
      </c>
      <c r="G85">
        <v>4.3541768246899304</v>
      </c>
      <c r="H85">
        <v>0.12175414320328801</v>
      </c>
      <c r="I85">
        <v>-2.17904918321618E-2</v>
      </c>
      <c r="J85">
        <v>-0.06</v>
      </c>
      <c r="L85">
        <v>4.475930967893218</v>
      </c>
      <c r="M85">
        <v>4.2324226814866428</v>
      </c>
      <c r="N85">
        <v>4.5976851110965065</v>
      </c>
      <c r="O85">
        <v>4.1106685382833543</v>
      </c>
    </row>
    <row r="86" spans="1:15">
      <c r="A86" s="19">
        <v>43684</v>
      </c>
      <c r="B86">
        <v>1879</v>
      </c>
      <c r="C86">
        <v>1875</v>
      </c>
      <c r="D86">
        <v>429.6</v>
      </c>
      <c r="E86">
        <v>429.9</v>
      </c>
      <c r="F86">
        <v>4.3614794138171602</v>
      </c>
      <c r="G86">
        <v>4.3591122513971996</v>
      </c>
      <c r="H86">
        <v>0.128842568738119</v>
      </c>
      <c r="I86">
        <v>1.8372518051624799E-2</v>
      </c>
      <c r="J86">
        <v>0.05</v>
      </c>
      <c r="L86">
        <v>4.487954820135319</v>
      </c>
      <c r="M86">
        <v>4.2302696826590802</v>
      </c>
      <c r="N86">
        <v>4.6167973888734375</v>
      </c>
      <c r="O86">
        <v>4.1014271139209617</v>
      </c>
    </row>
    <row r="87" spans="1:15">
      <c r="A87" s="19">
        <v>43683</v>
      </c>
      <c r="B87">
        <v>1788</v>
      </c>
      <c r="C87">
        <v>1899</v>
      </c>
      <c r="D87">
        <v>422.7</v>
      </c>
      <c r="E87">
        <v>431.5</v>
      </c>
      <c r="F87">
        <v>4.4009269988412498</v>
      </c>
      <c r="G87">
        <v>4.36669993328705</v>
      </c>
      <c r="H87">
        <v>0.14455699875148001</v>
      </c>
      <c r="I87">
        <v>0.236772109616364</v>
      </c>
      <c r="J87">
        <v>0.78</v>
      </c>
      <c r="L87">
        <v>4.5112569320385303</v>
      </c>
      <c r="M87">
        <v>4.2221429345355697</v>
      </c>
      <c r="N87">
        <v>4.6558139307900097</v>
      </c>
      <c r="O87">
        <v>4.0775859357840902</v>
      </c>
    </row>
    <row r="88" spans="1:15">
      <c r="A88" s="19">
        <v>43682</v>
      </c>
      <c r="B88">
        <v>1872</v>
      </c>
      <c r="C88">
        <v>1854</v>
      </c>
      <c r="D88">
        <v>443</v>
      </c>
      <c r="E88">
        <v>435.6</v>
      </c>
      <c r="F88">
        <v>4.2561983471074303</v>
      </c>
      <c r="G88">
        <v>4.3749806135955396</v>
      </c>
      <c r="H88">
        <v>0.162904045299754</v>
      </c>
      <c r="I88">
        <v>-0.72915479949892703</v>
      </c>
      <c r="J88">
        <v>-2.79</v>
      </c>
      <c r="L88">
        <v>4.5378846588952939</v>
      </c>
      <c r="M88">
        <v>4.2120765682957853</v>
      </c>
      <c r="N88">
        <v>4.7007887041950474</v>
      </c>
      <c r="O88">
        <v>4.0491725229960318</v>
      </c>
    </row>
    <row r="89" spans="1:15">
      <c r="A89" s="19">
        <v>43679</v>
      </c>
      <c r="B89">
        <v>1911</v>
      </c>
      <c r="C89">
        <v>1879</v>
      </c>
      <c r="D89">
        <v>442.4</v>
      </c>
      <c r="E89">
        <v>446.1</v>
      </c>
      <c r="F89">
        <v>4.2120600762160896</v>
      </c>
      <c r="G89">
        <v>4.3866370994022201</v>
      </c>
      <c r="H89">
        <v>0.183910878712925</v>
      </c>
      <c r="I89">
        <v>-0.94924794230708498</v>
      </c>
      <c r="J89">
        <v>-4.1399999999999997</v>
      </c>
      <c r="L89">
        <v>4.5705479781151448</v>
      </c>
      <c r="M89">
        <v>4.2027262206892955</v>
      </c>
      <c r="N89">
        <v>4.7544588568280703</v>
      </c>
      <c r="O89">
        <v>4.0188153419763699</v>
      </c>
    </row>
    <row r="90" spans="1:15">
      <c r="A90" s="19">
        <v>43678</v>
      </c>
      <c r="B90">
        <v>1936</v>
      </c>
      <c r="C90">
        <v>1938</v>
      </c>
      <c r="D90">
        <v>442.2</v>
      </c>
      <c r="E90">
        <v>451.7</v>
      </c>
      <c r="F90">
        <v>4.2904582687624497</v>
      </c>
      <c r="G90">
        <v>4.4039514159546203</v>
      </c>
      <c r="H90">
        <v>0.223521763800727</v>
      </c>
      <c r="I90">
        <v>-0.507749873043016</v>
      </c>
      <c r="J90">
        <v>-2.65</v>
      </c>
      <c r="L90">
        <v>4.6274731797553477</v>
      </c>
      <c r="M90">
        <v>4.1804296521538928</v>
      </c>
      <c r="N90">
        <v>4.8509949435560742</v>
      </c>
      <c r="O90">
        <v>3.9569078883531663</v>
      </c>
    </row>
    <row r="91" spans="1:15">
      <c r="A91" s="19">
        <v>43677</v>
      </c>
      <c r="B91">
        <v>1941</v>
      </c>
      <c r="C91">
        <v>1943</v>
      </c>
      <c r="D91">
        <v>443</v>
      </c>
      <c r="E91">
        <v>444.4</v>
      </c>
      <c r="F91">
        <v>4.3721872187218702</v>
      </c>
      <c r="G91">
        <v>4.4181249467511696</v>
      </c>
      <c r="H91">
        <v>0.248214757471342</v>
      </c>
      <c r="I91">
        <v>-0.18507250937570999</v>
      </c>
      <c r="J91">
        <v>-1.05</v>
      </c>
      <c r="L91">
        <v>4.6663397042225112</v>
      </c>
      <c r="M91">
        <v>4.169910189279828</v>
      </c>
      <c r="N91">
        <v>4.9145544616938537</v>
      </c>
      <c r="O91">
        <v>3.9216954318084856</v>
      </c>
    </row>
    <row r="92" spans="1:15">
      <c r="A92" s="19">
        <v>43676</v>
      </c>
      <c r="B92">
        <v>1985</v>
      </c>
      <c r="C92">
        <v>1948</v>
      </c>
      <c r="D92">
        <v>445</v>
      </c>
      <c r="E92">
        <v>444.8</v>
      </c>
      <c r="F92">
        <v>4.3794964028776899</v>
      </c>
      <c r="G92">
        <v>4.4327252920316003</v>
      </c>
      <c r="H92">
        <v>0.27576029180445699</v>
      </c>
      <c r="I92">
        <v>-0.193025938599065</v>
      </c>
      <c r="J92">
        <v>-1.22</v>
      </c>
      <c r="L92">
        <v>4.7084855838360573</v>
      </c>
      <c r="M92">
        <v>4.1569650002271432</v>
      </c>
      <c r="N92">
        <v>4.9842458756405144</v>
      </c>
      <c r="O92">
        <v>3.8812047084226862</v>
      </c>
    </row>
    <row r="93" spans="1:15">
      <c r="A93" s="19">
        <v>43675</v>
      </c>
      <c r="B93">
        <v>1958</v>
      </c>
      <c r="C93">
        <v>1981</v>
      </c>
      <c r="D93">
        <v>448.4</v>
      </c>
      <c r="E93">
        <v>443.1</v>
      </c>
      <c r="F93">
        <v>4.4707740916271703</v>
      </c>
      <c r="G93">
        <v>4.4468325095768204</v>
      </c>
      <c r="H93">
        <v>0.29877905034715102</v>
      </c>
      <c r="I93">
        <v>8.01313948301699E-2</v>
      </c>
      <c r="J93">
        <v>0.54</v>
      </c>
      <c r="L93">
        <v>4.7456115599239714</v>
      </c>
      <c r="M93">
        <v>4.1480534592296694</v>
      </c>
      <c r="N93">
        <v>5.0443906102711225</v>
      </c>
      <c r="O93">
        <v>3.8492744088825184</v>
      </c>
    </row>
    <row r="94" spans="1:15">
      <c r="A94" s="19">
        <v>43672</v>
      </c>
      <c r="B94">
        <v>1942</v>
      </c>
      <c r="C94">
        <v>1958</v>
      </c>
      <c r="D94">
        <v>445.4</v>
      </c>
      <c r="E94">
        <v>445.4</v>
      </c>
      <c r="F94">
        <v>4.3960484957341697</v>
      </c>
      <c r="G94">
        <v>4.4614078561075603</v>
      </c>
      <c r="H94">
        <v>0.32509606025983001</v>
      </c>
      <c r="I94">
        <v>-0.20104630096458201</v>
      </c>
      <c r="J94">
        <v>-1.49</v>
      </c>
      <c r="L94">
        <v>4.7865039163673906</v>
      </c>
      <c r="M94">
        <v>4.13631179584773</v>
      </c>
      <c r="N94">
        <v>5.11159997662722</v>
      </c>
      <c r="O94">
        <v>3.8112157355879002</v>
      </c>
    </row>
    <row r="95" spans="1:15">
      <c r="A95" s="19">
        <v>43671</v>
      </c>
      <c r="B95">
        <v>1962</v>
      </c>
      <c r="C95">
        <v>1948</v>
      </c>
      <c r="D95">
        <v>448.4</v>
      </c>
      <c r="E95">
        <v>447.9</v>
      </c>
      <c r="F95">
        <v>4.3491850859566803</v>
      </c>
      <c r="G95">
        <v>4.4758187679393302</v>
      </c>
      <c r="H95">
        <v>0.34521236441344799</v>
      </c>
      <c r="I95">
        <v>-0.36682834984145002</v>
      </c>
      <c r="J95">
        <v>-2.91</v>
      </c>
      <c r="L95">
        <v>4.8210311323527781</v>
      </c>
      <c r="M95">
        <v>4.1306064035258823</v>
      </c>
      <c r="N95">
        <v>5.1662434967662261</v>
      </c>
      <c r="O95">
        <v>3.7853940391124343</v>
      </c>
    </row>
    <row r="96" spans="1:15">
      <c r="A96" s="19">
        <v>43670</v>
      </c>
      <c r="B96">
        <v>1972</v>
      </c>
      <c r="C96">
        <v>1965</v>
      </c>
      <c r="D96">
        <v>452.6</v>
      </c>
      <c r="E96">
        <v>449.9</v>
      </c>
      <c r="F96">
        <v>4.3676372527228198</v>
      </c>
      <c r="G96">
        <v>4.4911371638462798</v>
      </c>
      <c r="H96">
        <v>0.36422008116847598</v>
      </c>
      <c r="I96">
        <v>-0.339080455770712</v>
      </c>
      <c r="J96">
        <v>-2.83</v>
      </c>
      <c r="L96">
        <v>4.8553572450147557</v>
      </c>
      <c r="M96">
        <v>4.1269170826778039</v>
      </c>
      <c r="N96">
        <v>5.2195773261832317</v>
      </c>
      <c r="O96">
        <v>3.762697001509328</v>
      </c>
    </row>
    <row r="97" spans="1:15">
      <c r="A97" s="19">
        <v>43669</v>
      </c>
      <c r="B97">
        <v>1915</v>
      </c>
      <c r="C97">
        <v>1964</v>
      </c>
      <c r="D97">
        <v>446</v>
      </c>
      <c r="E97">
        <v>448.4</v>
      </c>
      <c r="F97">
        <v>4.3800178412132</v>
      </c>
      <c r="G97">
        <v>4.5097756767764299</v>
      </c>
      <c r="H97">
        <v>0.39212208086256001</v>
      </c>
      <c r="I97">
        <v>-0.330911830514102</v>
      </c>
      <c r="J97">
        <v>-2.96</v>
      </c>
      <c r="L97">
        <v>4.9018977576389897</v>
      </c>
      <c r="M97">
        <v>4.11765359591387</v>
      </c>
      <c r="N97">
        <v>5.2940198385015496</v>
      </c>
      <c r="O97">
        <v>3.7255315150513097</v>
      </c>
    </row>
    <row r="98" spans="1:15">
      <c r="A98" s="19">
        <v>43668</v>
      </c>
      <c r="B98">
        <v>1977</v>
      </c>
      <c r="C98">
        <v>1922</v>
      </c>
      <c r="D98">
        <v>454.1</v>
      </c>
      <c r="E98">
        <v>449.9</v>
      </c>
      <c r="F98">
        <v>4.2720604578795198</v>
      </c>
      <c r="G98">
        <v>4.5293130387823997</v>
      </c>
      <c r="H98">
        <v>0.42063749801254402</v>
      </c>
      <c r="I98">
        <v>-0.61157786007753301</v>
      </c>
      <c r="J98">
        <v>-6.02</v>
      </c>
      <c r="L98">
        <v>4.9499505367949439</v>
      </c>
      <c r="M98">
        <v>4.1086755407698554</v>
      </c>
      <c r="N98">
        <v>5.3705880348074881</v>
      </c>
      <c r="O98">
        <v>3.6880380427573116</v>
      </c>
    </row>
    <row r="99" spans="1:15">
      <c r="A99" s="19">
        <v>43665</v>
      </c>
      <c r="B99">
        <v>1983</v>
      </c>
      <c r="C99">
        <v>1996</v>
      </c>
      <c r="D99">
        <v>450.6</v>
      </c>
      <c r="E99">
        <v>452.5</v>
      </c>
      <c r="F99">
        <v>4.4110497237569</v>
      </c>
      <c r="G99">
        <v>4.54723085661964</v>
      </c>
      <c r="H99">
        <v>0.43757817755947898</v>
      </c>
      <c r="I99">
        <v>-0.31121554923571199</v>
      </c>
      <c r="J99">
        <v>-3.09</v>
      </c>
      <c r="L99">
        <v>4.9848090341791194</v>
      </c>
      <c r="M99">
        <v>4.1096526790601606</v>
      </c>
      <c r="N99">
        <v>5.4223872117385978</v>
      </c>
      <c r="O99">
        <v>3.6720745015006822</v>
      </c>
    </row>
    <row r="100" spans="1:15">
      <c r="A100" s="19">
        <v>43664</v>
      </c>
      <c r="B100">
        <v>1975</v>
      </c>
      <c r="C100">
        <v>1972</v>
      </c>
      <c r="D100">
        <v>457</v>
      </c>
      <c r="E100">
        <v>450.7</v>
      </c>
      <c r="F100">
        <v>4.3754160195251801</v>
      </c>
      <c r="G100">
        <v>4.5620931600910897</v>
      </c>
      <c r="H100">
        <v>0.45141161659866802</v>
      </c>
      <c r="I100">
        <v>-0.41354084321643703</v>
      </c>
      <c r="J100">
        <v>-4.2699999999999996</v>
      </c>
      <c r="L100">
        <v>5.013504776689758</v>
      </c>
      <c r="M100">
        <v>4.1106815434924213</v>
      </c>
      <c r="N100">
        <v>5.4649163932884255</v>
      </c>
      <c r="O100">
        <v>3.6592699268937539</v>
      </c>
    </row>
    <row r="101" spans="1:15">
      <c r="A101" s="19">
        <v>43663</v>
      </c>
      <c r="B101">
        <v>2007</v>
      </c>
      <c r="C101">
        <v>1975</v>
      </c>
      <c r="D101">
        <v>453.5</v>
      </c>
      <c r="E101">
        <v>461.7</v>
      </c>
      <c r="F101">
        <v>4.2776694823478403</v>
      </c>
      <c r="G101">
        <v>4.5760515317288899</v>
      </c>
      <c r="H101">
        <v>0.46149637491671403</v>
      </c>
      <c r="I101">
        <v>-0.64655339803026202</v>
      </c>
      <c r="J101">
        <v>-6.98</v>
      </c>
      <c r="L101">
        <v>5.0375479066456039</v>
      </c>
      <c r="M101">
        <v>4.1145551568121759</v>
      </c>
      <c r="N101">
        <v>5.4990442815623179</v>
      </c>
      <c r="O101">
        <v>3.6530587818954618</v>
      </c>
    </row>
    <row r="102" spans="1:15">
      <c r="A102" s="19">
        <v>43662</v>
      </c>
      <c r="B102">
        <v>2062</v>
      </c>
      <c r="C102">
        <v>1997</v>
      </c>
      <c r="D102">
        <v>457</v>
      </c>
      <c r="E102">
        <v>455</v>
      </c>
      <c r="F102">
        <v>4.3890109890109796</v>
      </c>
      <c r="G102">
        <v>4.5890659352065004</v>
      </c>
      <c r="H102">
        <v>0.46663272810851403</v>
      </c>
      <c r="I102">
        <v>-0.42872034931289299</v>
      </c>
      <c r="J102">
        <v>-4.5599999999999996</v>
      </c>
      <c r="L102">
        <v>5.0556986633150141</v>
      </c>
      <c r="M102">
        <v>4.1224332070979868</v>
      </c>
      <c r="N102">
        <v>5.5223313914235286</v>
      </c>
      <c r="O102">
        <v>3.6558004789894722</v>
      </c>
    </row>
    <row r="103" spans="1:15">
      <c r="A103" s="19">
        <v>43658</v>
      </c>
      <c r="B103">
        <v>1975</v>
      </c>
      <c r="C103">
        <v>2047</v>
      </c>
      <c r="D103">
        <v>462</v>
      </c>
      <c r="E103">
        <v>461.6</v>
      </c>
      <c r="F103">
        <v>4.4345753899479998</v>
      </c>
      <c r="G103">
        <v>4.6010223611079804</v>
      </c>
      <c r="H103">
        <v>0.47280119666320403</v>
      </c>
      <c r="I103">
        <v>-0.35204431024006699</v>
      </c>
      <c r="J103">
        <v>-3.75</v>
      </c>
      <c r="L103">
        <v>5.0738235577711848</v>
      </c>
      <c r="M103">
        <v>4.1282211644447759</v>
      </c>
      <c r="N103">
        <v>5.5466247544343883</v>
      </c>
      <c r="O103">
        <v>3.6554199677815724</v>
      </c>
    </row>
    <row r="104" spans="1:15">
      <c r="A104" s="19">
        <v>43657</v>
      </c>
      <c r="B104">
        <v>1884</v>
      </c>
      <c r="C104">
        <v>1957</v>
      </c>
      <c r="D104">
        <v>458</v>
      </c>
      <c r="E104">
        <v>459.9</v>
      </c>
      <c r="F104">
        <v>4.2552728854098696</v>
      </c>
      <c r="G104">
        <v>4.6122161511600996</v>
      </c>
      <c r="H104">
        <v>0.47863022878868</v>
      </c>
      <c r="I104">
        <v>-0.74575997143680295</v>
      </c>
      <c r="J104">
        <v>-8.39</v>
      </c>
      <c r="L104">
        <v>5.09084637994878</v>
      </c>
      <c r="M104">
        <v>4.1335859223714193</v>
      </c>
      <c r="N104">
        <v>5.5694766087374594</v>
      </c>
      <c r="O104">
        <v>3.6549556935827399</v>
      </c>
    </row>
    <row r="105" spans="1:15">
      <c r="A105" s="19">
        <v>43656</v>
      </c>
      <c r="B105">
        <v>2029</v>
      </c>
      <c r="C105">
        <v>2002</v>
      </c>
      <c r="D105">
        <v>455.8</v>
      </c>
      <c r="E105">
        <v>459.6</v>
      </c>
      <c r="F105">
        <v>4.3559617058311497</v>
      </c>
      <c r="G105">
        <v>4.62752154144325</v>
      </c>
      <c r="H105">
        <v>0.48527873622800199</v>
      </c>
      <c r="I105">
        <v>-0.559595579486735</v>
      </c>
      <c r="J105">
        <v>-6.23</v>
      </c>
      <c r="L105">
        <v>5.1128002776712522</v>
      </c>
      <c r="M105">
        <v>4.1422428052152478</v>
      </c>
      <c r="N105">
        <v>5.5980790138992536</v>
      </c>
      <c r="O105">
        <v>3.656964068987246</v>
      </c>
    </row>
    <row r="106" spans="1:15">
      <c r="A106" s="19">
        <v>43655</v>
      </c>
      <c r="B106">
        <v>2050</v>
      </c>
      <c r="C106">
        <v>2037</v>
      </c>
      <c r="D106">
        <v>460</v>
      </c>
      <c r="E106">
        <v>457.2</v>
      </c>
      <c r="F106">
        <v>4.4553805774278201</v>
      </c>
      <c r="G106">
        <v>4.6426742731309201</v>
      </c>
      <c r="H106">
        <v>0.49422312342198499</v>
      </c>
      <c r="I106">
        <v>-0.37896586951717298</v>
      </c>
      <c r="J106">
        <v>-4.2</v>
      </c>
      <c r="L106">
        <v>5.1368973965529054</v>
      </c>
      <c r="M106">
        <v>4.1484511497089347</v>
      </c>
      <c r="N106">
        <v>5.6311205199748899</v>
      </c>
      <c r="O106">
        <v>3.6542280262869502</v>
      </c>
    </row>
    <row r="107" spans="1:15">
      <c r="A107" s="19">
        <v>43654</v>
      </c>
      <c r="B107">
        <v>2037</v>
      </c>
      <c r="C107">
        <v>2033</v>
      </c>
      <c r="D107">
        <v>455.3</v>
      </c>
      <c r="E107">
        <v>454.3</v>
      </c>
      <c r="F107">
        <v>4.47501650891481</v>
      </c>
      <c r="G107">
        <v>4.6559669675278998</v>
      </c>
      <c r="H107">
        <v>0.50234719428556396</v>
      </c>
      <c r="I107">
        <v>-0.36020995174549503</v>
      </c>
      <c r="J107">
        <v>-4.04</v>
      </c>
      <c r="L107">
        <v>5.1583141618134638</v>
      </c>
      <c r="M107">
        <v>4.1536197732423359</v>
      </c>
      <c r="N107">
        <v>5.6606613560990278</v>
      </c>
      <c r="O107">
        <v>3.6512725789567719</v>
      </c>
    </row>
    <row r="108" spans="1:15">
      <c r="A108" s="19">
        <v>43651</v>
      </c>
      <c r="B108">
        <v>2030</v>
      </c>
      <c r="C108">
        <v>2024</v>
      </c>
      <c r="D108">
        <v>448.2</v>
      </c>
      <c r="E108">
        <v>450.9</v>
      </c>
      <c r="F108">
        <v>4.48880017742293</v>
      </c>
      <c r="G108">
        <v>4.6684611034541801</v>
      </c>
      <c r="H108">
        <v>0.50929629722117797</v>
      </c>
      <c r="I108">
        <v>-0.352763071342797</v>
      </c>
      <c r="J108">
        <v>-4</v>
      </c>
      <c r="L108">
        <v>5.1777574006753584</v>
      </c>
      <c r="M108">
        <v>4.1591648062330018</v>
      </c>
      <c r="N108">
        <v>5.6870536978965358</v>
      </c>
      <c r="O108">
        <v>3.6498685090118244</v>
      </c>
    </row>
    <row r="109" spans="1:15">
      <c r="A109" s="19">
        <v>43650</v>
      </c>
      <c r="B109">
        <v>1974</v>
      </c>
      <c r="C109">
        <v>2023</v>
      </c>
      <c r="D109">
        <v>448.8</v>
      </c>
      <c r="E109">
        <v>450.2</v>
      </c>
      <c r="F109">
        <v>4.4935584184806698</v>
      </c>
      <c r="G109">
        <v>4.6808292462355299</v>
      </c>
      <c r="H109">
        <v>0.51600234992300498</v>
      </c>
      <c r="I109">
        <v>-0.362926307957331</v>
      </c>
      <c r="J109">
        <v>-4.17</v>
      </c>
      <c r="L109">
        <v>5.1968315961585345</v>
      </c>
      <c r="M109">
        <v>4.1648268963125252</v>
      </c>
      <c r="N109">
        <v>5.71283394608154</v>
      </c>
      <c r="O109">
        <v>3.6488245463895197</v>
      </c>
    </row>
    <row r="110" spans="1:15">
      <c r="A110" s="19">
        <v>43649</v>
      </c>
      <c r="B110">
        <v>1981</v>
      </c>
      <c r="C110">
        <v>1972</v>
      </c>
      <c r="D110">
        <v>449</v>
      </c>
      <c r="E110">
        <v>450.1</v>
      </c>
      <c r="F110">
        <v>4.3812486114196796</v>
      </c>
      <c r="G110">
        <v>4.69404925869918</v>
      </c>
      <c r="H110">
        <v>0.52367916299768302</v>
      </c>
      <c r="I110">
        <v>-0.59731352587898301</v>
      </c>
      <c r="J110">
        <v>-7.14</v>
      </c>
      <c r="L110">
        <v>5.2177284216968634</v>
      </c>
      <c r="M110">
        <v>4.1703700957014966</v>
      </c>
      <c r="N110">
        <v>5.7414075846945458</v>
      </c>
      <c r="O110">
        <v>3.6466909327038142</v>
      </c>
    </row>
    <row r="111" spans="1:15">
      <c r="A111" s="19">
        <v>43648</v>
      </c>
      <c r="B111">
        <v>1982</v>
      </c>
      <c r="C111">
        <v>1962</v>
      </c>
      <c r="D111">
        <v>454.3</v>
      </c>
      <c r="E111">
        <v>454.3</v>
      </c>
      <c r="F111">
        <v>4.3187321153422804</v>
      </c>
      <c r="G111">
        <v>4.70729073020504</v>
      </c>
      <c r="H111">
        <v>0.52813908210566596</v>
      </c>
      <c r="I111">
        <v>-0.73571267120318395</v>
      </c>
      <c r="J111">
        <v>-9</v>
      </c>
      <c r="L111">
        <v>5.2354298123107057</v>
      </c>
      <c r="M111">
        <v>4.1791516480993742</v>
      </c>
      <c r="N111">
        <v>5.7635688944163714</v>
      </c>
      <c r="O111">
        <v>3.651012565993708</v>
      </c>
    </row>
    <row r="112" spans="1:15">
      <c r="A112" s="19">
        <v>43647</v>
      </c>
      <c r="B112">
        <v>1970</v>
      </c>
      <c r="C112">
        <v>1959</v>
      </c>
      <c r="D112">
        <v>456.6</v>
      </c>
      <c r="E112">
        <v>453.5</v>
      </c>
      <c r="F112">
        <v>4.3197353914002203</v>
      </c>
      <c r="G112">
        <v>4.7209122557958496</v>
      </c>
      <c r="H112">
        <v>0.53110805756721302</v>
      </c>
      <c r="I112">
        <v>-0.755358271597805</v>
      </c>
      <c r="J112">
        <v>-9.2899999999999991</v>
      </c>
      <c r="L112">
        <v>5.2520203133630625</v>
      </c>
      <c r="M112">
        <v>4.1898041982286367</v>
      </c>
      <c r="N112">
        <v>5.7831283709302754</v>
      </c>
      <c r="O112">
        <v>3.6586961406614238</v>
      </c>
    </row>
    <row r="113" spans="1:15">
      <c r="A113" s="19">
        <v>43644</v>
      </c>
      <c r="B113">
        <v>1919</v>
      </c>
      <c r="C113">
        <v>1946</v>
      </c>
      <c r="D113">
        <v>449.5</v>
      </c>
      <c r="E113">
        <v>448.6</v>
      </c>
      <c r="F113">
        <v>4.3379402585822504</v>
      </c>
      <c r="G113">
        <v>4.73284510952133</v>
      </c>
      <c r="H113">
        <v>0.53201360977473799</v>
      </c>
      <c r="I113">
        <v>-0.74228336208595402</v>
      </c>
      <c r="J113">
        <v>-9.1</v>
      </c>
      <c r="L113">
        <v>5.2648587192960683</v>
      </c>
      <c r="M113">
        <v>4.2008314997465916</v>
      </c>
      <c r="N113">
        <v>5.7968723290708057</v>
      </c>
      <c r="O113">
        <v>3.6688178899718542</v>
      </c>
    </row>
    <row r="114" spans="1:15">
      <c r="A114" s="19">
        <v>43643</v>
      </c>
      <c r="B114">
        <v>1869</v>
      </c>
      <c r="C114">
        <v>1902</v>
      </c>
      <c r="D114">
        <v>442.9</v>
      </c>
      <c r="E114">
        <v>449.2</v>
      </c>
      <c r="F114">
        <v>4.2341941228851203</v>
      </c>
      <c r="G114">
        <v>4.7447592367687204</v>
      </c>
      <c r="H114">
        <v>0.53304092091800204</v>
      </c>
      <c r="I114">
        <v>-0.95783474372719002</v>
      </c>
      <c r="J114">
        <v>-12.06</v>
      </c>
      <c r="L114">
        <v>5.2778001576867224</v>
      </c>
      <c r="M114">
        <v>4.2117183158507183</v>
      </c>
      <c r="N114">
        <v>5.8108410786047244</v>
      </c>
      <c r="O114">
        <v>3.6786773949327163</v>
      </c>
    </row>
    <row r="115" spans="1:15">
      <c r="A115" s="19">
        <v>43642</v>
      </c>
      <c r="B115">
        <v>1870</v>
      </c>
      <c r="C115">
        <v>1884</v>
      </c>
      <c r="D115">
        <v>439.1</v>
      </c>
      <c r="E115">
        <v>438.1</v>
      </c>
      <c r="F115">
        <v>4.3003880392604401</v>
      </c>
      <c r="G115">
        <v>4.7576271772718002</v>
      </c>
      <c r="H115">
        <v>0.532208594841177</v>
      </c>
      <c r="I115">
        <v>-0.85913520082818196</v>
      </c>
      <c r="J115">
        <v>-10.63</v>
      </c>
      <c r="L115">
        <v>5.2898357721129772</v>
      </c>
      <c r="M115">
        <v>4.2254185824306232</v>
      </c>
      <c r="N115">
        <v>5.8220443669541542</v>
      </c>
      <c r="O115">
        <v>3.6932099875894462</v>
      </c>
    </row>
    <row r="116" spans="1:15">
      <c r="A116" s="19">
        <v>43641</v>
      </c>
      <c r="B116">
        <v>1889</v>
      </c>
      <c r="C116">
        <v>1884</v>
      </c>
      <c r="D116">
        <v>438.9</v>
      </c>
      <c r="E116">
        <v>441.1</v>
      </c>
      <c r="F116">
        <v>4.2711403309906997</v>
      </c>
      <c r="G116">
        <v>4.77145090728912</v>
      </c>
      <c r="H116">
        <v>0.53361555026644902</v>
      </c>
      <c r="I116">
        <v>-0.93758620049321295</v>
      </c>
      <c r="J116">
        <v>-11.71</v>
      </c>
      <c r="L116">
        <v>5.3050664575555686</v>
      </c>
      <c r="M116">
        <v>4.2378353570226714</v>
      </c>
      <c r="N116">
        <v>5.8386820078220181</v>
      </c>
      <c r="O116">
        <v>3.704219806756222</v>
      </c>
    </row>
    <row r="117" spans="1:15">
      <c r="A117" s="19">
        <v>43640</v>
      </c>
      <c r="B117">
        <v>1881</v>
      </c>
      <c r="C117">
        <v>1894</v>
      </c>
      <c r="D117">
        <v>440.4</v>
      </c>
      <c r="E117">
        <v>442.9</v>
      </c>
      <c r="F117">
        <v>4.2763603522239704</v>
      </c>
      <c r="G117">
        <v>4.7848873906396197</v>
      </c>
      <c r="H117">
        <v>0.53353595783830299</v>
      </c>
      <c r="I117">
        <v>-0.953126084464889</v>
      </c>
      <c r="J117">
        <v>-11.89</v>
      </c>
      <c r="L117">
        <v>5.3184233484779231</v>
      </c>
      <c r="M117">
        <v>4.2513514328013162</v>
      </c>
      <c r="N117">
        <v>5.8519593063162256</v>
      </c>
      <c r="O117">
        <v>3.7178154749630137</v>
      </c>
    </row>
    <row r="118" spans="1:15">
      <c r="A118" s="19">
        <v>43637</v>
      </c>
      <c r="B118">
        <v>1922</v>
      </c>
      <c r="C118">
        <v>1901</v>
      </c>
      <c r="D118">
        <v>440</v>
      </c>
      <c r="E118">
        <v>438.6</v>
      </c>
      <c r="F118">
        <v>4.3342453260373901</v>
      </c>
      <c r="G118">
        <v>4.79786064276826</v>
      </c>
      <c r="H118">
        <v>0.53284210548523603</v>
      </c>
      <c r="I118">
        <v>-0.87008010808131198</v>
      </c>
      <c r="J118">
        <v>-10.7</v>
      </c>
      <c r="L118">
        <v>5.3307027482534961</v>
      </c>
      <c r="M118">
        <v>4.2650185372830238</v>
      </c>
      <c r="N118">
        <v>5.8635448537387322</v>
      </c>
      <c r="O118">
        <v>3.7321764317977877</v>
      </c>
    </row>
    <row r="119" spans="1:15">
      <c r="A119" s="19">
        <v>43636</v>
      </c>
      <c r="B119">
        <v>1927</v>
      </c>
      <c r="C119">
        <v>1924</v>
      </c>
      <c r="D119">
        <v>441</v>
      </c>
      <c r="E119">
        <v>441.8</v>
      </c>
      <c r="F119">
        <v>4.3549117247623297</v>
      </c>
      <c r="G119">
        <v>4.8085519674151698</v>
      </c>
      <c r="H119">
        <v>0.53147522325435004</v>
      </c>
      <c r="I119">
        <v>-0.85354918311166705</v>
      </c>
      <c r="J119">
        <v>-10.42</v>
      </c>
      <c r="L119">
        <v>5.3400271906695203</v>
      </c>
      <c r="M119">
        <v>4.2770767441608193</v>
      </c>
      <c r="N119">
        <v>5.8715024139238698</v>
      </c>
      <c r="O119">
        <v>3.7456015209064697</v>
      </c>
    </row>
    <row r="120" spans="1:15">
      <c r="A120" s="19">
        <v>43635</v>
      </c>
      <c r="B120">
        <v>1910</v>
      </c>
      <c r="C120">
        <v>1925</v>
      </c>
      <c r="D120">
        <v>440.3</v>
      </c>
      <c r="E120">
        <v>440.2</v>
      </c>
      <c r="F120">
        <v>4.3730122671512897</v>
      </c>
      <c r="G120">
        <v>4.8207215162663903</v>
      </c>
      <c r="H120">
        <v>0.53139812266275199</v>
      </c>
      <c r="I120">
        <v>-0.84251191342509502</v>
      </c>
      <c r="J120">
        <v>-10.24</v>
      </c>
      <c r="L120">
        <v>5.3521196389291426</v>
      </c>
      <c r="M120">
        <v>4.2893233936036381</v>
      </c>
      <c r="N120">
        <v>5.8835177615918948</v>
      </c>
      <c r="O120">
        <v>3.7579252709408864</v>
      </c>
    </row>
    <row r="121" spans="1:15">
      <c r="A121" s="19">
        <v>43634</v>
      </c>
      <c r="B121">
        <v>1918</v>
      </c>
      <c r="C121">
        <v>1886</v>
      </c>
      <c r="D121">
        <v>436.3</v>
      </c>
      <c r="E121">
        <v>436.5</v>
      </c>
      <c r="F121">
        <v>4.3207331042382497</v>
      </c>
      <c r="G121">
        <v>4.8325172400908798</v>
      </c>
      <c r="H121">
        <v>0.53114795386715097</v>
      </c>
      <c r="I121">
        <v>-0.96354345738594005</v>
      </c>
      <c r="J121">
        <v>-11.84</v>
      </c>
      <c r="L121">
        <v>5.3636651939580311</v>
      </c>
      <c r="M121">
        <v>4.3013692862237285</v>
      </c>
      <c r="N121">
        <v>5.8948131478251815</v>
      </c>
      <c r="O121">
        <v>3.7702213323565781</v>
      </c>
    </row>
    <row r="122" spans="1:15">
      <c r="A122" s="19">
        <v>43633</v>
      </c>
      <c r="B122">
        <v>1954</v>
      </c>
      <c r="C122">
        <v>1922</v>
      </c>
      <c r="D122">
        <v>442</v>
      </c>
      <c r="E122">
        <v>440</v>
      </c>
      <c r="F122">
        <v>4.3681818181818102</v>
      </c>
      <c r="G122">
        <v>4.8447537404957997</v>
      </c>
      <c r="H122">
        <v>0.52978620126037002</v>
      </c>
      <c r="I122">
        <v>-0.89955518127919798</v>
      </c>
      <c r="J122">
        <v>-10.91</v>
      </c>
      <c r="L122">
        <v>5.3745399417561694</v>
      </c>
      <c r="M122">
        <v>4.3149675392354299</v>
      </c>
      <c r="N122">
        <v>5.9043261430165401</v>
      </c>
      <c r="O122">
        <v>3.7851813379750596</v>
      </c>
    </row>
    <row r="123" spans="1:15">
      <c r="A123" s="19">
        <v>43630</v>
      </c>
      <c r="B123">
        <v>1943</v>
      </c>
      <c r="C123">
        <v>1953</v>
      </c>
      <c r="D123">
        <v>443.3</v>
      </c>
      <c r="E123">
        <v>443.4</v>
      </c>
      <c r="F123">
        <v>4.4046008119079803</v>
      </c>
      <c r="G123">
        <v>4.8563029829200497</v>
      </c>
      <c r="H123">
        <v>0.52871147118402895</v>
      </c>
      <c r="I123">
        <v>-0.85434531995399399</v>
      </c>
      <c r="J123">
        <v>-10.26</v>
      </c>
      <c r="L123">
        <v>5.3850144541040788</v>
      </c>
      <c r="M123">
        <v>4.3275915117360206</v>
      </c>
      <c r="N123">
        <v>5.9137259252881078</v>
      </c>
      <c r="O123">
        <v>3.7988800405519916</v>
      </c>
    </row>
    <row r="124" spans="1:15">
      <c r="A124" s="19">
        <v>43629</v>
      </c>
      <c r="B124">
        <v>1950</v>
      </c>
      <c r="C124">
        <v>1927</v>
      </c>
      <c r="D124">
        <v>445.5</v>
      </c>
      <c r="E124">
        <v>442.1</v>
      </c>
      <c r="F124">
        <v>4.3587423659805404</v>
      </c>
      <c r="G124">
        <v>4.8674473960396503</v>
      </c>
      <c r="H124">
        <v>0.52788119534585498</v>
      </c>
      <c r="I124">
        <v>-0.96367333131807198</v>
      </c>
      <c r="J124">
        <v>-11.67</v>
      </c>
      <c r="L124">
        <v>5.3953285913855051</v>
      </c>
      <c r="M124">
        <v>4.3395662006937954</v>
      </c>
      <c r="N124">
        <v>5.92320978673136</v>
      </c>
      <c r="O124">
        <v>3.8116850053479405</v>
      </c>
    </row>
    <row r="125" spans="1:15">
      <c r="A125" s="19">
        <v>43628</v>
      </c>
      <c r="B125">
        <v>1955</v>
      </c>
      <c r="C125">
        <v>1957</v>
      </c>
      <c r="D125">
        <v>451.2</v>
      </c>
      <c r="E125">
        <v>450</v>
      </c>
      <c r="F125">
        <v>4.3488888888888804</v>
      </c>
      <c r="G125">
        <v>4.8791103382934997</v>
      </c>
      <c r="H125">
        <v>0.52617331179883797</v>
      </c>
      <c r="I125">
        <v>-1.0076935441517101</v>
      </c>
      <c r="J125">
        <v>-12.19</v>
      </c>
      <c r="L125">
        <v>5.405283650092338</v>
      </c>
      <c r="M125">
        <v>4.3529370264946614</v>
      </c>
      <c r="N125">
        <v>5.9314569618911754</v>
      </c>
      <c r="O125">
        <v>3.826763714695824</v>
      </c>
    </row>
    <row r="126" spans="1:15">
      <c r="A126" s="19">
        <v>43627</v>
      </c>
      <c r="B126">
        <v>1901</v>
      </c>
      <c r="C126">
        <v>1948</v>
      </c>
      <c r="D126">
        <v>455.2</v>
      </c>
      <c r="E126">
        <v>458.7</v>
      </c>
      <c r="F126">
        <v>4.2467843906692799</v>
      </c>
      <c r="G126">
        <v>4.8908703348441804</v>
      </c>
      <c r="H126">
        <v>0.52404347683536501</v>
      </c>
      <c r="I126">
        <v>-1.2290696719754199</v>
      </c>
      <c r="J126">
        <v>-15.17</v>
      </c>
      <c r="L126">
        <v>5.4149138116795452</v>
      </c>
      <c r="M126">
        <v>4.3668268580088156</v>
      </c>
      <c r="N126">
        <v>5.93895728851491</v>
      </c>
      <c r="O126">
        <v>3.8427833811734504</v>
      </c>
    </row>
    <row r="127" spans="1:15">
      <c r="A127" s="19">
        <v>43626</v>
      </c>
      <c r="B127">
        <v>1911</v>
      </c>
      <c r="C127">
        <v>1900</v>
      </c>
      <c r="D127">
        <v>461.8</v>
      </c>
      <c r="E127">
        <v>452.9</v>
      </c>
      <c r="F127">
        <v>4.1951865754029498</v>
      </c>
      <c r="G127">
        <v>4.9046417116701804</v>
      </c>
      <c r="H127">
        <v>0.52049575001066495</v>
      </c>
      <c r="I127">
        <v>-1.3630373278796</v>
      </c>
      <c r="J127">
        <v>-16.91</v>
      </c>
      <c r="L127">
        <v>5.425137461680845</v>
      </c>
      <c r="M127">
        <v>4.3841459616595158</v>
      </c>
      <c r="N127">
        <v>5.9456332116915105</v>
      </c>
      <c r="O127">
        <v>3.8636502116488503</v>
      </c>
    </row>
    <row r="128" spans="1:15">
      <c r="A128" s="19">
        <v>43623</v>
      </c>
      <c r="B128">
        <v>1906</v>
      </c>
      <c r="C128">
        <v>1886</v>
      </c>
      <c r="D128">
        <v>455</v>
      </c>
      <c r="E128">
        <v>460.9</v>
      </c>
      <c r="F128">
        <v>4.0919939249294801</v>
      </c>
      <c r="G128">
        <v>4.9177683906648104</v>
      </c>
      <c r="H128">
        <v>0.51482148752271095</v>
      </c>
      <c r="I128">
        <v>-1.60400155344895</v>
      </c>
      <c r="J128">
        <v>-20.18</v>
      </c>
      <c r="L128">
        <v>5.432589878187521</v>
      </c>
      <c r="M128">
        <v>4.4029469031420998</v>
      </c>
      <c r="N128">
        <v>5.9474113657102325</v>
      </c>
      <c r="O128">
        <v>3.8881254156193883</v>
      </c>
    </row>
    <row r="129" spans="1:15">
      <c r="A129" s="19">
        <v>43622</v>
      </c>
      <c r="B129">
        <v>1904</v>
      </c>
      <c r="C129">
        <v>1907</v>
      </c>
      <c r="D129">
        <v>462.9</v>
      </c>
      <c r="E129">
        <v>464.7</v>
      </c>
      <c r="F129">
        <v>4.1037228319345802</v>
      </c>
      <c r="G129">
        <v>4.9323586462874003</v>
      </c>
      <c r="H129">
        <v>0.50665316964125695</v>
      </c>
      <c r="I129">
        <v>-1.63550899116954</v>
      </c>
      <c r="J129">
        <v>-20.190000000000001</v>
      </c>
      <c r="L129">
        <v>5.4390118159286569</v>
      </c>
      <c r="M129">
        <v>4.4257054766461437</v>
      </c>
      <c r="N129">
        <v>5.9456649855699144</v>
      </c>
      <c r="O129">
        <v>3.9190523070048862</v>
      </c>
    </row>
    <row r="130" spans="1:15">
      <c r="A130" s="19">
        <v>43621</v>
      </c>
      <c r="B130">
        <v>1904</v>
      </c>
      <c r="C130">
        <v>1913</v>
      </c>
      <c r="D130">
        <v>467</v>
      </c>
      <c r="E130">
        <v>467.1</v>
      </c>
      <c r="F130">
        <v>4.0954827660029904</v>
      </c>
      <c r="G130">
        <v>4.9459740617712598</v>
      </c>
      <c r="H130">
        <v>0.49784644056591498</v>
      </c>
      <c r="I130">
        <v>-1.7083406176440401</v>
      </c>
      <c r="J130">
        <v>-20.77</v>
      </c>
      <c r="L130">
        <v>5.4438205023371751</v>
      </c>
      <c r="M130">
        <v>4.4481276212053444</v>
      </c>
      <c r="N130">
        <v>5.9416669429030895</v>
      </c>
      <c r="O130">
        <v>3.95028118063943</v>
      </c>
    </row>
    <row r="131" spans="1:15">
      <c r="A131" s="19">
        <v>43620</v>
      </c>
      <c r="B131">
        <v>1935</v>
      </c>
      <c r="C131">
        <v>1853</v>
      </c>
      <c r="D131">
        <v>460.2</v>
      </c>
      <c r="E131">
        <v>458.8</v>
      </c>
      <c r="F131">
        <v>4.0387968613774996</v>
      </c>
      <c r="G131">
        <v>4.9590104160797104</v>
      </c>
      <c r="H131">
        <v>0.48811116575927599</v>
      </c>
      <c r="I131">
        <v>-1.88525405533549</v>
      </c>
      <c r="J131">
        <v>-22.78</v>
      </c>
      <c r="L131">
        <v>5.447121581838986</v>
      </c>
      <c r="M131">
        <v>4.4708992503204348</v>
      </c>
      <c r="N131">
        <v>5.9352327475982625</v>
      </c>
      <c r="O131">
        <v>3.9827880845611583</v>
      </c>
    </row>
    <row r="132" spans="1:15">
      <c r="A132" s="19">
        <v>43619</v>
      </c>
      <c r="B132">
        <v>1950</v>
      </c>
      <c r="C132">
        <v>1924</v>
      </c>
      <c r="D132">
        <v>454.6</v>
      </c>
      <c r="E132">
        <v>455.1</v>
      </c>
      <c r="F132">
        <v>4.2276422764227597</v>
      </c>
      <c r="G132">
        <v>4.9742345449797201</v>
      </c>
      <c r="H132">
        <v>0.47684892162064901</v>
      </c>
      <c r="I132">
        <v>-1.56567884440116</v>
      </c>
      <c r="J132">
        <v>-17.66</v>
      </c>
      <c r="L132">
        <v>5.4510834666003687</v>
      </c>
      <c r="M132">
        <v>4.4973856233590714</v>
      </c>
      <c r="N132">
        <v>5.9279323882210182</v>
      </c>
      <c r="O132">
        <v>4.0205367017384219</v>
      </c>
    </row>
    <row r="133" spans="1:15">
      <c r="A133" s="19">
        <v>43616</v>
      </c>
      <c r="B133">
        <v>1975</v>
      </c>
      <c r="C133">
        <v>1967</v>
      </c>
      <c r="D133">
        <v>463.5</v>
      </c>
      <c r="E133">
        <v>459.9</v>
      </c>
      <c r="F133">
        <v>4.2770167427701598</v>
      </c>
      <c r="G133">
        <v>4.9860532260317498</v>
      </c>
      <c r="H133">
        <v>0.46912027526926903</v>
      </c>
      <c r="I133">
        <v>-1.51141726469743</v>
      </c>
      <c r="J133">
        <v>-16.579999999999998</v>
      </c>
      <c r="L133">
        <v>5.4551735013010187</v>
      </c>
      <c r="M133">
        <v>4.5169329507624809</v>
      </c>
      <c r="N133">
        <v>5.9242937765702877</v>
      </c>
      <c r="O133">
        <v>4.047812675493212</v>
      </c>
    </row>
    <row r="134" spans="1:15">
      <c r="A134" s="19">
        <v>43615</v>
      </c>
      <c r="B134">
        <v>1970</v>
      </c>
      <c r="C134">
        <v>1993</v>
      </c>
      <c r="D134">
        <v>462.5</v>
      </c>
      <c r="E134">
        <v>469.2</v>
      </c>
      <c r="F134">
        <v>4.2476555839727199</v>
      </c>
      <c r="G134">
        <v>4.9965808912460101</v>
      </c>
      <c r="H134">
        <v>0.46189434247202998</v>
      </c>
      <c r="I134">
        <v>-1.62142126111589</v>
      </c>
      <c r="J134">
        <v>-17.63</v>
      </c>
      <c r="L134">
        <v>5.4584752337180404</v>
      </c>
      <c r="M134">
        <v>4.5346865487739798</v>
      </c>
      <c r="N134">
        <v>5.9203695761900699</v>
      </c>
      <c r="O134">
        <v>4.0727922063019504</v>
      </c>
    </row>
    <row r="135" spans="1:15">
      <c r="A135" s="19">
        <v>43614</v>
      </c>
      <c r="B135">
        <v>2010</v>
      </c>
      <c r="C135">
        <v>1978</v>
      </c>
      <c r="D135">
        <v>461.5</v>
      </c>
      <c r="E135">
        <v>465.3</v>
      </c>
      <c r="F135">
        <v>4.2510208467655204</v>
      </c>
      <c r="G135">
        <v>5.0072603675285201</v>
      </c>
      <c r="H135">
        <v>0.453640731533621</v>
      </c>
      <c r="I135">
        <v>-1.6670450164525099</v>
      </c>
      <c r="J135">
        <v>-17.79</v>
      </c>
      <c r="L135">
        <v>5.4609010990621414</v>
      </c>
      <c r="M135">
        <v>4.5536196359948988</v>
      </c>
      <c r="N135">
        <v>5.9145418305957618</v>
      </c>
      <c r="O135">
        <v>4.0999789044612784</v>
      </c>
    </row>
    <row r="136" spans="1:15">
      <c r="A136" s="19">
        <v>43613</v>
      </c>
      <c r="B136">
        <v>2003</v>
      </c>
      <c r="C136">
        <v>2029</v>
      </c>
      <c r="D136">
        <v>465.5</v>
      </c>
      <c r="E136">
        <v>466.8</v>
      </c>
      <c r="F136">
        <v>4.3466152527849102</v>
      </c>
      <c r="G136">
        <v>5.0174743738407397</v>
      </c>
      <c r="H136">
        <v>0.44504107818842997</v>
      </c>
      <c r="I136">
        <v>-1.5074094368695099</v>
      </c>
      <c r="J136">
        <v>-15.43</v>
      </c>
      <c r="L136">
        <v>5.4625154520291694</v>
      </c>
      <c r="M136">
        <v>4.5724332956523099</v>
      </c>
      <c r="N136">
        <v>5.9075565302175992</v>
      </c>
      <c r="O136">
        <v>4.1273922174638802</v>
      </c>
    </row>
    <row r="137" spans="1:15">
      <c r="A137" s="19">
        <v>43612</v>
      </c>
      <c r="B137">
        <v>1975</v>
      </c>
      <c r="C137">
        <v>1987</v>
      </c>
      <c r="D137">
        <v>468</v>
      </c>
      <c r="E137">
        <v>465.5</v>
      </c>
      <c r="F137">
        <v>4.2685284640171801</v>
      </c>
      <c r="G137">
        <v>5.0218338639903104</v>
      </c>
      <c r="H137">
        <v>0.440021289528232</v>
      </c>
      <c r="I137">
        <v>-1.71197489280752</v>
      </c>
      <c r="J137">
        <v>-17.649999999999999</v>
      </c>
      <c r="L137">
        <v>5.4618551535185427</v>
      </c>
      <c r="M137">
        <v>4.5818125744620781</v>
      </c>
      <c r="N137">
        <v>5.9018764430467741</v>
      </c>
      <c r="O137">
        <v>4.1417912849338467</v>
      </c>
    </row>
    <row r="138" spans="1:15">
      <c r="A138" s="19">
        <v>43609</v>
      </c>
      <c r="B138">
        <v>1950</v>
      </c>
      <c r="C138">
        <v>1975</v>
      </c>
      <c r="D138">
        <v>461.4</v>
      </c>
      <c r="E138">
        <v>465.8</v>
      </c>
      <c r="F138">
        <v>4.2400171747531097</v>
      </c>
      <c r="G138">
        <v>5.0266422312731498</v>
      </c>
      <c r="H138">
        <v>0.43368802895425601</v>
      </c>
      <c r="I138">
        <v>-1.81380394201059</v>
      </c>
      <c r="J138">
        <v>-18.55</v>
      </c>
      <c r="L138">
        <v>5.4603302602274058</v>
      </c>
      <c r="M138">
        <v>4.5929542023188938</v>
      </c>
      <c r="N138">
        <v>5.8940182891816617</v>
      </c>
      <c r="O138">
        <v>4.1592661733646379</v>
      </c>
    </row>
    <row r="139" spans="1:15">
      <c r="A139" s="19">
        <v>43608</v>
      </c>
      <c r="B139">
        <v>1977</v>
      </c>
      <c r="C139">
        <v>1962</v>
      </c>
      <c r="D139">
        <v>460.3</v>
      </c>
      <c r="E139">
        <v>462.9</v>
      </c>
      <c r="F139">
        <v>4.2384964355152297</v>
      </c>
      <c r="G139">
        <v>5.0309115886511302</v>
      </c>
      <c r="H139">
        <v>0.427454521557385</v>
      </c>
      <c r="I139">
        <v>-1.8537999089325901</v>
      </c>
      <c r="J139">
        <v>-18.7</v>
      </c>
      <c r="L139">
        <v>5.458366110208515</v>
      </c>
      <c r="M139">
        <v>4.6034570670937454</v>
      </c>
      <c r="N139">
        <v>5.8858206317658999</v>
      </c>
      <c r="O139">
        <v>4.1760025455363605</v>
      </c>
    </row>
    <row r="140" spans="1:15">
      <c r="A140" s="19">
        <v>43607</v>
      </c>
      <c r="B140">
        <v>2008</v>
      </c>
      <c r="C140">
        <v>1991</v>
      </c>
      <c r="D140">
        <v>465.6</v>
      </c>
      <c r="E140">
        <v>464</v>
      </c>
      <c r="F140">
        <v>4.2909482758620596</v>
      </c>
      <c r="G140">
        <v>5.0332809370673699</v>
      </c>
      <c r="H140">
        <v>0.42353013458970801</v>
      </c>
      <c r="I140">
        <v>-1.7527269031858499</v>
      </c>
      <c r="J140">
        <v>-17.3</v>
      </c>
      <c r="L140">
        <v>5.4568110716570777</v>
      </c>
      <c r="M140">
        <v>4.6097508024776621</v>
      </c>
      <c r="N140">
        <v>5.8803412062467864</v>
      </c>
      <c r="O140">
        <v>4.1862206678879534</v>
      </c>
    </row>
    <row r="141" spans="1:15">
      <c r="A141" s="19">
        <v>43606</v>
      </c>
      <c r="B141">
        <v>1996</v>
      </c>
      <c r="C141">
        <v>2004</v>
      </c>
      <c r="D141">
        <v>460.2</v>
      </c>
      <c r="E141">
        <v>464.3</v>
      </c>
      <c r="F141">
        <v>4.3161748869265502</v>
      </c>
      <c r="G141">
        <v>5.0322591120395801</v>
      </c>
      <c r="H141">
        <v>0.425408166873398</v>
      </c>
      <c r="I141">
        <v>-1.6832874422134201</v>
      </c>
      <c r="J141">
        <v>-16.59</v>
      </c>
      <c r="L141">
        <v>5.4576672789129779</v>
      </c>
      <c r="M141">
        <v>4.6068509451661823</v>
      </c>
      <c r="N141">
        <v>5.8830754457863765</v>
      </c>
      <c r="O141">
        <v>4.1814427782927837</v>
      </c>
    </row>
    <row r="142" spans="1:15">
      <c r="A142" s="19">
        <v>43605</v>
      </c>
      <c r="B142">
        <v>2043</v>
      </c>
      <c r="C142">
        <v>2023</v>
      </c>
      <c r="D142">
        <v>466.4</v>
      </c>
      <c r="E142">
        <v>467.5</v>
      </c>
      <c r="F142">
        <v>4.3272727272727201</v>
      </c>
      <c r="G142">
        <v>5.0316424806969797</v>
      </c>
      <c r="H142">
        <v>0.426477860771938</v>
      </c>
      <c r="I142">
        <v>-1.65159746428414</v>
      </c>
      <c r="J142">
        <v>-16.28</v>
      </c>
      <c r="L142">
        <v>5.4581203414689181</v>
      </c>
      <c r="M142">
        <v>4.6051646199250413</v>
      </c>
      <c r="N142">
        <v>5.8845982022408556</v>
      </c>
      <c r="O142">
        <v>4.1786867591531038</v>
      </c>
    </row>
    <row r="143" spans="1:15">
      <c r="A143" s="19">
        <v>43602</v>
      </c>
      <c r="B143">
        <v>1982</v>
      </c>
      <c r="C143">
        <v>2023</v>
      </c>
      <c r="D143">
        <v>468</v>
      </c>
      <c r="E143">
        <v>462.9</v>
      </c>
      <c r="F143">
        <v>4.3702743573125904</v>
      </c>
      <c r="G143">
        <v>5.0309140989841499</v>
      </c>
      <c r="H143">
        <v>0.427725058627133</v>
      </c>
      <c r="I143">
        <v>-1.5445429916872599</v>
      </c>
      <c r="J143">
        <v>-15.12</v>
      </c>
      <c r="L143">
        <v>5.4586391576112829</v>
      </c>
      <c r="M143">
        <v>4.6031890403570168</v>
      </c>
      <c r="N143">
        <v>5.886364216238416</v>
      </c>
      <c r="O143">
        <v>4.1754639817298838</v>
      </c>
    </row>
    <row r="144" spans="1:15">
      <c r="A144" s="19">
        <v>43601</v>
      </c>
      <c r="B144">
        <v>1991</v>
      </c>
      <c r="C144">
        <v>1975</v>
      </c>
      <c r="D144">
        <v>458.3</v>
      </c>
      <c r="E144">
        <v>462.2</v>
      </c>
      <c r="F144">
        <v>4.2730419731717797</v>
      </c>
      <c r="G144">
        <v>5.03132306531006</v>
      </c>
      <c r="H144">
        <v>0.42710741473019997</v>
      </c>
      <c r="I144">
        <v>-1.775387328776</v>
      </c>
      <c r="J144">
        <v>-17.75</v>
      </c>
      <c r="L144">
        <v>5.4584304800402599</v>
      </c>
      <c r="M144">
        <v>4.6042156505798602</v>
      </c>
      <c r="N144">
        <v>5.8855378947704597</v>
      </c>
      <c r="O144">
        <v>4.1771082358496603</v>
      </c>
    </row>
    <row r="145" spans="1:15">
      <c r="A145" s="19">
        <v>43600</v>
      </c>
      <c r="B145">
        <v>2019</v>
      </c>
      <c r="C145">
        <v>1981</v>
      </c>
      <c r="D145">
        <v>458.3</v>
      </c>
      <c r="E145">
        <v>462.3</v>
      </c>
      <c r="F145">
        <v>4.2850962578412197</v>
      </c>
      <c r="G145">
        <v>5.0320262669047304</v>
      </c>
      <c r="H145">
        <v>0.42590009064900702</v>
      </c>
      <c r="I145">
        <v>-1.75376813826289</v>
      </c>
      <c r="J145">
        <v>-17.43</v>
      </c>
      <c r="L145">
        <v>5.4579263575537373</v>
      </c>
      <c r="M145">
        <v>4.6061261762557235</v>
      </c>
      <c r="N145">
        <v>5.8838264482027443</v>
      </c>
      <c r="O145">
        <v>4.1802260856067166</v>
      </c>
    </row>
    <row r="146" spans="1:15">
      <c r="A146" s="19">
        <v>43599</v>
      </c>
      <c r="B146">
        <v>1982</v>
      </c>
      <c r="C146">
        <v>2004</v>
      </c>
      <c r="D146">
        <v>434</v>
      </c>
      <c r="E146">
        <v>454.3</v>
      </c>
      <c r="F146">
        <v>4.4111820383006801</v>
      </c>
      <c r="G146">
        <v>5.0313707789901398</v>
      </c>
      <c r="H146">
        <v>0.42708534225475803</v>
      </c>
      <c r="I146">
        <v>-1.4521424158816301</v>
      </c>
      <c r="J146">
        <v>-14.06</v>
      </c>
      <c r="L146">
        <v>5.4584561212448977</v>
      </c>
      <c r="M146">
        <v>4.604285436735382</v>
      </c>
      <c r="N146">
        <v>5.8855414634996563</v>
      </c>
      <c r="O146">
        <v>4.1772000944806233</v>
      </c>
    </row>
    <row r="147" spans="1:15">
      <c r="A147" s="19">
        <v>43598</v>
      </c>
      <c r="B147">
        <v>2020</v>
      </c>
      <c r="C147">
        <v>2037</v>
      </c>
      <c r="D147">
        <v>454.6</v>
      </c>
      <c r="E147">
        <v>458</v>
      </c>
      <c r="F147">
        <v>4.4475982532750997</v>
      </c>
      <c r="G147">
        <v>5.0273752500455799</v>
      </c>
      <c r="H147">
        <v>0.43421101818396302</v>
      </c>
      <c r="I147">
        <v>-1.3352424800165701</v>
      </c>
      <c r="J147">
        <v>-13.04</v>
      </c>
      <c r="L147">
        <v>5.4615862682295431</v>
      </c>
      <c r="M147">
        <v>4.5931642318616168</v>
      </c>
      <c r="N147">
        <v>5.8957972864135062</v>
      </c>
      <c r="O147">
        <v>4.1589532136776537</v>
      </c>
    </row>
    <row r="148" spans="1:15">
      <c r="A148" s="19">
        <v>43595</v>
      </c>
      <c r="B148">
        <v>2058</v>
      </c>
      <c r="C148">
        <v>2021</v>
      </c>
      <c r="D148">
        <v>447.4</v>
      </c>
      <c r="E148">
        <v>446.6</v>
      </c>
      <c r="F148">
        <v>4.5253022839229704</v>
      </c>
      <c r="G148">
        <v>5.0247406066685798</v>
      </c>
      <c r="H148">
        <v>0.438301128386964</v>
      </c>
      <c r="I148">
        <v>-1.1394867373114901</v>
      </c>
      <c r="J148">
        <v>-11.04</v>
      </c>
      <c r="L148">
        <v>5.463041735055544</v>
      </c>
      <c r="M148">
        <v>4.5864394782816156</v>
      </c>
      <c r="N148">
        <v>5.9013428634425082</v>
      </c>
      <c r="O148">
        <v>4.1481383498946514</v>
      </c>
    </row>
    <row r="149" spans="1:15">
      <c r="A149" s="19">
        <v>43594</v>
      </c>
      <c r="B149">
        <v>2056</v>
      </c>
      <c r="C149">
        <v>2060</v>
      </c>
      <c r="D149">
        <v>455.3</v>
      </c>
      <c r="E149">
        <v>451.9</v>
      </c>
      <c r="F149">
        <v>4.5585306483735302</v>
      </c>
      <c r="G149">
        <v>5.0209564651856198</v>
      </c>
      <c r="H149">
        <v>0.44378759500048698</v>
      </c>
      <c r="I149">
        <v>-1.04199806849396</v>
      </c>
      <c r="J149">
        <v>-10.14</v>
      </c>
      <c r="L149">
        <v>5.4647440601861064</v>
      </c>
      <c r="M149">
        <v>4.5771688701851332</v>
      </c>
      <c r="N149">
        <v>5.9085316551865938</v>
      </c>
      <c r="O149">
        <v>4.1333812751846457</v>
      </c>
    </row>
    <row r="150" spans="1:15">
      <c r="A150" s="19">
        <v>43593</v>
      </c>
      <c r="B150">
        <v>2031</v>
      </c>
      <c r="C150">
        <v>2056</v>
      </c>
      <c r="D150">
        <v>458.2</v>
      </c>
      <c r="E150">
        <v>459.9</v>
      </c>
      <c r="F150">
        <v>4.4705370732767999</v>
      </c>
      <c r="G150">
        <v>5.0166305297259903</v>
      </c>
      <c r="H150">
        <v>0.44981450960988001</v>
      </c>
      <c r="I150">
        <v>-1.21404144326694</v>
      </c>
      <c r="J150">
        <v>-12.22</v>
      </c>
      <c r="L150">
        <v>5.4664450393358699</v>
      </c>
      <c r="M150">
        <v>4.5668160201161108</v>
      </c>
      <c r="N150">
        <v>5.9162595489457503</v>
      </c>
      <c r="O150">
        <v>4.1170015105062303</v>
      </c>
    </row>
    <row r="151" spans="1:15">
      <c r="A151" s="19">
        <v>43592</v>
      </c>
      <c r="B151">
        <v>2115</v>
      </c>
      <c r="C151">
        <v>2073</v>
      </c>
      <c r="D151">
        <v>475.3</v>
      </c>
      <c r="E151">
        <v>469.5</v>
      </c>
      <c r="F151">
        <v>4.4153354632587796</v>
      </c>
      <c r="G151">
        <v>5.0158102479866402</v>
      </c>
      <c r="H151">
        <v>0.45086448721754901</v>
      </c>
      <c r="I151">
        <v>-1.3318298552046199</v>
      </c>
      <c r="J151">
        <v>-13.6</v>
      </c>
      <c r="L151">
        <v>5.4666747352041893</v>
      </c>
      <c r="M151">
        <v>4.5649457607690911</v>
      </c>
      <c r="N151">
        <v>5.9175392224217385</v>
      </c>
      <c r="O151">
        <v>4.114081273551542</v>
      </c>
    </row>
    <row r="152" spans="1:15">
      <c r="A152" s="19">
        <v>43581</v>
      </c>
      <c r="B152">
        <v>2105</v>
      </c>
      <c r="C152">
        <v>2114</v>
      </c>
      <c r="D152">
        <v>468</v>
      </c>
      <c r="E152">
        <v>469.7</v>
      </c>
      <c r="F152">
        <v>4.5007451564828598</v>
      </c>
      <c r="G152">
        <v>5.02227949905875</v>
      </c>
      <c r="H152">
        <v>0.44565292666189099</v>
      </c>
      <c r="I152">
        <v>-1.17027020664349</v>
      </c>
      <c r="J152">
        <v>-11.59</v>
      </c>
      <c r="L152">
        <v>5.4679324257206412</v>
      </c>
      <c r="M152">
        <v>4.5766265723968589</v>
      </c>
      <c r="N152">
        <v>5.9135853523825324</v>
      </c>
      <c r="O152">
        <v>4.1309736457349677</v>
      </c>
    </row>
    <row r="153" spans="1:15">
      <c r="A153" s="19">
        <v>43580</v>
      </c>
      <c r="B153">
        <v>2125</v>
      </c>
      <c r="C153">
        <v>2132</v>
      </c>
      <c r="D153">
        <v>468</v>
      </c>
      <c r="E153">
        <v>472.7</v>
      </c>
      <c r="F153">
        <v>4.51026020731965</v>
      </c>
      <c r="G153">
        <v>5.0277102893959897</v>
      </c>
      <c r="H153">
        <v>0.441728832541809</v>
      </c>
      <c r="I153">
        <v>-1.1714202106727201</v>
      </c>
      <c r="J153">
        <v>-11.47</v>
      </c>
      <c r="L153">
        <v>5.4694391219377989</v>
      </c>
      <c r="M153">
        <v>4.5859814568541806</v>
      </c>
      <c r="N153">
        <v>5.9111679544796081</v>
      </c>
      <c r="O153">
        <v>4.1442526243123714</v>
      </c>
    </row>
    <row r="154" spans="1:15">
      <c r="A154" s="19">
        <v>43579</v>
      </c>
      <c r="B154">
        <v>2122</v>
      </c>
      <c r="C154">
        <v>2117</v>
      </c>
      <c r="D154">
        <v>475</v>
      </c>
      <c r="E154">
        <v>467.4</v>
      </c>
      <c r="F154">
        <v>4.5293110825845098</v>
      </c>
      <c r="G154">
        <v>5.0329957745637204</v>
      </c>
      <c r="H154">
        <v>0.437860368367534</v>
      </c>
      <c r="I154">
        <v>-1.1503317686802501</v>
      </c>
      <c r="J154">
        <v>-11.12</v>
      </c>
      <c r="L154">
        <v>5.4708561429312548</v>
      </c>
      <c r="M154">
        <v>4.595135406196186</v>
      </c>
      <c r="N154">
        <v>5.9087165112987883</v>
      </c>
      <c r="O154">
        <v>4.1572750378286525</v>
      </c>
    </row>
    <row r="155" spans="1:15">
      <c r="A155" s="19">
        <v>43578</v>
      </c>
      <c r="B155">
        <v>2090</v>
      </c>
      <c r="C155">
        <v>2090</v>
      </c>
      <c r="D155">
        <v>469.2</v>
      </c>
      <c r="E155">
        <v>473.6</v>
      </c>
      <c r="F155">
        <v>4.4130067567567499</v>
      </c>
      <c r="G155">
        <v>5.0382638162643101</v>
      </c>
      <c r="H155">
        <v>0.434129595573649</v>
      </c>
      <c r="I155">
        <v>-1.4402543984161</v>
      </c>
      <c r="J155">
        <v>-14.17</v>
      </c>
      <c r="L155">
        <v>5.4723934118379587</v>
      </c>
      <c r="M155">
        <v>4.6041342206906615</v>
      </c>
      <c r="N155">
        <v>5.9065230074116082</v>
      </c>
      <c r="O155">
        <v>4.170004625117012</v>
      </c>
    </row>
    <row r="156" spans="1:15">
      <c r="A156" s="19">
        <v>43577</v>
      </c>
      <c r="B156">
        <v>2119</v>
      </c>
      <c r="C156">
        <v>2118</v>
      </c>
      <c r="D156">
        <v>461.6</v>
      </c>
      <c r="E156">
        <v>468.2</v>
      </c>
      <c r="F156">
        <v>4.5237078171721397</v>
      </c>
      <c r="G156">
        <v>5.0463804123856804</v>
      </c>
      <c r="H156">
        <v>0.42801126564266301</v>
      </c>
      <c r="I156">
        <v>-1.2211655093440901</v>
      </c>
      <c r="J156">
        <v>-11.55</v>
      </c>
      <c r="L156">
        <v>5.4743916780283435</v>
      </c>
      <c r="M156">
        <v>4.6183691467430172</v>
      </c>
      <c r="N156">
        <v>5.9024029436710066</v>
      </c>
      <c r="O156">
        <v>4.1903578811003541</v>
      </c>
    </row>
    <row r="157" spans="1:15">
      <c r="A157" s="19">
        <v>43574</v>
      </c>
      <c r="B157">
        <v>2136</v>
      </c>
      <c r="C157">
        <v>2120</v>
      </c>
      <c r="D157">
        <v>465</v>
      </c>
      <c r="E157">
        <v>464.2</v>
      </c>
      <c r="F157">
        <v>4.5669969840585898</v>
      </c>
      <c r="G157">
        <v>5.05395179163793</v>
      </c>
      <c r="H157">
        <v>0.42369924077182303</v>
      </c>
      <c r="I157">
        <v>-1.14929355712861</v>
      </c>
      <c r="J157">
        <v>-10.66</v>
      </c>
      <c r="L157">
        <v>5.4776510324097529</v>
      </c>
      <c r="M157">
        <v>4.630252550866107</v>
      </c>
      <c r="N157">
        <v>5.9013502731815759</v>
      </c>
      <c r="O157">
        <v>4.206553310094284</v>
      </c>
    </row>
    <row r="158" spans="1:15">
      <c r="A158" s="19">
        <v>43573</v>
      </c>
      <c r="B158">
        <v>2250</v>
      </c>
      <c r="C158">
        <v>2154</v>
      </c>
      <c r="D158">
        <v>470</v>
      </c>
      <c r="E158">
        <v>466.5</v>
      </c>
      <c r="F158">
        <v>4.6173633440514399</v>
      </c>
      <c r="G158">
        <v>5.05886746537875</v>
      </c>
      <c r="H158">
        <v>0.42014491486341998</v>
      </c>
      <c r="I158">
        <v>-1.05083771267547</v>
      </c>
      <c r="J158">
        <v>-9.56</v>
      </c>
      <c r="L158">
        <v>5.4790123802421702</v>
      </c>
      <c r="M158">
        <v>4.6387225505153298</v>
      </c>
      <c r="N158">
        <v>5.8991572951055904</v>
      </c>
      <c r="O158">
        <v>4.2185776356519096</v>
      </c>
    </row>
    <row r="159" spans="1:15">
      <c r="A159" s="19">
        <v>43572</v>
      </c>
      <c r="B159">
        <v>2164</v>
      </c>
      <c r="C159">
        <v>2228</v>
      </c>
      <c r="D159">
        <v>463.4</v>
      </c>
      <c r="E159">
        <v>467.4</v>
      </c>
      <c r="F159">
        <v>4.76679503637141</v>
      </c>
      <c r="G159">
        <v>5.0624993687588802</v>
      </c>
      <c r="H159">
        <v>0.41748157121535701</v>
      </c>
      <c r="I159">
        <v>-0.70830511518537098</v>
      </c>
      <c r="J159">
        <v>-6.2</v>
      </c>
      <c r="L159">
        <v>5.4799809399742374</v>
      </c>
      <c r="M159">
        <v>4.645017797543523</v>
      </c>
      <c r="N159">
        <v>5.8974625111895946</v>
      </c>
      <c r="O159">
        <v>4.2275362263281657</v>
      </c>
    </row>
    <row r="160" spans="1:15">
      <c r="A160" s="19">
        <v>43571</v>
      </c>
      <c r="B160">
        <v>2203</v>
      </c>
      <c r="C160">
        <v>2180</v>
      </c>
      <c r="D160">
        <v>457.3</v>
      </c>
      <c r="E160">
        <v>461.7</v>
      </c>
      <c r="F160">
        <v>4.7216807450725504</v>
      </c>
      <c r="G160">
        <v>5.0654825534562997</v>
      </c>
      <c r="H160">
        <v>0.416155182540413</v>
      </c>
      <c r="I160">
        <v>-0.82613847624104297</v>
      </c>
      <c r="J160">
        <v>-7.28</v>
      </c>
      <c r="L160">
        <v>5.4816377359967126</v>
      </c>
      <c r="M160">
        <v>4.6493273709158869</v>
      </c>
      <c r="N160">
        <v>5.8977929185371254</v>
      </c>
      <c r="O160">
        <v>4.233172188375474</v>
      </c>
    </row>
    <row r="161" spans="1:15">
      <c r="A161" s="19">
        <v>43570</v>
      </c>
      <c r="B161">
        <v>2270</v>
      </c>
      <c r="C161">
        <v>2272</v>
      </c>
      <c r="D161">
        <v>463</v>
      </c>
      <c r="E161">
        <v>460.8</v>
      </c>
      <c r="F161">
        <v>4.93055555555555</v>
      </c>
      <c r="G161">
        <v>5.0705099199750601</v>
      </c>
      <c r="H161">
        <v>0.41424462241356902</v>
      </c>
      <c r="I161">
        <v>-0.33785439049051003</v>
      </c>
      <c r="J161">
        <v>-2.84</v>
      </c>
      <c r="L161">
        <v>5.4847545423886288</v>
      </c>
      <c r="M161">
        <v>4.6562652975614913</v>
      </c>
      <c r="N161">
        <v>5.8989991648021984</v>
      </c>
      <c r="O161">
        <v>4.2420206751479217</v>
      </c>
    </row>
    <row r="162" spans="1:15">
      <c r="A162" s="19">
        <v>43567</v>
      </c>
      <c r="B162">
        <v>2337</v>
      </c>
      <c r="C162">
        <v>2285</v>
      </c>
      <c r="D162">
        <v>462.9</v>
      </c>
      <c r="E162">
        <v>455</v>
      </c>
      <c r="F162">
        <v>5.0219780219780201</v>
      </c>
      <c r="G162">
        <v>5.0745706421392303</v>
      </c>
      <c r="H162">
        <v>0.41434550316374702</v>
      </c>
      <c r="I162">
        <v>-0.12692938564468301</v>
      </c>
      <c r="J162">
        <v>-1.05</v>
      </c>
      <c r="L162">
        <v>5.4889161453029773</v>
      </c>
      <c r="M162">
        <v>4.6602251389754832</v>
      </c>
      <c r="N162">
        <v>5.9032616484667244</v>
      </c>
      <c r="O162">
        <v>4.2458796358117361</v>
      </c>
    </row>
    <row r="163" spans="1:15">
      <c r="A163" s="19">
        <v>43566</v>
      </c>
      <c r="B163">
        <v>2267</v>
      </c>
      <c r="C163">
        <v>2360</v>
      </c>
      <c r="D163">
        <v>470.7</v>
      </c>
      <c r="E163">
        <v>460</v>
      </c>
      <c r="F163">
        <v>5.13043478260869</v>
      </c>
      <c r="G163">
        <v>5.0759208371940101</v>
      </c>
      <c r="H163">
        <v>0.41433691529413502</v>
      </c>
      <c r="I163">
        <v>0.131569125034357</v>
      </c>
      <c r="J163">
        <v>1.06</v>
      </c>
      <c r="L163">
        <v>5.4902577524881453</v>
      </c>
      <c r="M163">
        <v>4.6615839218998749</v>
      </c>
      <c r="N163">
        <v>5.9045946677822805</v>
      </c>
      <c r="O163">
        <v>4.2472470066057397</v>
      </c>
    </row>
    <row r="164" spans="1:15">
      <c r="A164" s="19">
        <v>43565</v>
      </c>
      <c r="B164">
        <v>2584</v>
      </c>
      <c r="C164">
        <v>2617</v>
      </c>
      <c r="D164">
        <v>476</v>
      </c>
      <c r="E164">
        <v>474.9</v>
      </c>
      <c r="F164">
        <v>5.5106338176458198</v>
      </c>
      <c r="G164">
        <v>5.0770165415940598</v>
      </c>
      <c r="H164">
        <v>0.41458820986245998</v>
      </c>
      <c r="I164">
        <v>1.04589871524713</v>
      </c>
      <c r="J164">
        <v>7.87</v>
      </c>
      <c r="L164">
        <v>5.4916047514565198</v>
      </c>
      <c r="M164">
        <v>4.6624283317315998</v>
      </c>
      <c r="N164">
        <v>5.9061929613189799</v>
      </c>
      <c r="O164">
        <v>4.2478401218691397</v>
      </c>
    </row>
    <row r="165" spans="1:15">
      <c r="A165" s="19">
        <v>43564</v>
      </c>
      <c r="B165">
        <v>2650</v>
      </c>
      <c r="C165">
        <v>2605</v>
      </c>
      <c r="D165">
        <v>483.2</v>
      </c>
      <c r="E165">
        <v>486.6</v>
      </c>
      <c r="F165">
        <v>5.3534730785039004</v>
      </c>
      <c r="G165">
        <v>5.0726351872326001</v>
      </c>
      <c r="H165">
        <v>0.41170893305429002</v>
      </c>
      <c r="I165">
        <v>0.68212727177884602</v>
      </c>
      <c r="J165">
        <v>5.25</v>
      </c>
      <c r="L165">
        <v>5.4843441202868899</v>
      </c>
      <c r="M165">
        <v>4.6609262541783103</v>
      </c>
      <c r="N165">
        <v>5.8960530533411806</v>
      </c>
      <c r="O165">
        <v>4.2492173211240196</v>
      </c>
    </row>
    <row r="166" spans="1:15">
      <c r="A166" s="19">
        <v>43563</v>
      </c>
      <c r="B166">
        <v>2705</v>
      </c>
      <c r="C166">
        <v>2668</v>
      </c>
      <c r="D166">
        <v>498.4</v>
      </c>
      <c r="E166">
        <v>488</v>
      </c>
      <c r="F166">
        <v>5.4672131147540899</v>
      </c>
      <c r="G166">
        <v>5.0701852963037499</v>
      </c>
      <c r="H166">
        <v>0.410575628360693</v>
      </c>
      <c r="I166">
        <v>0.96700288820250302</v>
      </c>
      <c r="J166">
        <v>7.26</v>
      </c>
      <c r="L166">
        <v>5.4807609246644429</v>
      </c>
      <c r="M166">
        <v>4.659609667943057</v>
      </c>
      <c r="N166">
        <v>5.8913365530251358</v>
      </c>
      <c r="O166">
        <v>4.249034039582364</v>
      </c>
    </row>
    <row r="167" spans="1:15">
      <c r="A167" s="19">
        <v>43560</v>
      </c>
      <c r="B167">
        <v>2743</v>
      </c>
      <c r="C167">
        <v>2703</v>
      </c>
      <c r="D167">
        <v>492.8</v>
      </c>
      <c r="E167">
        <v>497.1</v>
      </c>
      <c r="F167">
        <v>5.4375377187688496</v>
      </c>
      <c r="G167">
        <v>5.0668047909560299</v>
      </c>
      <c r="H167">
        <v>0.40833037566520802</v>
      </c>
      <c r="I167">
        <v>0.90792395057278696</v>
      </c>
      <c r="J167">
        <v>6.82</v>
      </c>
      <c r="L167">
        <v>5.4751351666212376</v>
      </c>
      <c r="M167">
        <v>4.6584744152908222</v>
      </c>
      <c r="N167">
        <v>5.8834655422864461</v>
      </c>
      <c r="O167">
        <v>4.2501440396256136</v>
      </c>
    </row>
    <row r="168" spans="1:15">
      <c r="A168" s="19">
        <v>43559</v>
      </c>
      <c r="B168">
        <v>2696</v>
      </c>
      <c r="C168">
        <v>2733</v>
      </c>
      <c r="D168">
        <v>495</v>
      </c>
      <c r="E168">
        <v>491.2</v>
      </c>
      <c r="F168">
        <v>5.5639250814332204</v>
      </c>
      <c r="G168">
        <v>5.0647667505015699</v>
      </c>
      <c r="H168">
        <v>0.406853690335583</v>
      </c>
      <c r="I168">
        <v>1.2268742862327899</v>
      </c>
      <c r="J168">
        <v>8.9700000000000006</v>
      </c>
      <c r="L168">
        <v>5.4716204408371532</v>
      </c>
      <c r="M168">
        <v>4.6579130601659866</v>
      </c>
      <c r="N168">
        <v>5.8784741311727355</v>
      </c>
      <c r="O168">
        <v>4.2510593698304042</v>
      </c>
    </row>
    <row r="169" spans="1:15">
      <c r="A169" s="19">
        <v>43558</v>
      </c>
      <c r="B169">
        <v>2710</v>
      </c>
      <c r="C169">
        <v>2699</v>
      </c>
      <c r="D169">
        <v>490</v>
      </c>
      <c r="E169">
        <v>492.8</v>
      </c>
      <c r="F169">
        <v>5.4768668831168803</v>
      </c>
      <c r="G169">
        <v>5.0601700587529299</v>
      </c>
      <c r="H169">
        <v>0.403118543272242</v>
      </c>
      <c r="I169">
        <v>1.03368309723855</v>
      </c>
      <c r="J169">
        <v>7.61</v>
      </c>
      <c r="L169">
        <v>5.4632886020251723</v>
      </c>
      <c r="M169">
        <v>4.6570515154806875</v>
      </c>
      <c r="N169">
        <v>5.8664071452974138</v>
      </c>
      <c r="O169">
        <v>4.253932972208446</v>
      </c>
    </row>
    <row r="170" spans="1:15">
      <c r="A170" s="19">
        <v>43557</v>
      </c>
      <c r="B170">
        <v>2815</v>
      </c>
      <c r="C170">
        <v>2699</v>
      </c>
      <c r="D170">
        <v>498</v>
      </c>
      <c r="E170">
        <v>490.9</v>
      </c>
      <c r="F170">
        <v>5.4980647789773798</v>
      </c>
      <c r="G170">
        <v>5.0589654393997598</v>
      </c>
      <c r="H170">
        <v>0.40200499970527098</v>
      </c>
      <c r="I170">
        <v>1.0922733296838201</v>
      </c>
      <c r="J170">
        <v>7.99</v>
      </c>
      <c r="L170">
        <v>5.4609704391050311</v>
      </c>
      <c r="M170">
        <v>4.6569604396944886</v>
      </c>
      <c r="N170">
        <v>5.8629754388103015</v>
      </c>
      <c r="O170">
        <v>4.2549554399892182</v>
      </c>
    </row>
    <row r="171" spans="1:15">
      <c r="A171" s="19">
        <v>43556</v>
      </c>
      <c r="B171">
        <v>2834</v>
      </c>
      <c r="C171">
        <v>2813</v>
      </c>
      <c r="D171">
        <v>484</v>
      </c>
      <c r="E171">
        <v>487.9</v>
      </c>
      <c r="F171">
        <v>5.7655257224841101</v>
      </c>
      <c r="G171">
        <v>5.0554724312765797</v>
      </c>
      <c r="H171">
        <v>0.39930357686023099</v>
      </c>
      <c r="I171">
        <v>1.77822922797426</v>
      </c>
      <c r="J171">
        <v>12.32</v>
      </c>
      <c r="L171">
        <v>5.4547760081368111</v>
      </c>
      <c r="M171">
        <v>4.6561688544163484</v>
      </c>
      <c r="N171">
        <v>5.8540795849970415</v>
      </c>
      <c r="O171">
        <v>4.256865277556118</v>
      </c>
    </row>
    <row r="172" spans="1:15">
      <c r="A172" s="19">
        <v>43553</v>
      </c>
      <c r="B172">
        <v>2724</v>
      </c>
      <c r="C172">
        <v>2804</v>
      </c>
      <c r="D172">
        <v>484.5</v>
      </c>
      <c r="E172">
        <v>479.7</v>
      </c>
      <c r="F172">
        <v>5.8453199916614498</v>
      </c>
      <c r="G172">
        <v>5.0496945271942204</v>
      </c>
      <c r="H172">
        <v>0.39205680183710501</v>
      </c>
      <c r="I172">
        <v>2.02936273708064</v>
      </c>
      <c r="J172">
        <v>13.61</v>
      </c>
      <c r="L172">
        <v>5.4417513290313257</v>
      </c>
      <c r="M172">
        <v>4.6576377253571151</v>
      </c>
      <c r="N172">
        <v>5.8338081308684302</v>
      </c>
      <c r="O172">
        <v>4.2655809235200106</v>
      </c>
    </row>
    <row r="173" spans="1:15">
      <c r="A173" s="19">
        <v>43552</v>
      </c>
      <c r="B173">
        <v>2676</v>
      </c>
      <c r="C173">
        <v>2699</v>
      </c>
      <c r="D173">
        <v>487.3</v>
      </c>
      <c r="E173">
        <v>480.6</v>
      </c>
      <c r="F173">
        <v>5.6158967956720698</v>
      </c>
      <c r="G173">
        <v>5.0393043527796504</v>
      </c>
      <c r="H173">
        <v>0.38100378578275002</v>
      </c>
      <c r="I173">
        <v>1.5133509545261901</v>
      </c>
      <c r="J173">
        <v>10.27</v>
      </c>
      <c r="L173">
        <v>5.4203081385624001</v>
      </c>
      <c r="M173">
        <v>4.6583005669969006</v>
      </c>
      <c r="N173">
        <v>5.8013119243451508</v>
      </c>
      <c r="O173">
        <v>4.27729678121415</v>
      </c>
    </row>
    <row r="174" spans="1:15">
      <c r="A174" s="19">
        <v>43551</v>
      </c>
      <c r="B174">
        <v>2671</v>
      </c>
      <c r="C174">
        <v>2696</v>
      </c>
      <c r="D174">
        <v>482</v>
      </c>
      <c r="E174">
        <v>487.9</v>
      </c>
      <c r="F174">
        <v>5.5257224841155903</v>
      </c>
      <c r="G174">
        <v>5.0317150401050403</v>
      </c>
      <c r="H174">
        <v>0.37506563620189698</v>
      </c>
      <c r="I174">
        <v>1.31712264821997</v>
      </c>
      <c r="J174">
        <v>8.94</v>
      </c>
      <c r="L174">
        <v>5.406780676306937</v>
      </c>
      <c r="M174">
        <v>4.6566494039031436</v>
      </c>
      <c r="N174">
        <v>5.7818463125088346</v>
      </c>
      <c r="O174">
        <v>4.281583767701246</v>
      </c>
    </row>
    <row r="175" spans="1:15">
      <c r="A175" s="19">
        <v>43550</v>
      </c>
      <c r="B175">
        <v>2582</v>
      </c>
      <c r="C175">
        <v>2690</v>
      </c>
      <c r="D175">
        <v>488.9</v>
      </c>
      <c r="E175">
        <v>496.1</v>
      </c>
      <c r="F175">
        <v>5.4222938923604103</v>
      </c>
      <c r="G175">
        <v>5.0257133263499503</v>
      </c>
      <c r="H175">
        <v>0.37068850932787001</v>
      </c>
      <c r="I175">
        <v>1.06984855486762</v>
      </c>
      <c r="J175">
        <v>7.31</v>
      </c>
      <c r="L175">
        <v>5.3964018356778203</v>
      </c>
      <c r="M175">
        <v>4.6550248170220803</v>
      </c>
      <c r="N175">
        <v>5.7670903450056903</v>
      </c>
      <c r="O175">
        <v>4.2843363076942103</v>
      </c>
    </row>
    <row r="176" spans="1:15">
      <c r="A176" s="19">
        <v>43549</v>
      </c>
      <c r="B176">
        <v>2612</v>
      </c>
      <c r="C176">
        <v>2557</v>
      </c>
      <c r="D176">
        <v>490.3</v>
      </c>
      <c r="E176">
        <v>486.7</v>
      </c>
      <c r="F176">
        <v>5.25374974316827</v>
      </c>
      <c r="G176">
        <v>5.0233694388755303</v>
      </c>
      <c r="H176">
        <v>0.36872405987898399</v>
      </c>
      <c r="I176">
        <v>0.62480409976054496</v>
      </c>
      <c r="J176">
        <v>4.3899999999999997</v>
      </c>
      <c r="L176">
        <v>5.3920934987545142</v>
      </c>
      <c r="M176">
        <v>4.6546453789965465</v>
      </c>
      <c r="N176">
        <v>5.760817558633498</v>
      </c>
      <c r="O176">
        <v>4.2859213191175627</v>
      </c>
    </row>
    <row r="177" spans="1:15">
      <c r="A177" s="19">
        <v>43546</v>
      </c>
      <c r="B177">
        <v>2640</v>
      </c>
      <c r="C177">
        <v>2636</v>
      </c>
      <c r="D177">
        <v>493.2</v>
      </c>
      <c r="E177">
        <v>498.7</v>
      </c>
      <c r="F177">
        <v>5.2857429316222104</v>
      </c>
      <c r="G177">
        <v>5.0232706782172203</v>
      </c>
      <c r="H177">
        <v>0.36866332755512699</v>
      </c>
      <c r="I177">
        <v>0.71195650282232803</v>
      </c>
      <c r="J177">
        <v>4.97</v>
      </c>
      <c r="L177">
        <v>5.391934005772347</v>
      </c>
      <c r="M177">
        <v>4.6546073506620935</v>
      </c>
      <c r="N177">
        <v>5.7605973333274747</v>
      </c>
      <c r="O177">
        <v>4.2859440231069659</v>
      </c>
    </row>
    <row r="178" spans="1:15">
      <c r="A178" s="19">
        <v>43544</v>
      </c>
      <c r="B178">
        <v>2663</v>
      </c>
      <c r="C178">
        <v>2636</v>
      </c>
      <c r="D178">
        <v>490.7</v>
      </c>
      <c r="E178">
        <v>499.8</v>
      </c>
      <c r="F178">
        <v>5.2741096438575399</v>
      </c>
      <c r="G178">
        <v>5.0216463791662997</v>
      </c>
      <c r="H178">
        <v>0.36777060775424297</v>
      </c>
      <c r="I178">
        <v>0.68646938979948702</v>
      </c>
      <c r="J178">
        <v>4.79</v>
      </c>
      <c r="L178">
        <v>5.3894169869205424</v>
      </c>
      <c r="M178">
        <v>4.6538757714120571</v>
      </c>
      <c r="N178">
        <v>5.7571875946747859</v>
      </c>
      <c r="O178">
        <v>4.2861051636578136</v>
      </c>
    </row>
    <row r="179" spans="1:15">
      <c r="A179" s="19">
        <v>43543</v>
      </c>
      <c r="B179">
        <v>2709</v>
      </c>
      <c r="C179">
        <v>2687</v>
      </c>
      <c r="D179">
        <v>496.4</v>
      </c>
      <c r="E179">
        <v>497.3</v>
      </c>
      <c r="F179">
        <v>5.4031771566458797</v>
      </c>
      <c r="G179">
        <v>5.0209524906925598</v>
      </c>
      <c r="H179">
        <v>0.367342465335739</v>
      </c>
      <c r="I179">
        <v>1.04051315059362</v>
      </c>
      <c r="J179">
        <v>7.07</v>
      </c>
      <c r="L179">
        <v>5.3882949560282984</v>
      </c>
      <c r="M179">
        <v>4.6536100253568211</v>
      </c>
      <c r="N179">
        <v>5.755637421364038</v>
      </c>
      <c r="O179">
        <v>4.2862675600210816</v>
      </c>
    </row>
    <row r="180" spans="1:15">
      <c r="A180" s="19">
        <v>43542</v>
      </c>
      <c r="B180">
        <v>2704</v>
      </c>
      <c r="C180">
        <v>2716</v>
      </c>
      <c r="D180">
        <v>493.4</v>
      </c>
      <c r="E180">
        <v>494.5</v>
      </c>
      <c r="F180">
        <v>5.4924165824064701</v>
      </c>
      <c r="G180">
        <v>5.01711702515568</v>
      </c>
      <c r="H180">
        <v>0.36482470676638501</v>
      </c>
      <c r="I180">
        <v>1.30281625239583</v>
      </c>
      <c r="J180">
        <v>8.65</v>
      </c>
      <c r="L180">
        <v>5.3819417319220655</v>
      </c>
      <c r="M180">
        <v>4.6522923183892946</v>
      </c>
      <c r="N180">
        <v>5.7467664386884501</v>
      </c>
      <c r="O180">
        <v>4.28746761162291</v>
      </c>
    </row>
    <row r="181" spans="1:15">
      <c r="A181" s="19">
        <v>43539</v>
      </c>
      <c r="B181">
        <v>2668</v>
      </c>
      <c r="C181">
        <v>2688</v>
      </c>
      <c r="D181">
        <v>491.4</v>
      </c>
      <c r="E181">
        <v>493</v>
      </c>
      <c r="F181">
        <v>5.4523326572008104</v>
      </c>
      <c r="G181">
        <v>5.0110820358908299</v>
      </c>
      <c r="H181">
        <v>0.36063190690449598</v>
      </c>
      <c r="I181">
        <v>1.2235484793829601</v>
      </c>
      <c r="J181">
        <v>8.09</v>
      </c>
      <c r="L181">
        <v>5.371713942795326</v>
      </c>
      <c r="M181">
        <v>4.6504501289863338</v>
      </c>
      <c r="N181">
        <v>5.7323458496998221</v>
      </c>
      <c r="O181">
        <v>4.2898182220818377</v>
      </c>
    </row>
    <row r="182" spans="1:15">
      <c r="A182" s="19">
        <v>43538</v>
      </c>
      <c r="B182">
        <v>2664</v>
      </c>
      <c r="C182">
        <v>2653</v>
      </c>
      <c r="D182">
        <v>489</v>
      </c>
      <c r="E182">
        <v>490.2</v>
      </c>
      <c r="F182">
        <v>5.4120767033863704</v>
      </c>
      <c r="G182">
        <v>5.0051201379470696</v>
      </c>
      <c r="H182">
        <v>0.35696535229434501</v>
      </c>
      <c r="I182">
        <v>1.14004500107262</v>
      </c>
      <c r="J182">
        <v>7.52</v>
      </c>
      <c r="L182">
        <v>5.3620854902414141</v>
      </c>
      <c r="M182">
        <v>4.648154785652725</v>
      </c>
      <c r="N182">
        <v>5.7190508425357596</v>
      </c>
      <c r="O182">
        <v>4.2911894333583795</v>
      </c>
    </row>
    <row r="183" spans="1:15">
      <c r="A183" s="19">
        <v>43537</v>
      </c>
      <c r="B183">
        <v>2659</v>
      </c>
      <c r="C183">
        <v>2647</v>
      </c>
      <c r="D183">
        <v>484</v>
      </c>
      <c r="E183">
        <v>488.7</v>
      </c>
      <c r="F183">
        <v>5.4164108860241402</v>
      </c>
      <c r="G183">
        <v>5.0014244474081604</v>
      </c>
      <c r="H183">
        <v>0.35415673535136499</v>
      </c>
      <c r="I183">
        <v>1.1717592726403101</v>
      </c>
      <c r="J183">
        <v>7.66</v>
      </c>
      <c r="L183">
        <v>5.3555811827595257</v>
      </c>
      <c r="M183">
        <v>4.6472677120567951</v>
      </c>
      <c r="N183">
        <v>5.70973791811089</v>
      </c>
      <c r="O183">
        <v>4.2931109767054307</v>
      </c>
    </row>
    <row r="184" spans="1:15">
      <c r="A184" s="19">
        <v>43536</v>
      </c>
      <c r="B184">
        <v>2635</v>
      </c>
      <c r="C184">
        <v>2680</v>
      </c>
      <c r="D184">
        <v>486.8</v>
      </c>
      <c r="E184">
        <v>488.6</v>
      </c>
      <c r="F184">
        <v>5.48505935325419</v>
      </c>
      <c r="G184">
        <v>4.9972744692465101</v>
      </c>
      <c r="H184">
        <v>0.35107987049442702</v>
      </c>
      <c r="I184">
        <v>1.3893843680662501</v>
      </c>
      <c r="J184">
        <v>8.89</v>
      </c>
      <c r="L184">
        <v>5.3483543397409372</v>
      </c>
      <c r="M184">
        <v>4.646194598752083</v>
      </c>
      <c r="N184">
        <v>5.6994342102353643</v>
      </c>
      <c r="O184">
        <v>4.2951147282576558</v>
      </c>
    </row>
    <row r="185" spans="1:15">
      <c r="A185" s="19">
        <v>43535</v>
      </c>
      <c r="B185">
        <v>2595</v>
      </c>
      <c r="C185">
        <v>2620</v>
      </c>
      <c r="D185">
        <v>483.8</v>
      </c>
      <c r="E185">
        <v>487.5</v>
      </c>
      <c r="F185">
        <v>5.3743589743589704</v>
      </c>
      <c r="G185">
        <v>4.9924352648437598</v>
      </c>
      <c r="H185">
        <v>0.34679823888600098</v>
      </c>
      <c r="I185">
        <v>1.10128503172923</v>
      </c>
      <c r="J185">
        <v>7.11</v>
      </c>
      <c r="L185">
        <v>5.3392335037297611</v>
      </c>
      <c r="M185">
        <v>4.6456370259577584</v>
      </c>
      <c r="N185">
        <v>5.6860317426157616</v>
      </c>
      <c r="O185">
        <v>4.2988387870717579</v>
      </c>
    </row>
    <row r="186" spans="1:15">
      <c r="A186" s="19">
        <v>43532</v>
      </c>
      <c r="B186">
        <v>2576</v>
      </c>
      <c r="C186">
        <v>2589</v>
      </c>
      <c r="D186">
        <v>493.4</v>
      </c>
      <c r="E186">
        <v>484.8</v>
      </c>
      <c r="F186">
        <v>5.3403465346534604</v>
      </c>
      <c r="G186">
        <v>4.9858411407337702</v>
      </c>
      <c r="H186">
        <v>0.34416539163288401</v>
      </c>
      <c r="I186">
        <v>1.03004370148243</v>
      </c>
      <c r="J186">
        <v>6.64</v>
      </c>
      <c r="L186">
        <v>5.3300065323666539</v>
      </c>
      <c r="M186">
        <v>4.6416757491008864</v>
      </c>
      <c r="N186">
        <v>5.6741719239995385</v>
      </c>
      <c r="O186">
        <v>4.2975103574680018</v>
      </c>
    </row>
    <row r="187" spans="1:15">
      <c r="A187" s="19">
        <v>43531</v>
      </c>
      <c r="B187">
        <v>2618</v>
      </c>
      <c r="C187">
        <v>2611</v>
      </c>
      <c r="D187">
        <v>504.2</v>
      </c>
      <c r="E187">
        <v>500.7</v>
      </c>
      <c r="F187">
        <v>5.2146994208108604</v>
      </c>
      <c r="G187">
        <v>4.9798814125191404</v>
      </c>
      <c r="H187">
        <v>0.34183718912675598</v>
      </c>
      <c r="I187">
        <v>0.68692937971898105</v>
      </c>
      <c r="J187">
        <v>4.5</v>
      </c>
      <c r="L187">
        <v>5.3217186016458964</v>
      </c>
      <c r="M187">
        <v>4.6380442233923844</v>
      </c>
      <c r="N187">
        <v>5.6635557907726524</v>
      </c>
      <c r="O187">
        <v>4.2962070342656284</v>
      </c>
    </row>
    <row r="188" spans="1:15">
      <c r="A188" s="19">
        <v>43530</v>
      </c>
      <c r="B188">
        <v>2640</v>
      </c>
      <c r="C188">
        <v>2644</v>
      </c>
      <c r="D188">
        <v>506.8</v>
      </c>
      <c r="E188">
        <v>505.4</v>
      </c>
      <c r="F188">
        <v>5.2314998021369199</v>
      </c>
      <c r="G188">
        <v>4.9749020050752701</v>
      </c>
      <c r="H188">
        <v>0.34109961548147499</v>
      </c>
      <c r="I188">
        <v>0.75226645066560305</v>
      </c>
      <c r="J188">
        <v>4.9000000000000004</v>
      </c>
      <c r="L188">
        <v>5.3160016205567455</v>
      </c>
      <c r="M188">
        <v>4.6338023895937948</v>
      </c>
      <c r="N188">
        <v>5.65710123603822</v>
      </c>
      <c r="O188">
        <v>4.2927027741123203</v>
      </c>
    </row>
    <row r="189" spans="1:15">
      <c r="A189" s="19">
        <v>43529</v>
      </c>
      <c r="B189">
        <v>2666</v>
      </c>
      <c r="C189">
        <v>2635</v>
      </c>
      <c r="D189">
        <v>502</v>
      </c>
      <c r="E189">
        <v>506.8</v>
      </c>
      <c r="F189">
        <v>5.1992896606156203</v>
      </c>
      <c r="G189">
        <v>4.97023934795524</v>
      </c>
      <c r="H189">
        <v>0.33994834912925598</v>
      </c>
      <c r="I189">
        <v>0.67377974697355003</v>
      </c>
      <c r="J189">
        <v>4.41</v>
      </c>
      <c r="L189">
        <v>5.3101876970844959</v>
      </c>
      <c r="M189">
        <v>4.6302909988259842</v>
      </c>
      <c r="N189">
        <v>5.6501360462137518</v>
      </c>
      <c r="O189">
        <v>4.2903426496967283</v>
      </c>
    </row>
    <row r="190" spans="1:15">
      <c r="A190" s="19">
        <v>43528</v>
      </c>
      <c r="B190">
        <v>2679</v>
      </c>
      <c r="C190">
        <v>2691</v>
      </c>
      <c r="D190">
        <v>508.2</v>
      </c>
      <c r="E190">
        <v>504.2</v>
      </c>
      <c r="F190">
        <v>5.3371677905592998</v>
      </c>
      <c r="G190">
        <v>4.9658484530241598</v>
      </c>
      <c r="H190">
        <v>0.33908719420813799</v>
      </c>
      <c r="I190">
        <v>1.0950556195502099</v>
      </c>
      <c r="J190">
        <v>6.96</v>
      </c>
      <c r="L190">
        <v>5.3049356472322975</v>
      </c>
      <c r="M190">
        <v>4.6267612588160221</v>
      </c>
      <c r="N190">
        <v>5.6440228414404361</v>
      </c>
      <c r="O190">
        <v>4.2876740646078835</v>
      </c>
    </row>
    <row r="191" spans="1:15">
      <c r="A191" s="19">
        <v>43525</v>
      </c>
      <c r="B191">
        <v>2627</v>
      </c>
      <c r="C191">
        <v>2669</v>
      </c>
      <c r="D191">
        <v>506.9</v>
      </c>
      <c r="E191">
        <v>505.6</v>
      </c>
      <c r="F191">
        <v>5.27887658227848</v>
      </c>
      <c r="G191">
        <v>4.9605404099317703</v>
      </c>
      <c r="H191">
        <v>0.33633783756132601</v>
      </c>
      <c r="I191">
        <v>0.94647743071329304</v>
      </c>
      <c r="J191">
        <v>6.03</v>
      </c>
      <c r="L191">
        <v>5.2968782474930967</v>
      </c>
      <c r="M191">
        <v>4.6242025723704439</v>
      </c>
      <c r="N191">
        <v>5.6332160850544222</v>
      </c>
      <c r="O191">
        <v>4.2878647348091183</v>
      </c>
    </row>
    <row r="192" spans="1:15">
      <c r="A192" s="19">
        <v>43524</v>
      </c>
      <c r="B192">
        <v>2604</v>
      </c>
      <c r="C192">
        <v>2642</v>
      </c>
      <c r="D192">
        <v>506</v>
      </c>
      <c r="E192">
        <v>503.3</v>
      </c>
      <c r="F192">
        <v>5.2493542618716402</v>
      </c>
      <c r="G192">
        <v>4.9532721450633499</v>
      </c>
      <c r="H192">
        <v>0.335268378512521</v>
      </c>
      <c r="I192">
        <v>0.88311972075003498</v>
      </c>
      <c r="J192">
        <v>5.64</v>
      </c>
      <c r="L192">
        <v>5.2885405235758709</v>
      </c>
      <c r="M192">
        <v>4.6180037665508289</v>
      </c>
      <c r="N192">
        <v>5.6238089020883919</v>
      </c>
      <c r="O192">
        <v>4.2827353880383079</v>
      </c>
    </row>
    <row r="193" spans="1:15">
      <c r="A193" s="19">
        <v>43523</v>
      </c>
      <c r="B193">
        <v>2658</v>
      </c>
      <c r="C193">
        <v>2604</v>
      </c>
      <c r="D193">
        <v>507.4</v>
      </c>
      <c r="E193">
        <v>507</v>
      </c>
      <c r="F193">
        <v>5.1360946745562099</v>
      </c>
      <c r="G193">
        <v>4.9479438988944899</v>
      </c>
      <c r="H193">
        <v>0.33369231959512102</v>
      </c>
      <c r="I193">
        <v>0.56384508906289799</v>
      </c>
      <c r="J193">
        <v>3.66</v>
      </c>
      <c r="L193">
        <v>5.2816362184896111</v>
      </c>
      <c r="M193">
        <v>4.6142515792993688</v>
      </c>
      <c r="N193">
        <v>5.6153285380847322</v>
      </c>
      <c r="O193">
        <v>4.2805592597042477</v>
      </c>
    </row>
    <row r="194" spans="1:15">
      <c r="A194" s="19">
        <v>43522</v>
      </c>
      <c r="B194">
        <v>2682</v>
      </c>
      <c r="C194">
        <v>2667</v>
      </c>
      <c r="D194">
        <v>506.2</v>
      </c>
      <c r="E194">
        <v>506.3</v>
      </c>
      <c r="F194">
        <v>5.2676278886035899</v>
      </c>
      <c r="G194">
        <v>4.9459103650837699</v>
      </c>
      <c r="H194">
        <v>0.33300353068897198</v>
      </c>
      <c r="I194">
        <v>0.96610844592007095</v>
      </c>
      <c r="J194">
        <v>6.11</v>
      </c>
      <c r="L194">
        <v>5.2789138957727415</v>
      </c>
      <c r="M194">
        <v>4.6129068343947983</v>
      </c>
      <c r="N194">
        <v>5.611917426461714</v>
      </c>
      <c r="O194">
        <v>4.2799033037058258</v>
      </c>
    </row>
    <row r="195" spans="1:15">
      <c r="A195" s="19">
        <v>43521</v>
      </c>
      <c r="B195">
        <v>2667</v>
      </c>
      <c r="C195">
        <v>2683</v>
      </c>
      <c r="D195">
        <v>509.4</v>
      </c>
      <c r="E195">
        <v>510.3</v>
      </c>
      <c r="F195">
        <v>5.2576915539878497</v>
      </c>
      <c r="G195">
        <v>4.9406585471225002</v>
      </c>
      <c r="H195">
        <v>0.33098819543126201</v>
      </c>
      <c r="I195">
        <v>0.95783780582345501</v>
      </c>
      <c r="J195">
        <v>6.03</v>
      </c>
      <c r="L195">
        <v>5.2716467425537621</v>
      </c>
      <c r="M195">
        <v>4.6096703516912383</v>
      </c>
      <c r="N195">
        <v>5.602634937985024</v>
      </c>
      <c r="O195">
        <v>4.2786821562599764</v>
      </c>
    </row>
    <row r="196" spans="1:15">
      <c r="A196" s="19">
        <v>43518</v>
      </c>
      <c r="B196">
        <v>2680</v>
      </c>
      <c r="C196">
        <v>2658</v>
      </c>
      <c r="D196">
        <v>505.9</v>
      </c>
      <c r="E196">
        <v>507.4</v>
      </c>
      <c r="F196">
        <v>5.2384706346077996</v>
      </c>
      <c r="G196">
        <v>4.9373571135175096</v>
      </c>
      <c r="H196">
        <v>0.3290386284224</v>
      </c>
      <c r="I196">
        <v>0.91513121889062898</v>
      </c>
      <c r="J196">
        <v>5.75</v>
      </c>
      <c r="L196">
        <v>5.2663957419399097</v>
      </c>
      <c r="M196">
        <v>4.6083184850951096</v>
      </c>
      <c r="N196">
        <v>5.5954343703623097</v>
      </c>
      <c r="O196">
        <v>4.2792798566727095</v>
      </c>
    </row>
    <row r="197" spans="1:15">
      <c r="A197" s="19">
        <v>43517</v>
      </c>
      <c r="B197">
        <v>2650</v>
      </c>
      <c r="C197">
        <v>2680</v>
      </c>
      <c r="D197">
        <v>509.5</v>
      </c>
      <c r="E197">
        <v>512</v>
      </c>
      <c r="F197">
        <v>5.234375</v>
      </c>
      <c r="G197">
        <v>4.9330737899738599</v>
      </c>
      <c r="H197">
        <v>0.327176639460382</v>
      </c>
      <c r="I197">
        <v>0.92091296775672904</v>
      </c>
      <c r="J197">
        <v>5.76</v>
      </c>
      <c r="L197">
        <v>5.260250429434242</v>
      </c>
      <c r="M197">
        <v>4.6058971505134778</v>
      </c>
      <c r="N197">
        <v>5.5874270688946241</v>
      </c>
      <c r="O197">
        <v>4.2787205110530957</v>
      </c>
    </row>
    <row r="198" spans="1:15">
      <c r="A198" s="19">
        <v>43516</v>
      </c>
      <c r="B198">
        <v>2676</v>
      </c>
      <c r="C198">
        <v>2670</v>
      </c>
      <c r="D198">
        <v>511.1</v>
      </c>
      <c r="E198">
        <v>509.5</v>
      </c>
      <c r="F198">
        <v>5.24043179587831</v>
      </c>
      <c r="G198">
        <v>4.9279481000807897</v>
      </c>
      <c r="H198">
        <v>0.32542277093605598</v>
      </c>
      <c r="I198">
        <v>0.96023918332043601</v>
      </c>
      <c r="J198">
        <v>5.96</v>
      </c>
      <c r="L198">
        <v>5.2533708710168456</v>
      </c>
      <c r="M198">
        <v>4.6025253291447337</v>
      </c>
      <c r="N198">
        <v>5.5787936419529016</v>
      </c>
      <c r="O198">
        <v>4.2771025582086777</v>
      </c>
    </row>
    <row r="199" spans="1:15">
      <c r="A199" s="19">
        <v>43515</v>
      </c>
      <c r="B199">
        <v>2678</v>
      </c>
      <c r="C199">
        <v>2690</v>
      </c>
      <c r="D199">
        <v>511.5</v>
      </c>
      <c r="E199">
        <v>514</v>
      </c>
      <c r="F199">
        <v>5.23346303501945</v>
      </c>
      <c r="G199">
        <v>4.9224710422260296</v>
      </c>
      <c r="H199">
        <v>0.32356894369775602</v>
      </c>
      <c r="I199">
        <v>0.96113053755836897</v>
      </c>
      <c r="J199">
        <v>5.94</v>
      </c>
      <c r="L199">
        <v>5.2460399859237858</v>
      </c>
      <c r="M199">
        <v>4.5989020985282734</v>
      </c>
      <c r="N199">
        <v>5.5696089296215412</v>
      </c>
      <c r="O199">
        <v>4.275333154830518</v>
      </c>
    </row>
    <row r="200" spans="1:15">
      <c r="A200" s="19">
        <v>43514</v>
      </c>
      <c r="B200">
        <v>2706</v>
      </c>
      <c r="C200">
        <v>2696</v>
      </c>
      <c r="D200">
        <v>516.1</v>
      </c>
      <c r="E200">
        <v>515.4</v>
      </c>
      <c r="F200">
        <v>5.2308886301901403</v>
      </c>
      <c r="G200">
        <v>4.9187590543919004</v>
      </c>
      <c r="H200">
        <v>0.32157067576278398</v>
      </c>
      <c r="I200">
        <v>0.97064066882918099</v>
      </c>
      <c r="J200">
        <v>5.97</v>
      </c>
      <c r="L200">
        <v>5.2403297301546843</v>
      </c>
      <c r="M200">
        <v>4.5971883786291166</v>
      </c>
      <c r="N200">
        <v>5.5619004059174681</v>
      </c>
      <c r="O200">
        <v>4.2756177028663327</v>
      </c>
    </row>
    <row r="201" spans="1:15">
      <c r="A201" s="19">
        <v>43511</v>
      </c>
      <c r="B201">
        <v>2636</v>
      </c>
      <c r="C201">
        <v>2681</v>
      </c>
      <c r="D201">
        <v>505.9</v>
      </c>
      <c r="E201">
        <v>507.8</v>
      </c>
      <c r="F201">
        <v>5.2796376526191402</v>
      </c>
      <c r="G201">
        <v>4.91735797330207</v>
      </c>
      <c r="H201">
        <v>0.32043458912292699</v>
      </c>
      <c r="I201">
        <v>1.13058855571327</v>
      </c>
      <c r="J201">
        <v>6.86</v>
      </c>
      <c r="L201">
        <v>5.237792562424997</v>
      </c>
      <c r="M201">
        <v>4.596923384179143</v>
      </c>
      <c r="N201">
        <v>5.558227151547924</v>
      </c>
      <c r="O201">
        <v>4.276488795056216</v>
      </c>
    </row>
    <row r="202" spans="1:15">
      <c r="A202" s="19">
        <v>43510</v>
      </c>
      <c r="B202">
        <v>2687</v>
      </c>
      <c r="C202">
        <v>2652</v>
      </c>
      <c r="D202">
        <v>509.3</v>
      </c>
      <c r="E202">
        <v>512</v>
      </c>
      <c r="F202">
        <v>5.1796875</v>
      </c>
      <c r="G202">
        <v>4.9134637711842997</v>
      </c>
      <c r="H202">
        <v>0.317771838380079</v>
      </c>
      <c r="I202">
        <v>0.83778263729360003</v>
      </c>
      <c r="J202">
        <v>5.14</v>
      </c>
      <c r="L202">
        <v>5.2312356095643784</v>
      </c>
      <c r="M202">
        <v>4.5956919328042209</v>
      </c>
      <c r="N202">
        <v>5.549007447944458</v>
      </c>
      <c r="O202">
        <v>4.2779200944241413</v>
      </c>
    </row>
    <row r="203" spans="1:15">
      <c r="A203" s="19">
        <v>43509</v>
      </c>
      <c r="B203">
        <v>2646</v>
      </c>
      <c r="C203">
        <v>2673</v>
      </c>
      <c r="D203">
        <v>519.4</v>
      </c>
      <c r="E203">
        <v>515.4</v>
      </c>
      <c r="F203">
        <v>5.1862630966239802</v>
      </c>
      <c r="G203">
        <v>4.9126102426190696</v>
      </c>
      <c r="H203">
        <v>0.31714096545187698</v>
      </c>
      <c r="I203">
        <v>0.862874506341333</v>
      </c>
      <c r="J203">
        <v>5.28</v>
      </c>
      <c r="L203">
        <v>5.2297512080709465</v>
      </c>
      <c r="M203">
        <v>4.5954692771671928</v>
      </c>
      <c r="N203">
        <v>5.5468921735228234</v>
      </c>
      <c r="O203">
        <v>4.2783283117153159</v>
      </c>
    </row>
    <row r="204" spans="1:15">
      <c r="A204" s="19">
        <v>43508</v>
      </c>
      <c r="B204">
        <v>2596</v>
      </c>
      <c r="C204">
        <v>2647</v>
      </c>
      <c r="D204">
        <v>507.5</v>
      </c>
      <c r="E204">
        <v>516.5</v>
      </c>
      <c r="F204">
        <v>5.1248789932236196</v>
      </c>
      <c r="G204">
        <v>4.9098004703900298</v>
      </c>
      <c r="H204">
        <v>0.31563397197868098</v>
      </c>
      <c r="I204">
        <v>0.68141753400396499</v>
      </c>
      <c r="J204">
        <v>4.2</v>
      </c>
      <c r="L204">
        <v>5.2254344423687105</v>
      </c>
      <c r="M204">
        <v>4.5941664984113491</v>
      </c>
      <c r="N204">
        <v>5.5410684143473921</v>
      </c>
      <c r="O204">
        <v>4.2785325264326675</v>
      </c>
    </row>
    <row r="205" spans="1:15">
      <c r="A205" s="19">
        <v>43504</v>
      </c>
      <c r="B205">
        <v>2619</v>
      </c>
      <c r="C205">
        <v>2564</v>
      </c>
      <c r="D205">
        <v>513.6</v>
      </c>
      <c r="E205">
        <v>505.4</v>
      </c>
      <c r="F205">
        <v>5.0732093391373096</v>
      </c>
      <c r="G205">
        <v>4.90862601403993</v>
      </c>
      <c r="H205">
        <v>0.31499472269288797</v>
      </c>
      <c r="I205">
        <v>0.52249549989396604</v>
      </c>
      <c r="J205">
        <v>3.24</v>
      </c>
      <c r="L205">
        <v>5.2236207367328182</v>
      </c>
      <c r="M205">
        <v>4.5936312913470418</v>
      </c>
      <c r="N205">
        <v>5.5386154594257064</v>
      </c>
      <c r="O205">
        <v>4.2786365686541536</v>
      </c>
    </row>
    <row r="206" spans="1:15">
      <c r="A206" s="19">
        <v>43503</v>
      </c>
      <c r="B206">
        <v>2705</v>
      </c>
      <c r="C206">
        <v>2682</v>
      </c>
      <c r="D206">
        <v>525.20000000000005</v>
      </c>
      <c r="E206">
        <v>517.70000000000005</v>
      </c>
      <c r="F206">
        <v>5.1806065288777203</v>
      </c>
      <c r="G206">
        <v>4.9091650410332504</v>
      </c>
      <c r="H206">
        <v>0.31531033243693501</v>
      </c>
      <c r="I206">
        <v>0.86087089422850405</v>
      </c>
      <c r="J206">
        <v>5.24</v>
      </c>
      <c r="L206">
        <v>5.2244753734701854</v>
      </c>
      <c r="M206">
        <v>4.5938547085963153</v>
      </c>
      <c r="N206">
        <v>5.5397857059071205</v>
      </c>
      <c r="O206">
        <v>4.2785443761593802</v>
      </c>
    </row>
    <row r="207" spans="1:15">
      <c r="A207" s="19">
        <v>43502</v>
      </c>
      <c r="B207">
        <v>2692</v>
      </c>
      <c r="C207">
        <v>2713</v>
      </c>
      <c r="D207">
        <v>532.79999999999995</v>
      </c>
      <c r="E207">
        <v>530.5</v>
      </c>
      <c r="F207">
        <v>5.1140433553251601</v>
      </c>
      <c r="G207">
        <v>4.9088521283936704</v>
      </c>
      <c r="H207">
        <v>0.31505233923312898</v>
      </c>
      <c r="I207">
        <v>0.65129250406755401</v>
      </c>
      <c r="J207">
        <v>4.01</v>
      </c>
      <c r="L207">
        <v>5.2239044676267996</v>
      </c>
      <c r="M207">
        <v>4.5937997891605411</v>
      </c>
      <c r="N207">
        <v>5.538956806859928</v>
      </c>
      <c r="O207">
        <v>4.2787474499274127</v>
      </c>
    </row>
    <row r="208" spans="1:15">
      <c r="A208" s="19">
        <v>43501</v>
      </c>
      <c r="B208">
        <v>2700</v>
      </c>
      <c r="C208">
        <v>2701</v>
      </c>
      <c r="D208">
        <v>532.79999999999995</v>
      </c>
      <c r="E208">
        <v>533.1</v>
      </c>
      <c r="F208">
        <v>5.0665916338398</v>
      </c>
      <c r="G208">
        <v>4.9117104600635102</v>
      </c>
      <c r="H208">
        <v>0.31786092879758499</v>
      </c>
      <c r="I208">
        <v>0.48726081044995501</v>
      </c>
      <c r="J208">
        <v>3.06</v>
      </c>
      <c r="L208">
        <v>5.2295713888610953</v>
      </c>
      <c r="M208">
        <v>4.5938495312659251</v>
      </c>
      <c r="N208">
        <v>5.5474323176586804</v>
      </c>
      <c r="O208">
        <v>4.27598860246834</v>
      </c>
    </row>
    <row r="209" spans="1:15">
      <c r="A209" s="19">
        <v>43500</v>
      </c>
      <c r="B209">
        <v>2645</v>
      </c>
      <c r="C209">
        <v>2700</v>
      </c>
      <c r="D209">
        <v>535</v>
      </c>
      <c r="E209">
        <v>534.79999999999995</v>
      </c>
      <c r="F209">
        <v>5.0486163051607997</v>
      </c>
      <c r="G209">
        <v>4.9154093777353198</v>
      </c>
      <c r="H209">
        <v>0.32123795367492702</v>
      </c>
      <c r="I209">
        <v>0.41466746348496702</v>
      </c>
      <c r="J209">
        <v>2.64</v>
      </c>
      <c r="L209">
        <v>5.2366473314102464</v>
      </c>
      <c r="M209">
        <v>4.5941714240603932</v>
      </c>
      <c r="N209">
        <v>5.5578852850851739</v>
      </c>
      <c r="O209">
        <v>4.2729334703854658</v>
      </c>
    </row>
    <row r="210" spans="1:15">
      <c r="A210" s="19">
        <v>43497</v>
      </c>
      <c r="B210">
        <v>2594</v>
      </c>
      <c r="C210">
        <v>2645</v>
      </c>
      <c r="D210">
        <v>543.70000000000005</v>
      </c>
      <c r="E210">
        <v>527.20000000000005</v>
      </c>
      <c r="F210">
        <v>5.0170713201820902</v>
      </c>
      <c r="G210">
        <v>4.9192688708907104</v>
      </c>
      <c r="H210">
        <v>0.32453709525934399</v>
      </c>
      <c r="I210">
        <v>0.30135984674794603</v>
      </c>
      <c r="J210">
        <v>1.95</v>
      </c>
      <c r="L210">
        <v>5.2438059661500542</v>
      </c>
      <c r="M210">
        <v>4.5947317756313666</v>
      </c>
      <c r="N210">
        <v>5.5683430614093981</v>
      </c>
      <c r="O210">
        <v>4.2701946803720228</v>
      </c>
    </row>
    <row r="211" spans="1:15">
      <c r="A211" s="19">
        <v>43496</v>
      </c>
      <c r="B211">
        <v>2551</v>
      </c>
      <c r="C211">
        <v>2570</v>
      </c>
      <c r="D211">
        <v>550.1</v>
      </c>
      <c r="E211">
        <v>549.9</v>
      </c>
      <c r="F211">
        <v>4.6735770140025403</v>
      </c>
      <c r="G211">
        <v>4.9208297207566796</v>
      </c>
      <c r="H211">
        <v>0.32528436597784699</v>
      </c>
      <c r="I211">
        <v>-0.76011248192288305</v>
      </c>
      <c r="J211">
        <v>-5.29</v>
      </c>
      <c r="L211">
        <v>5.2461140867345266</v>
      </c>
      <c r="M211">
        <v>4.5955453547788325</v>
      </c>
      <c r="N211">
        <v>5.5713984527123737</v>
      </c>
      <c r="O211">
        <v>4.2702609888009855</v>
      </c>
    </row>
    <row r="212" spans="1:15">
      <c r="A212" s="19">
        <v>43495</v>
      </c>
      <c r="B212">
        <v>2500</v>
      </c>
      <c r="C212">
        <v>2534</v>
      </c>
      <c r="D212">
        <v>547.1</v>
      </c>
      <c r="E212">
        <v>547.4</v>
      </c>
      <c r="F212">
        <v>4.6291560102301696</v>
      </c>
      <c r="G212">
        <v>4.92592521036324</v>
      </c>
      <c r="H212">
        <v>0.32436323560963998</v>
      </c>
      <c r="I212">
        <v>-0.91492859717992203</v>
      </c>
      <c r="J212">
        <v>-6.41</v>
      </c>
      <c r="L212">
        <v>5.2502884459728802</v>
      </c>
      <c r="M212">
        <v>4.6015619747535998</v>
      </c>
      <c r="N212">
        <v>5.5746516815825196</v>
      </c>
      <c r="O212">
        <v>4.2771987391439605</v>
      </c>
    </row>
    <row r="213" spans="1:15">
      <c r="A213" s="19">
        <v>43494</v>
      </c>
      <c r="B213">
        <v>2407</v>
      </c>
      <c r="C213">
        <v>2499</v>
      </c>
      <c r="D213">
        <v>550.1</v>
      </c>
      <c r="E213">
        <v>548</v>
      </c>
      <c r="F213">
        <v>4.5602189781021796</v>
      </c>
      <c r="G213">
        <v>4.9298589223338496</v>
      </c>
      <c r="H213">
        <v>0.32252407996182603</v>
      </c>
      <c r="I213">
        <v>-1.1460847955148501</v>
      </c>
      <c r="J213">
        <v>-8.11</v>
      </c>
      <c r="L213">
        <v>5.2523830022956757</v>
      </c>
      <c r="M213">
        <v>4.6073348423720235</v>
      </c>
      <c r="N213">
        <v>5.5749070822575018</v>
      </c>
      <c r="O213">
        <v>4.2848107624101974</v>
      </c>
    </row>
    <row r="214" spans="1:15">
      <c r="A214" s="19">
        <v>43493</v>
      </c>
      <c r="B214">
        <v>2340</v>
      </c>
      <c r="C214">
        <v>2432</v>
      </c>
      <c r="D214">
        <v>552.4</v>
      </c>
      <c r="E214">
        <v>550.70000000000005</v>
      </c>
      <c r="F214">
        <v>4.4161975667332403</v>
      </c>
      <c r="G214">
        <v>4.9360770574517501</v>
      </c>
      <c r="H214">
        <v>0.31982192707865098</v>
      </c>
      <c r="I214">
        <v>-1.62552797885762</v>
      </c>
      <c r="J214">
        <v>-11.77</v>
      </c>
      <c r="L214">
        <v>5.2558989845304014</v>
      </c>
      <c r="M214">
        <v>4.6162551303730988</v>
      </c>
      <c r="N214">
        <v>5.5757209116090518</v>
      </c>
      <c r="O214">
        <v>4.2964332032944483</v>
      </c>
    </row>
    <row r="215" spans="1:15">
      <c r="A215" s="19">
        <v>43490</v>
      </c>
      <c r="B215">
        <v>2320</v>
      </c>
      <c r="C215">
        <v>2344</v>
      </c>
      <c r="D215">
        <v>551.6</v>
      </c>
      <c r="E215">
        <v>556.20000000000005</v>
      </c>
      <c r="F215">
        <v>4.2143113987774097</v>
      </c>
      <c r="G215">
        <v>4.9491245298910203</v>
      </c>
      <c r="H215">
        <v>0.31830385189073301</v>
      </c>
      <c r="I215">
        <v>-2.3085272978909899</v>
      </c>
      <c r="J215">
        <v>-17.440000000000001</v>
      </c>
      <c r="L215">
        <v>5.2674283817817535</v>
      </c>
      <c r="M215">
        <v>4.630820678000287</v>
      </c>
      <c r="N215">
        <v>5.5857322336724859</v>
      </c>
      <c r="O215">
        <v>4.3125168261095546</v>
      </c>
    </row>
    <row r="216" spans="1:15">
      <c r="A216" s="19">
        <v>43489</v>
      </c>
      <c r="B216">
        <v>2354</v>
      </c>
      <c r="C216">
        <v>2357</v>
      </c>
      <c r="D216">
        <v>548.1</v>
      </c>
      <c r="E216">
        <v>552</v>
      </c>
      <c r="F216">
        <v>4.2699275362318803</v>
      </c>
      <c r="G216">
        <v>4.9638040111984099</v>
      </c>
      <c r="H216">
        <v>0.30933807003157299</v>
      </c>
      <c r="I216">
        <v>-2.2431008084317199</v>
      </c>
      <c r="J216">
        <v>-16.25</v>
      </c>
      <c r="L216">
        <v>5.2731420812299827</v>
      </c>
      <c r="M216">
        <v>4.654465941166837</v>
      </c>
      <c r="N216">
        <v>5.5824801512615556</v>
      </c>
      <c r="O216">
        <v>4.3451278711352641</v>
      </c>
    </row>
    <row r="217" spans="1:15">
      <c r="A217" s="19">
        <v>43488</v>
      </c>
      <c r="B217">
        <v>2400</v>
      </c>
      <c r="C217">
        <v>2335</v>
      </c>
      <c r="D217">
        <v>546</v>
      </c>
      <c r="E217">
        <v>546.5</v>
      </c>
      <c r="F217">
        <v>4.27264409881061</v>
      </c>
      <c r="G217">
        <v>4.9776681042256401</v>
      </c>
      <c r="H217">
        <v>0.30112102742715202</v>
      </c>
      <c r="I217">
        <v>-2.3413310303797799</v>
      </c>
      <c r="J217">
        <v>-16.5</v>
      </c>
      <c r="L217">
        <v>5.2787891316527924</v>
      </c>
      <c r="M217">
        <v>4.6765470767984878</v>
      </c>
      <c r="N217">
        <v>5.5799101590799438</v>
      </c>
      <c r="O217">
        <v>4.3754260493713364</v>
      </c>
    </row>
    <row r="218" spans="1:15">
      <c r="A218" s="19">
        <v>43487</v>
      </c>
      <c r="B218">
        <v>2429</v>
      </c>
      <c r="C218">
        <v>2417</v>
      </c>
      <c r="D218">
        <v>555</v>
      </c>
      <c r="E218">
        <v>549.20000000000005</v>
      </c>
      <c r="F218">
        <v>4.40094683175528</v>
      </c>
      <c r="G218">
        <v>4.9913037253385797</v>
      </c>
      <c r="H218">
        <v>0.291900367940995</v>
      </c>
      <c r="I218">
        <v>-2.0224602584353</v>
      </c>
      <c r="J218">
        <v>-13.41</v>
      </c>
      <c r="L218">
        <v>5.2832040932795747</v>
      </c>
      <c r="M218">
        <v>4.6994033573975846</v>
      </c>
      <c r="N218">
        <v>5.5751044612205698</v>
      </c>
      <c r="O218">
        <v>4.4075029894565896</v>
      </c>
    </row>
    <row r="219" spans="1:15">
      <c r="A219" s="19">
        <v>43486</v>
      </c>
      <c r="B219">
        <v>2379</v>
      </c>
      <c r="C219">
        <v>2406</v>
      </c>
      <c r="D219">
        <v>556.9</v>
      </c>
      <c r="E219">
        <v>556.20000000000005</v>
      </c>
      <c r="F219">
        <v>4.3257820927723802</v>
      </c>
      <c r="G219">
        <v>5.0027668128079803</v>
      </c>
      <c r="H219">
        <v>0.28529804606055298</v>
      </c>
      <c r="I219">
        <v>-2.3729034579224102</v>
      </c>
      <c r="J219">
        <v>-15.65</v>
      </c>
      <c r="L219">
        <v>5.2880648588685331</v>
      </c>
      <c r="M219">
        <v>4.7174687667474275</v>
      </c>
      <c r="N219">
        <v>5.5733629049290858</v>
      </c>
      <c r="O219">
        <v>4.4321707206868748</v>
      </c>
    </row>
    <row r="220" spans="1:15">
      <c r="A220" s="19">
        <v>43483</v>
      </c>
      <c r="B220">
        <v>2240</v>
      </c>
      <c r="C220">
        <v>2334</v>
      </c>
      <c r="D220">
        <v>551.70000000000005</v>
      </c>
      <c r="E220">
        <v>551</v>
      </c>
      <c r="F220">
        <v>4.2359346642468196</v>
      </c>
      <c r="G220">
        <v>5.0167909459277604</v>
      </c>
      <c r="H220">
        <v>0.27741804977441398</v>
      </c>
      <c r="I220">
        <v>-2.8147277450616599</v>
      </c>
      <c r="J220">
        <v>-18.43</v>
      </c>
      <c r="L220">
        <v>5.2942089957021743</v>
      </c>
      <c r="M220">
        <v>4.7393728961533466</v>
      </c>
      <c r="N220">
        <v>5.5716270454765882</v>
      </c>
      <c r="O220">
        <v>4.4619548463789327</v>
      </c>
    </row>
    <row r="221" spans="1:15">
      <c r="A221" s="19">
        <v>43482</v>
      </c>
      <c r="B221">
        <v>2300</v>
      </c>
      <c r="C221">
        <v>2249</v>
      </c>
      <c r="D221">
        <v>553.29999999999995</v>
      </c>
      <c r="E221">
        <v>547</v>
      </c>
      <c r="F221">
        <v>4.1115173674588599</v>
      </c>
      <c r="G221">
        <v>5.0289035090670904</v>
      </c>
      <c r="H221">
        <v>0.26249053708838099</v>
      </c>
      <c r="I221">
        <v>-3.4949303383814398</v>
      </c>
      <c r="J221">
        <v>-22.31</v>
      </c>
      <c r="L221">
        <v>5.2913940461554709</v>
      </c>
      <c r="M221">
        <v>4.7664129719787098</v>
      </c>
      <c r="N221">
        <v>5.5538845832438524</v>
      </c>
      <c r="O221">
        <v>4.5039224348903284</v>
      </c>
    </row>
    <row r="222" spans="1:15">
      <c r="A222" s="19">
        <v>43481</v>
      </c>
      <c r="B222">
        <v>2314</v>
      </c>
      <c r="C222">
        <v>2312</v>
      </c>
      <c r="D222">
        <v>551.5</v>
      </c>
      <c r="E222">
        <v>544</v>
      </c>
      <c r="F222">
        <v>4.25</v>
      </c>
      <c r="G222">
        <v>5.0432569792149602</v>
      </c>
      <c r="H222">
        <v>0.240440364034016</v>
      </c>
      <c r="I222">
        <v>-3.2991839053393601</v>
      </c>
      <c r="J222">
        <v>-18.66</v>
      </c>
      <c r="L222">
        <v>5.283697343248976</v>
      </c>
      <c r="M222">
        <v>4.8028166151809444</v>
      </c>
      <c r="N222">
        <v>5.5241377072829918</v>
      </c>
      <c r="O222">
        <v>4.5623762511469286</v>
      </c>
    </row>
    <row r="223" spans="1:15">
      <c r="A223" s="19">
        <v>43480</v>
      </c>
      <c r="B223">
        <v>2315</v>
      </c>
      <c r="C223">
        <v>2343</v>
      </c>
      <c r="D223">
        <v>542.4</v>
      </c>
      <c r="E223">
        <v>552.4</v>
      </c>
      <c r="F223">
        <v>4.2414916727009402</v>
      </c>
      <c r="G223">
        <v>5.0576917075097798</v>
      </c>
      <c r="H223">
        <v>0.22434217820303601</v>
      </c>
      <c r="I223">
        <v>-3.6381925206688202</v>
      </c>
      <c r="J223">
        <v>-19.239999999999998</v>
      </c>
      <c r="L223">
        <v>5.2820338857128162</v>
      </c>
      <c r="M223">
        <v>4.8333495293067434</v>
      </c>
      <c r="N223">
        <v>5.5063760639158517</v>
      </c>
      <c r="O223">
        <v>4.609007351103708</v>
      </c>
    </row>
    <row r="224" spans="1:15">
      <c r="A224" s="19">
        <v>43476</v>
      </c>
      <c r="B224">
        <v>2390</v>
      </c>
      <c r="C224">
        <v>2308</v>
      </c>
      <c r="D224">
        <v>545.5</v>
      </c>
      <c r="E224">
        <v>545.1</v>
      </c>
      <c r="F224">
        <v>4.2340854889011101</v>
      </c>
      <c r="G224">
        <v>5.07268528428874</v>
      </c>
      <c r="H224">
        <v>0.206130154624343</v>
      </c>
      <c r="I224">
        <v>-4.0683023641829799</v>
      </c>
      <c r="J224">
        <v>-19.809999999999999</v>
      </c>
      <c r="L224">
        <v>5.2788154389130826</v>
      </c>
      <c r="M224">
        <v>4.8665551296643974</v>
      </c>
      <c r="N224">
        <v>5.4849455935374261</v>
      </c>
      <c r="O224">
        <v>4.6604249750400539</v>
      </c>
    </row>
    <row r="225" spans="1:15">
      <c r="A225" s="19">
        <v>43475</v>
      </c>
      <c r="B225">
        <v>2494</v>
      </c>
      <c r="C225">
        <v>2406</v>
      </c>
      <c r="D225">
        <v>539.70000000000005</v>
      </c>
      <c r="E225">
        <v>545.70000000000005</v>
      </c>
      <c r="F225">
        <v>4.4090159428257198</v>
      </c>
      <c r="G225">
        <v>5.0872902426279296</v>
      </c>
      <c r="H225">
        <v>0.183790005969591</v>
      </c>
      <c r="I225">
        <v>-3.6904852155804</v>
      </c>
      <c r="J225">
        <v>-15.38</v>
      </c>
      <c r="L225">
        <v>5.2710802485975208</v>
      </c>
      <c r="M225">
        <v>4.9035002366583385</v>
      </c>
      <c r="N225">
        <v>5.4548702545671119</v>
      </c>
      <c r="O225">
        <v>4.7197102306887473</v>
      </c>
    </row>
    <row r="226" spans="1:15">
      <c r="A226" s="19">
        <v>43474</v>
      </c>
      <c r="B226">
        <v>2719</v>
      </c>
      <c r="C226">
        <v>2685</v>
      </c>
      <c r="D226">
        <v>550</v>
      </c>
      <c r="E226">
        <v>547.9</v>
      </c>
      <c r="F226">
        <v>4.90052929366672</v>
      </c>
      <c r="G226">
        <v>5.0997368387535298</v>
      </c>
      <c r="H226">
        <v>0.168399131911941</v>
      </c>
      <c r="I226">
        <v>-1.1829487647891901</v>
      </c>
      <c r="J226">
        <v>-4.07</v>
      </c>
      <c r="L226">
        <v>5.2681359706654707</v>
      </c>
      <c r="M226">
        <v>4.9313377068415889</v>
      </c>
      <c r="N226">
        <v>5.4365351025774116</v>
      </c>
      <c r="O226">
        <v>4.762938574929648</v>
      </c>
    </row>
    <row r="227" spans="1:15">
      <c r="A227" s="19">
        <v>43473</v>
      </c>
      <c r="B227">
        <v>2705</v>
      </c>
      <c r="C227">
        <v>2669</v>
      </c>
      <c r="D227">
        <v>540.70000000000005</v>
      </c>
      <c r="E227">
        <v>543.79999999999995</v>
      </c>
      <c r="F227">
        <v>4.9080544317763799</v>
      </c>
      <c r="G227">
        <v>5.1068457668818397</v>
      </c>
      <c r="H227">
        <v>0.17107218056509199</v>
      </c>
      <c r="I227">
        <v>-1.1620319238861501</v>
      </c>
      <c r="J227">
        <v>-4.05</v>
      </c>
      <c r="L227">
        <v>5.277917947446932</v>
      </c>
      <c r="M227">
        <v>4.9357735863167473</v>
      </c>
      <c r="N227">
        <v>5.4489901280120234</v>
      </c>
      <c r="O227">
        <v>4.7647014057516559</v>
      </c>
    </row>
    <row r="228" spans="1:15">
      <c r="A228" s="19">
        <v>43472</v>
      </c>
      <c r="B228">
        <v>2693</v>
      </c>
      <c r="C228">
        <v>2655</v>
      </c>
      <c r="D228">
        <v>545.29999999999995</v>
      </c>
      <c r="E228">
        <v>541.1</v>
      </c>
      <c r="F228">
        <v>4.9066715948992696</v>
      </c>
      <c r="G228">
        <v>5.1131257785036501</v>
      </c>
      <c r="H228">
        <v>0.17230008582565201</v>
      </c>
      <c r="I228">
        <v>-1.1982244966104201</v>
      </c>
      <c r="J228">
        <v>-4.21</v>
      </c>
      <c r="L228">
        <v>5.2854258643293024</v>
      </c>
      <c r="M228">
        <v>4.9408256926779979</v>
      </c>
      <c r="N228">
        <v>5.4577259501549538</v>
      </c>
      <c r="O228">
        <v>4.7685256068523465</v>
      </c>
    </row>
    <row r="229" spans="1:15">
      <c r="A229" s="19">
        <v>43469</v>
      </c>
      <c r="B229">
        <v>2580</v>
      </c>
      <c r="C229">
        <v>2606</v>
      </c>
      <c r="D229">
        <v>518.70000000000005</v>
      </c>
      <c r="E229">
        <v>529.20000000000005</v>
      </c>
      <c r="F229">
        <v>4.9244142101284902</v>
      </c>
      <c r="G229">
        <v>5.1175763485042198</v>
      </c>
      <c r="H229">
        <v>0.17121741269468199</v>
      </c>
      <c r="I229">
        <v>-1.1281687728816301</v>
      </c>
      <c r="J229">
        <v>-3.92</v>
      </c>
      <c r="L229">
        <v>5.2887937611989022</v>
      </c>
      <c r="M229">
        <v>4.9463589358095374</v>
      </c>
      <c r="N229">
        <v>5.4600111738935837</v>
      </c>
      <c r="O229">
        <v>4.775141523114856</v>
      </c>
    </row>
    <row r="230" spans="1:15">
      <c r="A230" s="19">
        <v>43462</v>
      </c>
      <c r="B230">
        <v>2680</v>
      </c>
      <c r="C230">
        <v>2655</v>
      </c>
      <c r="D230">
        <v>522.6</v>
      </c>
      <c r="E230">
        <v>528.70000000000005</v>
      </c>
      <c r="F230">
        <v>5.0217514658596496</v>
      </c>
      <c r="G230">
        <v>5.1211601167637104</v>
      </c>
      <c r="H230">
        <v>0.169945040981963</v>
      </c>
      <c r="I230">
        <v>-0.58494587620602401</v>
      </c>
      <c r="J230">
        <v>-1.98</v>
      </c>
      <c r="L230">
        <v>5.2911051577456734</v>
      </c>
      <c r="M230">
        <v>4.9512150757817475</v>
      </c>
      <c r="N230">
        <v>5.4610501987276363</v>
      </c>
      <c r="O230">
        <v>4.7812700347997845</v>
      </c>
    </row>
    <row r="231" spans="1:15">
      <c r="A231" s="19">
        <v>43461</v>
      </c>
      <c r="B231">
        <v>2650</v>
      </c>
      <c r="C231">
        <v>2697</v>
      </c>
      <c r="D231">
        <v>535</v>
      </c>
      <c r="E231">
        <v>529.70000000000005</v>
      </c>
      <c r="F231">
        <v>5.0915612610911802</v>
      </c>
      <c r="G231">
        <v>5.1246361362124198</v>
      </c>
      <c r="H231">
        <v>0.17054132864473801</v>
      </c>
      <c r="I231">
        <v>-0.193940526815883</v>
      </c>
      <c r="J231">
        <v>-0.65</v>
      </c>
      <c r="L231">
        <v>5.2951774648571579</v>
      </c>
      <c r="M231">
        <v>4.9540948075676816</v>
      </c>
      <c r="N231">
        <v>5.465718793501896</v>
      </c>
      <c r="O231">
        <v>4.7835534789229435</v>
      </c>
    </row>
    <row r="232" spans="1:15">
      <c r="A232" s="19">
        <v>43460</v>
      </c>
      <c r="B232">
        <v>2531</v>
      </c>
      <c r="C232">
        <v>2532</v>
      </c>
      <c r="D232">
        <v>514.20000000000005</v>
      </c>
      <c r="E232">
        <v>513</v>
      </c>
      <c r="F232">
        <v>4.9356725146198803</v>
      </c>
      <c r="G232">
        <v>5.1282087808513701</v>
      </c>
      <c r="H232">
        <v>0.17260514379456399</v>
      </c>
      <c r="I232">
        <v>-1.11547235498759</v>
      </c>
      <c r="J232">
        <v>-3.9</v>
      </c>
      <c r="L232">
        <v>5.3008139246459338</v>
      </c>
      <c r="M232">
        <v>4.9556036370568064</v>
      </c>
      <c r="N232">
        <v>5.4734190684404984</v>
      </c>
      <c r="O232">
        <v>4.7829984932622418</v>
      </c>
    </row>
    <row r="233" spans="1:15">
      <c r="A233" s="19">
        <v>43459</v>
      </c>
      <c r="B233">
        <v>2536</v>
      </c>
      <c r="C233">
        <v>2506</v>
      </c>
      <c r="D233">
        <v>508.2</v>
      </c>
      <c r="E233">
        <v>512.5</v>
      </c>
      <c r="F233">
        <v>4.8897560975609702</v>
      </c>
      <c r="G233">
        <v>5.1352474961089802</v>
      </c>
      <c r="H233">
        <v>0.17535204497854201</v>
      </c>
      <c r="I233">
        <v>-1.3999916486748001</v>
      </c>
      <c r="J233">
        <v>-5.0199999999999996</v>
      </c>
      <c r="L233">
        <v>5.3105995410875222</v>
      </c>
      <c r="M233">
        <v>4.9598954511304383</v>
      </c>
      <c r="N233">
        <v>5.4859515860660641</v>
      </c>
      <c r="O233">
        <v>4.7845434061518963</v>
      </c>
    </row>
    <row r="234" spans="1:15">
      <c r="A234" s="19">
        <v>43455</v>
      </c>
      <c r="B234">
        <v>2694</v>
      </c>
      <c r="C234">
        <v>2636</v>
      </c>
      <c r="D234">
        <v>537.79999999999995</v>
      </c>
      <c r="E234">
        <v>528.20000000000005</v>
      </c>
      <c r="F234">
        <v>4.99053388867853</v>
      </c>
      <c r="G234">
        <v>5.1419141967172797</v>
      </c>
      <c r="H234">
        <v>0.17539676948034999</v>
      </c>
      <c r="I234">
        <v>-0.86307352459937703</v>
      </c>
      <c r="J234">
        <v>-3.03</v>
      </c>
      <c r="L234">
        <v>5.3173109661976294</v>
      </c>
      <c r="M234">
        <v>4.9665174272369299</v>
      </c>
      <c r="N234">
        <v>5.4927077356779801</v>
      </c>
      <c r="O234">
        <v>4.7911206577565792</v>
      </c>
    </row>
    <row r="235" spans="1:15">
      <c r="A235" s="19">
        <v>43454</v>
      </c>
      <c r="B235">
        <v>2815</v>
      </c>
      <c r="C235">
        <v>2737</v>
      </c>
      <c r="D235">
        <v>535.70000000000005</v>
      </c>
      <c r="E235">
        <v>536.79999999999995</v>
      </c>
      <c r="F235">
        <v>5.0987332339791296</v>
      </c>
      <c r="G235">
        <v>5.1458318298260703</v>
      </c>
      <c r="H235">
        <v>0.175253138543988</v>
      </c>
      <c r="I235">
        <v>-0.26874609058781401</v>
      </c>
      <c r="J235">
        <v>-0.92</v>
      </c>
      <c r="L235">
        <v>5.3210849683700587</v>
      </c>
      <c r="M235">
        <v>4.970578691282082</v>
      </c>
      <c r="N235">
        <v>5.4963381069140462</v>
      </c>
      <c r="O235">
        <v>4.7953255527380945</v>
      </c>
    </row>
    <row r="236" spans="1:15">
      <c r="A236" s="19">
        <v>43453</v>
      </c>
      <c r="B236">
        <v>2817</v>
      </c>
      <c r="C236">
        <v>2839</v>
      </c>
      <c r="D236">
        <v>542.79999999999995</v>
      </c>
      <c r="E236">
        <v>542.29999999999995</v>
      </c>
      <c r="F236">
        <v>5.2351097178683297</v>
      </c>
      <c r="G236">
        <v>5.14770107755675</v>
      </c>
      <c r="H236">
        <v>0.175488310512489</v>
      </c>
      <c r="I236">
        <v>0.49808810658851299</v>
      </c>
      <c r="J236">
        <v>1.67</v>
      </c>
      <c r="L236">
        <v>5.3231893880692391</v>
      </c>
      <c r="M236">
        <v>4.9722127670442609</v>
      </c>
      <c r="N236">
        <v>5.4986776985817283</v>
      </c>
      <c r="O236">
        <v>4.7967244565317717</v>
      </c>
    </row>
    <row r="237" spans="1:15">
      <c r="A237" s="19">
        <v>43452</v>
      </c>
      <c r="B237">
        <v>2816</v>
      </c>
      <c r="C237">
        <v>2806</v>
      </c>
      <c r="D237">
        <v>546</v>
      </c>
      <c r="E237">
        <v>547.70000000000005</v>
      </c>
      <c r="F237">
        <v>5.1232426510863602</v>
      </c>
      <c r="G237">
        <v>5.1460139717835398</v>
      </c>
      <c r="H237">
        <v>0.17524793864405899</v>
      </c>
      <c r="I237">
        <v>-0.12993773777522899</v>
      </c>
      <c r="J237">
        <v>-0.44</v>
      </c>
      <c r="L237">
        <v>5.3212619104275989</v>
      </c>
      <c r="M237">
        <v>4.9707660331394807</v>
      </c>
      <c r="N237">
        <v>5.496509849071658</v>
      </c>
      <c r="O237">
        <v>4.7955180944954217</v>
      </c>
    </row>
    <row r="238" spans="1:15">
      <c r="A238" s="19">
        <v>43451</v>
      </c>
      <c r="B238">
        <v>2863</v>
      </c>
      <c r="C238">
        <v>2893</v>
      </c>
      <c r="D238">
        <v>562.1</v>
      </c>
      <c r="E238">
        <v>555</v>
      </c>
      <c r="F238">
        <v>5.2126126126126104</v>
      </c>
      <c r="G238">
        <v>5.1457164921293002</v>
      </c>
      <c r="H238">
        <v>0.17530526682023401</v>
      </c>
      <c r="I238">
        <v>0.38159789318768</v>
      </c>
      <c r="J238">
        <v>1.28</v>
      </c>
      <c r="L238">
        <v>5.3210217589495343</v>
      </c>
      <c r="M238">
        <v>4.970411225309066</v>
      </c>
      <c r="N238">
        <v>5.4963270257697685</v>
      </c>
      <c r="O238">
        <v>4.7951059584888318</v>
      </c>
    </row>
    <row r="239" spans="1:15">
      <c r="A239" s="19">
        <v>43448</v>
      </c>
      <c r="B239">
        <v>2924</v>
      </c>
      <c r="C239">
        <v>2861</v>
      </c>
      <c r="D239">
        <v>561</v>
      </c>
      <c r="E239">
        <v>552.1</v>
      </c>
      <c r="F239">
        <v>5.1820322405361301</v>
      </c>
      <c r="G239">
        <v>5.1457207740137099</v>
      </c>
      <c r="H239">
        <v>0.17530690464034701</v>
      </c>
      <c r="I239">
        <v>0.207130840607302</v>
      </c>
      <c r="J239">
        <v>0.7</v>
      </c>
      <c r="L239">
        <v>5.3210276786540565</v>
      </c>
      <c r="M239">
        <v>4.9704138693733633</v>
      </c>
      <c r="N239">
        <v>5.4963345832944039</v>
      </c>
      <c r="O239">
        <v>4.7951069647330158</v>
      </c>
    </row>
    <row r="240" spans="1:15">
      <c r="A240" s="19">
        <v>43447</v>
      </c>
      <c r="B240">
        <v>2928</v>
      </c>
      <c r="C240">
        <v>2924</v>
      </c>
      <c r="D240">
        <v>567.20000000000005</v>
      </c>
      <c r="E240">
        <v>565.6</v>
      </c>
      <c r="F240">
        <v>5.1697312588401596</v>
      </c>
      <c r="G240">
        <v>5.1460999205758604</v>
      </c>
      <c r="H240">
        <v>0.175415743895839</v>
      </c>
      <c r="I240">
        <v>0.13471617620785301</v>
      </c>
      <c r="J240">
        <v>0.46</v>
      </c>
      <c r="L240">
        <v>5.3215156644716997</v>
      </c>
      <c r="M240">
        <v>4.9706841766800212</v>
      </c>
      <c r="N240">
        <v>5.496931408367538</v>
      </c>
      <c r="O240">
        <v>4.7952684327841828</v>
      </c>
    </row>
    <row r="241" spans="1:15">
      <c r="A241" s="19">
        <v>43446</v>
      </c>
      <c r="B241">
        <v>2893</v>
      </c>
      <c r="C241">
        <v>2928</v>
      </c>
      <c r="D241">
        <v>560.20000000000005</v>
      </c>
      <c r="E241">
        <v>561.6</v>
      </c>
      <c r="F241">
        <v>5.2136752136752103</v>
      </c>
      <c r="G241">
        <v>5.1465990618353699</v>
      </c>
      <c r="H241">
        <v>0.17553549631397899</v>
      </c>
      <c r="I241">
        <v>0.38212300787220199</v>
      </c>
      <c r="J241">
        <v>1.29</v>
      </c>
      <c r="L241">
        <v>5.3221345581493491</v>
      </c>
      <c r="M241">
        <v>4.9710635655213906</v>
      </c>
      <c r="N241">
        <v>5.4976700544633275</v>
      </c>
      <c r="O241">
        <v>4.7955280692074123</v>
      </c>
    </row>
    <row r="242" spans="1:15">
      <c r="A242" s="19">
        <v>43445</v>
      </c>
      <c r="B242">
        <v>2979</v>
      </c>
      <c r="C242">
        <v>2933</v>
      </c>
      <c r="D242">
        <v>557.70000000000005</v>
      </c>
      <c r="E242">
        <v>555</v>
      </c>
      <c r="F242">
        <v>5.28468468468468</v>
      </c>
      <c r="G242">
        <v>5.1476147932858902</v>
      </c>
      <c r="H242">
        <v>0.17614005719395301</v>
      </c>
      <c r="I242">
        <v>0.77818693591011101</v>
      </c>
      <c r="J242">
        <v>2.59</v>
      </c>
      <c r="L242">
        <v>5.3237548504798431</v>
      </c>
      <c r="M242">
        <v>4.9714747360919374</v>
      </c>
      <c r="N242">
        <v>5.499894907673796</v>
      </c>
      <c r="O242">
        <v>4.7953346788979845</v>
      </c>
    </row>
    <row r="243" spans="1:15">
      <c r="A243" s="19">
        <v>43444</v>
      </c>
      <c r="B243">
        <v>3000</v>
      </c>
      <c r="C243">
        <v>2929</v>
      </c>
      <c r="D243">
        <v>564.79999999999995</v>
      </c>
      <c r="E243">
        <v>561.20000000000005</v>
      </c>
      <c r="F243">
        <v>5.2191732002851001</v>
      </c>
      <c r="G243">
        <v>5.1472996722712097</v>
      </c>
      <c r="H243">
        <v>0.17591555029206299</v>
      </c>
      <c r="I243">
        <v>0.40856836075353797</v>
      </c>
      <c r="J243">
        <v>1.38</v>
      </c>
      <c r="L243">
        <v>5.323215222563273</v>
      </c>
      <c r="M243">
        <v>4.9713841219791464</v>
      </c>
      <c r="N243">
        <v>5.4991307728553354</v>
      </c>
      <c r="O243">
        <v>4.795468571687084</v>
      </c>
    </row>
    <row r="244" spans="1:15">
      <c r="A244" s="19">
        <v>43441</v>
      </c>
      <c r="B244">
        <v>3010</v>
      </c>
      <c r="C244">
        <v>3045</v>
      </c>
      <c r="D244">
        <v>569.79999999999995</v>
      </c>
      <c r="E244">
        <v>565.29999999999995</v>
      </c>
      <c r="F244">
        <v>5.3865204316292203</v>
      </c>
      <c r="G244">
        <v>5.1489525263327698</v>
      </c>
      <c r="H244">
        <v>0.17716104623918799</v>
      </c>
      <c r="I244">
        <v>1.3409714513409601</v>
      </c>
      <c r="J244">
        <v>4.41</v>
      </c>
      <c r="L244">
        <v>5.3261135725719582</v>
      </c>
      <c r="M244">
        <v>4.9717914800935814</v>
      </c>
      <c r="N244">
        <v>5.5032746188111457</v>
      </c>
      <c r="O244">
        <v>4.7946304338543939</v>
      </c>
    </row>
    <row r="245" spans="1:15">
      <c r="A245" s="19">
        <v>43440</v>
      </c>
      <c r="B245">
        <v>3075</v>
      </c>
      <c r="C245">
        <v>2983</v>
      </c>
      <c r="D245">
        <v>574.20000000000005</v>
      </c>
      <c r="E245">
        <v>569.70000000000005</v>
      </c>
      <c r="F245">
        <v>5.2360891697384497</v>
      </c>
      <c r="G245">
        <v>5.1490957837059002</v>
      </c>
      <c r="H245">
        <v>0.17735732770488299</v>
      </c>
      <c r="I245">
        <v>0.49049783935235203</v>
      </c>
      <c r="J245">
        <v>1.66</v>
      </c>
      <c r="L245">
        <v>5.3264531114107836</v>
      </c>
      <c r="M245">
        <v>4.9717384560010167</v>
      </c>
      <c r="N245">
        <v>5.5038104391156661</v>
      </c>
      <c r="O245">
        <v>4.7943811282961342</v>
      </c>
    </row>
    <row r="246" spans="1:15">
      <c r="A246" s="19">
        <v>43439</v>
      </c>
      <c r="B246">
        <v>2954</v>
      </c>
      <c r="C246">
        <v>3090</v>
      </c>
      <c r="D246">
        <v>579.5</v>
      </c>
      <c r="E246">
        <v>579.5</v>
      </c>
      <c r="F246">
        <v>5.3321829163071603</v>
      </c>
      <c r="G246">
        <v>5.1507944547652897</v>
      </c>
      <c r="H246">
        <v>0.178786727008105</v>
      </c>
      <c r="I246">
        <v>1.0145521682582499</v>
      </c>
      <c r="J246">
        <v>3.4</v>
      </c>
      <c r="L246">
        <v>5.3295811817733947</v>
      </c>
      <c r="M246">
        <v>4.9720077277571848</v>
      </c>
      <c r="N246">
        <v>5.5083679087814996</v>
      </c>
      <c r="O246">
        <v>4.7932210007490799</v>
      </c>
    </row>
    <row r="247" spans="1:15">
      <c r="A247" s="19">
        <v>43438</v>
      </c>
      <c r="B247">
        <v>3050</v>
      </c>
      <c r="C247">
        <v>2991</v>
      </c>
      <c r="D247">
        <v>606.1</v>
      </c>
      <c r="E247">
        <v>590.4</v>
      </c>
      <c r="F247">
        <v>5.0660569105690998</v>
      </c>
      <c r="G247">
        <v>5.15279568721947</v>
      </c>
      <c r="H247">
        <v>0.18162340054413501</v>
      </c>
      <c r="I247">
        <v>-0.47757489613399901</v>
      </c>
      <c r="J247">
        <v>-1.71</v>
      </c>
      <c r="L247">
        <v>5.3344190877636048</v>
      </c>
      <c r="M247">
        <v>4.9711722866753352</v>
      </c>
      <c r="N247">
        <v>5.5160424883077397</v>
      </c>
      <c r="O247">
        <v>4.7895488861312003</v>
      </c>
    </row>
    <row r="248" spans="1:15">
      <c r="A248" s="19">
        <v>43437</v>
      </c>
      <c r="B248">
        <v>3080</v>
      </c>
      <c r="C248">
        <v>3080</v>
      </c>
      <c r="D248">
        <v>609</v>
      </c>
      <c r="E248">
        <v>610.29999999999995</v>
      </c>
      <c r="F248">
        <v>5.04669834507619</v>
      </c>
      <c r="G248">
        <v>5.1609281117093602</v>
      </c>
      <c r="H248">
        <v>0.190972130952413</v>
      </c>
      <c r="I248">
        <v>-0.59814888205670902</v>
      </c>
      <c r="J248">
        <v>-2.2599999999999998</v>
      </c>
      <c r="L248">
        <v>5.351900242661773</v>
      </c>
      <c r="M248">
        <v>4.9699559807569473</v>
      </c>
      <c r="N248">
        <v>5.5428723736141858</v>
      </c>
      <c r="O248">
        <v>4.7789838498045345</v>
      </c>
    </row>
    <row r="249" spans="1:15">
      <c r="A249" s="19">
        <v>43434</v>
      </c>
      <c r="B249">
        <v>3150</v>
      </c>
      <c r="C249">
        <v>3055</v>
      </c>
      <c r="D249">
        <v>602.20000000000005</v>
      </c>
      <c r="E249">
        <v>601.9</v>
      </c>
      <c r="F249">
        <v>5.0755939524837999</v>
      </c>
      <c r="G249">
        <v>5.1723563239353201</v>
      </c>
      <c r="H249">
        <v>0.208624469647574</v>
      </c>
      <c r="I249">
        <v>-0.46381122796852903</v>
      </c>
      <c r="J249">
        <v>-1.91</v>
      </c>
      <c r="L249">
        <v>5.3809807935828937</v>
      </c>
      <c r="M249">
        <v>4.9637318542877464</v>
      </c>
      <c r="N249">
        <v>5.5896052632304682</v>
      </c>
      <c r="O249">
        <v>4.7551073846401719</v>
      </c>
    </row>
    <row r="250" spans="1:15">
      <c r="A250" s="19">
        <v>43433</v>
      </c>
      <c r="B250">
        <v>3155</v>
      </c>
      <c r="C250">
        <v>3150</v>
      </c>
      <c r="D250">
        <v>597.79999999999995</v>
      </c>
      <c r="E250">
        <v>600.4</v>
      </c>
      <c r="F250">
        <v>5.2465023317788102</v>
      </c>
      <c r="G250">
        <v>5.1812910853448901</v>
      </c>
      <c r="H250">
        <v>0.218408994956793</v>
      </c>
      <c r="I250">
        <v>0.29857399621670699</v>
      </c>
      <c r="J250">
        <v>1.24</v>
      </c>
      <c r="L250">
        <v>5.3997000803016828</v>
      </c>
      <c r="M250">
        <v>4.9628820903880975</v>
      </c>
      <c r="N250">
        <v>5.6181090752584764</v>
      </c>
      <c r="O250">
        <v>4.7444730954313039</v>
      </c>
    </row>
    <row r="251" spans="1:15">
      <c r="A251" s="19">
        <v>43432</v>
      </c>
      <c r="B251">
        <v>3070</v>
      </c>
      <c r="C251">
        <v>3120</v>
      </c>
      <c r="D251">
        <v>591.70000000000005</v>
      </c>
      <c r="E251">
        <v>594.70000000000005</v>
      </c>
      <c r="F251">
        <v>5.2463426937951896</v>
      </c>
      <c r="G251">
        <v>5.1882190915565998</v>
      </c>
      <c r="H251">
        <v>0.228380942514749</v>
      </c>
      <c r="I251">
        <v>0.25450285649305898</v>
      </c>
      <c r="J251">
        <v>1.1100000000000001</v>
      </c>
      <c r="L251">
        <v>5.4166000340713492</v>
      </c>
      <c r="M251">
        <v>4.9598381490418504</v>
      </c>
      <c r="N251">
        <v>5.6449809765860977</v>
      </c>
      <c r="O251">
        <v>4.7314572065271019</v>
      </c>
    </row>
    <row r="252" spans="1:15">
      <c r="A252" s="19">
        <v>43431</v>
      </c>
      <c r="B252">
        <v>3020</v>
      </c>
      <c r="C252">
        <v>3040</v>
      </c>
      <c r="D252">
        <v>584.20000000000005</v>
      </c>
      <c r="E252">
        <v>588.70000000000005</v>
      </c>
      <c r="F252">
        <v>5.1639205028027799</v>
      </c>
      <c r="G252">
        <v>5.1942267967522504</v>
      </c>
      <c r="H252">
        <v>0.23564184782282399</v>
      </c>
      <c r="I252">
        <v>-0.128611680096201</v>
      </c>
      <c r="J252">
        <v>-0.59</v>
      </c>
      <c r="L252">
        <v>5.4298686445750741</v>
      </c>
      <c r="M252">
        <v>4.9585849489294267</v>
      </c>
      <c r="N252">
        <v>5.6655104923978987</v>
      </c>
      <c r="O252">
        <v>4.7229431011066021</v>
      </c>
    </row>
    <row r="253" spans="1:15">
      <c r="A253" s="19">
        <v>43430</v>
      </c>
      <c r="B253">
        <v>3010</v>
      </c>
      <c r="C253">
        <v>3010</v>
      </c>
      <c r="D253">
        <v>571.1</v>
      </c>
      <c r="E253">
        <v>576.4</v>
      </c>
      <c r="F253">
        <v>5.2220680083275504</v>
      </c>
      <c r="G253">
        <v>5.2018790048156003</v>
      </c>
      <c r="H253">
        <v>0.24371381914371301</v>
      </c>
      <c r="I253">
        <v>8.2838977218763099E-2</v>
      </c>
      <c r="J253">
        <v>0.39</v>
      </c>
      <c r="L253">
        <v>5.4455928239593137</v>
      </c>
      <c r="M253">
        <v>4.9581651856718869</v>
      </c>
      <c r="N253">
        <v>5.6893066431030261</v>
      </c>
      <c r="O253">
        <v>4.7144513665281744</v>
      </c>
    </row>
    <row r="254" spans="1:15">
      <c r="A254" s="19">
        <v>43426</v>
      </c>
      <c r="B254">
        <v>2915</v>
      </c>
      <c r="C254">
        <v>2967</v>
      </c>
      <c r="D254">
        <v>577</v>
      </c>
      <c r="E254">
        <v>580</v>
      </c>
      <c r="F254">
        <v>5.11551724137931</v>
      </c>
      <c r="G254">
        <v>5.2101213950391498</v>
      </c>
      <c r="H254">
        <v>0.25447313154859502</v>
      </c>
      <c r="I254">
        <v>-0.37176480316067201</v>
      </c>
      <c r="J254">
        <v>-1.85</v>
      </c>
      <c r="L254">
        <v>5.4645945265877449</v>
      </c>
      <c r="M254">
        <v>4.9556482634905548</v>
      </c>
      <c r="N254">
        <v>5.71906765813634</v>
      </c>
      <c r="O254">
        <v>4.7011751319419597</v>
      </c>
    </row>
    <row r="255" spans="1:15">
      <c r="A255" s="19">
        <v>43425</v>
      </c>
      <c r="B255">
        <v>2850</v>
      </c>
      <c r="C255">
        <v>2913</v>
      </c>
      <c r="D255">
        <v>571.4</v>
      </c>
      <c r="E255">
        <v>578</v>
      </c>
      <c r="F255">
        <v>5.0397923875432502</v>
      </c>
      <c r="G255">
        <v>5.2191416850566101</v>
      </c>
      <c r="H255">
        <v>0.26281346548901402</v>
      </c>
      <c r="I255">
        <v>-0.68242050375785301</v>
      </c>
      <c r="J255">
        <v>-3.56</v>
      </c>
      <c r="L255">
        <v>5.4819551505456241</v>
      </c>
      <c r="M255">
        <v>4.9563282195675962</v>
      </c>
      <c r="N255">
        <v>5.7447686160346381</v>
      </c>
      <c r="O255">
        <v>4.6935147540785822</v>
      </c>
    </row>
    <row r="256" spans="1:15">
      <c r="A256" s="19">
        <v>43424</v>
      </c>
      <c r="B256">
        <v>2931</v>
      </c>
      <c r="C256">
        <v>2893</v>
      </c>
      <c r="D256">
        <v>571.4</v>
      </c>
      <c r="E256">
        <v>578</v>
      </c>
      <c r="F256">
        <v>5.00519031141868</v>
      </c>
      <c r="G256">
        <v>5.2295892283763701</v>
      </c>
      <c r="H256">
        <v>0.27092542235275802</v>
      </c>
      <c r="I256">
        <v>-0.82826821864472899</v>
      </c>
      <c r="J256">
        <v>-4.4800000000000004</v>
      </c>
      <c r="L256">
        <v>5.5005146507291283</v>
      </c>
      <c r="M256">
        <v>4.9586638060236119</v>
      </c>
      <c r="N256">
        <v>5.7714400730818864</v>
      </c>
      <c r="O256">
        <v>4.6877383836708537</v>
      </c>
    </row>
    <row r="257" spans="1:15">
      <c r="A257" s="19">
        <v>43423</v>
      </c>
      <c r="B257">
        <v>2937</v>
      </c>
      <c r="C257">
        <v>2950</v>
      </c>
      <c r="D257">
        <v>575</v>
      </c>
      <c r="E257">
        <v>574.5</v>
      </c>
      <c r="F257">
        <v>5.1348999129677901</v>
      </c>
      <c r="G257">
        <v>5.2371360909951203</v>
      </c>
      <c r="H257">
        <v>0.27244861698942702</v>
      </c>
      <c r="I257">
        <v>-0.37524939255350398</v>
      </c>
      <c r="J257">
        <v>-1.99</v>
      </c>
      <c r="L257">
        <v>5.5095847079845477</v>
      </c>
      <c r="M257">
        <v>4.964687474005693</v>
      </c>
      <c r="N257">
        <v>5.7820333249739742</v>
      </c>
      <c r="O257">
        <v>4.6922388570162665</v>
      </c>
    </row>
    <row r="258" spans="1:15">
      <c r="A258" s="19">
        <v>43420</v>
      </c>
      <c r="B258">
        <v>2987</v>
      </c>
      <c r="C258">
        <v>2937</v>
      </c>
      <c r="D258">
        <v>579.29999999999995</v>
      </c>
      <c r="E258">
        <v>575.29999999999995</v>
      </c>
      <c r="F258">
        <v>5.10516252390057</v>
      </c>
      <c r="G258">
        <v>5.2432107808382504</v>
      </c>
      <c r="H258">
        <v>0.27516700410842598</v>
      </c>
      <c r="I258">
        <v>-0.50168899205403095</v>
      </c>
      <c r="J258">
        <v>-2.7</v>
      </c>
      <c r="L258">
        <v>5.5183777849466766</v>
      </c>
      <c r="M258">
        <v>4.9680437767298242</v>
      </c>
      <c r="N258">
        <v>5.7935447890551028</v>
      </c>
      <c r="O258">
        <v>4.692876772621398</v>
      </c>
    </row>
    <row r="259" spans="1:15">
      <c r="A259" s="19">
        <v>43419</v>
      </c>
      <c r="B259">
        <v>2915</v>
      </c>
      <c r="C259">
        <v>2978</v>
      </c>
      <c r="D259">
        <v>589.5</v>
      </c>
      <c r="E259">
        <v>581.4</v>
      </c>
      <c r="F259">
        <v>5.1221190230478104</v>
      </c>
      <c r="G259">
        <v>5.2503109989239398</v>
      </c>
      <c r="H259">
        <v>0.27836505502083497</v>
      </c>
      <c r="I259">
        <v>-0.46051748796750003</v>
      </c>
      <c r="J259">
        <v>-2.5</v>
      </c>
      <c r="L259">
        <v>5.5286760539447748</v>
      </c>
      <c r="M259">
        <v>4.9719459439031048</v>
      </c>
      <c r="N259">
        <v>5.8070411089656098</v>
      </c>
      <c r="O259">
        <v>4.6935808888822699</v>
      </c>
    </row>
    <row r="260" spans="1:15">
      <c r="A260" s="19">
        <v>43418</v>
      </c>
      <c r="B260">
        <v>2920</v>
      </c>
      <c r="C260">
        <v>2923</v>
      </c>
      <c r="D260">
        <v>598.9</v>
      </c>
      <c r="E260">
        <v>599</v>
      </c>
      <c r="F260">
        <v>4.8797996661101797</v>
      </c>
      <c r="G260">
        <v>5.2539693090168802</v>
      </c>
      <c r="H260">
        <v>0.27845920900709997</v>
      </c>
      <c r="I260">
        <v>-1.3437143782777701</v>
      </c>
      <c r="J260">
        <v>-7.67</v>
      </c>
      <c r="L260">
        <v>5.5324285180239805</v>
      </c>
      <c r="M260">
        <v>4.9755101000097799</v>
      </c>
      <c r="N260">
        <v>5.8108877270310799</v>
      </c>
      <c r="O260">
        <v>4.6970508910026805</v>
      </c>
    </row>
    <row r="261" spans="1:15">
      <c r="A261" s="19">
        <v>43417</v>
      </c>
      <c r="B261">
        <v>2901</v>
      </c>
      <c r="C261">
        <v>2914</v>
      </c>
      <c r="D261">
        <v>596.4</v>
      </c>
      <c r="E261">
        <v>595.5</v>
      </c>
      <c r="F261">
        <v>4.8933669185558299</v>
      </c>
      <c r="G261">
        <v>5.2620760451760598</v>
      </c>
      <c r="H261">
        <v>0.27628999366364898</v>
      </c>
      <c r="I261">
        <v>-1.3345004707954999</v>
      </c>
      <c r="J261">
        <v>-7.53</v>
      </c>
      <c r="L261">
        <v>5.5383660388397091</v>
      </c>
      <c r="M261">
        <v>4.9857860515124104</v>
      </c>
      <c r="N261">
        <v>5.8146560325033576</v>
      </c>
      <c r="O261">
        <v>4.7094960578487619</v>
      </c>
    </row>
    <row r="262" spans="1:15">
      <c r="A262" s="19">
        <v>43416</v>
      </c>
      <c r="B262">
        <v>2986</v>
      </c>
      <c r="C262">
        <v>2958</v>
      </c>
      <c r="D262">
        <v>610</v>
      </c>
      <c r="E262">
        <v>611</v>
      </c>
      <c r="F262">
        <v>4.8412438625204501</v>
      </c>
      <c r="G262">
        <v>5.26963564253884</v>
      </c>
      <c r="H262">
        <v>0.27384391799976399</v>
      </c>
      <c r="I262">
        <v>-1.5643647781096801</v>
      </c>
      <c r="J262">
        <v>-8.85</v>
      </c>
      <c r="L262">
        <v>5.5434795605386036</v>
      </c>
      <c r="M262">
        <v>4.9957917245390764</v>
      </c>
      <c r="N262">
        <v>5.8173234785383681</v>
      </c>
      <c r="O262">
        <v>4.7219478065393119</v>
      </c>
    </row>
    <row r="263" spans="1:15">
      <c r="A263" s="19">
        <v>43413</v>
      </c>
      <c r="B263">
        <v>3010</v>
      </c>
      <c r="C263">
        <v>3015</v>
      </c>
      <c r="D263">
        <v>615.6</v>
      </c>
      <c r="E263">
        <v>617.6</v>
      </c>
      <c r="F263">
        <v>4.8818005181347104</v>
      </c>
      <c r="G263">
        <v>5.2769831602693396</v>
      </c>
      <c r="H263">
        <v>0.26961124655713098</v>
      </c>
      <c r="I263">
        <v>-1.46574984234155</v>
      </c>
      <c r="J263">
        <v>-8.1</v>
      </c>
      <c r="L263">
        <v>5.5465944068264701</v>
      </c>
      <c r="M263">
        <v>5.007371913712209</v>
      </c>
      <c r="N263">
        <v>5.8162056533836015</v>
      </c>
      <c r="O263">
        <v>4.7377606671550776</v>
      </c>
    </row>
    <row r="264" spans="1:15">
      <c r="A264" s="19">
        <v>43412</v>
      </c>
      <c r="B264">
        <v>3025</v>
      </c>
      <c r="C264">
        <v>3015</v>
      </c>
      <c r="D264">
        <v>616.4</v>
      </c>
      <c r="E264">
        <v>619.1</v>
      </c>
      <c r="F264">
        <v>4.8699725407850103</v>
      </c>
      <c r="G264">
        <v>5.2839924763647002</v>
      </c>
      <c r="H264">
        <v>0.266056313698948</v>
      </c>
      <c r="I264">
        <v>-1.55613648036996</v>
      </c>
      <c r="J264">
        <v>-8.5</v>
      </c>
      <c r="L264">
        <v>5.5500487900636486</v>
      </c>
      <c r="M264">
        <v>5.0179361626657517</v>
      </c>
      <c r="N264">
        <v>5.8161051037625962</v>
      </c>
      <c r="O264">
        <v>4.7518798489668042</v>
      </c>
    </row>
    <row r="265" spans="1:15">
      <c r="A265" s="19">
        <v>43411</v>
      </c>
      <c r="B265">
        <v>2935</v>
      </c>
      <c r="C265">
        <v>2999</v>
      </c>
      <c r="D265">
        <v>613</v>
      </c>
      <c r="E265">
        <v>607.20000000000005</v>
      </c>
      <c r="F265">
        <v>4.9390645586297701</v>
      </c>
      <c r="G265">
        <v>5.2923710050207102</v>
      </c>
      <c r="H265">
        <v>0.26276032274827099</v>
      </c>
      <c r="I265">
        <v>-1.34459587617956</v>
      </c>
      <c r="J265">
        <v>-7.15</v>
      </c>
      <c r="L265">
        <v>5.5551313277689811</v>
      </c>
      <c r="M265">
        <v>5.0296106822724393</v>
      </c>
      <c r="N265">
        <v>5.817891650517252</v>
      </c>
      <c r="O265">
        <v>4.7668503595241685</v>
      </c>
    </row>
    <row r="266" spans="1:15">
      <c r="A266" s="19">
        <v>43410</v>
      </c>
      <c r="B266">
        <v>2932</v>
      </c>
      <c r="C266">
        <v>2907</v>
      </c>
      <c r="D266">
        <v>606.20000000000005</v>
      </c>
      <c r="E266">
        <v>614.1</v>
      </c>
      <c r="F266">
        <v>4.73375671714704</v>
      </c>
      <c r="G266">
        <v>5.3048501442389799</v>
      </c>
      <c r="H266">
        <v>0.267860049848552</v>
      </c>
      <c r="I266">
        <v>-2.1320589890684798</v>
      </c>
      <c r="J266">
        <v>-12.06</v>
      </c>
      <c r="L266">
        <v>5.5727101940875317</v>
      </c>
      <c r="M266">
        <v>5.0369900943904282</v>
      </c>
      <c r="N266">
        <v>5.8405702439360843</v>
      </c>
      <c r="O266">
        <v>4.7691300445418756</v>
      </c>
    </row>
    <row r="267" spans="1:15">
      <c r="A267" s="19">
        <v>43409</v>
      </c>
      <c r="B267">
        <v>2950</v>
      </c>
      <c r="C267">
        <v>2937</v>
      </c>
      <c r="D267">
        <v>606.70000000000005</v>
      </c>
      <c r="E267">
        <v>605.6</v>
      </c>
      <c r="F267">
        <v>4.84973579920739</v>
      </c>
      <c r="G267">
        <v>5.3203079785371301</v>
      </c>
      <c r="H267">
        <v>0.26790889239322502</v>
      </c>
      <c r="I267">
        <v>-1.75646345713323</v>
      </c>
      <c r="J267">
        <v>-9.6999999999999993</v>
      </c>
      <c r="L267">
        <v>5.5882168709303555</v>
      </c>
      <c r="M267">
        <v>5.0523990861439048</v>
      </c>
      <c r="N267">
        <v>5.8561257633235799</v>
      </c>
      <c r="O267">
        <v>4.7844901937506803</v>
      </c>
    </row>
    <row r="268" spans="1:15">
      <c r="A268" s="19">
        <v>43406</v>
      </c>
      <c r="B268">
        <v>2990</v>
      </c>
      <c r="C268">
        <v>3035</v>
      </c>
      <c r="D268">
        <v>613</v>
      </c>
      <c r="E268">
        <v>609</v>
      </c>
      <c r="F268">
        <v>4.9835796387520501</v>
      </c>
      <c r="G268">
        <v>5.3340762070967198</v>
      </c>
      <c r="H268">
        <v>0.26989818208591798</v>
      </c>
      <c r="I268">
        <v>-1.2986251542557401</v>
      </c>
      <c r="J268">
        <v>-7.03</v>
      </c>
      <c r="L268">
        <v>5.6039743891826381</v>
      </c>
      <c r="M268">
        <v>5.0641780250108015</v>
      </c>
      <c r="N268">
        <v>5.8738725712685556</v>
      </c>
      <c r="O268">
        <v>4.7942798429248841</v>
      </c>
    </row>
    <row r="269" spans="1:15">
      <c r="A269" s="19">
        <v>43405</v>
      </c>
      <c r="B269">
        <v>2988</v>
      </c>
      <c r="C269">
        <v>2953</v>
      </c>
      <c r="D269">
        <v>601.9</v>
      </c>
      <c r="E269">
        <v>605.9</v>
      </c>
      <c r="F269">
        <v>4.8737415415085001</v>
      </c>
      <c r="G269">
        <v>5.3445811104478604</v>
      </c>
      <c r="H269">
        <v>0.27138033298193998</v>
      </c>
      <c r="I269">
        <v>-1.7349804378443701</v>
      </c>
      <c r="J269">
        <v>-9.66</v>
      </c>
      <c r="L269">
        <v>5.6159614434298</v>
      </c>
      <c r="M269">
        <v>5.0732007774659209</v>
      </c>
      <c r="N269">
        <v>5.8873417764117404</v>
      </c>
      <c r="O269">
        <v>4.8018204444839805</v>
      </c>
    </row>
    <row r="270" spans="1:15">
      <c r="A270" s="19">
        <v>43404</v>
      </c>
      <c r="B270">
        <v>2892</v>
      </c>
      <c r="C270">
        <v>2981</v>
      </c>
      <c r="D270">
        <v>589</v>
      </c>
      <c r="E270">
        <v>595</v>
      </c>
      <c r="F270">
        <v>5.01008403361344</v>
      </c>
      <c r="G270">
        <v>5.3563068633969699</v>
      </c>
      <c r="H270">
        <v>0.26977748439378402</v>
      </c>
      <c r="I270">
        <v>-1.2833644385168901</v>
      </c>
      <c r="J270">
        <v>-6.91</v>
      </c>
      <c r="L270">
        <v>5.6260843477907541</v>
      </c>
      <c r="M270">
        <v>5.0865293790031858</v>
      </c>
      <c r="N270">
        <v>5.8958618321845382</v>
      </c>
      <c r="O270">
        <v>4.8167518946094017</v>
      </c>
    </row>
    <row r="271" spans="1:15">
      <c r="A271" s="19">
        <v>43403</v>
      </c>
      <c r="B271">
        <v>2800</v>
      </c>
      <c r="C271">
        <v>2881</v>
      </c>
      <c r="D271">
        <v>579.6</v>
      </c>
      <c r="E271">
        <v>585.9</v>
      </c>
      <c r="F271">
        <v>4.9172213688342703</v>
      </c>
      <c r="G271">
        <v>5.3645887994272003</v>
      </c>
      <c r="H271">
        <v>0.26855315078238101</v>
      </c>
      <c r="I271">
        <v>-1.66584316471284</v>
      </c>
      <c r="J271">
        <v>-9.1</v>
      </c>
      <c r="L271">
        <v>5.6331419502095814</v>
      </c>
      <c r="M271">
        <v>5.0960356486448193</v>
      </c>
      <c r="N271">
        <v>5.9016951009919625</v>
      </c>
      <c r="O271">
        <v>4.8274824978624382</v>
      </c>
    </row>
    <row r="272" spans="1:15">
      <c r="A272" s="19">
        <v>43402</v>
      </c>
      <c r="B272">
        <v>2817</v>
      </c>
      <c r="C272">
        <v>2812</v>
      </c>
      <c r="D272">
        <v>589.79999999999995</v>
      </c>
      <c r="E272">
        <v>579.79999999999995</v>
      </c>
      <c r="F272">
        <v>4.8499482580200004</v>
      </c>
      <c r="G272">
        <v>5.3759359507268698</v>
      </c>
      <c r="H272">
        <v>0.26738770223382202</v>
      </c>
      <c r="I272">
        <v>-1.9671349441752</v>
      </c>
      <c r="J272">
        <v>-10.85</v>
      </c>
      <c r="L272">
        <v>5.6433236529606923</v>
      </c>
      <c r="M272">
        <v>5.1085482484930473</v>
      </c>
      <c r="N272">
        <v>5.9107113551945138</v>
      </c>
      <c r="O272">
        <v>4.8411605462592258</v>
      </c>
    </row>
    <row r="273" spans="1:15">
      <c r="A273" s="19">
        <v>43399</v>
      </c>
      <c r="B273">
        <v>2895</v>
      </c>
      <c r="C273">
        <v>2821</v>
      </c>
      <c r="D273">
        <v>587.29999999999995</v>
      </c>
      <c r="E273">
        <v>584.1</v>
      </c>
      <c r="F273">
        <v>4.8296524567711003</v>
      </c>
      <c r="G273">
        <v>5.3843447350550102</v>
      </c>
      <c r="H273">
        <v>0.26054311650538398</v>
      </c>
      <c r="I273">
        <v>-2.1289845831426901</v>
      </c>
      <c r="J273">
        <v>-11.49</v>
      </c>
      <c r="L273">
        <v>5.6448878515603944</v>
      </c>
      <c r="M273">
        <v>5.123801618549626</v>
      </c>
      <c r="N273">
        <v>5.9054309680657777</v>
      </c>
      <c r="O273">
        <v>4.8632585020442427</v>
      </c>
    </row>
    <row r="274" spans="1:15">
      <c r="A274" s="19">
        <v>43398</v>
      </c>
      <c r="B274">
        <v>2927</v>
      </c>
      <c r="C274">
        <v>2867</v>
      </c>
      <c r="D274">
        <v>575</v>
      </c>
      <c r="E274">
        <v>578.6</v>
      </c>
      <c r="F274">
        <v>4.9550639474593803</v>
      </c>
      <c r="G274">
        <v>5.3927632512376098</v>
      </c>
      <c r="H274">
        <v>0.25256252375437899</v>
      </c>
      <c r="I274">
        <v>-1.73303345750496</v>
      </c>
      <c r="J274">
        <v>-8.83</v>
      </c>
      <c r="L274">
        <v>5.6453257749919885</v>
      </c>
      <c r="M274">
        <v>5.1402007274832311</v>
      </c>
      <c r="N274">
        <v>5.8978882987463681</v>
      </c>
      <c r="O274">
        <v>4.8876382037288515</v>
      </c>
    </row>
    <row r="275" spans="1:15">
      <c r="A275" s="19">
        <v>43397</v>
      </c>
      <c r="B275">
        <v>3050</v>
      </c>
      <c r="C275">
        <v>3015</v>
      </c>
      <c r="D275">
        <v>605</v>
      </c>
      <c r="E275">
        <v>588.20000000000005</v>
      </c>
      <c r="F275">
        <v>5.1258075484529</v>
      </c>
      <c r="G275">
        <v>5.4003358031656798</v>
      </c>
      <c r="H275">
        <v>0.24779477224458199</v>
      </c>
      <c r="I275">
        <v>-1.1078855789653499</v>
      </c>
      <c r="J275">
        <v>-5.36</v>
      </c>
      <c r="L275">
        <v>5.6481305754102618</v>
      </c>
      <c r="M275">
        <v>5.1525410309210979</v>
      </c>
      <c r="N275">
        <v>5.8959253476548437</v>
      </c>
      <c r="O275">
        <v>4.904746258676516</v>
      </c>
    </row>
    <row r="276" spans="1:15">
      <c r="A276" s="19">
        <v>43396</v>
      </c>
      <c r="B276">
        <v>3110</v>
      </c>
      <c r="C276">
        <v>3010</v>
      </c>
      <c r="D276">
        <v>608.70000000000005</v>
      </c>
      <c r="E276">
        <v>603.5</v>
      </c>
      <c r="F276">
        <v>4.9875724937862396</v>
      </c>
      <c r="G276">
        <v>5.4106157811437203</v>
      </c>
      <c r="H276">
        <v>0.25214703730382199</v>
      </c>
      <c r="I276">
        <v>-1.67776425962021</v>
      </c>
      <c r="J276">
        <v>-8.48</v>
      </c>
      <c r="L276">
        <v>5.6627628184475425</v>
      </c>
      <c r="M276">
        <v>5.1584687438398982</v>
      </c>
      <c r="N276">
        <v>5.9149098557513646</v>
      </c>
      <c r="O276">
        <v>4.906321706536076</v>
      </c>
    </row>
    <row r="277" spans="1:15">
      <c r="A277" s="19">
        <v>43395</v>
      </c>
      <c r="B277">
        <v>3030</v>
      </c>
      <c r="C277">
        <v>3140</v>
      </c>
      <c r="D277">
        <v>609.6</v>
      </c>
      <c r="E277">
        <v>613.79999999999995</v>
      </c>
      <c r="F277">
        <v>5.1156728576083399</v>
      </c>
      <c r="G277">
        <v>5.4326718557128801</v>
      </c>
      <c r="H277">
        <v>0.28445665982157098</v>
      </c>
      <c r="I277">
        <v>-1.1144017450791399</v>
      </c>
      <c r="J277">
        <v>-6.2</v>
      </c>
      <c r="L277">
        <v>5.7171285155344513</v>
      </c>
      <c r="M277">
        <v>5.1482151958913089</v>
      </c>
      <c r="N277">
        <v>6.0015851753560217</v>
      </c>
      <c r="O277">
        <v>4.8637585360697386</v>
      </c>
    </row>
    <row r="278" spans="1:15">
      <c r="A278" s="19">
        <v>43392</v>
      </c>
      <c r="B278">
        <v>3040</v>
      </c>
      <c r="C278">
        <v>3050</v>
      </c>
      <c r="D278">
        <v>601.79999999999995</v>
      </c>
      <c r="E278">
        <v>613</v>
      </c>
      <c r="F278">
        <v>4.9755301794453501</v>
      </c>
      <c r="G278">
        <v>5.4507360443767698</v>
      </c>
      <c r="H278">
        <v>0.30595789807594098</v>
      </c>
      <c r="I278">
        <v>-1.5531740410030801</v>
      </c>
      <c r="J278">
        <v>-9.5500000000000007</v>
      </c>
      <c r="L278">
        <v>5.7566939424527108</v>
      </c>
      <c r="M278">
        <v>5.1447781463008289</v>
      </c>
      <c r="N278">
        <v>6.0626518405286518</v>
      </c>
      <c r="O278">
        <v>4.8388202482248879</v>
      </c>
    </row>
    <row r="279" spans="1:15">
      <c r="A279" s="19">
        <v>43391</v>
      </c>
      <c r="B279">
        <v>3100</v>
      </c>
      <c r="C279">
        <v>3080</v>
      </c>
      <c r="D279">
        <v>616</v>
      </c>
      <c r="E279">
        <v>611.5</v>
      </c>
      <c r="F279">
        <v>5.0367947669664703</v>
      </c>
      <c r="G279">
        <v>5.4708344764910004</v>
      </c>
      <c r="H279">
        <v>0.32311070207773501</v>
      </c>
      <c r="I279">
        <v>-1.34331579465946</v>
      </c>
      <c r="J279">
        <v>-8.6199999999999992</v>
      </c>
      <c r="L279">
        <v>5.7939451785687357</v>
      </c>
      <c r="M279">
        <v>5.1477237744132651</v>
      </c>
      <c r="N279">
        <v>6.1170558806464701</v>
      </c>
      <c r="O279">
        <v>4.8246130723355307</v>
      </c>
    </row>
    <row r="280" spans="1:15">
      <c r="A280" s="19">
        <v>43390</v>
      </c>
      <c r="B280">
        <v>3130</v>
      </c>
      <c r="C280">
        <v>3105</v>
      </c>
      <c r="D280">
        <v>608.70000000000005</v>
      </c>
      <c r="E280">
        <v>607.20000000000005</v>
      </c>
      <c r="F280">
        <v>5.1136363636363598</v>
      </c>
      <c r="G280">
        <v>5.4914261160701603</v>
      </c>
      <c r="H280">
        <v>0.34336933933493602</v>
      </c>
      <c r="I280">
        <v>-1.1002431177039</v>
      </c>
      <c r="J280">
        <v>-7.39</v>
      </c>
      <c r="L280">
        <v>5.8347954554050965</v>
      </c>
      <c r="M280">
        <v>5.1480567767352241</v>
      </c>
      <c r="N280">
        <v>6.1781647947400327</v>
      </c>
      <c r="O280">
        <v>4.8046874374002879</v>
      </c>
    </row>
    <row r="281" spans="1:15">
      <c r="A281" s="19">
        <v>43389</v>
      </c>
      <c r="B281">
        <v>3170</v>
      </c>
      <c r="C281">
        <v>3085</v>
      </c>
      <c r="D281">
        <v>595</v>
      </c>
      <c r="E281">
        <v>598.20000000000005</v>
      </c>
      <c r="F281">
        <v>5.1571380809093901</v>
      </c>
      <c r="G281">
        <v>5.5107058626303997</v>
      </c>
      <c r="H281">
        <v>0.36172027903471599</v>
      </c>
      <c r="I281">
        <v>-0.97746187375653204</v>
      </c>
      <c r="J281">
        <v>-6.86</v>
      </c>
      <c r="L281">
        <v>5.872426141665116</v>
      </c>
      <c r="M281">
        <v>5.1489855835956835</v>
      </c>
      <c r="N281">
        <v>6.2341464206998314</v>
      </c>
      <c r="O281">
        <v>4.7872653045609681</v>
      </c>
    </row>
    <row r="282" spans="1:15">
      <c r="A282" s="19">
        <v>43388</v>
      </c>
      <c r="B282">
        <v>3270</v>
      </c>
      <c r="C282">
        <v>3180</v>
      </c>
      <c r="D282">
        <v>603.70000000000005</v>
      </c>
      <c r="E282">
        <v>596.79999999999995</v>
      </c>
      <c r="F282">
        <v>5.3284182305629999</v>
      </c>
      <c r="G282">
        <v>5.5300093054686403</v>
      </c>
      <c r="H282">
        <v>0.38048062281468398</v>
      </c>
      <c r="I282">
        <v>-0.52983269795536703</v>
      </c>
      <c r="J282">
        <v>-3.78</v>
      </c>
      <c r="L282">
        <v>5.9104899282833241</v>
      </c>
      <c r="M282">
        <v>5.1495286826539566</v>
      </c>
      <c r="N282">
        <v>6.2909705510980078</v>
      </c>
      <c r="O282">
        <v>4.7690480598392728</v>
      </c>
    </row>
    <row r="283" spans="1:15">
      <c r="A283" s="19">
        <v>43385</v>
      </c>
      <c r="B283">
        <v>3280</v>
      </c>
      <c r="C283">
        <v>3270</v>
      </c>
      <c r="D283">
        <v>612</v>
      </c>
      <c r="E283">
        <v>611.9</v>
      </c>
      <c r="F283">
        <v>5.3440104592253599</v>
      </c>
      <c r="G283">
        <v>5.5455130407289301</v>
      </c>
      <c r="H283">
        <v>0.395350154603061</v>
      </c>
      <c r="I283">
        <v>-0.50968130189776795</v>
      </c>
      <c r="J283">
        <v>-3.77</v>
      </c>
      <c r="L283">
        <v>5.9408631953319908</v>
      </c>
      <c r="M283">
        <v>5.1501628861258695</v>
      </c>
      <c r="N283">
        <v>6.3362133499350524</v>
      </c>
      <c r="O283">
        <v>4.7548127315228079</v>
      </c>
    </row>
    <row r="284" spans="1:15">
      <c r="A284" s="19">
        <v>43384</v>
      </c>
      <c r="B284">
        <v>3230</v>
      </c>
      <c r="C284">
        <v>3300</v>
      </c>
      <c r="D284">
        <v>619</v>
      </c>
      <c r="E284">
        <v>618.20000000000005</v>
      </c>
      <c r="F284">
        <v>5.3380782918149396</v>
      </c>
      <c r="G284">
        <v>5.5629362391534496</v>
      </c>
      <c r="H284">
        <v>0.41442022903165798</v>
      </c>
      <c r="I284">
        <v>-0.54258439039984496</v>
      </c>
      <c r="J284">
        <v>-4.21</v>
      </c>
      <c r="L284">
        <v>5.9773564681851079</v>
      </c>
      <c r="M284">
        <v>5.1485160101217913</v>
      </c>
      <c r="N284">
        <v>6.3917766972167653</v>
      </c>
      <c r="O284">
        <v>4.7340957810901338</v>
      </c>
    </row>
    <row r="285" spans="1:15">
      <c r="A285" s="19">
        <v>43383</v>
      </c>
      <c r="B285">
        <v>3255</v>
      </c>
      <c r="C285">
        <v>3330</v>
      </c>
      <c r="D285">
        <v>644</v>
      </c>
      <c r="E285">
        <v>648.6</v>
      </c>
      <c r="F285">
        <v>5.1341350601295099</v>
      </c>
      <c r="G285">
        <v>5.5824578074888098</v>
      </c>
      <c r="H285">
        <v>0.43722505337795098</v>
      </c>
      <c r="I285">
        <v>-1.0253821090434001</v>
      </c>
      <c r="J285">
        <v>-8.73</v>
      </c>
      <c r="L285">
        <v>6.0196828608667605</v>
      </c>
      <c r="M285">
        <v>5.1452327541108591</v>
      </c>
      <c r="N285">
        <v>6.4569079142447121</v>
      </c>
      <c r="O285">
        <v>4.7080077007329075</v>
      </c>
    </row>
    <row r="286" spans="1:15">
      <c r="A286" s="19">
        <v>43382</v>
      </c>
      <c r="B286">
        <v>3240</v>
      </c>
      <c r="C286">
        <v>3220</v>
      </c>
      <c r="D286">
        <v>647.1</v>
      </c>
      <c r="E286">
        <v>636.9</v>
      </c>
      <c r="F286">
        <v>5.0557387344952103</v>
      </c>
      <c r="G286">
        <v>5.60336485500802</v>
      </c>
      <c r="H286">
        <v>0.45250997822943501</v>
      </c>
      <c r="I286">
        <v>-1.2101967842909001</v>
      </c>
      <c r="J286">
        <v>-10.83</v>
      </c>
      <c r="L286">
        <v>6.0558748332374552</v>
      </c>
      <c r="M286">
        <v>5.1508548767785847</v>
      </c>
      <c r="N286">
        <v>6.5083848114668896</v>
      </c>
      <c r="O286">
        <v>4.6983448985491503</v>
      </c>
    </row>
    <row r="287" spans="1:15">
      <c r="A287" s="19">
        <v>43378</v>
      </c>
      <c r="B287">
        <v>3165</v>
      </c>
      <c r="C287">
        <v>3215</v>
      </c>
      <c r="D287">
        <v>645.1</v>
      </c>
      <c r="E287">
        <v>652.9</v>
      </c>
      <c r="F287">
        <v>4.92418440802573</v>
      </c>
      <c r="G287">
        <v>5.6230111335079904</v>
      </c>
      <c r="H287">
        <v>0.46022808801808501</v>
      </c>
      <c r="I287">
        <v>-1.5184356271944801</v>
      </c>
      <c r="J287">
        <v>-14.19</v>
      </c>
      <c r="L287">
        <v>6.0832392215260755</v>
      </c>
      <c r="M287">
        <v>5.1627830454899053</v>
      </c>
      <c r="N287">
        <v>6.5434673095441607</v>
      </c>
      <c r="O287">
        <v>4.7025549574718202</v>
      </c>
    </row>
    <row r="288" spans="1:15">
      <c r="A288" s="19">
        <v>43377</v>
      </c>
      <c r="B288">
        <v>3155</v>
      </c>
      <c r="C288">
        <v>3215</v>
      </c>
      <c r="D288">
        <v>639</v>
      </c>
      <c r="E288">
        <v>639.6</v>
      </c>
      <c r="F288">
        <v>5.0265791119449599</v>
      </c>
      <c r="G288">
        <v>5.6426253993672804</v>
      </c>
      <c r="H288">
        <v>0.46137315060494699</v>
      </c>
      <c r="I288">
        <v>-1.3352452057831401</v>
      </c>
      <c r="J288">
        <v>-12.26</v>
      </c>
      <c r="L288">
        <v>6.1039985499722276</v>
      </c>
      <c r="M288">
        <v>5.1812522487623331</v>
      </c>
      <c r="N288">
        <v>6.5653717005771739</v>
      </c>
      <c r="O288">
        <v>4.7198790981573868</v>
      </c>
    </row>
    <row r="289" spans="1:15">
      <c r="A289" s="19">
        <v>43376</v>
      </c>
      <c r="B289">
        <v>3350</v>
      </c>
      <c r="C289">
        <v>3355</v>
      </c>
      <c r="D289">
        <v>629.4</v>
      </c>
      <c r="E289">
        <v>621.9</v>
      </c>
      <c r="F289">
        <v>5.3947579996783999</v>
      </c>
      <c r="G289">
        <v>5.6601158616184</v>
      </c>
      <c r="H289">
        <v>0.462550666836618</v>
      </c>
      <c r="I289">
        <v>-0.57368388149729799</v>
      </c>
      <c r="J289">
        <v>-4.92</v>
      </c>
      <c r="L289">
        <v>6.1226665284550181</v>
      </c>
      <c r="M289">
        <v>5.1975651947817818</v>
      </c>
      <c r="N289">
        <v>6.5852171952916363</v>
      </c>
      <c r="O289">
        <v>4.7350145279451636</v>
      </c>
    </row>
    <row r="290" spans="1:15">
      <c r="A290" s="19">
        <v>43375</v>
      </c>
      <c r="B290">
        <v>3390</v>
      </c>
      <c r="C290">
        <v>3355</v>
      </c>
      <c r="D290">
        <v>635</v>
      </c>
      <c r="E290">
        <v>631.20000000000005</v>
      </c>
      <c r="F290">
        <v>5.3152724968314304</v>
      </c>
      <c r="G290">
        <v>5.6708683456771896</v>
      </c>
      <c r="H290">
        <v>0.46562021500832002</v>
      </c>
      <c r="I290">
        <v>-0.76370363095041105</v>
      </c>
      <c r="J290">
        <v>-6.69</v>
      </c>
      <c r="L290">
        <v>6.1364885606855095</v>
      </c>
      <c r="M290">
        <v>5.2052481306688696</v>
      </c>
      <c r="N290">
        <v>6.6021087756938295</v>
      </c>
      <c r="O290">
        <v>4.7396279156605496</v>
      </c>
    </row>
    <row r="291" spans="1:15">
      <c r="A291" s="19">
        <v>43374</v>
      </c>
      <c r="B291">
        <v>3370</v>
      </c>
      <c r="C291">
        <v>3360</v>
      </c>
      <c r="D291">
        <v>641</v>
      </c>
      <c r="E291">
        <v>632.79999999999995</v>
      </c>
      <c r="F291">
        <v>5.3097345132743303</v>
      </c>
      <c r="G291">
        <v>5.6818854125383096</v>
      </c>
      <c r="H291">
        <v>0.46684980940802601</v>
      </c>
      <c r="I291">
        <v>-0.79715337087933102</v>
      </c>
      <c r="J291">
        <v>-7.01</v>
      </c>
      <c r="L291">
        <v>6.1487352219463354</v>
      </c>
      <c r="M291">
        <v>5.2150356031302838</v>
      </c>
      <c r="N291">
        <v>6.615585031354362</v>
      </c>
      <c r="O291">
        <v>4.7481857937222571</v>
      </c>
    </row>
    <row r="292" spans="1:15">
      <c r="A292" s="19">
        <v>43371</v>
      </c>
      <c r="B292">
        <v>3380</v>
      </c>
      <c r="C292">
        <v>3380</v>
      </c>
      <c r="D292">
        <v>641</v>
      </c>
      <c r="E292">
        <v>638.29999999999995</v>
      </c>
      <c r="F292">
        <v>5.2953156822810596</v>
      </c>
      <c r="G292">
        <v>5.6965803720181096</v>
      </c>
      <c r="H292">
        <v>0.47221918162920101</v>
      </c>
      <c r="I292">
        <v>-0.84974246144057897</v>
      </c>
      <c r="J292">
        <v>-7.58</v>
      </c>
      <c r="L292">
        <v>6.168799553647311</v>
      </c>
      <c r="M292">
        <v>5.2243611903889082</v>
      </c>
      <c r="N292">
        <v>6.6410187352765115</v>
      </c>
      <c r="O292">
        <v>4.7521420087597077</v>
      </c>
    </row>
    <row r="293" spans="1:15">
      <c r="A293" s="19">
        <v>43370</v>
      </c>
      <c r="B293">
        <v>3470</v>
      </c>
      <c r="C293">
        <v>3350</v>
      </c>
      <c r="D293">
        <v>641.6</v>
      </c>
      <c r="E293">
        <v>636.79999999999995</v>
      </c>
      <c r="F293">
        <v>5.2606783919597904</v>
      </c>
      <c r="G293">
        <v>5.7104742569489799</v>
      </c>
      <c r="H293">
        <v>0.47552672637134402</v>
      </c>
      <c r="I293">
        <v>-0.94588976821869797</v>
      </c>
      <c r="J293">
        <v>-8.5500000000000007</v>
      </c>
      <c r="L293">
        <v>6.1860009833203238</v>
      </c>
      <c r="M293">
        <v>5.2349475305776361</v>
      </c>
      <c r="N293">
        <v>6.6615277096916676</v>
      </c>
      <c r="O293">
        <v>4.7594208042062922</v>
      </c>
    </row>
    <row r="294" spans="1:15">
      <c r="A294" s="19">
        <v>43369</v>
      </c>
      <c r="B294">
        <v>3350</v>
      </c>
      <c r="C294">
        <v>3475</v>
      </c>
      <c r="D294">
        <v>648</v>
      </c>
      <c r="E294">
        <v>646.20000000000005</v>
      </c>
      <c r="F294">
        <v>5.3775920767564198</v>
      </c>
      <c r="G294">
        <v>5.7227454177567001</v>
      </c>
      <c r="H294">
        <v>0.47563605350486798</v>
      </c>
      <c r="I294">
        <v>-0.725666901104146</v>
      </c>
      <c r="J294">
        <v>-6.42</v>
      </c>
      <c r="L294">
        <v>6.1983814712615679</v>
      </c>
      <c r="M294">
        <v>5.2471093642518323</v>
      </c>
      <c r="N294">
        <v>6.6740175247664357</v>
      </c>
      <c r="O294">
        <v>4.7714733107469645</v>
      </c>
    </row>
    <row r="295" spans="1:15">
      <c r="A295" s="19">
        <v>43368</v>
      </c>
      <c r="B295">
        <v>3360</v>
      </c>
      <c r="C295">
        <v>3385</v>
      </c>
      <c r="D295">
        <v>652.6</v>
      </c>
      <c r="E295">
        <v>658</v>
      </c>
      <c r="F295">
        <v>5.1443768996960397</v>
      </c>
      <c r="G295">
        <v>5.7319350399457996</v>
      </c>
      <c r="H295">
        <v>0.47553678652013098</v>
      </c>
      <c r="I295">
        <v>-1.2355682187057999</v>
      </c>
      <c r="J295">
        <v>-11.42</v>
      </c>
      <c r="L295">
        <v>6.2074718264659303</v>
      </c>
      <c r="M295">
        <v>5.2563982534256688</v>
      </c>
      <c r="N295">
        <v>6.6830086129860611</v>
      </c>
      <c r="O295">
        <v>4.780861466905538</v>
      </c>
    </row>
    <row r="296" spans="1:15">
      <c r="A296" s="19">
        <v>43364</v>
      </c>
      <c r="B296">
        <v>3430</v>
      </c>
      <c r="C296">
        <v>3380</v>
      </c>
      <c r="D296">
        <v>645</v>
      </c>
      <c r="E296">
        <v>651.5</v>
      </c>
      <c r="F296">
        <v>5.1880276285495004</v>
      </c>
      <c r="G296">
        <v>5.7436056839898297</v>
      </c>
      <c r="H296">
        <v>0.47169901686522397</v>
      </c>
      <c r="I296">
        <v>-1.1778232211136299</v>
      </c>
      <c r="J296">
        <v>-10.71</v>
      </c>
      <c r="L296">
        <v>6.2153047008550537</v>
      </c>
      <c r="M296">
        <v>5.2719066671246058</v>
      </c>
      <c r="N296">
        <v>6.6870037177202777</v>
      </c>
      <c r="O296">
        <v>4.8002076502593818</v>
      </c>
    </row>
    <row r="297" spans="1:15">
      <c r="A297" s="19">
        <v>43363</v>
      </c>
      <c r="B297">
        <v>3370</v>
      </c>
      <c r="C297">
        <v>3415</v>
      </c>
      <c r="D297">
        <v>632.5</v>
      </c>
      <c r="E297">
        <v>640.4</v>
      </c>
      <c r="F297">
        <v>5.3326046221111802</v>
      </c>
      <c r="G297">
        <v>5.7537821853373803</v>
      </c>
      <c r="H297">
        <v>0.46782027334006998</v>
      </c>
      <c r="I297">
        <v>-0.90029780073263399</v>
      </c>
      <c r="J297">
        <v>-7.9</v>
      </c>
      <c r="L297">
        <v>6.2216024586774505</v>
      </c>
      <c r="M297">
        <v>5.28596191199731</v>
      </c>
      <c r="N297">
        <v>6.6894227320175199</v>
      </c>
      <c r="O297">
        <v>4.8181416386572407</v>
      </c>
    </row>
    <row r="298" spans="1:15">
      <c r="A298" s="19">
        <v>43362</v>
      </c>
      <c r="B298">
        <v>3330</v>
      </c>
      <c r="C298">
        <v>3350</v>
      </c>
      <c r="D298">
        <v>624.9</v>
      </c>
      <c r="E298">
        <v>624.29999999999995</v>
      </c>
      <c r="F298">
        <v>5.36600993112285</v>
      </c>
      <c r="G298">
        <v>5.7621134144893702</v>
      </c>
      <c r="H298">
        <v>0.465804946969963</v>
      </c>
      <c r="I298">
        <v>-0.85036341057164</v>
      </c>
      <c r="J298">
        <v>-7.38</v>
      </c>
      <c r="L298">
        <v>6.2279183614593334</v>
      </c>
      <c r="M298">
        <v>5.296308467519407</v>
      </c>
      <c r="N298">
        <v>6.6937233084292966</v>
      </c>
      <c r="O298">
        <v>4.8305035205494438</v>
      </c>
    </row>
    <row r="299" spans="1:15">
      <c r="A299" s="19">
        <v>43361</v>
      </c>
      <c r="B299">
        <v>3210</v>
      </c>
      <c r="C299">
        <v>3300</v>
      </c>
      <c r="D299">
        <v>609.1</v>
      </c>
      <c r="E299">
        <v>619.20000000000005</v>
      </c>
      <c r="F299">
        <v>5.3294573643410796</v>
      </c>
      <c r="G299">
        <v>5.7673292353493304</v>
      </c>
      <c r="H299">
        <v>0.46352496508299801</v>
      </c>
      <c r="I299">
        <v>-0.94465649963393805</v>
      </c>
      <c r="J299">
        <v>-8.2200000000000006</v>
      </c>
      <c r="L299">
        <v>6.2308542004323284</v>
      </c>
      <c r="M299">
        <v>5.3038042702663324</v>
      </c>
      <c r="N299">
        <v>6.6943791655153264</v>
      </c>
      <c r="O299">
        <v>4.8402793051833344</v>
      </c>
    </row>
    <row r="300" spans="1:15">
      <c r="A300" s="19">
        <v>43357</v>
      </c>
      <c r="B300">
        <v>3275</v>
      </c>
      <c r="C300">
        <v>3260</v>
      </c>
      <c r="D300">
        <v>603.6</v>
      </c>
      <c r="E300">
        <v>610.20000000000005</v>
      </c>
      <c r="F300">
        <v>5.34251065224516</v>
      </c>
      <c r="G300">
        <v>5.7742987707426403</v>
      </c>
      <c r="H300">
        <v>0.46081056150660998</v>
      </c>
      <c r="I300">
        <v>-0.93701871130243797</v>
      </c>
      <c r="J300">
        <v>-8.08</v>
      </c>
      <c r="L300">
        <v>6.2351093322492499</v>
      </c>
      <c r="M300">
        <v>5.3134882092360307</v>
      </c>
      <c r="N300">
        <v>6.6959198937558604</v>
      </c>
      <c r="O300">
        <v>4.8526776477294202</v>
      </c>
    </row>
    <row r="301" spans="1:15">
      <c r="A301" s="19">
        <v>43356</v>
      </c>
      <c r="B301">
        <v>3220</v>
      </c>
      <c r="C301">
        <v>3270</v>
      </c>
      <c r="D301">
        <v>595</v>
      </c>
      <c r="E301">
        <v>601.79999999999995</v>
      </c>
      <c r="F301">
        <v>5.4336989032901304</v>
      </c>
      <c r="G301">
        <v>5.7843527123069203</v>
      </c>
      <c r="H301">
        <v>0.459504164731248</v>
      </c>
      <c r="I301">
        <v>-0.76311345126085195</v>
      </c>
      <c r="J301">
        <v>-6.45</v>
      </c>
      <c r="L301">
        <v>6.2438568770381684</v>
      </c>
      <c r="M301">
        <v>5.3248485475756722</v>
      </c>
      <c r="N301">
        <v>6.7033610417694165</v>
      </c>
      <c r="O301">
        <v>4.8653443828444241</v>
      </c>
    </row>
    <row r="302" spans="1:15">
      <c r="A302" s="19">
        <v>43355</v>
      </c>
      <c r="B302">
        <v>3160</v>
      </c>
      <c r="C302">
        <v>3200</v>
      </c>
      <c r="D302">
        <v>603</v>
      </c>
      <c r="E302">
        <v>594.9</v>
      </c>
      <c r="F302">
        <v>5.3790553034123301</v>
      </c>
      <c r="G302">
        <v>5.79336034723877</v>
      </c>
      <c r="H302">
        <v>0.45916350949311602</v>
      </c>
      <c r="I302">
        <v>-0.90230394023210203</v>
      </c>
      <c r="J302">
        <v>-7.7</v>
      </c>
      <c r="L302">
        <v>6.2525238567318864</v>
      </c>
      <c r="M302">
        <v>5.3341968377456537</v>
      </c>
      <c r="N302">
        <v>6.7116873662250018</v>
      </c>
      <c r="O302">
        <v>4.8750333282525382</v>
      </c>
    </row>
    <row r="303" spans="1:15">
      <c r="A303" s="19">
        <v>43354</v>
      </c>
      <c r="B303">
        <v>3145</v>
      </c>
      <c r="C303">
        <v>3160</v>
      </c>
      <c r="D303">
        <v>602.5</v>
      </c>
      <c r="E303">
        <v>603</v>
      </c>
      <c r="F303">
        <v>5.2404643449419499</v>
      </c>
      <c r="G303">
        <v>5.8022209232377397</v>
      </c>
      <c r="H303">
        <v>0.45749195786959201</v>
      </c>
      <c r="I303">
        <v>-1.22790481588294</v>
      </c>
      <c r="J303">
        <v>-10.72</v>
      </c>
      <c r="L303">
        <v>6.2597128811073315</v>
      </c>
      <c r="M303">
        <v>5.344728965368148</v>
      </c>
      <c r="N303">
        <v>6.7172048389769241</v>
      </c>
      <c r="O303">
        <v>4.8872370074985554</v>
      </c>
    </row>
    <row r="304" spans="1:15">
      <c r="A304" s="19">
        <v>43353</v>
      </c>
      <c r="B304">
        <v>3190</v>
      </c>
      <c r="C304">
        <v>3145</v>
      </c>
      <c r="D304">
        <v>600.9</v>
      </c>
      <c r="E304">
        <v>605.6</v>
      </c>
      <c r="F304">
        <v>5.1931968295904802</v>
      </c>
      <c r="G304">
        <v>5.8118617300351199</v>
      </c>
      <c r="H304">
        <v>0.453150372128793</v>
      </c>
      <c r="I304">
        <v>-1.3652529899474399</v>
      </c>
      <c r="J304">
        <v>-11.91</v>
      </c>
      <c r="L304">
        <v>6.2650121021639125</v>
      </c>
      <c r="M304">
        <v>5.3587113579063272</v>
      </c>
      <c r="N304">
        <v>6.718162474292706</v>
      </c>
      <c r="O304">
        <v>4.9055609857775337</v>
      </c>
    </row>
    <row r="305" spans="1:15">
      <c r="A305" s="19">
        <v>43350</v>
      </c>
      <c r="B305">
        <v>3225</v>
      </c>
      <c r="C305">
        <v>3170</v>
      </c>
      <c r="D305">
        <v>601</v>
      </c>
      <c r="E305">
        <v>600.1</v>
      </c>
      <c r="F305">
        <v>5.2824529245125804</v>
      </c>
      <c r="G305">
        <v>5.82084275465074</v>
      </c>
      <c r="H305">
        <v>0.44743884698790798</v>
      </c>
      <c r="I305">
        <v>-1.20327019829083</v>
      </c>
      <c r="J305">
        <v>-10.19</v>
      </c>
      <c r="L305">
        <v>6.2682816016386482</v>
      </c>
      <c r="M305">
        <v>5.3734039076628317</v>
      </c>
      <c r="N305">
        <v>6.7157204486265556</v>
      </c>
      <c r="O305">
        <v>4.9259650606749243</v>
      </c>
    </row>
    <row r="306" spans="1:15">
      <c r="A306" s="19">
        <v>43349</v>
      </c>
      <c r="B306">
        <v>3275</v>
      </c>
      <c r="C306">
        <v>3235</v>
      </c>
      <c r="D306">
        <v>604</v>
      </c>
      <c r="E306">
        <v>603.6</v>
      </c>
      <c r="F306">
        <v>5.3595096090125898</v>
      </c>
      <c r="G306">
        <v>5.8294208085858799</v>
      </c>
      <c r="H306">
        <v>0.44318166758227401</v>
      </c>
      <c r="I306">
        <v>-1.0603128106287401</v>
      </c>
      <c r="J306">
        <v>-8.77</v>
      </c>
      <c r="L306">
        <v>6.2726024761681538</v>
      </c>
      <c r="M306">
        <v>5.3862391410036059</v>
      </c>
      <c r="N306">
        <v>6.7157841437504278</v>
      </c>
      <c r="O306">
        <v>4.9430574734213319</v>
      </c>
    </row>
    <row r="307" spans="1:15">
      <c r="A307" s="19">
        <v>43348</v>
      </c>
      <c r="B307">
        <v>3315</v>
      </c>
      <c r="C307">
        <v>3300</v>
      </c>
      <c r="D307">
        <v>614.1</v>
      </c>
      <c r="E307">
        <v>604</v>
      </c>
      <c r="F307">
        <v>5.4635761589403904</v>
      </c>
      <c r="G307">
        <v>5.8363858440713701</v>
      </c>
      <c r="H307">
        <v>0.439834015681071</v>
      </c>
      <c r="I307">
        <v>-0.84761449055661098</v>
      </c>
      <c r="J307">
        <v>-6.82</v>
      </c>
      <c r="L307">
        <v>6.276219859752441</v>
      </c>
      <c r="M307">
        <v>5.3965518283902991</v>
      </c>
      <c r="N307">
        <v>6.716053875433512</v>
      </c>
      <c r="O307">
        <v>4.9567178127092282</v>
      </c>
    </row>
    <row r="308" spans="1:15">
      <c r="A308" s="19">
        <v>43347</v>
      </c>
      <c r="B308">
        <v>3310</v>
      </c>
      <c r="C308">
        <v>3305</v>
      </c>
      <c r="D308">
        <v>618.20000000000005</v>
      </c>
      <c r="E308">
        <v>613.20000000000005</v>
      </c>
      <c r="F308">
        <v>5.3897586431833</v>
      </c>
      <c r="G308">
        <v>5.8418340744449697</v>
      </c>
      <c r="H308">
        <v>0.43770790842868401</v>
      </c>
      <c r="I308">
        <v>-1.0328244533770601</v>
      </c>
      <c r="J308">
        <v>-8.39</v>
      </c>
      <c r="L308">
        <v>6.2795419828736536</v>
      </c>
      <c r="M308">
        <v>5.4041261660162858</v>
      </c>
      <c r="N308">
        <v>6.7172498913023375</v>
      </c>
      <c r="O308">
        <v>4.9664182575876019</v>
      </c>
    </row>
    <row r="309" spans="1:15">
      <c r="A309" s="19">
        <v>43346</v>
      </c>
      <c r="B309">
        <v>3310</v>
      </c>
      <c r="C309">
        <v>3280</v>
      </c>
      <c r="D309">
        <v>625</v>
      </c>
      <c r="E309">
        <v>620.70000000000005</v>
      </c>
      <c r="F309">
        <v>5.28435637183824</v>
      </c>
      <c r="G309">
        <v>5.84846307252859</v>
      </c>
      <c r="H309">
        <v>0.43456463997879302</v>
      </c>
      <c r="I309">
        <v>-1.2980961836146601</v>
      </c>
      <c r="J309">
        <v>-10.68</v>
      </c>
      <c r="L309">
        <v>6.2830277125073835</v>
      </c>
      <c r="M309">
        <v>5.4138984325497965</v>
      </c>
      <c r="N309">
        <v>6.717592352486176</v>
      </c>
      <c r="O309">
        <v>4.9793337925710039</v>
      </c>
    </row>
    <row r="310" spans="1:15">
      <c r="A310" s="19">
        <v>43343</v>
      </c>
      <c r="B310">
        <v>3270</v>
      </c>
      <c r="C310">
        <v>3300</v>
      </c>
      <c r="D310">
        <v>630.79999999999995</v>
      </c>
      <c r="E310">
        <v>629.9</v>
      </c>
      <c r="F310">
        <v>5.2389268137799601</v>
      </c>
      <c r="G310">
        <v>5.8563089182423704</v>
      </c>
      <c r="H310">
        <v>0.429592688331418</v>
      </c>
      <c r="I310">
        <v>-1.4371336413112199</v>
      </c>
      <c r="J310">
        <v>-11.78</v>
      </c>
      <c r="L310">
        <v>6.2859016065737885</v>
      </c>
      <c r="M310">
        <v>5.4267162299109524</v>
      </c>
      <c r="N310">
        <v>6.7154942949052066</v>
      </c>
      <c r="O310">
        <v>4.9971235415795343</v>
      </c>
    </row>
    <row r="311" spans="1:15">
      <c r="A311" s="19">
        <v>43342</v>
      </c>
      <c r="B311">
        <v>3260</v>
      </c>
      <c r="C311">
        <v>3270</v>
      </c>
      <c r="D311">
        <v>644</v>
      </c>
      <c r="E311">
        <v>640.1</v>
      </c>
      <c r="F311">
        <v>5.1085767848773598</v>
      </c>
      <c r="G311">
        <v>5.8643986432884603</v>
      </c>
      <c r="H311">
        <v>0.42356086353514599</v>
      </c>
      <c r="I311">
        <v>-1.78444687288343</v>
      </c>
      <c r="J311">
        <v>-14.8</v>
      </c>
      <c r="L311">
        <v>6.287959506823606</v>
      </c>
      <c r="M311">
        <v>5.4408377797533145</v>
      </c>
      <c r="N311">
        <v>6.7115203703587518</v>
      </c>
      <c r="O311">
        <v>5.0172769162181687</v>
      </c>
    </row>
    <row r="312" spans="1:15">
      <c r="A312" s="19">
        <v>43341</v>
      </c>
      <c r="B312">
        <v>3310</v>
      </c>
      <c r="C312">
        <v>3285</v>
      </c>
      <c r="D312">
        <v>637</v>
      </c>
      <c r="E312">
        <v>644</v>
      </c>
      <c r="F312">
        <v>5.1009316770186297</v>
      </c>
      <c r="G312">
        <v>5.8759142045516901</v>
      </c>
      <c r="H312">
        <v>0.41449895353152399</v>
      </c>
      <c r="I312">
        <v>-1.8696851244863599</v>
      </c>
      <c r="J312">
        <v>-15.19</v>
      </c>
      <c r="L312">
        <v>6.2904131580832141</v>
      </c>
      <c r="M312">
        <v>5.4614152510201661</v>
      </c>
      <c r="N312">
        <v>6.7049121116147381</v>
      </c>
      <c r="O312">
        <v>5.0469162974886421</v>
      </c>
    </row>
    <row r="313" spans="1:15">
      <c r="A313" s="19">
        <v>43340</v>
      </c>
      <c r="B313">
        <v>3320</v>
      </c>
      <c r="C313">
        <v>3305</v>
      </c>
      <c r="D313">
        <v>638.5</v>
      </c>
      <c r="E313">
        <v>634</v>
      </c>
      <c r="F313">
        <v>5.2129337539432097</v>
      </c>
      <c r="G313">
        <v>5.8888466640811998</v>
      </c>
      <c r="H313">
        <v>0.40514307575674002</v>
      </c>
      <c r="I313">
        <v>-1.66833138854833</v>
      </c>
      <c r="J313">
        <v>-12.97</v>
      </c>
      <c r="L313">
        <v>6.2939897398379401</v>
      </c>
      <c r="M313">
        <v>5.4837035883244596</v>
      </c>
      <c r="N313">
        <v>6.6991328155946803</v>
      </c>
      <c r="O313">
        <v>5.0785605125677193</v>
      </c>
    </row>
    <row r="314" spans="1:15">
      <c r="A314" s="19">
        <v>43339</v>
      </c>
      <c r="B314">
        <v>3265</v>
      </c>
      <c r="C314">
        <v>3305</v>
      </c>
      <c r="D314">
        <v>627.5</v>
      </c>
      <c r="E314">
        <v>634.29999999999995</v>
      </c>
      <c r="F314">
        <v>5.2104682326974601</v>
      </c>
      <c r="G314">
        <v>5.9015898766792301</v>
      </c>
      <c r="H314">
        <v>0.39866167183706303</v>
      </c>
      <c r="I314">
        <v>-1.7336044390648999</v>
      </c>
      <c r="J314">
        <v>-13.26</v>
      </c>
      <c r="L314">
        <v>6.3002515485162931</v>
      </c>
      <c r="M314">
        <v>5.502928204842167</v>
      </c>
      <c r="N314">
        <v>6.6989132203533561</v>
      </c>
      <c r="O314">
        <v>5.104266533005104</v>
      </c>
    </row>
    <row r="315" spans="1:15">
      <c r="A315" s="19">
        <v>43336</v>
      </c>
      <c r="B315">
        <v>3235</v>
      </c>
      <c r="C315">
        <v>3255</v>
      </c>
      <c r="D315">
        <v>625</v>
      </c>
      <c r="E315">
        <v>625.1</v>
      </c>
      <c r="F315">
        <v>5.2071668533034696</v>
      </c>
      <c r="G315">
        <v>5.9141649531995597</v>
      </c>
      <c r="H315">
        <v>0.39147301584973698</v>
      </c>
      <c r="I315">
        <v>-1.8059944651905799</v>
      </c>
      <c r="J315">
        <v>-13.58</v>
      </c>
      <c r="L315">
        <v>6.3056379690492967</v>
      </c>
      <c r="M315">
        <v>5.5226919373498227</v>
      </c>
      <c r="N315">
        <v>6.6971109848990338</v>
      </c>
      <c r="O315">
        <v>5.1312189215000856</v>
      </c>
    </row>
    <row r="316" spans="1:15">
      <c r="A316" s="19">
        <v>43335</v>
      </c>
      <c r="B316">
        <v>3265</v>
      </c>
      <c r="C316">
        <v>3285</v>
      </c>
      <c r="D316">
        <v>621.29999999999995</v>
      </c>
      <c r="E316">
        <v>621</v>
      </c>
      <c r="F316">
        <v>5.2898550724637596</v>
      </c>
      <c r="G316">
        <v>5.9264808114183003</v>
      </c>
      <c r="H316">
        <v>0.38348519180166002</v>
      </c>
      <c r="I316">
        <v>-1.6601051424269899</v>
      </c>
      <c r="J316">
        <v>-12.03</v>
      </c>
      <c r="L316">
        <v>6.3099660032199605</v>
      </c>
      <c r="M316">
        <v>5.5429956196166401</v>
      </c>
      <c r="N316">
        <v>6.6934511950216207</v>
      </c>
      <c r="O316">
        <v>5.1595104278149799</v>
      </c>
    </row>
    <row r="317" spans="1:15">
      <c r="A317" s="19">
        <v>43334</v>
      </c>
      <c r="B317">
        <v>3245</v>
      </c>
      <c r="C317">
        <v>3285</v>
      </c>
      <c r="D317">
        <v>612.9</v>
      </c>
      <c r="E317">
        <v>624.4</v>
      </c>
      <c r="F317">
        <v>5.2610506085842399</v>
      </c>
      <c r="G317">
        <v>5.9386325487269396</v>
      </c>
      <c r="H317">
        <v>0.37751273368657301</v>
      </c>
      <c r="I317">
        <v>-1.79485850325052</v>
      </c>
      <c r="J317">
        <v>-12.88</v>
      </c>
      <c r="L317">
        <v>6.3161452824135127</v>
      </c>
      <c r="M317">
        <v>5.5611198150403665</v>
      </c>
      <c r="N317">
        <v>6.6936580161000858</v>
      </c>
      <c r="O317">
        <v>5.1836070813537933</v>
      </c>
    </row>
    <row r="318" spans="1:15">
      <c r="A318" s="19">
        <v>43333</v>
      </c>
      <c r="B318">
        <v>3300</v>
      </c>
      <c r="C318">
        <v>3270</v>
      </c>
      <c r="D318">
        <v>610.1</v>
      </c>
      <c r="E318">
        <v>612</v>
      </c>
      <c r="F318">
        <v>5.3431372549019596</v>
      </c>
      <c r="G318">
        <v>5.9530997531301999</v>
      </c>
      <c r="H318">
        <v>0.37201966544752602</v>
      </c>
      <c r="I318">
        <v>-1.6395974591678599</v>
      </c>
      <c r="J318">
        <v>-11.42</v>
      </c>
      <c r="L318">
        <v>6.3251194185777262</v>
      </c>
      <c r="M318">
        <v>5.5810800876826736</v>
      </c>
      <c r="N318">
        <v>6.6971390840252516</v>
      </c>
      <c r="O318">
        <v>5.2090604222351482</v>
      </c>
    </row>
    <row r="319" spans="1:15">
      <c r="A319" s="19">
        <v>43332</v>
      </c>
      <c r="B319">
        <v>3315</v>
      </c>
      <c r="C319">
        <v>3315</v>
      </c>
      <c r="D319">
        <v>613.1</v>
      </c>
      <c r="E319">
        <v>614.20000000000005</v>
      </c>
      <c r="F319">
        <v>5.3972647346141303</v>
      </c>
      <c r="G319">
        <v>5.9684280349805698</v>
      </c>
      <c r="H319">
        <v>0.37025131722863802</v>
      </c>
      <c r="I319">
        <v>-1.5426367815289499</v>
      </c>
      <c r="J319">
        <v>-10.58</v>
      </c>
      <c r="L319">
        <v>6.3386793522092075</v>
      </c>
      <c r="M319">
        <v>5.5981767177519322</v>
      </c>
      <c r="N319">
        <v>6.7089306694378461</v>
      </c>
      <c r="O319">
        <v>5.2279254005232936</v>
      </c>
    </row>
    <row r="320" spans="1:15">
      <c r="A320" s="19">
        <v>43329</v>
      </c>
      <c r="B320">
        <v>3320</v>
      </c>
      <c r="C320">
        <v>3320</v>
      </c>
      <c r="D320">
        <v>606.6</v>
      </c>
      <c r="E320">
        <v>619</v>
      </c>
      <c r="F320">
        <v>5.3634894991922399</v>
      </c>
      <c r="G320">
        <v>5.9797293641284703</v>
      </c>
      <c r="H320">
        <v>0.36555097045136697</v>
      </c>
      <c r="I320">
        <v>-1.68578369296988</v>
      </c>
      <c r="J320">
        <v>-11.49</v>
      </c>
      <c r="L320">
        <v>6.3452803345798374</v>
      </c>
      <c r="M320">
        <v>5.6141783936771033</v>
      </c>
      <c r="N320">
        <v>6.7108313050312045</v>
      </c>
      <c r="O320">
        <v>5.2486274232257362</v>
      </c>
    </row>
    <row r="321" spans="1:15">
      <c r="A321" s="19">
        <v>43328</v>
      </c>
      <c r="B321">
        <v>3360</v>
      </c>
      <c r="C321">
        <v>3325</v>
      </c>
      <c r="D321">
        <v>597.9</v>
      </c>
      <c r="E321">
        <v>606.5</v>
      </c>
      <c r="F321">
        <v>5.4822753503709798</v>
      </c>
      <c r="G321">
        <v>5.9904991412866204</v>
      </c>
      <c r="H321">
        <v>0.35907812430995001</v>
      </c>
      <c r="I321">
        <v>-1.4153571507379099</v>
      </c>
      <c r="J321">
        <v>-9.27</v>
      </c>
      <c r="L321">
        <v>6.3495772655965705</v>
      </c>
      <c r="M321">
        <v>5.6314210169766703</v>
      </c>
      <c r="N321">
        <v>6.7086553899065207</v>
      </c>
      <c r="O321">
        <v>5.2723428926667202</v>
      </c>
    </row>
    <row r="322" spans="1:15">
      <c r="A322" s="19">
        <v>43327</v>
      </c>
      <c r="B322">
        <v>3550</v>
      </c>
      <c r="C322">
        <v>3430</v>
      </c>
      <c r="D322">
        <v>610.6</v>
      </c>
      <c r="E322">
        <v>604.29999999999995</v>
      </c>
      <c r="F322">
        <v>5.6759887473109298</v>
      </c>
      <c r="G322">
        <v>5.9978175986559101</v>
      </c>
      <c r="H322">
        <v>0.35420572781068099</v>
      </c>
      <c r="I322">
        <v>-0.90859301834043704</v>
      </c>
      <c r="J322">
        <v>-5.67</v>
      </c>
      <c r="L322">
        <v>6.3520233264665915</v>
      </c>
      <c r="M322">
        <v>5.6436118708452288</v>
      </c>
      <c r="N322">
        <v>6.706229054277272</v>
      </c>
      <c r="O322">
        <v>5.2894061430345483</v>
      </c>
    </row>
    <row r="323" spans="1:15">
      <c r="A323" s="19">
        <v>43326</v>
      </c>
      <c r="B323">
        <v>3510</v>
      </c>
      <c r="C323">
        <v>3560</v>
      </c>
      <c r="D323">
        <v>605</v>
      </c>
      <c r="E323">
        <v>603</v>
      </c>
      <c r="F323">
        <v>5.9038142620232099</v>
      </c>
      <c r="G323">
        <v>6.0021462602355502</v>
      </c>
      <c r="H323">
        <v>0.35222447709533</v>
      </c>
      <c r="I323">
        <v>-0.27917423293021398</v>
      </c>
      <c r="J323">
        <v>-1.67</v>
      </c>
      <c r="L323">
        <v>6.3543707373308802</v>
      </c>
      <c r="M323">
        <v>5.6499217831402202</v>
      </c>
      <c r="N323">
        <v>6.7065952144262102</v>
      </c>
      <c r="O323">
        <v>5.2976973060448902</v>
      </c>
    </row>
    <row r="324" spans="1:15">
      <c r="A324" s="19">
        <v>43325</v>
      </c>
      <c r="B324">
        <v>3525</v>
      </c>
      <c r="C324">
        <v>3475</v>
      </c>
      <c r="D324">
        <v>607</v>
      </c>
      <c r="E324">
        <v>604.79999999999995</v>
      </c>
      <c r="F324">
        <v>5.7457010582010497</v>
      </c>
      <c r="G324">
        <v>6.0021405329175499</v>
      </c>
      <c r="H324">
        <v>0.35222607945705198</v>
      </c>
      <c r="I324">
        <v>-0.72805362712434396</v>
      </c>
      <c r="J324">
        <v>-4.46</v>
      </c>
      <c r="L324">
        <v>6.3543666123746014</v>
      </c>
      <c r="M324">
        <v>5.6499144534604984</v>
      </c>
      <c r="N324">
        <v>6.7065926918316539</v>
      </c>
      <c r="O324">
        <v>5.2976883740034459</v>
      </c>
    </row>
    <row r="325" spans="1:15">
      <c r="A325" s="19">
        <v>43322</v>
      </c>
      <c r="B325">
        <v>3510</v>
      </c>
      <c r="C325">
        <v>3545</v>
      </c>
      <c r="D325">
        <v>619.20000000000005</v>
      </c>
      <c r="E325">
        <v>614.79999999999995</v>
      </c>
      <c r="F325">
        <v>5.7661027976577701</v>
      </c>
      <c r="G325">
        <v>6.0053651308684497</v>
      </c>
      <c r="H325">
        <v>0.35096842736093897</v>
      </c>
      <c r="I325">
        <v>-0.68172039009257901</v>
      </c>
      <c r="J325">
        <v>-4.1500000000000004</v>
      </c>
      <c r="L325">
        <v>6.3563335582293883</v>
      </c>
      <c r="M325">
        <v>5.6543967035075111</v>
      </c>
      <c r="N325">
        <v>6.7073019855903278</v>
      </c>
      <c r="O325">
        <v>5.3034282761465716</v>
      </c>
    </row>
    <row r="326" spans="1:15">
      <c r="A326" s="19">
        <v>43321</v>
      </c>
      <c r="B326">
        <v>3585</v>
      </c>
      <c r="C326">
        <v>3515</v>
      </c>
      <c r="D326">
        <v>615.20000000000005</v>
      </c>
      <c r="E326">
        <v>617</v>
      </c>
      <c r="F326">
        <v>5.6969205834683896</v>
      </c>
      <c r="G326">
        <v>6.0095247748928697</v>
      </c>
      <c r="H326">
        <v>0.34995533997543998</v>
      </c>
      <c r="I326">
        <v>-0.89326881380469203</v>
      </c>
      <c r="J326">
        <v>-5.49</v>
      </c>
      <c r="L326">
        <v>6.35948011486831</v>
      </c>
      <c r="M326">
        <v>5.6595694349174295</v>
      </c>
      <c r="N326">
        <v>6.7094354548437494</v>
      </c>
      <c r="O326">
        <v>5.3096140949419901</v>
      </c>
    </row>
    <row r="327" spans="1:15">
      <c r="A327" s="19">
        <v>43320</v>
      </c>
      <c r="B327">
        <v>3580</v>
      </c>
      <c r="C327">
        <v>3585</v>
      </c>
      <c r="D327">
        <v>616.70000000000005</v>
      </c>
      <c r="E327">
        <v>624.79999999999995</v>
      </c>
      <c r="F327">
        <v>5.7378361075544104</v>
      </c>
      <c r="G327">
        <v>6.0181048408721596</v>
      </c>
      <c r="H327">
        <v>0.35007443234994701</v>
      </c>
      <c r="I327">
        <v>-0.80059755131610499</v>
      </c>
      <c r="J327">
        <v>-4.88</v>
      </c>
      <c r="L327">
        <v>6.3681792732221068</v>
      </c>
      <c r="M327">
        <v>5.6680304085222124</v>
      </c>
      <c r="N327">
        <v>6.7182537055720539</v>
      </c>
      <c r="O327">
        <v>5.3179559761722652</v>
      </c>
    </row>
    <row r="328" spans="1:15">
      <c r="A328" s="19">
        <v>43319</v>
      </c>
      <c r="B328">
        <v>3550</v>
      </c>
      <c r="C328">
        <v>3590</v>
      </c>
      <c r="D328">
        <v>625</v>
      </c>
      <c r="E328">
        <v>614.70000000000005</v>
      </c>
      <c r="F328">
        <v>5.8402472750935397</v>
      </c>
      <c r="G328">
        <v>6.0255871761218103</v>
      </c>
      <c r="H328">
        <v>0.35000127736639403</v>
      </c>
      <c r="I328">
        <v>-0.52954064174529802</v>
      </c>
      <c r="J328">
        <v>-3.17</v>
      </c>
      <c r="L328">
        <v>6.3755884534882039</v>
      </c>
      <c r="M328">
        <v>5.6755858987554166</v>
      </c>
      <c r="N328">
        <v>6.7255897308545984</v>
      </c>
      <c r="O328">
        <v>5.3255846213890221</v>
      </c>
    </row>
    <row r="329" spans="1:15">
      <c r="A329" s="19">
        <v>43318</v>
      </c>
      <c r="B329">
        <v>3600</v>
      </c>
      <c r="C329">
        <v>3565</v>
      </c>
      <c r="D329">
        <v>611.6</v>
      </c>
      <c r="E329">
        <v>615.5</v>
      </c>
      <c r="F329">
        <v>5.7920389926888696</v>
      </c>
      <c r="G329">
        <v>6.0333744693686402</v>
      </c>
      <c r="H329">
        <v>0.352280861119522</v>
      </c>
      <c r="I329">
        <v>-0.68506553524601799</v>
      </c>
      <c r="J329">
        <v>-4.17</v>
      </c>
      <c r="L329">
        <v>6.385655330488162</v>
      </c>
      <c r="M329">
        <v>5.6810936082491184</v>
      </c>
      <c r="N329">
        <v>6.7379361916076839</v>
      </c>
      <c r="O329">
        <v>5.3288127471295965</v>
      </c>
    </row>
    <row r="330" spans="1:15">
      <c r="A330" s="19">
        <v>43315</v>
      </c>
      <c r="B330">
        <v>3625</v>
      </c>
      <c r="C330">
        <v>3600</v>
      </c>
      <c r="D330">
        <v>637.4</v>
      </c>
      <c r="E330">
        <v>618.20000000000005</v>
      </c>
      <c r="F330">
        <v>5.8233581365253899</v>
      </c>
      <c r="G330">
        <v>6.0406077062429304</v>
      </c>
      <c r="H330">
        <v>0.35282033775480098</v>
      </c>
      <c r="I330">
        <v>-0.61575126621107501</v>
      </c>
      <c r="J330">
        <v>-3.73</v>
      </c>
      <c r="L330">
        <v>6.3934280439977318</v>
      </c>
      <c r="M330">
        <v>5.687787368488129</v>
      </c>
      <c r="N330">
        <v>6.7462483817525323</v>
      </c>
      <c r="O330">
        <v>5.3349670307333286</v>
      </c>
    </row>
    <row r="331" spans="1:15">
      <c r="A331" s="19">
        <v>43314</v>
      </c>
      <c r="B331">
        <v>3525</v>
      </c>
      <c r="C331">
        <v>3560</v>
      </c>
      <c r="D331">
        <v>642.6</v>
      </c>
      <c r="E331">
        <v>639</v>
      </c>
      <c r="F331">
        <v>5.5712050078247204</v>
      </c>
      <c r="G331">
        <v>6.0473070460937501</v>
      </c>
      <c r="H331">
        <v>0.353401384776248</v>
      </c>
      <c r="I331">
        <v>-1.3471991304461499</v>
      </c>
      <c r="J331">
        <v>-8.5500000000000007</v>
      </c>
      <c r="L331">
        <v>6.4007084308699982</v>
      </c>
      <c r="M331">
        <v>5.6939056613175021</v>
      </c>
      <c r="N331">
        <v>6.7541098156462462</v>
      </c>
      <c r="O331">
        <v>5.340504276541254</v>
      </c>
    </row>
    <row r="332" spans="1:15">
      <c r="A332" s="19">
        <v>43313</v>
      </c>
      <c r="B332">
        <v>3550</v>
      </c>
      <c r="C332">
        <v>3555</v>
      </c>
      <c r="D332">
        <v>641</v>
      </c>
      <c r="E332">
        <v>635.9</v>
      </c>
      <c r="F332">
        <v>5.5905016512030103</v>
      </c>
      <c r="G332">
        <v>6.0542757193632699</v>
      </c>
      <c r="H332">
        <v>0.34907099248524298</v>
      </c>
      <c r="I332">
        <v>-1.32859526613303</v>
      </c>
      <c r="J332">
        <v>-8.3000000000000007</v>
      </c>
      <c r="L332">
        <v>6.4033467118485126</v>
      </c>
      <c r="M332">
        <v>5.7052047268780273</v>
      </c>
      <c r="N332">
        <v>6.7524177043337561</v>
      </c>
      <c r="O332">
        <v>5.3561337343927837</v>
      </c>
    </row>
    <row r="333" spans="1:15">
      <c r="A333" s="19">
        <v>43312</v>
      </c>
      <c r="B333">
        <v>3565</v>
      </c>
      <c r="C333">
        <v>3585</v>
      </c>
      <c r="D333">
        <v>671.6</v>
      </c>
      <c r="E333">
        <v>635.9</v>
      </c>
      <c r="F333">
        <v>5.6376788803270896</v>
      </c>
      <c r="G333">
        <v>6.0638657164676903</v>
      </c>
      <c r="H333">
        <v>0.346065036002417</v>
      </c>
      <c r="I333">
        <v>-1.2315223781740701</v>
      </c>
      <c r="J333">
        <v>-7.56</v>
      </c>
      <c r="L333">
        <v>6.4099307524701077</v>
      </c>
      <c r="M333">
        <v>5.717800680465273</v>
      </c>
      <c r="N333">
        <v>6.7559957884725241</v>
      </c>
      <c r="O333">
        <v>5.3717356444628566</v>
      </c>
    </row>
    <row r="334" spans="1:15">
      <c r="A334" s="19">
        <v>43311</v>
      </c>
      <c r="B334">
        <v>3580</v>
      </c>
      <c r="C334">
        <v>3600</v>
      </c>
      <c r="D334">
        <v>661</v>
      </c>
      <c r="E334">
        <v>667.1</v>
      </c>
      <c r="F334">
        <v>5.3964922800179798</v>
      </c>
      <c r="G334">
        <v>6.0685993918448098</v>
      </c>
      <c r="H334">
        <v>0.34261394803684098</v>
      </c>
      <c r="I334">
        <v>-1.96170388181205</v>
      </c>
      <c r="J334">
        <v>-12.45</v>
      </c>
      <c r="L334">
        <v>6.4112133398816509</v>
      </c>
      <c r="M334">
        <v>5.7259854438079687</v>
      </c>
      <c r="N334">
        <v>6.753827287918492</v>
      </c>
      <c r="O334">
        <v>5.3833714957711276</v>
      </c>
    </row>
    <row r="335" spans="1:15">
      <c r="A335" s="19">
        <v>43308</v>
      </c>
      <c r="B335">
        <v>3635</v>
      </c>
      <c r="C335">
        <v>3600</v>
      </c>
      <c r="D335">
        <v>655</v>
      </c>
      <c r="E335">
        <v>656</v>
      </c>
      <c r="F335">
        <v>5.48780487804878</v>
      </c>
      <c r="G335">
        <v>6.0792782325058097</v>
      </c>
      <c r="H335">
        <v>0.33386891601736302</v>
      </c>
      <c r="I335">
        <v>-1.7715735909546999</v>
      </c>
      <c r="J335">
        <v>-10.78</v>
      </c>
      <c r="L335">
        <v>6.4131471485231728</v>
      </c>
      <c r="M335">
        <v>5.7454093164884465</v>
      </c>
      <c r="N335">
        <v>6.7470160645405359</v>
      </c>
      <c r="O335">
        <v>5.4115404004710834</v>
      </c>
    </row>
    <row r="336" spans="1:15">
      <c r="A336" s="19">
        <v>43307</v>
      </c>
      <c r="B336">
        <v>3495</v>
      </c>
      <c r="C336">
        <v>3600</v>
      </c>
      <c r="D336">
        <v>650.20000000000005</v>
      </c>
      <c r="E336">
        <v>659.3</v>
      </c>
      <c r="F336">
        <v>5.46033672076444</v>
      </c>
      <c r="G336">
        <v>6.0899701213583599</v>
      </c>
      <c r="H336">
        <v>0.32753616351148401</v>
      </c>
      <c r="I336">
        <v>-1.9223324650434901</v>
      </c>
      <c r="J336">
        <v>-11.53</v>
      </c>
      <c r="L336">
        <v>6.4175062848698436</v>
      </c>
      <c r="M336">
        <v>5.7624339578468762</v>
      </c>
      <c r="N336">
        <v>6.7450424483813283</v>
      </c>
      <c r="O336">
        <v>5.4348977943353916</v>
      </c>
    </row>
    <row r="337" spans="1:15">
      <c r="A337" s="19">
        <v>43306</v>
      </c>
      <c r="B337">
        <v>3455</v>
      </c>
      <c r="C337">
        <v>3505</v>
      </c>
      <c r="D337">
        <v>646.79999999999995</v>
      </c>
      <c r="E337">
        <v>650</v>
      </c>
      <c r="F337">
        <v>5.39230769230769</v>
      </c>
      <c r="G337">
        <v>6.1023840638247702</v>
      </c>
      <c r="H337">
        <v>0.321016065621964</v>
      </c>
      <c r="I337">
        <v>-2.2119652178195999</v>
      </c>
      <c r="J337">
        <v>-13.17</v>
      </c>
      <c r="L337">
        <v>6.4234001294467342</v>
      </c>
      <c r="M337">
        <v>5.7813679982028061</v>
      </c>
      <c r="N337">
        <v>6.7444161950686983</v>
      </c>
      <c r="O337">
        <v>5.4603519325808421</v>
      </c>
    </row>
    <row r="338" spans="1:15">
      <c r="A338" s="19">
        <v>43305</v>
      </c>
      <c r="B338">
        <v>3525</v>
      </c>
      <c r="C338">
        <v>3490</v>
      </c>
      <c r="D338">
        <v>650</v>
      </c>
      <c r="E338">
        <v>645.4</v>
      </c>
      <c r="F338">
        <v>5.4074992252866396</v>
      </c>
      <c r="G338">
        <v>6.1165967437758999</v>
      </c>
      <c r="H338">
        <v>0.31275414953608299</v>
      </c>
      <c r="I338">
        <v>-2.2672681386996101</v>
      </c>
      <c r="J338">
        <v>-13.11</v>
      </c>
      <c r="L338">
        <v>6.429350893311983</v>
      </c>
      <c r="M338">
        <v>5.8038425942398169</v>
      </c>
      <c r="N338">
        <v>6.742105042848066</v>
      </c>
      <c r="O338">
        <v>5.4910884447037338</v>
      </c>
    </row>
    <row r="339" spans="1:15">
      <c r="A339" s="19">
        <v>43304</v>
      </c>
      <c r="B339">
        <v>3525</v>
      </c>
      <c r="C339">
        <v>3525</v>
      </c>
      <c r="D339">
        <v>630</v>
      </c>
      <c r="E339">
        <v>641.1</v>
      </c>
      <c r="F339">
        <v>5.4983621899859596</v>
      </c>
      <c r="G339">
        <v>6.1314006514668202</v>
      </c>
      <c r="H339">
        <v>0.30502106513004301</v>
      </c>
      <c r="I339">
        <v>-2.0753926002158898</v>
      </c>
      <c r="J339">
        <v>-11.51</v>
      </c>
      <c r="L339">
        <v>6.4364217165968629</v>
      </c>
      <c r="M339">
        <v>5.8263795863367775</v>
      </c>
      <c r="N339">
        <v>6.7414427817269065</v>
      </c>
      <c r="O339">
        <v>5.521358521206734</v>
      </c>
    </row>
    <row r="340" spans="1:15">
      <c r="A340" s="19">
        <v>43301</v>
      </c>
      <c r="B340">
        <v>3540</v>
      </c>
      <c r="C340">
        <v>3525</v>
      </c>
      <c r="D340">
        <v>597.70000000000005</v>
      </c>
      <c r="E340">
        <v>600</v>
      </c>
      <c r="F340">
        <v>5.875</v>
      </c>
      <c r="G340">
        <v>6.1438000018745704</v>
      </c>
      <c r="H340">
        <v>0.29785292790507301</v>
      </c>
      <c r="I340">
        <v>-0.90245882007995704</v>
      </c>
      <c r="J340">
        <v>-4.58</v>
      </c>
      <c r="L340">
        <v>6.441652929779643</v>
      </c>
      <c r="M340">
        <v>5.8459470739694979</v>
      </c>
      <c r="N340">
        <v>6.7395058576847164</v>
      </c>
      <c r="O340">
        <v>5.5480941460644244</v>
      </c>
    </row>
    <row r="341" spans="1:15">
      <c r="A341" s="19">
        <v>43300</v>
      </c>
      <c r="B341">
        <v>3535</v>
      </c>
      <c r="C341">
        <v>3550</v>
      </c>
      <c r="D341">
        <v>601.5</v>
      </c>
      <c r="E341">
        <v>602.4</v>
      </c>
      <c r="F341">
        <v>5.89309428950863</v>
      </c>
      <c r="G341">
        <v>6.1501303456712799</v>
      </c>
      <c r="H341">
        <v>0.29711713936431999</v>
      </c>
      <c r="I341">
        <v>-0.86510006360648894</v>
      </c>
      <c r="J341">
        <v>-4.3600000000000003</v>
      </c>
      <c r="L341">
        <v>6.4472474850356001</v>
      </c>
      <c r="M341">
        <v>5.8530132063069598</v>
      </c>
      <c r="N341">
        <v>6.7443646243999202</v>
      </c>
      <c r="O341">
        <v>5.5558960669426396</v>
      </c>
    </row>
    <row r="342" spans="1:15">
      <c r="A342" s="19">
        <v>43299</v>
      </c>
      <c r="B342">
        <v>3500</v>
      </c>
      <c r="C342">
        <v>3530</v>
      </c>
      <c r="D342">
        <v>607.29999999999995</v>
      </c>
      <c r="E342">
        <v>600.1</v>
      </c>
      <c r="F342">
        <v>5.8823529411764701</v>
      </c>
      <c r="G342">
        <v>6.1562532640413004</v>
      </c>
      <c r="H342">
        <v>0.29648818272747701</v>
      </c>
      <c r="I342">
        <v>-0.92381531144055895</v>
      </c>
      <c r="J342">
        <v>-4.66</v>
      </c>
      <c r="L342">
        <v>6.4527414467687771</v>
      </c>
      <c r="M342">
        <v>5.8597650813138236</v>
      </c>
      <c r="N342">
        <v>6.7492296294962539</v>
      </c>
      <c r="O342">
        <v>5.5632768985863468</v>
      </c>
    </row>
    <row r="343" spans="1:15">
      <c r="A343" s="19">
        <v>43298</v>
      </c>
      <c r="B343">
        <v>3440</v>
      </c>
      <c r="C343">
        <v>3505</v>
      </c>
      <c r="D343">
        <v>597</v>
      </c>
      <c r="E343">
        <v>607.29999999999995</v>
      </c>
      <c r="F343">
        <v>5.7714473900872703</v>
      </c>
      <c r="G343">
        <v>6.1609044429763102</v>
      </c>
      <c r="H343">
        <v>0.29488675812753301</v>
      </c>
      <c r="I343">
        <v>-1.3207003778739099</v>
      </c>
      <c r="J343">
        <v>-6.75</v>
      </c>
      <c r="L343">
        <v>6.4557912011038434</v>
      </c>
      <c r="M343">
        <v>5.8660176848487771</v>
      </c>
      <c r="N343">
        <v>6.7506779592313766</v>
      </c>
      <c r="O343">
        <v>5.5711309267212439</v>
      </c>
    </row>
    <row r="344" spans="1:15">
      <c r="A344" s="19">
        <v>43294</v>
      </c>
      <c r="B344">
        <v>3370</v>
      </c>
      <c r="C344">
        <v>3445</v>
      </c>
      <c r="D344">
        <v>603.20000000000005</v>
      </c>
      <c r="E344">
        <v>598.79999999999995</v>
      </c>
      <c r="F344">
        <v>5.7531730126920504</v>
      </c>
      <c r="G344">
        <v>6.1650582339870601</v>
      </c>
      <c r="H344">
        <v>0.291546819928725</v>
      </c>
      <c r="I344">
        <v>-1.4127584083945901</v>
      </c>
      <c r="J344">
        <v>-7.16</v>
      </c>
      <c r="L344">
        <v>6.4566050539157853</v>
      </c>
      <c r="M344">
        <v>5.8735114140583349</v>
      </c>
      <c r="N344">
        <v>6.7481518738445097</v>
      </c>
      <c r="O344">
        <v>5.5819645941296105</v>
      </c>
    </row>
    <row r="345" spans="1:15">
      <c r="A345" s="19">
        <v>43293</v>
      </c>
      <c r="B345">
        <v>3420</v>
      </c>
      <c r="C345">
        <v>3390</v>
      </c>
      <c r="D345">
        <v>598.9</v>
      </c>
      <c r="E345">
        <v>602</v>
      </c>
      <c r="F345">
        <v>5.6312292358803901</v>
      </c>
      <c r="G345">
        <v>6.1722321715107604</v>
      </c>
      <c r="H345">
        <v>0.28792066374523101</v>
      </c>
      <c r="I345">
        <v>-1.8790000293590501</v>
      </c>
      <c r="J345">
        <v>-9.61</v>
      </c>
      <c r="L345">
        <v>6.4601528352559914</v>
      </c>
      <c r="M345">
        <v>5.8843115077655295</v>
      </c>
      <c r="N345">
        <v>6.7480734990012223</v>
      </c>
      <c r="O345">
        <v>5.5963908440202985</v>
      </c>
    </row>
    <row r="346" spans="1:15">
      <c r="A346" s="19">
        <v>43292</v>
      </c>
      <c r="B346">
        <v>3350</v>
      </c>
      <c r="C346">
        <v>3420</v>
      </c>
      <c r="D346">
        <v>585.9</v>
      </c>
      <c r="E346">
        <v>592.9</v>
      </c>
      <c r="F346">
        <v>5.7682577163096598</v>
      </c>
      <c r="G346">
        <v>6.1818258200810696</v>
      </c>
      <c r="H346">
        <v>0.28165358759567</v>
      </c>
      <c r="I346">
        <v>-1.46835730835821</v>
      </c>
      <c r="J346">
        <v>-7.17</v>
      </c>
      <c r="L346">
        <v>6.4634794076767399</v>
      </c>
      <c r="M346">
        <v>5.9001722324853993</v>
      </c>
      <c r="N346">
        <v>6.7451329952724093</v>
      </c>
      <c r="O346">
        <v>5.61851864488973</v>
      </c>
    </row>
    <row r="347" spans="1:15">
      <c r="A347" s="19">
        <v>43291</v>
      </c>
      <c r="B347">
        <v>3200</v>
      </c>
      <c r="C347">
        <v>3250</v>
      </c>
      <c r="D347">
        <v>597.79999999999995</v>
      </c>
      <c r="E347">
        <v>593</v>
      </c>
      <c r="F347">
        <v>5.4806070826306899</v>
      </c>
      <c r="G347">
        <v>6.18965246600035</v>
      </c>
      <c r="H347">
        <v>0.27818701222674702</v>
      </c>
      <c r="I347">
        <v>-2.5488083634606298</v>
      </c>
      <c r="J347">
        <v>-12.94</v>
      </c>
      <c r="L347">
        <v>6.4678394782270967</v>
      </c>
      <c r="M347">
        <v>5.9114654537736033</v>
      </c>
      <c r="N347">
        <v>6.7460264904538443</v>
      </c>
      <c r="O347">
        <v>5.6332784415468558</v>
      </c>
    </row>
    <row r="348" spans="1:15">
      <c r="A348" s="19">
        <v>43290</v>
      </c>
      <c r="B348">
        <v>3240</v>
      </c>
      <c r="C348">
        <v>3210</v>
      </c>
      <c r="D348">
        <v>585</v>
      </c>
      <c r="E348">
        <v>587.79999999999995</v>
      </c>
      <c r="F348">
        <v>5.4610411704661397</v>
      </c>
      <c r="G348">
        <v>6.2026472711125704</v>
      </c>
      <c r="H348">
        <v>0.26731293956591601</v>
      </c>
      <c r="I348">
        <v>-2.7742992982334198</v>
      </c>
      <c r="J348">
        <v>-13.58</v>
      </c>
      <c r="L348">
        <v>6.4699602106784866</v>
      </c>
      <c r="M348">
        <v>5.9353343315466542</v>
      </c>
      <c r="N348">
        <v>6.7372731502444028</v>
      </c>
      <c r="O348">
        <v>5.6680213919807381</v>
      </c>
    </row>
    <row r="349" spans="1:15">
      <c r="A349" s="19">
        <v>43287</v>
      </c>
      <c r="B349">
        <v>3335</v>
      </c>
      <c r="C349">
        <v>3205</v>
      </c>
      <c r="D349">
        <v>573.1</v>
      </c>
      <c r="E349">
        <v>580.29999999999995</v>
      </c>
      <c r="F349">
        <v>5.52300534206445</v>
      </c>
      <c r="G349">
        <v>6.2149471035192203</v>
      </c>
      <c r="H349">
        <v>0.253787511661063</v>
      </c>
      <c r="I349">
        <v>-2.7264610339805699</v>
      </c>
      <c r="J349">
        <v>-12.53</v>
      </c>
      <c r="L349">
        <v>6.4687346151802831</v>
      </c>
      <c r="M349">
        <v>5.9611595918581575</v>
      </c>
      <c r="N349">
        <v>6.722522126841346</v>
      </c>
      <c r="O349">
        <v>5.7073720801970946</v>
      </c>
    </row>
    <row r="350" spans="1:15">
      <c r="A350" s="19">
        <v>43286</v>
      </c>
      <c r="B350">
        <v>3550</v>
      </c>
      <c r="C350">
        <v>3360</v>
      </c>
      <c r="D350">
        <v>571</v>
      </c>
      <c r="E350">
        <v>569.79999999999995</v>
      </c>
      <c r="F350">
        <v>5.8968058968058896</v>
      </c>
      <c r="G350">
        <v>6.2282785594702998</v>
      </c>
      <c r="H350">
        <v>0.24312706546867799</v>
      </c>
      <c r="I350">
        <v>-1.3633721199465101</v>
      </c>
      <c r="J350">
        <v>-5.62</v>
      </c>
      <c r="L350">
        <v>6.4714056249389778</v>
      </c>
      <c r="M350">
        <v>5.9851514940016219</v>
      </c>
      <c r="N350">
        <v>6.7145326904076557</v>
      </c>
      <c r="O350">
        <v>5.742024428532944</v>
      </c>
    </row>
    <row r="351" spans="1:15">
      <c r="A351" s="19">
        <v>43285</v>
      </c>
      <c r="B351">
        <v>3810</v>
      </c>
      <c r="C351">
        <v>3825</v>
      </c>
      <c r="D351">
        <v>575.9</v>
      </c>
      <c r="E351">
        <v>575.9</v>
      </c>
      <c r="F351">
        <v>6.64177808647334</v>
      </c>
      <c r="G351">
        <v>6.2370786712570201</v>
      </c>
      <c r="H351">
        <v>0.24291455819687899</v>
      </c>
      <c r="I351">
        <v>1.66601548388184</v>
      </c>
      <c r="J351">
        <v>6.09</v>
      </c>
      <c r="L351">
        <v>6.4799932294538989</v>
      </c>
      <c r="M351">
        <v>5.9941641130601413</v>
      </c>
      <c r="N351">
        <v>6.7229077876507777</v>
      </c>
      <c r="O351">
        <v>5.7512495548632625</v>
      </c>
    </row>
    <row r="352" spans="1:15">
      <c r="A352" s="19">
        <v>43284</v>
      </c>
      <c r="B352">
        <v>3750</v>
      </c>
      <c r="C352">
        <v>3760</v>
      </c>
      <c r="D352">
        <v>582.9</v>
      </c>
      <c r="E352">
        <v>581.1</v>
      </c>
      <c r="F352">
        <v>6.4704870073997496</v>
      </c>
      <c r="G352">
        <v>6.2338458621859596</v>
      </c>
      <c r="H352">
        <v>0.23909041958035299</v>
      </c>
      <c r="I352">
        <v>0.98975586570613805</v>
      </c>
      <c r="J352">
        <v>3.66</v>
      </c>
      <c r="L352">
        <v>6.4729362817663123</v>
      </c>
      <c r="M352">
        <v>5.9947554426056069</v>
      </c>
      <c r="N352">
        <v>6.7120267013466659</v>
      </c>
      <c r="O352">
        <v>5.7556650230252533</v>
      </c>
    </row>
    <row r="353" spans="1:15">
      <c r="A353" s="19">
        <v>43283</v>
      </c>
      <c r="B353">
        <v>3905</v>
      </c>
      <c r="C353">
        <v>3775</v>
      </c>
      <c r="D353">
        <v>588.79999999999995</v>
      </c>
      <c r="E353">
        <v>582.29999999999995</v>
      </c>
      <c r="F353">
        <v>6.4829125880130496</v>
      </c>
      <c r="G353">
        <v>6.2306110750295902</v>
      </c>
      <c r="H353">
        <v>0.23750281263340001</v>
      </c>
      <c r="I353">
        <v>1.0623095793517801</v>
      </c>
      <c r="J353">
        <v>3.89</v>
      </c>
      <c r="L353">
        <v>6.46811388766299</v>
      </c>
      <c r="M353">
        <v>5.9931082623961904</v>
      </c>
      <c r="N353">
        <v>6.7056167002963907</v>
      </c>
      <c r="O353">
        <v>5.7556054497627898</v>
      </c>
    </row>
    <row r="354" spans="1:15">
      <c r="A354" s="19">
        <v>43280</v>
      </c>
      <c r="B354">
        <v>3860</v>
      </c>
      <c r="C354">
        <v>3900</v>
      </c>
      <c r="D354">
        <v>591.70000000000005</v>
      </c>
      <c r="E354">
        <v>592.6</v>
      </c>
      <c r="F354">
        <v>6.5811677354032998</v>
      </c>
      <c r="G354">
        <v>6.2278837886821101</v>
      </c>
      <c r="H354">
        <v>0.23575794320854601</v>
      </c>
      <c r="I354">
        <v>1.4985028369062701</v>
      </c>
      <c r="J354">
        <v>5.37</v>
      </c>
      <c r="L354">
        <v>6.4636417318906565</v>
      </c>
      <c r="M354">
        <v>5.9921258454735637</v>
      </c>
      <c r="N354">
        <v>6.699399675099202</v>
      </c>
      <c r="O354">
        <v>5.7563679022650183</v>
      </c>
    </row>
    <row r="355" spans="1:15">
      <c r="A355" s="19">
        <v>43279</v>
      </c>
      <c r="B355">
        <v>3850</v>
      </c>
      <c r="C355">
        <v>3840</v>
      </c>
      <c r="D355">
        <v>590.79999999999995</v>
      </c>
      <c r="E355">
        <v>585.4</v>
      </c>
      <c r="F355">
        <v>6.5596173556542503</v>
      </c>
      <c r="G355">
        <v>6.2255761446777402</v>
      </c>
      <c r="H355">
        <v>0.233120927773355</v>
      </c>
      <c r="I355">
        <v>1.4329095811649599</v>
      </c>
      <c r="J355">
        <v>5.09</v>
      </c>
      <c r="L355">
        <v>6.4586970724510948</v>
      </c>
      <c r="M355">
        <v>5.9924552169043857</v>
      </c>
      <c r="N355">
        <v>6.6918180002244503</v>
      </c>
      <c r="O355">
        <v>5.7593342891310302</v>
      </c>
    </row>
    <row r="356" spans="1:15">
      <c r="A356" s="19">
        <v>43278</v>
      </c>
      <c r="B356">
        <v>3825</v>
      </c>
      <c r="C356">
        <v>3885</v>
      </c>
      <c r="D356">
        <v>586.20000000000005</v>
      </c>
      <c r="E356">
        <v>588.20000000000005</v>
      </c>
      <c r="F356">
        <v>6.6048962937776201</v>
      </c>
      <c r="G356">
        <v>6.22668057197858</v>
      </c>
      <c r="H356">
        <v>0.234890352392299</v>
      </c>
      <c r="I356">
        <v>1.6101798900934201</v>
      </c>
      <c r="J356">
        <v>5.73</v>
      </c>
      <c r="L356">
        <v>6.4615709243708794</v>
      </c>
      <c r="M356">
        <v>5.9917902195862807</v>
      </c>
      <c r="N356">
        <v>6.6964612767631779</v>
      </c>
      <c r="O356">
        <v>5.7568998671939822</v>
      </c>
    </row>
    <row r="357" spans="1:15">
      <c r="A357" s="19">
        <v>43277</v>
      </c>
      <c r="B357">
        <v>3880</v>
      </c>
      <c r="C357">
        <v>3835</v>
      </c>
      <c r="D357">
        <v>581.20000000000005</v>
      </c>
      <c r="E357">
        <v>590.79999999999995</v>
      </c>
      <c r="F357">
        <v>6.4911983750846298</v>
      </c>
      <c r="G357">
        <v>6.2264396393589498</v>
      </c>
      <c r="H357">
        <v>0.23451124542058699</v>
      </c>
      <c r="I357">
        <v>1.1289809802120001</v>
      </c>
      <c r="J357">
        <v>4.08</v>
      </c>
      <c r="L357">
        <v>6.4609508847795372</v>
      </c>
      <c r="M357">
        <v>5.9919283939383625</v>
      </c>
      <c r="N357">
        <v>6.6954621302001236</v>
      </c>
      <c r="O357">
        <v>5.7574171485177761</v>
      </c>
    </row>
    <row r="358" spans="1:15">
      <c r="A358" s="19">
        <v>43276</v>
      </c>
      <c r="B358">
        <v>3960</v>
      </c>
      <c r="C358">
        <v>3900</v>
      </c>
      <c r="D358">
        <v>585.70000000000005</v>
      </c>
      <c r="E358">
        <v>586.4</v>
      </c>
      <c r="F358">
        <v>6.6507503410641204</v>
      </c>
      <c r="G358">
        <v>6.2275796569247301</v>
      </c>
      <c r="H358">
        <v>0.23599863730809201</v>
      </c>
      <c r="I358">
        <v>1.79310647284349</v>
      </c>
      <c r="J358">
        <v>6.36</v>
      </c>
      <c r="L358">
        <v>6.4635782942328222</v>
      </c>
      <c r="M358">
        <v>5.9915810196166381</v>
      </c>
      <c r="N358">
        <v>6.6995769315409142</v>
      </c>
      <c r="O358">
        <v>5.7555823823085461</v>
      </c>
    </row>
    <row r="359" spans="1:15">
      <c r="A359" s="19">
        <v>43273</v>
      </c>
      <c r="B359">
        <v>3945</v>
      </c>
      <c r="C359">
        <v>3965</v>
      </c>
      <c r="D359">
        <v>581.6</v>
      </c>
      <c r="E359">
        <v>582.9</v>
      </c>
      <c r="F359">
        <v>6.8021959169668902</v>
      </c>
      <c r="G359">
        <v>6.22572152815642</v>
      </c>
      <c r="H359">
        <v>0.233191425900524</v>
      </c>
      <c r="I359">
        <v>2.4721079970426398</v>
      </c>
      <c r="J359">
        <v>8.4700000000000006</v>
      </c>
      <c r="L359">
        <v>6.4589129540569443</v>
      </c>
      <c r="M359">
        <v>5.9925301022558957</v>
      </c>
      <c r="N359">
        <v>6.6921043799574678</v>
      </c>
      <c r="O359">
        <v>5.7593386763553722</v>
      </c>
    </row>
    <row r="360" spans="1:15">
      <c r="A360" s="19">
        <v>43272</v>
      </c>
      <c r="B360">
        <v>3970</v>
      </c>
      <c r="C360">
        <v>3965</v>
      </c>
      <c r="D360">
        <v>603.9</v>
      </c>
      <c r="E360">
        <v>591.6</v>
      </c>
      <c r="F360">
        <v>6.7021636240703097</v>
      </c>
      <c r="G360">
        <v>6.2203207037159398</v>
      </c>
      <c r="H360">
        <v>0.224298609268649</v>
      </c>
      <c r="I360">
        <v>2.14822072203425</v>
      </c>
      <c r="J360">
        <v>7.19</v>
      </c>
      <c r="L360">
        <v>6.4446193129845888</v>
      </c>
      <c r="M360">
        <v>5.9960220944472908</v>
      </c>
      <c r="N360">
        <v>6.6689179222532378</v>
      </c>
      <c r="O360">
        <v>5.7717234851786419</v>
      </c>
    </row>
    <row r="361" spans="1:15">
      <c r="A361" s="19">
        <v>43271</v>
      </c>
      <c r="B361">
        <v>3990</v>
      </c>
      <c r="C361">
        <v>3990</v>
      </c>
      <c r="D361">
        <v>615</v>
      </c>
      <c r="E361">
        <v>611.1</v>
      </c>
      <c r="F361">
        <v>6.5292096219931199</v>
      </c>
      <c r="G361">
        <v>6.2150579432397404</v>
      </c>
      <c r="H361">
        <v>0.21745751379362399</v>
      </c>
      <c r="I361">
        <v>1.4446577323215699</v>
      </c>
      <c r="J361">
        <v>4.8099999999999996</v>
      </c>
      <c r="L361">
        <v>6.4325154570333645</v>
      </c>
      <c r="M361">
        <v>5.9976004294461163</v>
      </c>
      <c r="N361">
        <v>6.6499729708269886</v>
      </c>
      <c r="O361">
        <v>5.7801429156524922</v>
      </c>
    </row>
    <row r="362" spans="1:15">
      <c r="A362" s="19">
        <v>43270</v>
      </c>
      <c r="B362">
        <v>3985</v>
      </c>
      <c r="C362">
        <v>3935</v>
      </c>
      <c r="D362">
        <v>623</v>
      </c>
      <c r="E362">
        <v>615.29999999999995</v>
      </c>
      <c r="F362">
        <v>6.3952543474727701</v>
      </c>
      <c r="G362">
        <v>6.2095931837934302</v>
      </c>
      <c r="H362">
        <v>0.214625603521265</v>
      </c>
      <c r="I362">
        <v>0.86504667026340298</v>
      </c>
      <c r="J362">
        <v>2.9</v>
      </c>
      <c r="L362">
        <v>6.424218787314695</v>
      </c>
      <c r="M362">
        <v>5.9949675802721654</v>
      </c>
      <c r="N362">
        <v>6.6388443908359598</v>
      </c>
      <c r="O362">
        <v>5.7803419767509006</v>
      </c>
    </row>
    <row r="363" spans="1:15">
      <c r="A363" s="19">
        <v>43269</v>
      </c>
      <c r="B363">
        <v>4050</v>
      </c>
      <c r="C363">
        <v>3990</v>
      </c>
      <c r="D363">
        <v>651.6</v>
      </c>
      <c r="E363">
        <v>629.5</v>
      </c>
      <c r="F363">
        <v>6.3383637807783897</v>
      </c>
      <c r="G363">
        <v>6.2041706203805003</v>
      </c>
      <c r="H363">
        <v>0.21500358409501699</v>
      </c>
      <c r="I363">
        <v>0.62414382980045902</v>
      </c>
      <c r="J363">
        <v>2.12</v>
      </c>
      <c r="L363">
        <v>6.4191742044755173</v>
      </c>
      <c r="M363">
        <v>5.9891670362854832</v>
      </c>
      <c r="N363">
        <v>6.6341777885705344</v>
      </c>
      <c r="O363">
        <v>5.7741634521904661</v>
      </c>
    </row>
    <row r="364" spans="1:15">
      <c r="A364" s="19">
        <v>43266</v>
      </c>
      <c r="B364">
        <v>4075</v>
      </c>
      <c r="C364">
        <v>4050</v>
      </c>
      <c r="D364">
        <v>656.6</v>
      </c>
      <c r="E364">
        <v>653.1</v>
      </c>
      <c r="F364">
        <v>6.2011943040881903</v>
      </c>
      <c r="G364">
        <v>6.1982663872936303</v>
      </c>
      <c r="H364">
        <v>0.21730523103657801</v>
      </c>
      <c r="I364">
        <v>1.34737520150497E-2</v>
      </c>
      <c r="J364">
        <v>0.05</v>
      </c>
      <c r="L364">
        <v>6.4155716183302083</v>
      </c>
      <c r="M364">
        <v>5.9809611562570524</v>
      </c>
      <c r="N364">
        <v>6.6328768493667862</v>
      </c>
      <c r="O364">
        <v>5.7636559252204744</v>
      </c>
    </row>
    <row r="365" spans="1:15">
      <c r="A365" s="19">
        <v>43265</v>
      </c>
      <c r="B365">
        <v>4090</v>
      </c>
      <c r="C365">
        <v>4035</v>
      </c>
      <c r="D365">
        <v>640.9</v>
      </c>
      <c r="E365">
        <v>657</v>
      </c>
      <c r="F365">
        <v>6.1415525114155196</v>
      </c>
      <c r="G365">
        <v>6.1920373783263898</v>
      </c>
      <c r="H365">
        <v>0.22373271619670901</v>
      </c>
      <c r="I365">
        <v>-0.22564812053004801</v>
      </c>
      <c r="J365">
        <v>-0.82</v>
      </c>
      <c r="L365">
        <v>6.4157700945230989</v>
      </c>
      <c r="M365">
        <v>5.9683046621296807</v>
      </c>
      <c r="N365">
        <v>6.639502810719808</v>
      </c>
      <c r="O365">
        <v>5.7445719459329716</v>
      </c>
    </row>
    <row r="366" spans="1:15">
      <c r="A366" s="19">
        <v>43264</v>
      </c>
      <c r="B366">
        <v>4005</v>
      </c>
      <c r="C366">
        <v>4110</v>
      </c>
      <c r="D366">
        <v>630</v>
      </c>
      <c r="E366">
        <v>641</v>
      </c>
      <c r="F366">
        <v>6.4118564742589701</v>
      </c>
      <c r="G366">
        <v>6.1859173435530197</v>
      </c>
      <c r="H366">
        <v>0.231183744400902</v>
      </c>
      <c r="I366">
        <v>0.97731408967119404</v>
      </c>
      <c r="J366">
        <v>3.52</v>
      </c>
      <c r="L366">
        <v>6.4171010879539221</v>
      </c>
      <c r="M366">
        <v>5.9547335991521173</v>
      </c>
      <c r="N366">
        <v>6.6482848323548236</v>
      </c>
      <c r="O366">
        <v>5.7235498547512158</v>
      </c>
    </row>
    <row r="367" spans="1:15">
      <c r="A367" s="19">
        <v>43263</v>
      </c>
      <c r="B367">
        <v>3945</v>
      </c>
      <c r="C367">
        <v>3990</v>
      </c>
      <c r="D367">
        <v>639.29999999999995</v>
      </c>
      <c r="E367">
        <v>629.6</v>
      </c>
      <c r="F367">
        <v>6.3373570520965599</v>
      </c>
      <c r="G367">
        <v>6.1772617157587701</v>
      </c>
      <c r="H367">
        <v>0.23468852908068899</v>
      </c>
      <c r="I367">
        <v>0.68216089199122698</v>
      </c>
      <c r="J367">
        <v>2.5299999999999998</v>
      </c>
      <c r="L367">
        <v>6.411950244839459</v>
      </c>
      <c r="M367">
        <v>5.9425731866780813</v>
      </c>
      <c r="N367">
        <v>6.6466387739201478</v>
      </c>
      <c r="O367">
        <v>5.7078846575973925</v>
      </c>
    </row>
    <row r="368" spans="1:15">
      <c r="A368" s="19">
        <v>43262</v>
      </c>
      <c r="B368">
        <v>3870</v>
      </c>
      <c r="C368">
        <v>3920</v>
      </c>
      <c r="D368">
        <v>629.29999999999995</v>
      </c>
      <c r="E368">
        <v>634.20000000000005</v>
      </c>
      <c r="F368">
        <v>6.1810154525386301</v>
      </c>
      <c r="G368">
        <v>6.1703205776203003</v>
      </c>
      <c r="H368">
        <v>0.23753208939638201</v>
      </c>
      <c r="I368">
        <v>4.5024968817922E-2</v>
      </c>
      <c r="J368">
        <v>0.17</v>
      </c>
      <c r="L368">
        <v>6.407852667016682</v>
      </c>
      <c r="M368">
        <v>5.9327884882239186</v>
      </c>
      <c r="N368">
        <v>6.6453847564130646</v>
      </c>
      <c r="O368">
        <v>5.695256398827536</v>
      </c>
    </row>
    <row r="369" spans="1:15">
      <c r="A369" s="19">
        <v>43259</v>
      </c>
      <c r="B369">
        <v>3870</v>
      </c>
      <c r="C369">
        <v>3850</v>
      </c>
      <c r="D369">
        <v>635</v>
      </c>
      <c r="E369">
        <v>634.6</v>
      </c>
      <c r="F369">
        <v>6.0668137409391703</v>
      </c>
      <c r="G369">
        <v>6.1641705521264702</v>
      </c>
      <c r="H369">
        <v>0.243081949537059</v>
      </c>
      <c r="I369">
        <v>-0.40051024509518601</v>
      </c>
      <c r="J369">
        <v>-1.6</v>
      </c>
      <c r="L369">
        <v>6.4072525016635291</v>
      </c>
      <c r="M369">
        <v>5.9210886025894114</v>
      </c>
      <c r="N369">
        <v>6.650334451200588</v>
      </c>
      <c r="O369">
        <v>5.6780066530523525</v>
      </c>
    </row>
    <row r="370" spans="1:15">
      <c r="A370" s="19">
        <v>43258</v>
      </c>
      <c r="B370">
        <v>3845</v>
      </c>
      <c r="C370">
        <v>3855</v>
      </c>
      <c r="D370">
        <v>647.20000000000005</v>
      </c>
      <c r="E370">
        <v>640.4</v>
      </c>
      <c r="F370">
        <v>6.01967520299812</v>
      </c>
      <c r="G370">
        <v>6.1590253232035703</v>
      </c>
      <c r="H370">
        <v>0.24909779308892299</v>
      </c>
      <c r="I370">
        <v>-0.55941932876019096</v>
      </c>
      <c r="J370">
        <v>-2.31</v>
      </c>
      <c r="L370">
        <v>6.4081231162924936</v>
      </c>
      <c r="M370">
        <v>5.909927530114647</v>
      </c>
      <c r="N370">
        <v>6.6572209093814161</v>
      </c>
      <c r="O370">
        <v>5.6608297370257246</v>
      </c>
    </row>
    <row r="371" spans="1:15">
      <c r="A371" s="19">
        <v>43257</v>
      </c>
      <c r="B371">
        <v>3770</v>
      </c>
      <c r="C371">
        <v>3810</v>
      </c>
      <c r="D371">
        <v>634</v>
      </c>
      <c r="E371">
        <v>640.20000000000005</v>
      </c>
      <c r="F371">
        <v>5.95126522961574</v>
      </c>
      <c r="G371">
        <v>6.1543743127749204</v>
      </c>
      <c r="H371">
        <v>0.25484644140920998</v>
      </c>
      <c r="I371">
        <v>-0.79698614599466899</v>
      </c>
      <c r="J371">
        <v>-3.41</v>
      </c>
      <c r="L371">
        <v>6.4092207541841306</v>
      </c>
      <c r="M371">
        <v>5.8995278713657102</v>
      </c>
      <c r="N371">
        <v>6.6640671955933399</v>
      </c>
      <c r="O371">
        <v>5.6446814299565009</v>
      </c>
    </row>
    <row r="372" spans="1:15">
      <c r="A372" s="19">
        <v>43256</v>
      </c>
      <c r="B372">
        <v>3725</v>
      </c>
      <c r="C372">
        <v>3780</v>
      </c>
      <c r="D372">
        <v>639.20000000000005</v>
      </c>
      <c r="E372">
        <v>634.5</v>
      </c>
      <c r="F372">
        <v>5.95744680851063</v>
      </c>
      <c r="G372">
        <v>6.1495053816077503</v>
      </c>
      <c r="H372">
        <v>0.26206647496806901</v>
      </c>
      <c r="I372">
        <v>-0.73286204624424001</v>
      </c>
      <c r="J372">
        <v>-3.22</v>
      </c>
      <c r="L372">
        <v>6.4115718565758195</v>
      </c>
      <c r="M372">
        <v>5.8874389066396811</v>
      </c>
      <c r="N372">
        <v>6.6736383315438879</v>
      </c>
      <c r="O372">
        <v>5.6253724316716127</v>
      </c>
    </row>
    <row r="373" spans="1:15">
      <c r="A373" s="19">
        <v>43255</v>
      </c>
      <c r="B373">
        <v>3705</v>
      </c>
      <c r="C373">
        <v>3680</v>
      </c>
      <c r="D373">
        <v>633.70000000000005</v>
      </c>
      <c r="E373">
        <v>639.20000000000005</v>
      </c>
      <c r="F373">
        <v>5.7571964956195201</v>
      </c>
      <c r="G373">
        <v>6.1463486348329202</v>
      </c>
      <c r="H373">
        <v>0.26576081648622102</v>
      </c>
      <c r="I373">
        <v>-1.4642946404161701</v>
      </c>
      <c r="J373">
        <v>-6.76</v>
      </c>
      <c r="L373">
        <v>6.4121094513191412</v>
      </c>
      <c r="M373">
        <v>5.8805878183466991</v>
      </c>
      <c r="N373">
        <v>6.6778702678053623</v>
      </c>
      <c r="O373">
        <v>5.614827001860478</v>
      </c>
    </row>
    <row r="374" spans="1:15">
      <c r="A374" s="19">
        <v>43252</v>
      </c>
      <c r="B374">
        <v>3680</v>
      </c>
      <c r="C374">
        <v>3650</v>
      </c>
      <c r="D374">
        <v>604.9</v>
      </c>
      <c r="E374">
        <v>623.70000000000005</v>
      </c>
      <c r="F374">
        <v>5.85217251883918</v>
      </c>
      <c r="G374">
        <v>6.1451693208393996</v>
      </c>
      <c r="H374">
        <v>0.26767441890632199</v>
      </c>
      <c r="I374">
        <v>-1.0946014310869301</v>
      </c>
      <c r="J374">
        <v>-5.01</v>
      </c>
      <c r="L374">
        <v>6.4128437397457212</v>
      </c>
      <c r="M374">
        <v>5.877494901933078</v>
      </c>
      <c r="N374">
        <v>6.6805181586520437</v>
      </c>
      <c r="O374">
        <v>5.6098204830267555</v>
      </c>
    </row>
    <row r="375" spans="1:15">
      <c r="A375" s="19">
        <v>43251</v>
      </c>
      <c r="B375">
        <v>3725</v>
      </c>
      <c r="C375">
        <v>3700</v>
      </c>
      <c r="D375">
        <v>611</v>
      </c>
      <c r="E375">
        <v>606.9</v>
      </c>
      <c r="F375">
        <v>6.0965562695666504</v>
      </c>
      <c r="G375">
        <v>6.1408063725000703</v>
      </c>
      <c r="H375">
        <v>0.27498157739370699</v>
      </c>
      <c r="I375">
        <v>-0.16092024546820199</v>
      </c>
      <c r="J375">
        <v>-0.73</v>
      </c>
      <c r="L375">
        <v>6.4157879498937778</v>
      </c>
      <c r="M375">
        <v>5.8658247951063629</v>
      </c>
      <c r="N375">
        <v>6.6907695272874843</v>
      </c>
      <c r="O375">
        <v>5.5908432177126564</v>
      </c>
    </row>
    <row r="376" spans="1:15">
      <c r="A376" s="19">
        <v>43250</v>
      </c>
      <c r="B376">
        <v>3700</v>
      </c>
      <c r="C376">
        <v>3690</v>
      </c>
      <c r="D376">
        <v>601.70000000000005</v>
      </c>
      <c r="E376">
        <v>604</v>
      </c>
      <c r="F376">
        <v>6.1092715231788004</v>
      </c>
      <c r="G376">
        <v>6.1316366212375497</v>
      </c>
      <c r="H376">
        <v>0.28748675414431901</v>
      </c>
      <c r="I376">
        <v>-7.7795229645679698E-2</v>
      </c>
      <c r="J376">
        <v>-0.37</v>
      </c>
      <c r="L376">
        <v>6.4191233753818686</v>
      </c>
      <c r="M376">
        <v>5.8441498670932308</v>
      </c>
      <c r="N376">
        <v>6.7066101295261875</v>
      </c>
      <c r="O376">
        <v>5.5566631129489119</v>
      </c>
    </row>
    <row r="377" spans="1:15">
      <c r="A377" s="19">
        <v>43249</v>
      </c>
      <c r="B377">
        <v>3695</v>
      </c>
      <c r="C377">
        <v>3715</v>
      </c>
      <c r="D377">
        <v>617</v>
      </c>
      <c r="E377">
        <v>614.70000000000005</v>
      </c>
      <c r="F377">
        <v>6.0435985033349597</v>
      </c>
      <c r="G377">
        <v>6.1223516969711902</v>
      </c>
      <c r="H377">
        <v>0.29907102312089401</v>
      </c>
      <c r="I377">
        <v>-0.26332605818652599</v>
      </c>
      <c r="J377">
        <v>-1.3</v>
      </c>
      <c r="L377">
        <v>6.4214227200920844</v>
      </c>
      <c r="M377">
        <v>5.823280673850296</v>
      </c>
      <c r="N377">
        <v>6.7204937432129785</v>
      </c>
      <c r="O377">
        <v>5.5242096507294018</v>
      </c>
    </row>
    <row r="378" spans="1:15">
      <c r="A378" s="19">
        <v>43248</v>
      </c>
      <c r="B378">
        <v>3645</v>
      </c>
      <c r="C378">
        <v>3695</v>
      </c>
      <c r="D378">
        <v>619.79999999999995</v>
      </c>
      <c r="E378">
        <v>619.6</v>
      </c>
      <c r="F378">
        <v>5.9635248547449899</v>
      </c>
      <c r="G378">
        <v>6.1130677007561998</v>
      </c>
      <c r="H378">
        <v>0.31190385845181801</v>
      </c>
      <c r="I378">
        <v>-0.479451734754056</v>
      </c>
      <c r="J378">
        <v>-2.5099999999999998</v>
      </c>
      <c r="L378">
        <v>6.4249715592080179</v>
      </c>
      <c r="M378">
        <v>5.8011638423043816</v>
      </c>
      <c r="N378">
        <v>6.736875417659836</v>
      </c>
      <c r="O378">
        <v>5.4892599838525635</v>
      </c>
    </row>
    <row r="379" spans="1:15">
      <c r="A379" s="19">
        <v>43245</v>
      </c>
      <c r="B379">
        <v>3675</v>
      </c>
      <c r="C379">
        <v>3655</v>
      </c>
      <c r="D379">
        <v>625.29999999999995</v>
      </c>
      <c r="E379">
        <v>623</v>
      </c>
      <c r="F379">
        <v>5.86677367576244</v>
      </c>
      <c r="G379">
        <v>6.1070159276699796</v>
      </c>
      <c r="H379">
        <v>0.31906768641251598</v>
      </c>
      <c r="I379">
        <v>-0.75295074411557805</v>
      </c>
      <c r="J379">
        <v>-4.09</v>
      </c>
      <c r="L379">
        <v>6.4260836140824953</v>
      </c>
      <c r="M379">
        <v>5.7879482412574639</v>
      </c>
      <c r="N379">
        <v>6.7451513004950119</v>
      </c>
      <c r="O379">
        <v>5.4688805548449473</v>
      </c>
    </row>
    <row r="380" spans="1:15">
      <c r="A380" s="19">
        <v>43244</v>
      </c>
      <c r="B380">
        <v>3710</v>
      </c>
      <c r="C380">
        <v>3690</v>
      </c>
      <c r="D380">
        <v>625.20000000000005</v>
      </c>
      <c r="E380">
        <v>622.70000000000005</v>
      </c>
      <c r="F380">
        <v>5.9258069696483</v>
      </c>
      <c r="G380">
        <v>6.1013301005213503</v>
      </c>
      <c r="H380">
        <v>0.326999172775506</v>
      </c>
      <c r="I380">
        <v>-0.53676934220731998</v>
      </c>
      <c r="J380">
        <v>-2.96</v>
      </c>
      <c r="L380">
        <v>6.428329273296856</v>
      </c>
      <c r="M380">
        <v>5.7743309277458446</v>
      </c>
      <c r="N380">
        <v>6.7553284460723626</v>
      </c>
      <c r="O380">
        <v>5.4473317549703379</v>
      </c>
    </row>
    <row r="381" spans="1:15">
      <c r="A381" s="19">
        <v>43243</v>
      </c>
      <c r="B381">
        <v>3720</v>
      </c>
      <c r="C381">
        <v>3715</v>
      </c>
      <c r="D381">
        <v>632.79999999999995</v>
      </c>
      <c r="E381">
        <v>631.6</v>
      </c>
      <c r="F381">
        <v>5.8818872704243104</v>
      </c>
      <c r="G381">
        <v>6.0938077795199304</v>
      </c>
      <c r="H381">
        <v>0.33727800824163101</v>
      </c>
      <c r="I381">
        <v>-0.62832590301528202</v>
      </c>
      <c r="J381">
        <v>-3.6</v>
      </c>
      <c r="L381">
        <v>6.4310857877615613</v>
      </c>
      <c r="M381">
        <v>5.7565297712782995</v>
      </c>
      <c r="N381">
        <v>6.7683637960031922</v>
      </c>
      <c r="O381">
        <v>5.4192517630366686</v>
      </c>
    </row>
    <row r="382" spans="1:15">
      <c r="A382" s="19">
        <v>43242</v>
      </c>
      <c r="B382">
        <v>3750</v>
      </c>
      <c r="C382">
        <v>3740</v>
      </c>
      <c r="D382">
        <v>637</v>
      </c>
      <c r="E382">
        <v>636.9</v>
      </c>
      <c r="F382">
        <v>5.87219343696027</v>
      </c>
      <c r="G382">
        <v>6.0893214566262799</v>
      </c>
      <c r="H382">
        <v>0.34226794678508199</v>
      </c>
      <c r="I382">
        <v>-0.63438023252100595</v>
      </c>
      <c r="J382">
        <v>-3.7</v>
      </c>
      <c r="L382">
        <v>6.4315894034113619</v>
      </c>
      <c r="M382">
        <v>5.7470535098411979</v>
      </c>
      <c r="N382">
        <v>6.7738573501964439</v>
      </c>
      <c r="O382">
        <v>5.4047855630561159</v>
      </c>
    </row>
    <row r="383" spans="1:15">
      <c r="A383" s="19">
        <v>43241</v>
      </c>
      <c r="B383">
        <v>3780</v>
      </c>
      <c r="C383">
        <v>3780</v>
      </c>
      <c r="D383">
        <v>644</v>
      </c>
      <c r="E383">
        <v>642.1</v>
      </c>
      <c r="F383">
        <v>5.8869334994549103</v>
      </c>
      <c r="G383">
        <v>6.0839807739078999</v>
      </c>
      <c r="H383">
        <v>0.34867931559180998</v>
      </c>
      <c r="I383">
        <v>-0.56512464502960802</v>
      </c>
      <c r="J383">
        <v>-3.35</v>
      </c>
      <c r="L383">
        <v>6.4326600894997101</v>
      </c>
      <c r="M383">
        <v>5.7353014583160897</v>
      </c>
      <c r="N383">
        <v>6.7813394050915203</v>
      </c>
      <c r="O383">
        <v>5.3866221427242795</v>
      </c>
    </row>
    <row r="384" spans="1:15">
      <c r="A384" s="19">
        <v>43238</v>
      </c>
      <c r="B384">
        <v>3785</v>
      </c>
      <c r="C384">
        <v>3795</v>
      </c>
      <c r="D384">
        <v>652.5</v>
      </c>
      <c r="E384">
        <v>646.20000000000005</v>
      </c>
      <c r="F384">
        <v>5.8727948003714001</v>
      </c>
      <c r="G384">
        <v>6.0759879850171501</v>
      </c>
      <c r="H384">
        <v>0.359798062180197</v>
      </c>
      <c r="I384">
        <v>-0.56474229853963598</v>
      </c>
      <c r="J384">
        <v>-3.46</v>
      </c>
      <c r="L384">
        <v>6.4357860471973467</v>
      </c>
      <c r="M384">
        <v>5.7161899228369535</v>
      </c>
      <c r="N384">
        <v>6.7955841093775442</v>
      </c>
      <c r="O384">
        <v>5.356391860656756</v>
      </c>
    </row>
    <row r="385" spans="1:15">
      <c r="A385" s="19">
        <v>43237</v>
      </c>
      <c r="B385">
        <v>3850</v>
      </c>
      <c r="C385">
        <v>3795</v>
      </c>
      <c r="D385">
        <v>645.9</v>
      </c>
      <c r="E385">
        <v>649.20000000000005</v>
      </c>
      <c r="F385">
        <v>5.8456561922365902</v>
      </c>
      <c r="G385">
        <v>6.0685914535913996</v>
      </c>
      <c r="H385">
        <v>0.36947115883090698</v>
      </c>
      <c r="I385">
        <v>-0.60339015922171002</v>
      </c>
      <c r="J385">
        <v>-3.81</v>
      </c>
      <c r="L385">
        <v>6.438062612422307</v>
      </c>
      <c r="M385">
        <v>5.6991202947604922</v>
      </c>
      <c r="N385">
        <v>6.8075337712532136</v>
      </c>
      <c r="O385">
        <v>5.3296491359295857</v>
      </c>
    </row>
    <row r="386" spans="1:15">
      <c r="A386" s="19">
        <v>43236</v>
      </c>
      <c r="B386">
        <v>3835</v>
      </c>
      <c r="C386">
        <v>3830</v>
      </c>
      <c r="D386">
        <v>633.5</v>
      </c>
      <c r="E386">
        <v>641.29999999999995</v>
      </c>
      <c r="F386">
        <v>5.9722438796195201</v>
      </c>
      <c r="G386">
        <v>6.0586315113134299</v>
      </c>
      <c r="H386">
        <v>0.38508520510512501</v>
      </c>
      <c r="I386">
        <v>-0.22433381118946699</v>
      </c>
      <c r="J386">
        <v>-1.45</v>
      </c>
      <c r="L386">
        <v>6.4437167164185549</v>
      </c>
      <c r="M386">
        <v>5.6735463062083049</v>
      </c>
      <c r="N386">
        <v>6.8288019215236799</v>
      </c>
      <c r="O386">
        <v>5.2884611011031799</v>
      </c>
    </row>
    <row r="387" spans="1:15">
      <c r="A387" s="19">
        <v>43235</v>
      </c>
      <c r="B387">
        <v>3875</v>
      </c>
      <c r="C387">
        <v>3855</v>
      </c>
      <c r="D387">
        <v>628.5</v>
      </c>
      <c r="E387">
        <v>635</v>
      </c>
      <c r="F387">
        <v>6.0708661417322798</v>
      </c>
      <c r="G387">
        <v>6.0461717986094401</v>
      </c>
      <c r="H387">
        <v>0.402407050067837</v>
      </c>
      <c r="I387">
        <v>6.1366576750263899E-2</v>
      </c>
      <c r="J387">
        <v>0.41</v>
      </c>
      <c r="L387">
        <v>6.4485788486772773</v>
      </c>
      <c r="M387">
        <v>5.6437647485416029</v>
      </c>
      <c r="N387">
        <v>6.8509858987451144</v>
      </c>
      <c r="O387">
        <v>5.2413576984737658</v>
      </c>
    </row>
    <row r="388" spans="1:15">
      <c r="A388" s="19">
        <v>43234</v>
      </c>
      <c r="B388">
        <v>3840</v>
      </c>
      <c r="C388">
        <v>3840</v>
      </c>
      <c r="D388">
        <v>624.6</v>
      </c>
      <c r="E388">
        <v>622.5</v>
      </c>
      <c r="F388">
        <v>6.1686746987951802</v>
      </c>
      <c r="G388">
        <v>6.0311355874536403</v>
      </c>
      <c r="H388">
        <v>0.421804813897872</v>
      </c>
      <c r="I388">
        <v>0.32607288207676799</v>
      </c>
      <c r="J388">
        <v>2.23</v>
      </c>
      <c r="L388">
        <v>6.4529404013515119</v>
      </c>
      <c r="M388">
        <v>5.6093307735557687</v>
      </c>
      <c r="N388">
        <v>6.8747452152493844</v>
      </c>
      <c r="O388">
        <v>5.1875259596578962</v>
      </c>
    </row>
    <row r="389" spans="1:15">
      <c r="A389" s="19">
        <v>43231</v>
      </c>
      <c r="B389">
        <v>3785</v>
      </c>
      <c r="C389">
        <v>3830</v>
      </c>
      <c r="D389">
        <v>616</v>
      </c>
      <c r="E389">
        <v>622.4</v>
      </c>
      <c r="F389">
        <v>6.15359897172236</v>
      </c>
      <c r="G389">
        <v>6.0159943862981802</v>
      </c>
      <c r="H389">
        <v>0.43671412649937802</v>
      </c>
      <c r="I389">
        <v>0.31509075863240799</v>
      </c>
      <c r="J389">
        <v>2.2400000000000002</v>
      </c>
      <c r="L389">
        <v>6.4527085127975585</v>
      </c>
      <c r="M389">
        <v>5.5792802597988018</v>
      </c>
      <c r="N389">
        <v>6.889422639296936</v>
      </c>
      <c r="O389">
        <v>5.1425661332994244</v>
      </c>
    </row>
    <row r="390" spans="1:15">
      <c r="A390" s="19">
        <v>43230</v>
      </c>
      <c r="B390">
        <v>3815</v>
      </c>
      <c r="C390">
        <v>3795</v>
      </c>
      <c r="D390">
        <v>622.20000000000005</v>
      </c>
      <c r="E390">
        <v>619</v>
      </c>
      <c r="F390">
        <v>6.1308562197091998</v>
      </c>
      <c r="G390">
        <v>6.0022115622088297</v>
      </c>
      <c r="H390">
        <v>0.44831191200491699</v>
      </c>
      <c r="I390">
        <v>0.28695346711858</v>
      </c>
      <c r="J390">
        <v>2.1</v>
      </c>
      <c r="L390">
        <v>6.4505234742137469</v>
      </c>
      <c r="M390">
        <v>5.5538996502039124</v>
      </c>
      <c r="N390">
        <v>6.8988353862186633</v>
      </c>
      <c r="O390">
        <v>5.105587738198996</v>
      </c>
    </row>
    <row r="391" spans="1:15">
      <c r="A391" s="19">
        <v>43229</v>
      </c>
      <c r="B391">
        <v>3850</v>
      </c>
      <c r="C391">
        <v>3815</v>
      </c>
      <c r="D391">
        <v>609.9</v>
      </c>
      <c r="E391">
        <v>615.20000000000005</v>
      </c>
      <c r="F391">
        <v>6.2012353706111796</v>
      </c>
      <c r="G391">
        <v>5.9887255475381096</v>
      </c>
      <c r="H391">
        <v>0.45931724848355499</v>
      </c>
      <c r="I391">
        <v>0.46266458264885801</v>
      </c>
      <c r="J391">
        <v>3.43</v>
      </c>
      <c r="L391">
        <v>6.4480427960216646</v>
      </c>
      <c r="M391">
        <v>5.5294082990545546</v>
      </c>
      <c r="N391">
        <v>6.9073600445052197</v>
      </c>
      <c r="O391">
        <v>5.0700910505709995</v>
      </c>
    </row>
    <row r="392" spans="1:15">
      <c r="A392" s="19">
        <v>43228</v>
      </c>
      <c r="B392">
        <v>3890</v>
      </c>
      <c r="C392">
        <v>3880</v>
      </c>
      <c r="D392">
        <v>603.29999999999995</v>
      </c>
      <c r="E392">
        <v>611.4</v>
      </c>
      <c r="F392">
        <v>6.34609093882891</v>
      </c>
      <c r="G392">
        <v>5.9725502790498597</v>
      </c>
      <c r="H392">
        <v>0.47271432901349703</v>
      </c>
      <c r="I392">
        <v>0.79020380143456903</v>
      </c>
      <c r="J392">
        <v>5.89</v>
      </c>
      <c r="L392">
        <v>6.4452646080633569</v>
      </c>
      <c r="M392">
        <v>5.4998359500363625</v>
      </c>
      <c r="N392">
        <v>6.9179789370768541</v>
      </c>
      <c r="O392">
        <v>5.0271216210228653</v>
      </c>
    </row>
    <row r="393" spans="1:15">
      <c r="A393" s="19">
        <v>43227</v>
      </c>
      <c r="B393">
        <v>3850</v>
      </c>
      <c r="C393">
        <v>3945</v>
      </c>
      <c r="D393">
        <v>610.5</v>
      </c>
      <c r="E393">
        <v>607.6</v>
      </c>
      <c r="F393">
        <v>6.4927583936800497</v>
      </c>
      <c r="G393">
        <v>5.9530274533499297</v>
      </c>
      <c r="H393">
        <v>0.48690667688398198</v>
      </c>
      <c r="I393">
        <v>1.1084895031306501</v>
      </c>
      <c r="J393">
        <v>8.31</v>
      </c>
      <c r="L393">
        <v>6.4399341302339117</v>
      </c>
      <c r="M393">
        <v>5.4661207764659476</v>
      </c>
      <c r="N393">
        <v>6.9268408071178937</v>
      </c>
      <c r="O393">
        <v>4.9792140995819656</v>
      </c>
    </row>
    <row r="394" spans="1:15">
      <c r="A394" s="19">
        <v>43222</v>
      </c>
      <c r="B394">
        <v>3800</v>
      </c>
      <c r="C394">
        <v>3800</v>
      </c>
      <c r="D394">
        <v>615</v>
      </c>
      <c r="E394">
        <v>608.5</v>
      </c>
      <c r="F394">
        <v>6.2448644207066497</v>
      </c>
      <c r="G394">
        <v>5.9312088234223301</v>
      </c>
      <c r="H394">
        <v>0.49875206864834498</v>
      </c>
      <c r="I394">
        <v>0.62888079468892399</v>
      </c>
      <c r="J394">
        <v>5.0199999999999996</v>
      </c>
      <c r="L394">
        <v>6.4299608920706754</v>
      </c>
      <c r="M394">
        <v>5.4324567547739848</v>
      </c>
      <c r="N394">
        <v>6.9287129607190199</v>
      </c>
      <c r="O394">
        <v>4.9337046861256404</v>
      </c>
    </row>
    <row r="395" spans="1:15">
      <c r="A395" s="19">
        <v>43221</v>
      </c>
      <c r="B395">
        <v>3705</v>
      </c>
      <c r="C395">
        <v>3770</v>
      </c>
      <c r="D395">
        <v>616.20000000000005</v>
      </c>
      <c r="E395">
        <v>610.9</v>
      </c>
      <c r="F395">
        <v>6.1712227860533604</v>
      </c>
      <c r="G395">
        <v>5.9120608451793704</v>
      </c>
      <c r="H395">
        <v>0.51368630516543001</v>
      </c>
      <c r="I395">
        <v>0.50451401617670599</v>
      </c>
      <c r="J395">
        <v>4.2</v>
      </c>
      <c r="L395">
        <v>6.4257471503448</v>
      </c>
      <c r="M395">
        <v>5.3983745400139407</v>
      </c>
      <c r="N395">
        <v>6.9394334555102306</v>
      </c>
      <c r="O395">
        <v>4.8846882348485101</v>
      </c>
    </row>
    <row r="396" spans="1:15">
      <c r="A396" s="19">
        <v>43217</v>
      </c>
      <c r="B396">
        <v>3780</v>
      </c>
      <c r="C396">
        <v>3755</v>
      </c>
      <c r="D396">
        <v>625</v>
      </c>
      <c r="E396">
        <v>622.6</v>
      </c>
      <c r="F396">
        <v>6.03115965306778</v>
      </c>
      <c r="G396">
        <v>5.8948230193458002</v>
      </c>
      <c r="H396">
        <v>0.526238917827485</v>
      </c>
      <c r="I396">
        <v>0.25907744392001097</v>
      </c>
      <c r="J396">
        <v>2.2599999999999998</v>
      </c>
      <c r="L396">
        <v>6.4210619371732855</v>
      </c>
      <c r="M396">
        <v>5.3685841015183149</v>
      </c>
      <c r="N396">
        <v>6.94730085500077</v>
      </c>
      <c r="O396">
        <v>4.8423451836908304</v>
      </c>
    </row>
    <row r="397" spans="1:15">
      <c r="A397" s="19">
        <v>43216</v>
      </c>
      <c r="B397">
        <v>3695</v>
      </c>
      <c r="C397">
        <v>3760</v>
      </c>
      <c r="D397">
        <v>630.29999999999995</v>
      </c>
      <c r="E397">
        <v>626.6</v>
      </c>
      <c r="F397">
        <v>6.0006383657835896</v>
      </c>
      <c r="G397">
        <v>5.8786003195249696</v>
      </c>
      <c r="H397">
        <v>0.54035074284265505</v>
      </c>
      <c r="I397">
        <v>0.22584968721724299</v>
      </c>
      <c r="J397">
        <v>2.0299999999999998</v>
      </c>
      <c r="L397">
        <v>6.4189510623676247</v>
      </c>
      <c r="M397">
        <v>5.3382495766823146</v>
      </c>
      <c r="N397">
        <v>6.9593018052102797</v>
      </c>
      <c r="O397">
        <v>4.7978988338396595</v>
      </c>
    </row>
    <row r="398" spans="1:15">
      <c r="A398" s="19">
        <v>43215</v>
      </c>
      <c r="B398">
        <v>3730</v>
      </c>
      <c r="C398">
        <v>3715</v>
      </c>
      <c r="D398">
        <v>621</v>
      </c>
      <c r="E398">
        <v>629.29999999999995</v>
      </c>
      <c r="F398">
        <v>5.9033847131733603</v>
      </c>
      <c r="G398">
        <v>5.8652023421752197</v>
      </c>
      <c r="H398">
        <v>0.54953819550074401</v>
      </c>
      <c r="I398">
        <v>6.9480831925339298E-2</v>
      </c>
      <c r="J398">
        <v>0.65</v>
      </c>
      <c r="L398">
        <v>6.4147405376759634</v>
      </c>
      <c r="M398">
        <v>5.3156641466744761</v>
      </c>
      <c r="N398">
        <v>6.964278733176708</v>
      </c>
      <c r="O398">
        <v>4.7661259511737315</v>
      </c>
    </row>
    <row r="399" spans="1:15">
      <c r="A399" s="19">
        <v>43214</v>
      </c>
      <c r="B399">
        <v>3720</v>
      </c>
      <c r="C399">
        <v>3750</v>
      </c>
      <c r="D399">
        <v>615</v>
      </c>
      <c r="E399">
        <v>626.29999999999995</v>
      </c>
      <c r="F399">
        <v>5.9875459045186004</v>
      </c>
      <c r="G399">
        <v>5.8531384650096996</v>
      </c>
      <c r="H399">
        <v>0.55842700618307095</v>
      </c>
      <c r="I399">
        <v>0.24068936140390301</v>
      </c>
      <c r="J399">
        <v>2.2400000000000002</v>
      </c>
      <c r="L399">
        <v>6.4115654711927705</v>
      </c>
      <c r="M399">
        <v>5.2947114588266286</v>
      </c>
      <c r="N399">
        <v>6.9699924773758415</v>
      </c>
      <c r="O399">
        <v>4.7362844526435577</v>
      </c>
    </row>
    <row r="400" spans="1:15">
      <c r="A400" s="19">
        <v>43213</v>
      </c>
      <c r="B400">
        <v>3695</v>
      </c>
      <c r="C400">
        <v>3690</v>
      </c>
      <c r="D400">
        <v>593.70000000000005</v>
      </c>
      <c r="E400">
        <v>607.1</v>
      </c>
      <c r="F400">
        <v>6.0780760994893699</v>
      </c>
      <c r="G400">
        <v>5.8415407144672997</v>
      </c>
      <c r="H400">
        <v>0.56451452756442899</v>
      </c>
      <c r="I400">
        <v>0.41900672785621701</v>
      </c>
      <c r="J400">
        <v>3.89</v>
      </c>
      <c r="L400">
        <v>6.4060552420317283</v>
      </c>
      <c r="M400">
        <v>5.2770261869028712</v>
      </c>
      <c r="N400">
        <v>6.9705697695961577</v>
      </c>
      <c r="O400">
        <v>4.7125116593384417</v>
      </c>
    </row>
    <row r="401" spans="1:15">
      <c r="A401" s="19">
        <v>43210</v>
      </c>
      <c r="B401">
        <v>3700</v>
      </c>
      <c r="C401">
        <v>3725</v>
      </c>
      <c r="D401">
        <v>586.20000000000005</v>
      </c>
      <c r="E401">
        <v>587.5</v>
      </c>
      <c r="F401">
        <v>6.3404255319148897</v>
      </c>
      <c r="G401">
        <v>5.8300287445259098</v>
      </c>
      <c r="H401">
        <v>0.56836393164003896</v>
      </c>
      <c r="I401">
        <v>0.89801051575564705</v>
      </c>
      <c r="J401">
        <v>8.0500000000000007</v>
      </c>
      <c r="L401">
        <v>6.3983926761659484</v>
      </c>
      <c r="M401">
        <v>5.2616648128858712</v>
      </c>
      <c r="N401">
        <v>6.9667566078059879</v>
      </c>
      <c r="O401">
        <v>4.6933008812458317</v>
      </c>
    </row>
    <row r="402" spans="1:15">
      <c r="A402" s="19">
        <v>43209</v>
      </c>
      <c r="B402">
        <v>3755</v>
      </c>
      <c r="C402">
        <v>3695</v>
      </c>
      <c r="D402">
        <v>587.29999999999995</v>
      </c>
      <c r="E402">
        <v>586.6</v>
      </c>
      <c r="F402">
        <v>6.2990112512785501</v>
      </c>
      <c r="G402">
        <v>5.8163125316607598</v>
      </c>
      <c r="H402">
        <v>0.56829401675812596</v>
      </c>
      <c r="I402">
        <v>0.84938201948945002</v>
      </c>
      <c r="J402">
        <v>7.66</v>
      </c>
      <c r="L402">
        <v>6.3846065484188861</v>
      </c>
      <c r="M402">
        <v>5.2480185149026335</v>
      </c>
      <c r="N402">
        <v>6.9529005651770115</v>
      </c>
      <c r="O402">
        <v>4.6797244981445081</v>
      </c>
    </row>
    <row r="403" spans="1:15">
      <c r="A403" s="19">
        <v>43208</v>
      </c>
      <c r="B403">
        <v>3720</v>
      </c>
      <c r="C403">
        <v>3755</v>
      </c>
      <c r="D403">
        <v>582</v>
      </c>
      <c r="E403">
        <v>584.5</v>
      </c>
      <c r="F403">
        <v>6.4242942686056397</v>
      </c>
      <c r="G403">
        <v>5.8003509312209998</v>
      </c>
      <c r="H403">
        <v>0.57131600734508903</v>
      </c>
      <c r="I403">
        <v>1.0921159732318899</v>
      </c>
      <c r="J403">
        <v>9.7100000000000009</v>
      </c>
      <c r="L403">
        <v>6.3716669385660891</v>
      </c>
      <c r="M403">
        <v>5.2290349238759104</v>
      </c>
      <c r="N403">
        <v>6.9429829459111776</v>
      </c>
      <c r="O403">
        <v>4.6577189165308219</v>
      </c>
    </row>
    <row r="404" spans="1:15">
      <c r="A404" s="19">
        <v>43207</v>
      </c>
      <c r="B404">
        <v>3750</v>
      </c>
      <c r="C404">
        <v>3700</v>
      </c>
      <c r="D404">
        <v>590.4</v>
      </c>
      <c r="E404">
        <v>584.1</v>
      </c>
      <c r="F404">
        <v>6.33453175826057</v>
      </c>
      <c r="G404">
        <v>5.7824142051415404</v>
      </c>
      <c r="H404">
        <v>0.57256153671588395</v>
      </c>
      <c r="I404">
        <v>0.96429382295897403</v>
      </c>
      <c r="J404">
        <v>8.7200000000000006</v>
      </c>
      <c r="L404">
        <v>6.354975741857424</v>
      </c>
      <c r="M404">
        <v>5.2098526684256568</v>
      </c>
      <c r="N404">
        <v>6.9275372785733085</v>
      </c>
      <c r="O404">
        <v>4.6372911317097723</v>
      </c>
    </row>
    <row r="405" spans="1:15">
      <c r="A405" s="19">
        <v>43206</v>
      </c>
      <c r="B405">
        <v>3635</v>
      </c>
      <c r="C405">
        <v>3755</v>
      </c>
      <c r="D405">
        <v>593</v>
      </c>
      <c r="E405">
        <v>593.6</v>
      </c>
      <c r="F405">
        <v>6.3258086253369203</v>
      </c>
      <c r="G405">
        <v>5.7657155886795897</v>
      </c>
      <c r="H405">
        <v>0.57447537405233995</v>
      </c>
      <c r="I405">
        <v>0.97496439700530102</v>
      </c>
      <c r="J405">
        <v>8.85</v>
      </c>
      <c r="L405">
        <v>6.3401909627319295</v>
      </c>
      <c r="M405">
        <v>5.1912402146272498</v>
      </c>
      <c r="N405">
        <v>6.9146663367842693</v>
      </c>
      <c r="O405">
        <v>4.61676484057491</v>
      </c>
    </row>
    <row r="406" spans="1:15">
      <c r="A406" s="19">
        <v>43203</v>
      </c>
      <c r="B406">
        <v>3650</v>
      </c>
      <c r="C406">
        <v>3610</v>
      </c>
      <c r="D406">
        <v>582.29999999999995</v>
      </c>
      <c r="E406">
        <v>592.4</v>
      </c>
      <c r="F406">
        <v>6.0938555030384798</v>
      </c>
      <c r="G406">
        <v>5.7488080082947901</v>
      </c>
      <c r="H406">
        <v>0.57639953471766303</v>
      </c>
      <c r="I406">
        <v>0.598625560849399</v>
      </c>
      <c r="J406">
        <v>5.66</v>
      </c>
      <c r="L406">
        <v>6.3252075430124535</v>
      </c>
      <c r="M406">
        <v>5.1724084735771267</v>
      </c>
      <c r="N406">
        <v>6.9016070777301159</v>
      </c>
      <c r="O406">
        <v>4.5960089388594643</v>
      </c>
    </row>
    <row r="407" spans="1:15">
      <c r="A407" s="19">
        <v>43202</v>
      </c>
      <c r="B407">
        <v>3575</v>
      </c>
      <c r="C407">
        <v>3630</v>
      </c>
      <c r="D407">
        <v>574</v>
      </c>
      <c r="E407">
        <v>575.29999999999995</v>
      </c>
      <c r="F407">
        <v>6.3097514340344096</v>
      </c>
      <c r="G407">
        <v>5.7371453950806099</v>
      </c>
      <c r="H407">
        <v>0.57814646687158</v>
      </c>
      <c r="I407">
        <v>0.99041691295329903</v>
      </c>
      <c r="J407">
        <v>9.07</v>
      </c>
      <c r="L407">
        <v>6.3152918619521898</v>
      </c>
      <c r="M407">
        <v>5.1589989282090301</v>
      </c>
      <c r="N407">
        <v>6.8934383288237697</v>
      </c>
      <c r="O407">
        <v>4.5808524613374502</v>
      </c>
    </row>
    <row r="408" spans="1:15">
      <c r="A408" s="19">
        <v>43201</v>
      </c>
      <c r="B408">
        <v>3560</v>
      </c>
      <c r="C408">
        <v>3450</v>
      </c>
      <c r="D408">
        <v>575.4</v>
      </c>
      <c r="E408">
        <v>575.70000000000005</v>
      </c>
      <c r="F408">
        <v>5.9927045336112501</v>
      </c>
      <c r="G408">
        <v>5.7228848019271297</v>
      </c>
      <c r="H408">
        <v>0.57703631419797397</v>
      </c>
      <c r="I408">
        <v>0.467595756185883</v>
      </c>
      <c r="J408">
        <v>4.5</v>
      </c>
      <c r="L408">
        <v>6.2999211161251036</v>
      </c>
      <c r="M408">
        <v>5.1458484877291557</v>
      </c>
      <c r="N408">
        <v>6.8769574303230776</v>
      </c>
      <c r="O408">
        <v>4.5688121735311817</v>
      </c>
    </row>
    <row r="409" spans="1:15">
      <c r="A409" s="19">
        <v>43200</v>
      </c>
      <c r="B409">
        <v>3560</v>
      </c>
      <c r="C409">
        <v>3535</v>
      </c>
      <c r="D409">
        <v>564.9</v>
      </c>
      <c r="E409">
        <v>570.4</v>
      </c>
      <c r="F409">
        <v>6.1974053295932601</v>
      </c>
      <c r="G409">
        <v>5.71640487289962</v>
      </c>
      <c r="H409">
        <v>0.57669862494636703</v>
      </c>
      <c r="I409">
        <v>0.83405861551754801</v>
      </c>
      <c r="J409">
        <v>7.76</v>
      </c>
      <c r="L409">
        <v>6.293103497845987</v>
      </c>
      <c r="M409">
        <v>5.1397062479532529</v>
      </c>
      <c r="N409">
        <v>6.869802122792354</v>
      </c>
      <c r="O409">
        <v>4.5630076230068859</v>
      </c>
    </row>
    <row r="410" spans="1:15">
      <c r="A410" s="19">
        <v>43199</v>
      </c>
      <c r="B410">
        <v>3585</v>
      </c>
      <c r="C410">
        <v>3565</v>
      </c>
      <c r="D410">
        <v>556.5</v>
      </c>
      <c r="E410">
        <v>566.79999999999995</v>
      </c>
      <c r="F410">
        <v>6.2896965419901196</v>
      </c>
      <c r="G410">
        <v>5.7073097760233003</v>
      </c>
      <c r="H410">
        <v>0.57441548618112603</v>
      </c>
      <c r="I410">
        <v>1.01387720209056</v>
      </c>
      <c r="J410">
        <v>9.26</v>
      </c>
      <c r="L410">
        <v>6.281725262204426</v>
      </c>
      <c r="M410">
        <v>5.1328942898421746</v>
      </c>
      <c r="N410">
        <v>6.8561407483855525</v>
      </c>
      <c r="O410">
        <v>4.558478803661048</v>
      </c>
    </row>
    <row r="411" spans="1:15">
      <c r="A411" s="19">
        <v>43196</v>
      </c>
      <c r="B411">
        <v>3610</v>
      </c>
      <c r="C411">
        <v>3560</v>
      </c>
      <c r="D411">
        <v>554.9</v>
      </c>
      <c r="E411">
        <v>557</v>
      </c>
      <c r="F411">
        <v>6.3913824057450599</v>
      </c>
      <c r="G411">
        <v>5.6993357241473896</v>
      </c>
      <c r="H411">
        <v>0.57041258177132703</v>
      </c>
      <c r="I411">
        <v>1.21323880943969</v>
      </c>
      <c r="J411">
        <v>10.83</v>
      </c>
      <c r="L411">
        <v>6.2697483059187169</v>
      </c>
      <c r="M411">
        <v>5.1289231423760624</v>
      </c>
      <c r="N411">
        <v>6.8401608876900433</v>
      </c>
      <c r="O411">
        <v>4.558510560604736</v>
      </c>
    </row>
    <row r="412" spans="1:15">
      <c r="A412" s="19">
        <v>43195</v>
      </c>
      <c r="B412">
        <v>3630</v>
      </c>
      <c r="C412">
        <v>3605</v>
      </c>
      <c r="D412">
        <v>551.4</v>
      </c>
      <c r="E412">
        <v>558.20000000000005</v>
      </c>
      <c r="F412">
        <v>6.4582586886420597</v>
      </c>
      <c r="G412">
        <v>5.6875636197544104</v>
      </c>
      <c r="H412">
        <v>0.56509461382848902</v>
      </c>
      <c r="I412">
        <v>1.3638336838254901</v>
      </c>
      <c r="J412">
        <v>11.93</v>
      </c>
      <c r="L412">
        <v>6.2526582335828991</v>
      </c>
      <c r="M412">
        <v>5.1224690059259217</v>
      </c>
      <c r="N412">
        <v>6.8177528474113887</v>
      </c>
      <c r="O412">
        <v>4.5573743920974321</v>
      </c>
    </row>
    <row r="413" spans="1:15">
      <c r="A413" s="19">
        <v>43194</v>
      </c>
      <c r="B413">
        <v>3585</v>
      </c>
      <c r="C413">
        <v>3590</v>
      </c>
      <c r="D413">
        <v>550</v>
      </c>
      <c r="E413">
        <v>550.79999999999995</v>
      </c>
      <c r="F413">
        <v>6.5177923021060202</v>
      </c>
      <c r="G413">
        <v>5.6740840598876403</v>
      </c>
      <c r="H413">
        <v>0.55856991815592205</v>
      </c>
      <c r="I413">
        <v>1.51047919838545</v>
      </c>
      <c r="J413">
        <v>12.94</v>
      </c>
      <c r="L413">
        <v>6.2326539780435626</v>
      </c>
      <c r="M413">
        <v>5.115514141731718</v>
      </c>
      <c r="N413">
        <v>6.7912238961994849</v>
      </c>
      <c r="O413">
        <v>4.5569442235757958</v>
      </c>
    </row>
    <row r="414" spans="1:15">
      <c r="A414" s="19">
        <v>43193</v>
      </c>
      <c r="B414">
        <v>3500</v>
      </c>
      <c r="C414">
        <v>3560</v>
      </c>
      <c r="D414">
        <v>551</v>
      </c>
      <c r="E414">
        <v>553.79999999999995</v>
      </c>
      <c r="F414">
        <v>6.42831347056699</v>
      </c>
      <c r="G414">
        <v>5.6622401896689301</v>
      </c>
      <c r="H414">
        <v>0.54990483630551801</v>
      </c>
      <c r="I414">
        <v>1.3931015519791401</v>
      </c>
      <c r="J414">
        <v>11.92</v>
      </c>
      <c r="L414">
        <v>6.212145025974448</v>
      </c>
      <c r="M414">
        <v>5.1123353533634122</v>
      </c>
      <c r="N414">
        <v>6.7620498622799659</v>
      </c>
      <c r="O414">
        <v>4.5624305170578943</v>
      </c>
    </row>
    <row r="415" spans="1:15">
      <c r="A415" s="19">
        <v>43192</v>
      </c>
      <c r="B415">
        <v>3580</v>
      </c>
      <c r="C415">
        <v>3540</v>
      </c>
      <c r="D415">
        <v>561.5</v>
      </c>
      <c r="E415">
        <v>557.5</v>
      </c>
      <c r="F415">
        <v>6.3497757847533602</v>
      </c>
      <c r="G415">
        <v>5.6558737480403103</v>
      </c>
      <c r="H415">
        <v>0.54372818961942804</v>
      </c>
      <c r="I415">
        <v>1.2761928661427799</v>
      </c>
      <c r="J415">
        <v>10.93</v>
      </c>
      <c r="L415">
        <v>6.1996019376597387</v>
      </c>
      <c r="M415">
        <v>5.1121455584208819</v>
      </c>
      <c r="N415">
        <v>6.7433301272791661</v>
      </c>
      <c r="O415">
        <v>4.5684173688014544</v>
      </c>
    </row>
    <row r="416" spans="1:15">
      <c r="A416" s="19">
        <v>43189</v>
      </c>
      <c r="B416">
        <v>3540</v>
      </c>
      <c r="C416">
        <v>3570</v>
      </c>
      <c r="D416">
        <v>566.4</v>
      </c>
      <c r="E416">
        <v>562</v>
      </c>
      <c r="F416">
        <v>6.3523131672597799</v>
      </c>
      <c r="G416">
        <v>5.6515765775062796</v>
      </c>
      <c r="H416">
        <v>0.53948417338767096</v>
      </c>
      <c r="I416">
        <v>1.2989011065018701</v>
      </c>
      <c r="J416">
        <v>11.03</v>
      </c>
      <c r="L416">
        <v>6.1910607508939508</v>
      </c>
      <c r="M416">
        <v>5.1120924041186084</v>
      </c>
      <c r="N416">
        <v>6.730544924281622</v>
      </c>
      <c r="O416">
        <v>4.5726082307309373</v>
      </c>
    </row>
    <row r="417" spans="1:15">
      <c r="A417" s="19">
        <v>43188</v>
      </c>
      <c r="B417">
        <v>3475</v>
      </c>
      <c r="C417">
        <v>3520</v>
      </c>
      <c r="D417">
        <v>574.20000000000005</v>
      </c>
      <c r="E417">
        <v>564.9</v>
      </c>
      <c r="F417">
        <v>6.23119136130288</v>
      </c>
      <c r="G417">
        <v>5.6466244195895499</v>
      </c>
      <c r="H417">
        <v>0.53471265467462104</v>
      </c>
      <c r="I417">
        <v>1.0932356595694199</v>
      </c>
      <c r="J417">
        <v>9.3800000000000008</v>
      </c>
      <c r="L417">
        <v>6.1813370742641709</v>
      </c>
      <c r="M417">
        <v>5.1119117649149288</v>
      </c>
      <c r="N417">
        <v>6.7160497289387919</v>
      </c>
      <c r="O417">
        <v>4.5771991102403078</v>
      </c>
    </row>
    <row r="418" spans="1:15">
      <c r="A418" s="19">
        <v>43187</v>
      </c>
      <c r="B418">
        <v>3505</v>
      </c>
      <c r="C418">
        <v>3460</v>
      </c>
      <c r="D418">
        <v>561.5</v>
      </c>
      <c r="E418">
        <v>568.79999999999995</v>
      </c>
      <c r="F418">
        <v>6.0829817158930997</v>
      </c>
      <c r="G418">
        <v>5.6411078995331296</v>
      </c>
      <c r="H418">
        <v>0.53077305891882898</v>
      </c>
      <c r="I418">
        <v>0.832509881454913</v>
      </c>
      <c r="J418">
        <v>7.26</v>
      </c>
      <c r="L418">
        <v>6.1718809584519585</v>
      </c>
      <c r="M418">
        <v>5.1103348406143008</v>
      </c>
      <c r="N418">
        <v>6.7026540173707874</v>
      </c>
      <c r="O418">
        <v>4.5795617816954719</v>
      </c>
    </row>
    <row r="419" spans="1:15">
      <c r="A419" s="19">
        <v>43186</v>
      </c>
      <c r="B419">
        <v>3610</v>
      </c>
      <c r="C419">
        <v>3625</v>
      </c>
      <c r="D419">
        <v>570.20000000000005</v>
      </c>
      <c r="E419">
        <v>576.20000000000005</v>
      </c>
      <c r="F419">
        <v>6.2912183269698003</v>
      </c>
      <c r="G419">
        <v>5.6391853751932901</v>
      </c>
      <c r="H419">
        <v>0.52942848915394602</v>
      </c>
      <c r="I419">
        <v>1.2315788914542301</v>
      </c>
      <c r="J419">
        <v>10.36</v>
      </c>
      <c r="L419">
        <v>6.1686138643472361</v>
      </c>
      <c r="M419">
        <v>5.1097568860393441</v>
      </c>
      <c r="N419">
        <v>6.6980423535011822</v>
      </c>
      <c r="O419">
        <v>4.5803283968853981</v>
      </c>
    </row>
    <row r="420" spans="1:15">
      <c r="A420" s="19">
        <v>43185</v>
      </c>
      <c r="B420">
        <v>3560</v>
      </c>
      <c r="C420">
        <v>3585</v>
      </c>
      <c r="D420">
        <v>554.1</v>
      </c>
      <c r="E420">
        <v>564.5</v>
      </c>
      <c r="F420">
        <v>6.3507528786536698</v>
      </c>
      <c r="G420">
        <v>5.6332940959661899</v>
      </c>
      <c r="H420">
        <v>0.52457624746875597</v>
      </c>
      <c r="I420">
        <v>1.3676920869929601</v>
      </c>
      <c r="J420">
        <v>11.3</v>
      </c>
      <c r="L420">
        <v>6.1578703434349462</v>
      </c>
      <c r="M420">
        <v>5.1087178484974336</v>
      </c>
      <c r="N420">
        <v>6.6824465909037016</v>
      </c>
      <c r="O420">
        <v>4.5841416010286782</v>
      </c>
    </row>
    <row r="421" spans="1:15">
      <c r="A421" s="19">
        <v>43182</v>
      </c>
      <c r="B421">
        <v>3710</v>
      </c>
      <c r="C421">
        <v>3585</v>
      </c>
      <c r="D421">
        <v>570</v>
      </c>
      <c r="E421">
        <v>564.1</v>
      </c>
      <c r="F421">
        <v>6.3552561602552702</v>
      </c>
      <c r="G421">
        <v>5.6266754055046402</v>
      </c>
      <c r="H421">
        <v>0.51857948946988996</v>
      </c>
      <c r="I421">
        <v>1.4049548228284401</v>
      </c>
      <c r="J421">
        <v>11.46</v>
      </c>
      <c r="L421">
        <v>6.1452548949745305</v>
      </c>
      <c r="M421">
        <v>5.1080959160347499</v>
      </c>
      <c r="N421">
        <v>6.6638343844444199</v>
      </c>
      <c r="O421">
        <v>4.5895164265648605</v>
      </c>
    </row>
    <row r="422" spans="1:15">
      <c r="A422" s="19">
        <v>43181</v>
      </c>
      <c r="B422">
        <v>3700</v>
      </c>
      <c r="C422">
        <v>3755</v>
      </c>
      <c r="D422">
        <v>575.20000000000005</v>
      </c>
      <c r="E422">
        <v>581.70000000000005</v>
      </c>
      <c r="F422">
        <v>6.4552174660477899</v>
      </c>
      <c r="G422">
        <v>5.6203634483329399</v>
      </c>
      <c r="H422">
        <v>0.51251864873933795</v>
      </c>
      <c r="I422">
        <v>1.6289241762585001</v>
      </c>
      <c r="J422">
        <v>12.93</v>
      </c>
      <c r="L422">
        <v>6.1328820970722777</v>
      </c>
      <c r="M422">
        <v>5.107844799593602</v>
      </c>
      <c r="N422">
        <v>6.6454007458116156</v>
      </c>
      <c r="O422">
        <v>4.5953261508542642</v>
      </c>
    </row>
    <row r="423" spans="1:15">
      <c r="A423" s="19">
        <v>43179</v>
      </c>
      <c r="B423">
        <v>3785</v>
      </c>
      <c r="C423">
        <v>3705</v>
      </c>
      <c r="D423">
        <v>575.9</v>
      </c>
      <c r="E423">
        <v>580.4</v>
      </c>
      <c r="F423">
        <v>6.3835286009648504</v>
      </c>
      <c r="G423">
        <v>5.6143298028688102</v>
      </c>
      <c r="H423">
        <v>0.50526715698987701</v>
      </c>
      <c r="I423">
        <v>1.52236057193688</v>
      </c>
      <c r="J423">
        <v>12.05</v>
      </c>
      <c r="L423">
        <v>6.1195969598586872</v>
      </c>
      <c r="M423">
        <v>5.1090626458789332</v>
      </c>
      <c r="N423">
        <v>6.6248641168485642</v>
      </c>
      <c r="O423">
        <v>4.6037954888890562</v>
      </c>
    </row>
    <row r="424" spans="1:15">
      <c r="A424" s="19">
        <v>43178</v>
      </c>
      <c r="B424">
        <v>3810</v>
      </c>
      <c r="C424">
        <v>3780</v>
      </c>
      <c r="D424">
        <v>580.1</v>
      </c>
      <c r="E424">
        <v>579.5</v>
      </c>
      <c r="F424">
        <v>6.5228645383951598</v>
      </c>
      <c r="G424">
        <v>5.6137768228973002</v>
      </c>
      <c r="H424">
        <v>0.50444704885700298</v>
      </c>
      <c r="I424">
        <v>1.8021469598399</v>
      </c>
      <c r="J424">
        <v>13.94</v>
      </c>
      <c r="L424">
        <v>6.1182238717543029</v>
      </c>
      <c r="M424">
        <v>5.1093297740402974</v>
      </c>
      <c r="N424">
        <v>6.6226709206113057</v>
      </c>
      <c r="O424">
        <v>4.6048827251832947</v>
      </c>
    </row>
    <row r="425" spans="1:15">
      <c r="A425" s="19">
        <v>43175</v>
      </c>
      <c r="B425">
        <v>3800</v>
      </c>
      <c r="C425">
        <v>3820</v>
      </c>
      <c r="D425">
        <v>591</v>
      </c>
      <c r="E425">
        <v>582.6</v>
      </c>
      <c r="F425">
        <v>6.5568142808101602</v>
      </c>
      <c r="G425">
        <v>5.6078321709693997</v>
      </c>
      <c r="H425">
        <v>0.49625949121770802</v>
      </c>
      <c r="I425">
        <v>1.9122699447262199</v>
      </c>
      <c r="J425">
        <v>14.47</v>
      </c>
      <c r="L425">
        <v>6.1040916621871073</v>
      </c>
      <c r="M425">
        <v>5.111572679751692</v>
      </c>
      <c r="N425">
        <v>6.6003511534048158</v>
      </c>
      <c r="O425">
        <v>4.6153131885339835</v>
      </c>
    </row>
    <row r="426" spans="1:15">
      <c r="A426" s="19">
        <v>43174</v>
      </c>
      <c r="B426">
        <v>3725</v>
      </c>
      <c r="C426">
        <v>3750</v>
      </c>
      <c r="D426">
        <v>592.1</v>
      </c>
      <c r="E426">
        <v>586</v>
      </c>
      <c r="F426">
        <v>6.3993174061433402</v>
      </c>
      <c r="G426">
        <v>5.5998299524536899</v>
      </c>
      <c r="H426">
        <v>0.48561732391830997</v>
      </c>
      <c r="I426">
        <v>1.64633223386432</v>
      </c>
      <c r="J426">
        <v>12.49</v>
      </c>
      <c r="L426">
        <v>6.0854472763720002</v>
      </c>
      <c r="M426">
        <v>5.1142126285353795</v>
      </c>
      <c r="N426">
        <v>6.5710646002903097</v>
      </c>
      <c r="O426">
        <v>4.62859530461707</v>
      </c>
    </row>
    <row r="427" spans="1:15">
      <c r="A427" s="19">
        <v>43173</v>
      </c>
      <c r="B427">
        <v>3750</v>
      </c>
      <c r="C427">
        <v>3695</v>
      </c>
      <c r="D427">
        <v>589.29999999999995</v>
      </c>
      <c r="E427">
        <v>593.29999999999995</v>
      </c>
      <c r="F427">
        <v>6.2278779706725098</v>
      </c>
      <c r="G427">
        <v>5.5921778218210596</v>
      </c>
      <c r="H427">
        <v>0.47741145572577998</v>
      </c>
      <c r="I427">
        <v>1.3315561267482201</v>
      </c>
      <c r="J427">
        <v>10.210000000000001</v>
      </c>
      <c r="L427">
        <v>6.0695892775468394</v>
      </c>
      <c r="M427">
        <v>5.1147663660952798</v>
      </c>
      <c r="N427">
        <v>6.5470007332726192</v>
      </c>
      <c r="O427">
        <v>4.6373549103695</v>
      </c>
    </row>
    <row r="428" spans="1:15">
      <c r="A428" s="19">
        <v>43172</v>
      </c>
      <c r="B428">
        <v>3660</v>
      </c>
      <c r="C428">
        <v>3735</v>
      </c>
      <c r="D428">
        <v>587.1</v>
      </c>
      <c r="E428">
        <v>594.9</v>
      </c>
      <c r="F428">
        <v>6.2783661119515797</v>
      </c>
      <c r="G428">
        <v>5.5879190481501597</v>
      </c>
      <c r="H428">
        <v>0.47312708787438301</v>
      </c>
      <c r="I428">
        <v>1.4593268521221101</v>
      </c>
      <c r="J428">
        <v>11</v>
      </c>
      <c r="L428">
        <v>6.0610461360245429</v>
      </c>
      <c r="M428">
        <v>5.1147919602757765</v>
      </c>
      <c r="N428">
        <v>6.5341732238989261</v>
      </c>
      <c r="O428">
        <v>4.6416648724013934</v>
      </c>
    </row>
    <row r="429" spans="1:15">
      <c r="A429" s="19">
        <v>43171</v>
      </c>
      <c r="B429">
        <v>3860</v>
      </c>
      <c r="C429">
        <v>3800</v>
      </c>
      <c r="D429">
        <v>587</v>
      </c>
      <c r="E429">
        <v>593</v>
      </c>
      <c r="F429">
        <v>6.4080944350758804</v>
      </c>
      <c r="G429">
        <v>5.58242299399849</v>
      </c>
      <c r="H429">
        <v>0.46743455328963901</v>
      </c>
      <c r="I429">
        <v>1.7663894020384401</v>
      </c>
      <c r="J429">
        <v>12.88</v>
      </c>
      <c r="L429">
        <v>6.0498575472881289</v>
      </c>
      <c r="M429">
        <v>5.1149884407088511</v>
      </c>
      <c r="N429">
        <v>6.5172921005777678</v>
      </c>
      <c r="O429">
        <v>4.6475538874192122</v>
      </c>
    </row>
    <row r="430" spans="1:15">
      <c r="A430" s="19">
        <v>43168</v>
      </c>
      <c r="B430">
        <v>3885</v>
      </c>
      <c r="C430">
        <v>3840</v>
      </c>
      <c r="D430">
        <v>587.70000000000005</v>
      </c>
      <c r="E430">
        <v>578.1</v>
      </c>
      <c r="F430">
        <v>6.6424494032174302</v>
      </c>
      <c r="G430">
        <v>5.5733081036994303</v>
      </c>
      <c r="H430">
        <v>0.45781138370975299</v>
      </c>
      <c r="I430">
        <v>2.33533139970111</v>
      </c>
      <c r="J430">
        <v>16.100000000000001</v>
      </c>
      <c r="L430">
        <v>6.0311194874091836</v>
      </c>
      <c r="M430">
        <v>5.115496719989677</v>
      </c>
      <c r="N430">
        <v>6.488930871118936</v>
      </c>
      <c r="O430">
        <v>4.6576853362799246</v>
      </c>
    </row>
    <row r="431" spans="1:15">
      <c r="A431" s="19">
        <v>43167</v>
      </c>
      <c r="B431">
        <v>3905</v>
      </c>
      <c r="C431">
        <v>3850</v>
      </c>
      <c r="D431">
        <v>590.29999999999995</v>
      </c>
      <c r="E431">
        <v>584.5</v>
      </c>
      <c r="F431">
        <v>6.5868263473053803</v>
      </c>
      <c r="G431">
        <v>5.5596332254073104</v>
      </c>
      <c r="H431">
        <v>0.44066844530188598</v>
      </c>
      <c r="I431">
        <v>2.3309885989099599</v>
      </c>
      <c r="J431">
        <v>15.59</v>
      </c>
      <c r="L431">
        <v>6.0003016707091961</v>
      </c>
      <c r="M431">
        <v>5.1189647801054248</v>
      </c>
      <c r="N431">
        <v>6.4409701160110826</v>
      </c>
      <c r="O431">
        <v>4.6782963348035382</v>
      </c>
    </row>
    <row r="432" spans="1:15">
      <c r="A432" s="19">
        <v>43166</v>
      </c>
      <c r="B432">
        <v>3810</v>
      </c>
      <c r="C432">
        <v>3850</v>
      </c>
      <c r="D432">
        <v>584.6</v>
      </c>
      <c r="E432">
        <v>585.4</v>
      </c>
      <c r="F432">
        <v>6.5766996925179297</v>
      </c>
      <c r="G432">
        <v>5.5459585339738497</v>
      </c>
      <c r="H432">
        <v>0.42418554014128002</v>
      </c>
      <c r="I432">
        <v>2.4299299740410301</v>
      </c>
      <c r="J432">
        <v>15.67</v>
      </c>
      <c r="L432">
        <v>5.9701440741151295</v>
      </c>
      <c r="M432">
        <v>5.12177299383257</v>
      </c>
      <c r="N432">
        <v>6.3943296142564101</v>
      </c>
      <c r="O432">
        <v>4.6975874536912894</v>
      </c>
    </row>
    <row r="433" spans="1:15">
      <c r="A433" s="19">
        <v>43165</v>
      </c>
      <c r="B433">
        <v>3770</v>
      </c>
      <c r="C433">
        <v>3830</v>
      </c>
      <c r="D433">
        <v>593.70000000000005</v>
      </c>
      <c r="E433">
        <v>588.20000000000005</v>
      </c>
      <c r="F433">
        <v>6.5113906834410002</v>
      </c>
      <c r="G433">
        <v>5.5330752115509698</v>
      </c>
      <c r="H433">
        <v>0.40701001321475699</v>
      </c>
      <c r="I433">
        <v>2.4036643820205601</v>
      </c>
      <c r="J433">
        <v>15.02</v>
      </c>
      <c r="L433">
        <v>5.9400852247657268</v>
      </c>
      <c r="M433">
        <v>5.1260651983362129</v>
      </c>
      <c r="N433">
        <v>6.3470952379804837</v>
      </c>
      <c r="O433">
        <v>4.7190551851214559</v>
      </c>
    </row>
    <row r="434" spans="1:15">
      <c r="A434" s="19">
        <v>43164</v>
      </c>
      <c r="B434">
        <v>3725</v>
      </c>
      <c r="C434">
        <v>3750</v>
      </c>
      <c r="D434">
        <v>581.79999999999995</v>
      </c>
      <c r="E434">
        <v>586.20000000000005</v>
      </c>
      <c r="F434">
        <v>6.3971340839303901</v>
      </c>
      <c r="G434">
        <v>5.5218084992252399</v>
      </c>
      <c r="H434">
        <v>0.39115958965179398</v>
      </c>
      <c r="I434">
        <v>2.23777099644767</v>
      </c>
      <c r="J434">
        <v>13.68</v>
      </c>
      <c r="L434">
        <v>5.912968088877034</v>
      </c>
      <c r="M434">
        <v>5.1306489095734458</v>
      </c>
      <c r="N434">
        <v>6.304127678528828</v>
      </c>
      <c r="O434">
        <v>4.7394893199216517</v>
      </c>
    </row>
    <row r="435" spans="1:15">
      <c r="A435" s="19">
        <v>43161</v>
      </c>
      <c r="B435">
        <v>3590</v>
      </c>
      <c r="C435">
        <v>3705</v>
      </c>
      <c r="D435">
        <v>583.20000000000005</v>
      </c>
      <c r="E435">
        <v>587.4</v>
      </c>
      <c r="F435">
        <v>6.3074565883554596</v>
      </c>
      <c r="G435">
        <v>5.51117563341358</v>
      </c>
      <c r="H435">
        <v>0.37783285382095</v>
      </c>
      <c r="I435">
        <v>2.1074952770497402</v>
      </c>
      <c r="J435">
        <v>12.62</v>
      </c>
      <c r="L435">
        <v>5.8890084872345296</v>
      </c>
      <c r="M435">
        <v>5.1333427795926303</v>
      </c>
      <c r="N435">
        <v>6.2668413410554802</v>
      </c>
      <c r="O435">
        <v>4.7555099257716797</v>
      </c>
    </row>
    <row r="436" spans="1:15">
      <c r="A436" s="19">
        <v>43160</v>
      </c>
      <c r="B436">
        <v>3690</v>
      </c>
      <c r="C436">
        <v>3630</v>
      </c>
      <c r="D436">
        <v>603</v>
      </c>
      <c r="E436">
        <v>593.20000000000005</v>
      </c>
      <c r="F436">
        <v>6.1193526635198898</v>
      </c>
      <c r="G436">
        <v>5.5022989110147904</v>
      </c>
      <c r="H436">
        <v>0.36667677086216099</v>
      </c>
      <c r="I436">
        <v>1.6828274969647701</v>
      </c>
      <c r="J436">
        <v>10.08</v>
      </c>
      <c r="L436">
        <v>5.8689756818769512</v>
      </c>
      <c r="M436">
        <v>5.1356221401526296</v>
      </c>
      <c r="N436">
        <v>6.235652452739112</v>
      </c>
      <c r="O436">
        <v>4.7689453692904689</v>
      </c>
    </row>
    <row r="437" spans="1:15">
      <c r="A437" s="19">
        <v>43159</v>
      </c>
      <c r="B437">
        <v>3680</v>
      </c>
      <c r="C437">
        <v>3665</v>
      </c>
      <c r="D437">
        <v>621.1</v>
      </c>
      <c r="E437">
        <v>612</v>
      </c>
      <c r="F437">
        <v>5.98856209150326</v>
      </c>
      <c r="G437">
        <v>5.4949147994414798</v>
      </c>
      <c r="H437">
        <v>0.359685869134793</v>
      </c>
      <c r="I437">
        <v>1.37244004956111</v>
      </c>
      <c r="J437">
        <v>8.24</v>
      </c>
      <c r="L437">
        <v>5.854600668576273</v>
      </c>
      <c r="M437">
        <v>5.1352289303066865</v>
      </c>
      <c r="N437">
        <v>6.2142865377110654</v>
      </c>
      <c r="O437">
        <v>4.7755430611718941</v>
      </c>
    </row>
    <row r="438" spans="1:15">
      <c r="A438" s="19">
        <v>43158</v>
      </c>
      <c r="B438">
        <v>3680</v>
      </c>
      <c r="C438">
        <v>3680</v>
      </c>
      <c r="D438">
        <v>632</v>
      </c>
      <c r="E438">
        <v>624.20000000000005</v>
      </c>
      <c r="F438">
        <v>5.8955462992630503</v>
      </c>
      <c r="G438">
        <v>5.4888293870739604</v>
      </c>
      <c r="H438">
        <v>0.35511437004881302</v>
      </c>
      <c r="I438">
        <v>1.14531245844312</v>
      </c>
      <c r="J438">
        <v>6.9</v>
      </c>
      <c r="L438">
        <v>5.8439437571227737</v>
      </c>
      <c r="M438">
        <v>5.1337150170251471</v>
      </c>
      <c r="N438">
        <v>6.1990581271715861</v>
      </c>
      <c r="O438">
        <v>4.7786006469763347</v>
      </c>
    </row>
    <row r="439" spans="1:15">
      <c r="A439" s="19">
        <v>43157</v>
      </c>
      <c r="B439">
        <v>3530</v>
      </c>
      <c r="C439">
        <v>3570</v>
      </c>
      <c r="D439">
        <v>625</v>
      </c>
      <c r="E439">
        <v>622.6</v>
      </c>
      <c r="F439">
        <v>5.7340186315451298</v>
      </c>
      <c r="G439">
        <v>5.4838863287414998</v>
      </c>
      <c r="H439">
        <v>0.351985039556865</v>
      </c>
      <c r="I439">
        <v>0.710633335776233</v>
      </c>
      <c r="J439">
        <v>4.3600000000000003</v>
      </c>
      <c r="L439">
        <v>5.8358713682983652</v>
      </c>
      <c r="M439">
        <v>5.1319012891846345</v>
      </c>
      <c r="N439">
        <v>6.1878564078552296</v>
      </c>
      <c r="O439">
        <v>4.7799162496277701</v>
      </c>
    </row>
    <row r="440" spans="1:15">
      <c r="A440" s="19">
        <v>43154</v>
      </c>
      <c r="B440">
        <v>3565</v>
      </c>
      <c r="C440">
        <v>3530</v>
      </c>
      <c r="D440">
        <v>615.79999999999995</v>
      </c>
      <c r="E440">
        <v>621.20000000000005</v>
      </c>
      <c r="F440">
        <v>5.68254990341274</v>
      </c>
      <c r="G440">
        <v>5.4800802621001798</v>
      </c>
      <c r="H440">
        <v>0.35080108643959201</v>
      </c>
      <c r="I440">
        <v>0.57716366664511898</v>
      </c>
      <c r="J440">
        <v>3.56</v>
      </c>
      <c r="L440">
        <v>5.8308813485397719</v>
      </c>
      <c r="M440">
        <v>5.1292791756605878</v>
      </c>
      <c r="N440">
        <v>6.181682434979364</v>
      </c>
      <c r="O440">
        <v>4.7784780892209957</v>
      </c>
    </row>
    <row r="441" spans="1:15">
      <c r="A441" s="19">
        <v>43153</v>
      </c>
      <c r="B441">
        <v>3600</v>
      </c>
      <c r="C441">
        <v>3555</v>
      </c>
      <c r="D441">
        <v>617</v>
      </c>
      <c r="E441">
        <v>616.9</v>
      </c>
      <c r="F441">
        <v>5.7626843896903797</v>
      </c>
      <c r="G441">
        <v>5.4773929623909696</v>
      </c>
      <c r="H441">
        <v>0.35001086544642901</v>
      </c>
      <c r="I441">
        <v>0.81509305985552505</v>
      </c>
      <c r="J441">
        <v>4.95</v>
      </c>
      <c r="L441">
        <v>5.827403827837399</v>
      </c>
      <c r="M441">
        <v>5.1273820969445403</v>
      </c>
      <c r="N441">
        <v>6.1774146932838274</v>
      </c>
      <c r="O441">
        <v>4.7773712314981118</v>
      </c>
    </row>
    <row r="442" spans="1:15">
      <c r="A442" s="19">
        <v>43152</v>
      </c>
      <c r="B442">
        <v>3605</v>
      </c>
      <c r="C442">
        <v>3600</v>
      </c>
      <c r="D442">
        <v>625</v>
      </c>
      <c r="E442">
        <v>618.9</v>
      </c>
      <c r="F442">
        <v>5.8167716917111001</v>
      </c>
      <c r="G442">
        <v>5.47377869853457</v>
      </c>
      <c r="H442">
        <v>0.34844228184973902</v>
      </c>
      <c r="I442">
        <v>0.98436100049544195</v>
      </c>
      <c r="J442">
        <v>5.9</v>
      </c>
      <c r="L442">
        <v>5.8222209803843086</v>
      </c>
      <c r="M442">
        <v>5.1253364166848314</v>
      </c>
      <c r="N442">
        <v>6.170663262234048</v>
      </c>
      <c r="O442">
        <v>4.776894134835092</v>
      </c>
    </row>
    <row r="443" spans="1:15">
      <c r="A443" s="19">
        <v>43151</v>
      </c>
      <c r="B443">
        <v>3605</v>
      </c>
      <c r="C443">
        <v>3580</v>
      </c>
      <c r="D443">
        <v>631</v>
      </c>
      <c r="E443">
        <v>625.9</v>
      </c>
      <c r="F443">
        <v>5.7197635405016696</v>
      </c>
      <c r="G443">
        <v>5.4666945823487003</v>
      </c>
      <c r="H443">
        <v>0.34679401279352101</v>
      </c>
      <c r="I443">
        <v>0.72973854454531195</v>
      </c>
      <c r="J443">
        <v>4.42</v>
      </c>
      <c r="L443">
        <v>5.8134885951422213</v>
      </c>
      <c r="M443">
        <v>5.1199005695551794</v>
      </c>
      <c r="N443">
        <v>6.1602826079357422</v>
      </c>
      <c r="O443">
        <v>4.7731065567616584</v>
      </c>
    </row>
    <row r="444" spans="1:15">
      <c r="A444" s="19">
        <v>43150</v>
      </c>
      <c r="B444">
        <v>3575</v>
      </c>
      <c r="C444">
        <v>3600</v>
      </c>
      <c r="D444">
        <v>629</v>
      </c>
      <c r="E444">
        <v>633.70000000000005</v>
      </c>
      <c r="F444">
        <v>5.6809215717216297</v>
      </c>
      <c r="G444">
        <v>5.4610218127705004</v>
      </c>
      <c r="H444">
        <v>0.34608702203680197</v>
      </c>
      <c r="I444">
        <v>0.63538863045763905</v>
      </c>
      <c r="J444">
        <v>3.87</v>
      </c>
      <c r="L444">
        <v>5.8071088348073019</v>
      </c>
      <c r="M444">
        <v>5.1149347907336988</v>
      </c>
      <c r="N444">
        <v>6.1531958568441043</v>
      </c>
      <c r="O444">
        <v>4.7688477686968964</v>
      </c>
    </row>
    <row r="445" spans="1:15">
      <c r="A445" s="19">
        <v>43147</v>
      </c>
      <c r="B445">
        <v>3500</v>
      </c>
      <c r="C445">
        <v>3525</v>
      </c>
      <c r="D445">
        <v>622</v>
      </c>
      <c r="E445">
        <v>621.6</v>
      </c>
      <c r="F445">
        <v>5.6708494208494198</v>
      </c>
      <c r="G445">
        <v>5.4561265042293199</v>
      </c>
      <c r="H445">
        <v>0.34553814821043599</v>
      </c>
      <c r="I445">
        <v>0.62141594996720195</v>
      </c>
      <c r="J445">
        <v>3.79</v>
      </c>
      <c r="L445">
        <v>5.8016646524397562</v>
      </c>
      <c r="M445">
        <v>5.1105883560188836</v>
      </c>
      <c r="N445">
        <v>6.1472028006501915</v>
      </c>
      <c r="O445">
        <v>4.7650502078084482</v>
      </c>
    </row>
    <row r="446" spans="1:15">
      <c r="A446" s="19">
        <v>43146</v>
      </c>
      <c r="B446">
        <v>3470</v>
      </c>
      <c r="C446">
        <v>3455</v>
      </c>
      <c r="D446">
        <v>620</v>
      </c>
      <c r="E446">
        <v>618.5</v>
      </c>
      <c r="F446">
        <v>5.5860953920776</v>
      </c>
      <c r="G446">
        <v>5.4515230320211296</v>
      </c>
      <c r="H446">
        <v>0.34494619099498403</v>
      </c>
      <c r="I446">
        <v>0.39012565892755202</v>
      </c>
      <c r="J446">
        <v>2.41</v>
      </c>
      <c r="L446">
        <v>5.7964692230161141</v>
      </c>
      <c r="M446">
        <v>5.1065768410261452</v>
      </c>
      <c r="N446">
        <v>6.1414154140110977</v>
      </c>
      <c r="O446">
        <v>4.7616306500311616</v>
      </c>
    </row>
    <row r="447" spans="1:15">
      <c r="A447" s="19">
        <v>43145</v>
      </c>
      <c r="B447">
        <v>3470</v>
      </c>
      <c r="C447">
        <v>3445</v>
      </c>
      <c r="D447">
        <v>609.29999999999995</v>
      </c>
      <c r="E447">
        <v>602.20000000000005</v>
      </c>
      <c r="F447">
        <v>5.72069080039853</v>
      </c>
      <c r="G447">
        <v>5.4511658251399799</v>
      </c>
      <c r="H447">
        <v>0.344820498949581</v>
      </c>
      <c r="I447">
        <v>0.78163849330186796</v>
      </c>
      <c r="J447">
        <v>4.71</v>
      </c>
      <c r="L447">
        <v>5.7959863240895606</v>
      </c>
      <c r="M447">
        <v>5.1063453261903993</v>
      </c>
      <c r="N447">
        <v>6.1408068230391422</v>
      </c>
      <c r="O447">
        <v>4.7615248272408177</v>
      </c>
    </row>
    <row r="448" spans="1:15">
      <c r="A448" s="19">
        <v>43144</v>
      </c>
      <c r="B448">
        <v>3440</v>
      </c>
      <c r="C448">
        <v>3450</v>
      </c>
      <c r="D448">
        <v>625.5</v>
      </c>
      <c r="E448">
        <v>608.6</v>
      </c>
      <c r="F448">
        <v>5.6687479461058103</v>
      </c>
      <c r="G448">
        <v>5.4499849509208396</v>
      </c>
      <c r="H448">
        <v>0.34404624200335099</v>
      </c>
      <c r="I448">
        <v>0.63585346525261099</v>
      </c>
      <c r="J448">
        <v>3.86</v>
      </c>
      <c r="L448">
        <v>5.7940311929241908</v>
      </c>
      <c r="M448">
        <v>5.1059387089174884</v>
      </c>
      <c r="N448">
        <v>6.138077434927542</v>
      </c>
      <c r="O448">
        <v>4.7618924669141371</v>
      </c>
    </row>
    <row r="449" spans="1:15">
      <c r="A449" s="19">
        <v>43140</v>
      </c>
      <c r="B449">
        <v>3350</v>
      </c>
      <c r="C449">
        <v>3410</v>
      </c>
      <c r="D449">
        <v>612.5</v>
      </c>
      <c r="E449">
        <v>617.20000000000005</v>
      </c>
      <c r="F449">
        <v>5.5249513933895003</v>
      </c>
      <c r="G449">
        <v>5.4488297774411798</v>
      </c>
      <c r="H449">
        <v>0.34345472150304202</v>
      </c>
      <c r="I449">
        <v>0.22163508370240301</v>
      </c>
      <c r="J449">
        <v>1.38</v>
      </c>
      <c r="L449">
        <v>5.7922844989442215</v>
      </c>
      <c r="M449">
        <v>5.1053750559381381</v>
      </c>
      <c r="N449">
        <v>6.1357392204472641</v>
      </c>
      <c r="O449">
        <v>4.7619203344350955</v>
      </c>
    </row>
    <row r="450" spans="1:15">
      <c r="A450" s="19">
        <v>43139</v>
      </c>
      <c r="B450">
        <v>3470</v>
      </c>
      <c r="C450">
        <v>3420</v>
      </c>
      <c r="D450">
        <v>632.4</v>
      </c>
      <c r="E450">
        <v>632.29999999999995</v>
      </c>
      <c r="F450">
        <v>5.4088249248774298</v>
      </c>
      <c r="G450">
        <v>5.4483125322139996</v>
      </c>
      <c r="H450">
        <v>0.34336889316289998</v>
      </c>
      <c r="I450">
        <v>-0.11500053768072099</v>
      </c>
      <c r="J450">
        <v>-0.73</v>
      </c>
      <c r="L450">
        <v>5.7916814253768996</v>
      </c>
      <c r="M450">
        <v>5.1049436390510996</v>
      </c>
      <c r="N450">
        <v>6.1350503185397995</v>
      </c>
      <c r="O450">
        <v>4.7615747458881996</v>
      </c>
    </row>
    <row r="451" spans="1:15">
      <c r="A451" s="19">
        <v>43138</v>
      </c>
      <c r="B451">
        <v>3500</v>
      </c>
      <c r="C451">
        <v>3415</v>
      </c>
      <c r="D451">
        <v>654.9</v>
      </c>
      <c r="E451">
        <v>630.9</v>
      </c>
      <c r="F451">
        <v>5.41290220320177</v>
      </c>
      <c r="G451">
        <v>5.4495800542391901</v>
      </c>
      <c r="H451">
        <v>0.34339624817710901</v>
      </c>
      <c r="I451">
        <v>-0.106809119878623</v>
      </c>
      <c r="J451">
        <v>-0.68</v>
      </c>
      <c r="L451">
        <v>5.7929763024162995</v>
      </c>
      <c r="M451">
        <v>5.1061838060620808</v>
      </c>
      <c r="N451">
        <v>6.1363725505934079</v>
      </c>
      <c r="O451">
        <v>4.7627875578849723</v>
      </c>
    </row>
    <row r="452" spans="1:15">
      <c r="A452" s="19">
        <v>43137</v>
      </c>
      <c r="B452">
        <v>3500</v>
      </c>
      <c r="C452">
        <v>3395</v>
      </c>
      <c r="D452">
        <v>628.70000000000005</v>
      </c>
      <c r="E452">
        <v>634.9</v>
      </c>
      <c r="F452">
        <v>5.3472987872105797</v>
      </c>
      <c r="G452">
        <v>5.4502879576927201</v>
      </c>
      <c r="H452">
        <v>0.34337463203830898</v>
      </c>
      <c r="I452">
        <v>-0.29993237960179298</v>
      </c>
      <c r="J452">
        <v>-1.93</v>
      </c>
      <c r="L452">
        <v>5.7936625897310288</v>
      </c>
      <c r="M452">
        <v>5.1069133256544115</v>
      </c>
      <c r="N452">
        <v>6.1370372217693383</v>
      </c>
      <c r="O452">
        <v>4.7635386936161019</v>
      </c>
    </row>
    <row r="453" spans="1:15">
      <c r="A453" s="19">
        <v>43136</v>
      </c>
      <c r="B453">
        <v>3580</v>
      </c>
      <c r="C453">
        <v>3600</v>
      </c>
      <c r="D453">
        <v>653.20000000000005</v>
      </c>
      <c r="E453">
        <v>653.4</v>
      </c>
      <c r="F453">
        <v>5.5096418732782304</v>
      </c>
      <c r="G453">
        <v>5.4529133112844699</v>
      </c>
      <c r="H453">
        <v>0.34332989322198199</v>
      </c>
      <c r="I453">
        <v>0.16523047690777601</v>
      </c>
      <c r="J453">
        <v>1.03</v>
      </c>
      <c r="L453">
        <v>5.7962432045064523</v>
      </c>
      <c r="M453">
        <v>5.1095834180624875</v>
      </c>
      <c r="N453">
        <v>6.1395730977284337</v>
      </c>
      <c r="O453">
        <v>4.766253524840506</v>
      </c>
    </row>
    <row r="454" spans="1:15">
      <c r="A454" s="19">
        <v>43133</v>
      </c>
      <c r="B454">
        <v>3625</v>
      </c>
      <c r="C454">
        <v>3620</v>
      </c>
      <c r="D454">
        <v>679.7</v>
      </c>
      <c r="E454">
        <v>665.4</v>
      </c>
      <c r="F454">
        <v>5.4403366396152597</v>
      </c>
      <c r="G454">
        <v>5.4572213891886596</v>
      </c>
      <c r="H454">
        <v>0.34603121725598401</v>
      </c>
      <c r="I454">
        <v>-4.8795451772509699E-2</v>
      </c>
      <c r="J454">
        <v>-0.31</v>
      </c>
      <c r="L454">
        <v>5.8032526064446435</v>
      </c>
      <c r="M454">
        <v>5.1111901719326758</v>
      </c>
      <c r="N454">
        <v>6.1492838237006273</v>
      </c>
      <c r="O454">
        <v>4.7651589546766919</v>
      </c>
    </row>
    <row r="455" spans="1:15">
      <c r="A455" s="19">
        <v>43132</v>
      </c>
      <c r="B455">
        <v>3610</v>
      </c>
      <c r="C455">
        <v>3625</v>
      </c>
      <c r="D455">
        <v>673.6</v>
      </c>
      <c r="E455">
        <v>676.1</v>
      </c>
      <c r="F455">
        <v>5.36163289454222</v>
      </c>
      <c r="G455">
        <v>5.4625261157579104</v>
      </c>
      <c r="H455">
        <v>0.348770461092127</v>
      </c>
      <c r="I455">
        <v>-0.28928258689039499</v>
      </c>
      <c r="J455">
        <v>-1.88</v>
      </c>
      <c r="L455">
        <v>5.8112965768500375</v>
      </c>
      <c r="M455">
        <v>5.1137556546657832</v>
      </c>
      <c r="N455">
        <v>6.1600670379421647</v>
      </c>
      <c r="O455">
        <v>4.764985193573656</v>
      </c>
    </row>
    <row r="456" spans="1:15">
      <c r="A456" s="19">
        <v>43131</v>
      </c>
      <c r="B456">
        <v>3695</v>
      </c>
      <c r="C456">
        <v>3645</v>
      </c>
      <c r="D456">
        <v>669.8</v>
      </c>
      <c r="E456">
        <v>657.3</v>
      </c>
      <c r="F456">
        <v>5.5454130534002699</v>
      </c>
      <c r="G456">
        <v>5.4676700395106597</v>
      </c>
      <c r="H456">
        <v>0.35008698472335997</v>
      </c>
      <c r="I456">
        <v>0.222067706833037</v>
      </c>
      <c r="J456">
        <v>1.4</v>
      </c>
      <c r="L456">
        <v>5.8177570242340195</v>
      </c>
      <c r="M456">
        <v>5.1175830547872998</v>
      </c>
      <c r="N456">
        <v>6.1678440089573794</v>
      </c>
      <c r="O456">
        <v>4.7674960700639399</v>
      </c>
    </row>
    <row r="457" spans="1:15">
      <c r="A457" s="19">
        <v>43130</v>
      </c>
      <c r="B457">
        <v>3655</v>
      </c>
      <c r="C457">
        <v>3695</v>
      </c>
      <c r="D457">
        <v>684.3</v>
      </c>
      <c r="E457">
        <v>675.3</v>
      </c>
      <c r="F457">
        <v>5.4716422330815897</v>
      </c>
      <c r="G457">
        <v>5.4690744548272701</v>
      </c>
      <c r="H457">
        <v>0.35060693108930302</v>
      </c>
      <c r="I457">
        <v>7.3238091624170101E-3</v>
      </c>
      <c r="J457">
        <v>0.05</v>
      </c>
      <c r="L457">
        <v>5.8196813859165735</v>
      </c>
      <c r="M457">
        <v>5.1184675237379667</v>
      </c>
      <c r="N457">
        <v>6.170288317005876</v>
      </c>
      <c r="O457">
        <v>4.7678605926486641</v>
      </c>
    </row>
    <row r="458" spans="1:15">
      <c r="A458" s="19">
        <v>43129</v>
      </c>
      <c r="B458">
        <v>3650</v>
      </c>
      <c r="C458">
        <v>3605</v>
      </c>
      <c r="D458">
        <v>677.7</v>
      </c>
      <c r="E458">
        <v>681.8</v>
      </c>
      <c r="F458">
        <v>5.2874743326488698</v>
      </c>
      <c r="G458">
        <v>5.4705141883752102</v>
      </c>
      <c r="H458">
        <v>0.35083614919195899</v>
      </c>
      <c r="I458">
        <v>-0.52172461745437704</v>
      </c>
      <c r="J458">
        <v>-3.46</v>
      </c>
      <c r="L458">
        <v>5.8213503375671696</v>
      </c>
      <c r="M458">
        <v>5.1196780391832508</v>
      </c>
      <c r="N458">
        <v>6.1721864867591281</v>
      </c>
      <c r="O458">
        <v>4.7688418899912923</v>
      </c>
    </row>
    <row r="459" spans="1:15">
      <c r="A459" s="19">
        <v>43126</v>
      </c>
      <c r="B459">
        <v>3565</v>
      </c>
      <c r="C459">
        <v>3620</v>
      </c>
      <c r="D459">
        <v>695</v>
      </c>
      <c r="E459">
        <v>680.7</v>
      </c>
      <c r="F459">
        <v>5.3180549434405702</v>
      </c>
      <c r="G459">
        <v>5.4760951550968304</v>
      </c>
      <c r="H459">
        <v>0.351209078640209</v>
      </c>
      <c r="I459">
        <v>-0.44998897029697899</v>
      </c>
      <c r="J459">
        <v>-2.97</v>
      </c>
      <c r="L459">
        <v>5.8273042337370393</v>
      </c>
      <c r="M459">
        <v>5.1248860764566215</v>
      </c>
      <c r="N459">
        <v>6.1785133123772482</v>
      </c>
      <c r="O459">
        <v>4.7736769978164126</v>
      </c>
    </row>
    <row r="460" spans="1:15">
      <c r="A460" s="19">
        <v>43125</v>
      </c>
      <c r="B460">
        <v>3555</v>
      </c>
      <c r="C460">
        <v>3540</v>
      </c>
      <c r="D460">
        <v>691.8</v>
      </c>
      <c r="E460">
        <v>694.3</v>
      </c>
      <c r="F460">
        <v>5.0986605213884397</v>
      </c>
      <c r="G460">
        <v>5.4802953014851798</v>
      </c>
      <c r="H460">
        <v>0.35117756743204098</v>
      </c>
      <c r="I460">
        <v>-1.0867288104061199</v>
      </c>
      <c r="J460">
        <v>-7.49</v>
      </c>
      <c r="L460">
        <v>5.8314728689172206</v>
      </c>
      <c r="M460">
        <v>5.1291177340531391</v>
      </c>
      <c r="N460">
        <v>6.1826504363492614</v>
      </c>
      <c r="O460">
        <v>4.7779401666210983</v>
      </c>
    </row>
    <row r="461" spans="1:15">
      <c r="A461" s="19">
        <v>43124</v>
      </c>
      <c r="B461">
        <v>3590</v>
      </c>
      <c r="C461">
        <v>3535</v>
      </c>
      <c r="D461">
        <v>710.6</v>
      </c>
      <c r="E461">
        <v>701.7</v>
      </c>
      <c r="F461">
        <v>5.0377654268205703</v>
      </c>
      <c r="G461">
        <v>5.4899084076173397</v>
      </c>
      <c r="H461">
        <v>0.35046649837252802</v>
      </c>
      <c r="I461">
        <v>-1.29011755159593</v>
      </c>
      <c r="J461">
        <v>-8.98</v>
      </c>
      <c r="L461">
        <v>5.8403749059898677</v>
      </c>
      <c r="M461">
        <v>5.1394419092448116</v>
      </c>
      <c r="N461">
        <v>6.1908414043623958</v>
      </c>
      <c r="O461">
        <v>4.7889754108722835</v>
      </c>
    </row>
    <row r="462" spans="1:15">
      <c r="A462" s="19">
        <v>43123</v>
      </c>
      <c r="B462">
        <v>3590</v>
      </c>
      <c r="C462">
        <v>3565</v>
      </c>
      <c r="D462">
        <v>713.1</v>
      </c>
      <c r="E462">
        <v>721.2</v>
      </c>
      <c r="F462">
        <v>4.9431503050471397</v>
      </c>
      <c r="G462">
        <v>5.50017105857098</v>
      </c>
      <c r="H462">
        <v>0.34833923642838399</v>
      </c>
      <c r="I462">
        <v>-1.59907554266673</v>
      </c>
      <c r="J462">
        <v>-11.27</v>
      </c>
      <c r="L462">
        <v>5.8485102949993637</v>
      </c>
      <c r="M462">
        <v>5.1518318221425963</v>
      </c>
      <c r="N462">
        <v>6.1968495314277483</v>
      </c>
      <c r="O462">
        <v>4.8034925857142117</v>
      </c>
    </row>
    <row r="463" spans="1:15">
      <c r="A463" s="19">
        <v>43122</v>
      </c>
      <c r="B463">
        <v>3645</v>
      </c>
      <c r="C463">
        <v>3575</v>
      </c>
      <c r="D463">
        <v>711.9</v>
      </c>
      <c r="E463">
        <v>710.3</v>
      </c>
      <c r="F463">
        <v>5.0330846121357098</v>
      </c>
      <c r="G463">
        <v>5.5107329760723101</v>
      </c>
      <c r="H463">
        <v>0.34326201747583202</v>
      </c>
      <c r="I463">
        <v>-1.39149786349497</v>
      </c>
      <c r="J463">
        <v>-9.49</v>
      </c>
      <c r="L463">
        <v>5.8539949935481417</v>
      </c>
      <c r="M463">
        <v>5.1674709585964784</v>
      </c>
      <c r="N463">
        <v>6.1972570110239742</v>
      </c>
      <c r="O463">
        <v>4.8242089411206459</v>
      </c>
    </row>
    <row r="464" spans="1:15">
      <c r="A464" s="19">
        <v>43119</v>
      </c>
      <c r="B464">
        <v>3610</v>
      </c>
      <c r="C464">
        <v>3630</v>
      </c>
      <c r="D464">
        <v>705</v>
      </c>
      <c r="E464">
        <v>709</v>
      </c>
      <c r="F464">
        <v>5.1198871650211499</v>
      </c>
      <c r="G464">
        <v>5.5209282908050099</v>
      </c>
      <c r="H464">
        <v>0.34026629363294802</v>
      </c>
      <c r="I464">
        <v>-1.1786096163155799</v>
      </c>
      <c r="J464">
        <v>-7.83</v>
      </c>
      <c r="L464">
        <v>5.8611945844379578</v>
      </c>
      <c r="M464">
        <v>5.180661997172062</v>
      </c>
      <c r="N464">
        <v>6.2014608780709057</v>
      </c>
      <c r="O464">
        <v>4.8403957035391141</v>
      </c>
    </row>
    <row r="465" spans="1:15">
      <c r="A465" s="19">
        <v>43118</v>
      </c>
      <c r="B465">
        <v>3580</v>
      </c>
      <c r="C465">
        <v>3580</v>
      </c>
      <c r="D465">
        <v>720</v>
      </c>
      <c r="E465">
        <v>699.3</v>
      </c>
      <c r="F465">
        <v>5.11940511940512</v>
      </c>
      <c r="G465">
        <v>5.5326869807215999</v>
      </c>
      <c r="H465">
        <v>0.34144026776576297</v>
      </c>
      <c r="I465">
        <v>-1.2104075012031199</v>
      </c>
      <c r="J465">
        <v>-8.07</v>
      </c>
      <c r="L465">
        <v>5.8741272484873628</v>
      </c>
      <c r="M465">
        <v>5.1912467129558371</v>
      </c>
      <c r="N465">
        <v>6.2155675162531256</v>
      </c>
      <c r="O465">
        <v>4.8498064451900742</v>
      </c>
    </row>
    <row r="466" spans="1:15">
      <c r="A466" s="19">
        <v>43117</v>
      </c>
      <c r="B466">
        <v>3505</v>
      </c>
      <c r="C466">
        <v>3560</v>
      </c>
      <c r="D466">
        <v>720.8</v>
      </c>
      <c r="E466">
        <v>713.7</v>
      </c>
      <c r="F466">
        <v>4.98809023399187</v>
      </c>
      <c r="G466">
        <v>5.5435919761227197</v>
      </c>
      <c r="H466">
        <v>0.34112722448610799</v>
      </c>
      <c r="I466">
        <v>-1.6284298122722001</v>
      </c>
      <c r="J466">
        <v>-11.14</v>
      </c>
      <c r="L466">
        <v>5.8847192006088278</v>
      </c>
      <c r="M466">
        <v>5.2024647516366116</v>
      </c>
      <c r="N466">
        <v>6.2258464250949359</v>
      </c>
      <c r="O466">
        <v>4.8613375271505035</v>
      </c>
    </row>
    <row r="467" spans="1:15">
      <c r="A467" s="19">
        <v>43116</v>
      </c>
      <c r="B467">
        <v>3545</v>
      </c>
      <c r="C467">
        <v>3575</v>
      </c>
      <c r="D467">
        <v>730</v>
      </c>
      <c r="E467">
        <v>732.3</v>
      </c>
      <c r="F467">
        <v>4.8818790113341501</v>
      </c>
      <c r="G467">
        <v>5.5564491857012399</v>
      </c>
      <c r="H467">
        <v>0.33810672674287401</v>
      </c>
      <c r="I467">
        <v>-1.99513976212632</v>
      </c>
      <c r="J467">
        <v>-13.82</v>
      </c>
      <c r="L467">
        <v>5.8945559124441136</v>
      </c>
      <c r="M467">
        <v>5.2183424589583662</v>
      </c>
      <c r="N467">
        <v>6.2326626391869882</v>
      </c>
      <c r="O467">
        <v>4.8802357322154917</v>
      </c>
    </row>
    <row r="468" spans="1:15">
      <c r="A468" s="19">
        <v>43115</v>
      </c>
      <c r="B468">
        <v>3440</v>
      </c>
      <c r="C468">
        <v>3550</v>
      </c>
      <c r="D468">
        <v>726</v>
      </c>
      <c r="E468">
        <v>731</v>
      </c>
      <c r="F468">
        <v>4.8563611491107999</v>
      </c>
      <c r="G468">
        <v>5.5696714258647804</v>
      </c>
      <c r="H468">
        <v>0.33077899865201399</v>
      </c>
      <c r="I468">
        <v>-2.1564557594673399</v>
      </c>
      <c r="J468">
        <v>-14.69</v>
      </c>
      <c r="L468">
        <v>5.9004504245167944</v>
      </c>
      <c r="M468">
        <v>5.2388924272127664</v>
      </c>
      <c r="N468">
        <v>6.2312294231688083</v>
      </c>
      <c r="O468">
        <v>4.9081134285607524</v>
      </c>
    </row>
    <row r="469" spans="1:15">
      <c r="A469" s="19">
        <v>43112</v>
      </c>
      <c r="B469">
        <v>3520</v>
      </c>
      <c r="C469">
        <v>3445</v>
      </c>
      <c r="D469">
        <v>724</v>
      </c>
      <c r="E469">
        <v>716.4</v>
      </c>
      <c r="F469">
        <v>4.8087660524846401</v>
      </c>
      <c r="G469">
        <v>5.5840784391520897</v>
      </c>
      <c r="H469">
        <v>0.32283276636144198</v>
      </c>
      <c r="I469">
        <v>-2.4015913731613301</v>
      </c>
      <c r="J469">
        <v>-16.12</v>
      </c>
      <c r="L469">
        <v>5.9069112055135315</v>
      </c>
      <c r="M469">
        <v>5.2612456727906478</v>
      </c>
      <c r="N469">
        <v>6.2297439718749734</v>
      </c>
      <c r="O469">
        <v>4.9384129064292059</v>
      </c>
    </row>
    <row r="470" spans="1:15">
      <c r="A470" s="19">
        <v>43111</v>
      </c>
      <c r="B470">
        <v>3590</v>
      </c>
      <c r="C470">
        <v>3530</v>
      </c>
      <c r="D470">
        <v>730</v>
      </c>
      <c r="E470">
        <v>723.6</v>
      </c>
      <c r="F470">
        <v>4.8783858485350997</v>
      </c>
      <c r="G470">
        <v>5.5995171936431198</v>
      </c>
      <c r="H470">
        <v>0.31292101276631101</v>
      </c>
      <c r="I470">
        <v>-2.3045155668295099</v>
      </c>
      <c r="J470">
        <v>-14.78</v>
      </c>
      <c r="L470">
        <v>5.9124382064094307</v>
      </c>
      <c r="M470">
        <v>5.2865961808768089</v>
      </c>
      <c r="N470">
        <v>6.2253592191757416</v>
      </c>
      <c r="O470">
        <v>4.973675168110498</v>
      </c>
    </row>
    <row r="471" spans="1:15">
      <c r="A471" s="19">
        <v>43110</v>
      </c>
      <c r="B471">
        <v>3560</v>
      </c>
      <c r="C471">
        <v>3490</v>
      </c>
      <c r="D471">
        <v>720</v>
      </c>
      <c r="E471">
        <v>724.9</v>
      </c>
      <c r="F471">
        <v>4.8144571665057203</v>
      </c>
      <c r="G471">
        <v>5.6162228176702502</v>
      </c>
      <c r="H471">
        <v>0.30737180200147901</v>
      </c>
      <c r="I471">
        <v>-2.6084554469335002</v>
      </c>
      <c r="J471">
        <v>-16.649999999999999</v>
      </c>
      <c r="L471">
        <v>5.9235946196717295</v>
      </c>
      <c r="M471">
        <v>5.3088510156687709</v>
      </c>
      <c r="N471">
        <v>6.2309664216732079</v>
      </c>
      <c r="O471">
        <v>5.0014792136672925</v>
      </c>
    </row>
    <row r="472" spans="1:15">
      <c r="A472" s="19">
        <v>43109</v>
      </c>
      <c r="B472">
        <v>3565</v>
      </c>
      <c r="C472">
        <v>3560</v>
      </c>
      <c r="D472">
        <v>717</v>
      </c>
      <c r="E472">
        <v>712.6</v>
      </c>
      <c r="F472">
        <v>4.9957900645523399</v>
      </c>
      <c r="G472">
        <v>5.6340888970446699</v>
      </c>
      <c r="H472">
        <v>0.29908054059504802</v>
      </c>
      <c r="I472">
        <v>-2.1342038208917602</v>
      </c>
      <c r="J472">
        <v>-12.78</v>
      </c>
      <c r="L472">
        <v>5.9331694376397177</v>
      </c>
      <c r="M472">
        <v>5.335008356449622</v>
      </c>
      <c r="N472">
        <v>6.2322499782347656</v>
      </c>
      <c r="O472">
        <v>5.0359278158545742</v>
      </c>
    </row>
    <row r="473" spans="1:15">
      <c r="A473" s="19">
        <v>43105</v>
      </c>
      <c r="B473">
        <v>3575</v>
      </c>
      <c r="C473">
        <v>3555</v>
      </c>
      <c r="D473">
        <v>709</v>
      </c>
      <c r="E473">
        <v>711.2</v>
      </c>
      <c r="F473">
        <v>4.9985939257592698</v>
      </c>
      <c r="G473">
        <v>5.6509355198590603</v>
      </c>
      <c r="H473">
        <v>0.29823590366255598</v>
      </c>
      <c r="I473">
        <v>-2.18733420788223</v>
      </c>
      <c r="J473">
        <v>-13.05</v>
      </c>
      <c r="L473">
        <v>5.9491714235216167</v>
      </c>
      <c r="M473">
        <v>5.3526996161965039</v>
      </c>
      <c r="N473">
        <v>6.2474073271841721</v>
      </c>
      <c r="O473">
        <v>5.0544637125339484</v>
      </c>
    </row>
    <row r="474" spans="1:15">
      <c r="A474" s="19">
        <v>43104</v>
      </c>
      <c r="B474">
        <v>3565</v>
      </c>
      <c r="C474">
        <v>3565</v>
      </c>
      <c r="D474">
        <v>686.5</v>
      </c>
      <c r="E474">
        <v>696.6</v>
      </c>
      <c r="F474">
        <v>5.1177146138386398</v>
      </c>
      <c r="G474">
        <v>5.6682226746007096</v>
      </c>
      <c r="H474">
        <v>0.297497860968372</v>
      </c>
      <c r="I474">
        <v>-1.85046056791847</v>
      </c>
      <c r="J474">
        <v>-10.76</v>
      </c>
      <c r="L474">
        <v>5.9657205355690817</v>
      </c>
      <c r="M474">
        <v>5.3707248136323376</v>
      </c>
      <c r="N474">
        <v>6.2632183965374537</v>
      </c>
      <c r="O474">
        <v>5.0732269526639655</v>
      </c>
    </row>
    <row r="475" spans="1:15">
      <c r="A475" s="19">
        <v>43098</v>
      </c>
      <c r="B475">
        <v>3565</v>
      </c>
      <c r="C475">
        <v>3510</v>
      </c>
      <c r="D475">
        <v>673.7</v>
      </c>
      <c r="E475">
        <v>673.1</v>
      </c>
      <c r="F475">
        <v>5.2146783538849997</v>
      </c>
      <c r="G475">
        <v>5.6831803300997796</v>
      </c>
      <c r="H475">
        <v>0.29764489804164002</v>
      </c>
      <c r="I475">
        <v>-1.57402992390359</v>
      </c>
      <c r="J475">
        <v>-8.98</v>
      </c>
      <c r="L475">
        <v>5.9808252281414198</v>
      </c>
      <c r="M475">
        <v>5.3855354320581394</v>
      </c>
      <c r="N475">
        <v>6.27847012618306</v>
      </c>
      <c r="O475">
        <v>5.0878905340164993</v>
      </c>
    </row>
    <row r="476" spans="1:15">
      <c r="A476" s="19">
        <v>43097</v>
      </c>
      <c r="B476">
        <v>3500</v>
      </c>
      <c r="C476">
        <v>3570</v>
      </c>
      <c r="D476">
        <v>680</v>
      </c>
      <c r="E476">
        <v>672.1</v>
      </c>
      <c r="F476">
        <v>5.3117095670287098</v>
      </c>
      <c r="G476">
        <v>5.6971738692824001</v>
      </c>
      <c r="H476">
        <v>0.29995182960424099</v>
      </c>
      <c r="I476">
        <v>-1.2850873513999601</v>
      </c>
      <c r="J476">
        <v>-7.26</v>
      </c>
      <c r="L476">
        <v>5.9971256988866415</v>
      </c>
      <c r="M476">
        <v>5.3972220396781587</v>
      </c>
      <c r="N476">
        <v>6.297077528490882</v>
      </c>
      <c r="O476">
        <v>5.0972702100739182</v>
      </c>
    </row>
    <row r="477" spans="1:15">
      <c r="A477" s="19">
        <v>43096</v>
      </c>
      <c r="B477">
        <v>3480</v>
      </c>
      <c r="C477">
        <v>3480</v>
      </c>
      <c r="D477">
        <v>683.3</v>
      </c>
      <c r="E477">
        <v>682.1</v>
      </c>
      <c r="F477">
        <v>5.10189121829643</v>
      </c>
      <c r="G477">
        <v>5.7078721230014304</v>
      </c>
      <c r="H477">
        <v>0.30032150287278903</v>
      </c>
      <c r="I477">
        <v>-2.01777394861291</v>
      </c>
      <c r="J477">
        <v>-11.88</v>
      </c>
      <c r="L477">
        <v>6.0081936258742195</v>
      </c>
      <c r="M477">
        <v>5.4075506201286414</v>
      </c>
      <c r="N477">
        <v>6.3085151287470085</v>
      </c>
      <c r="O477">
        <v>5.1072291172558524</v>
      </c>
    </row>
    <row r="478" spans="1:15">
      <c r="A478" s="19">
        <v>43095</v>
      </c>
      <c r="B478">
        <v>3480</v>
      </c>
      <c r="C478">
        <v>3470</v>
      </c>
      <c r="D478">
        <v>681.9</v>
      </c>
      <c r="E478">
        <v>683.2</v>
      </c>
      <c r="F478">
        <v>5.0790398126463696</v>
      </c>
      <c r="G478">
        <v>5.7189939748038796</v>
      </c>
      <c r="H478">
        <v>0.293031088673958</v>
      </c>
      <c r="I478">
        <v>-2.1839121748257999</v>
      </c>
      <c r="J478">
        <v>-12.6</v>
      </c>
      <c r="L478">
        <v>6.0120250634778376</v>
      </c>
      <c r="M478">
        <v>5.4259628861299216</v>
      </c>
      <c r="N478">
        <v>6.3050561521517956</v>
      </c>
      <c r="O478">
        <v>5.1329317974559636</v>
      </c>
    </row>
    <row r="479" spans="1:15">
      <c r="A479" s="19">
        <v>43094</v>
      </c>
      <c r="B479">
        <v>3500</v>
      </c>
      <c r="C479">
        <v>3465</v>
      </c>
      <c r="D479">
        <v>685</v>
      </c>
      <c r="E479">
        <v>681.8</v>
      </c>
      <c r="F479">
        <v>5.0821355236139603</v>
      </c>
      <c r="G479">
        <v>5.7280910022676403</v>
      </c>
      <c r="H479">
        <v>0.283456866196799</v>
      </c>
      <c r="I479">
        <v>-2.2788492913246401</v>
      </c>
      <c r="J479">
        <v>-12.71</v>
      </c>
      <c r="L479">
        <v>6.0115478684644392</v>
      </c>
      <c r="M479">
        <v>5.4446341360708415</v>
      </c>
      <c r="N479">
        <v>6.2950047346612381</v>
      </c>
      <c r="O479">
        <v>5.1611772698740426</v>
      </c>
    </row>
    <row r="480" spans="1:15">
      <c r="A480" s="19">
        <v>43091</v>
      </c>
      <c r="B480">
        <v>3450</v>
      </c>
      <c r="C480">
        <v>3460</v>
      </c>
      <c r="D480">
        <v>664.3</v>
      </c>
      <c r="E480">
        <v>684.1</v>
      </c>
      <c r="F480">
        <v>5.0577400964771204</v>
      </c>
      <c r="G480">
        <v>5.7350322904802598</v>
      </c>
      <c r="H480">
        <v>0.27376212003516098</v>
      </c>
      <c r="I480">
        <v>-2.4740172011969799</v>
      </c>
      <c r="J480">
        <v>-13.39</v>
      </c>
      <c r="L480">
        <v>6.0087944105154207</v>
      </c>
      <c r="M480">
        <v>5.4612701704450988</v>
      </c>
      <c r="N480">
        <v>6.2825565305505817</v>
      </c>
      <c r="O480">
        <v>5.1875080504099378</v>
      </c>
    </row>
    <row r="481" spans="1:15">
      <c r="A481" s="19">
        <v>43090</v>
      </c>
      <c r="B481">
        <v>3535</v>
      </c>
      <c r="C481">
        <v>3465</v>
      </c>
      <c r="D481">
        <v>679.6</v>
      </c>
      <c r="E481">
        <v>663.9</v>
      </c>
      <c r="F481">
        <v>5.2191595119746896</v>
      </c>
      <c r="G481">
        <v>5.74134315265096</v>
      </c>
      <c r="H481">
        <v>0.26333305833836401</v>
      </c>
      <c r="I481">
        <v>-1.98297792146287</v>
      </c>
      <c r="J481">
        <v>-10.01</v>
      </c>
      <c r="L481">
        <v>6.0046762109893237</v>
      </c>
      <c r="M481">
        <v>5.4780100943125962</v>
      </c>
      <c r="N481">
        <v>6.2680092693276883</v>
      </c>
      <c r="O481">
        <v>5.2146770359742316</v>
      </c>
    </row>
    <row r="482" spans="1:15">
      <c r="A482" s="19">
        <v>43089</v>
      </c>
      <c r="B482">
        <v>3560</v>
      </c>
      <c r="C482">
        <v>3545</v>
      </c>
      <c r="D482">
        <v>660</v>
      </c>
      <c r="E482">
        <v>676.5</v>
      </c>
      <c r="F482">
        <v>5.2402069475240198</v>
      </c>
      <c r="G482">
        <v>5.7446938194059598</v>
      </c>
      <c r="H482">
        <v>0.25821651475888602</v>
      </c>
      <c r="I482">
        <v>-1.95373588847722</v>
      </c>
      <c r="J482">
        <v>-9.6300000000000008</v>
      </c>
      <c r="L482">
        <v>6.002910334164846</v>
      </c>
      <c r="M482">
        <v>5.4864773046470736</v>
      </c>
      <c r="N482">
        <v>6.2611268489237322</v>
      </c>
      <c r="O482">
        <v>5.2282607898881874</v>
      </c>
    </row>
    <row r="483" spans="1:15">
      <c r="A483" s="19">
        <v>43088</v>
      </c>
      <c r="B483">
        <v>3570</v>
      </c>
      <c r="C483">
        <v>3570</v>
      </c>
      <c r="D483">
        <v>642</v>
      </c>
      <c r="E483">
        <v>648.29999999999995</v>
      </c>
      <c r="F483">
        <v>5.5067098565478902</v>
      </c>
      <c r="G483">
        <v>5.7489524770457301</v>
      </c>
      <c r="H483">
        <v>0.25243013083640298</v>
      </c>
      <c r="I483">
        <v>-0.95964225702847405</v>
      </c>
      <c r="J483">
        <v>-4.4000000000000004</v>
      </c>
      <c r="L483">
        <v>6.0013826078821335</v>
      </c>
      <c r="M483">
        <v>5.4965223462093267</v>
      </c>
      <c r="N483">
        <v>6.253812738718536</v>
      </c>
      <c r="O483">
        <v>5.2440922153729241</v>
      </c>
    </row>
    <row r="484" spans="1:15">
      <c r="A484" s="19">
        <v>43087</v>
      </c>
      <c r="B484">
        <v>3580</v>
      </c>
      <c r="C484">
        <v>3575</v>
      </c>
      <c r="D484">
        <v>634.1</v>
      </c>
      <c r="E484">
        <v>648.20000000000005</v>
      </c>
      <c r="F484">
        <v>5.51527306386917</v>
      </c>
      <c r="G484">
        <v>5.7507408250036702</v>
      </c>
      <c r="H484">
        <v>0.25117963433701701</v>
      </c>
      <c r="I484">
        <v>-0.93744766272956503</v>
      </c>
      <c r="J484">
        <v>-4.2699999999999996</v>
      </c>
      <c r="L484">
        <v>6.0019204593406874</v>
      </c>
      <c r="M484">
        <v>5.4995611906666531</v>
      </c>
      <c r="N484">
        <v>6.2531000936777046</v>
      </c>
      <c r="O484">
        <v>5.2483815563296359</v>
      </c>
    </row>
    <row r="485" spans="1:15">
      <c r="A485" s="19">
        <v>43084</v>
      </c>
      <c r="B485">
        <v>3525</v>
      </c>
      <c r="C485">
        <v>3555</v>
      </c>
      <c r="D485">
        <v>630.6</v>
      </c>
      <c r="E485">
        <v>624.6</v>
      </c>
      <c r="F485">
        <v>5.6916426512968297</v>
      </c>
      <c r="G485">
        <v>5.7527198562568902</v>
      </c>
      <c r="H485">
        <v>0.24989805596832099</v>
      </c>
      <c r="I485">
        <v>-0.244408483785124</v>
      </c>
      <c r="J485">
        <v>-1.07</v>
      </c>
      <c r="L485">
        <v>6.0026179122252108</v>
      </c>
      <c r="M485">
        <v>5.5028218002885696</v>
      </c>
      <c r="N485">
        <v>6.2525159681935323</v>
      </c>
      <c r="O485">
        <v>5.2529237443202481</v>
      </c>
    </row>
    <row r="486" spans="1:15">
      <c r="A486" s="19">
        <v>43083</v>
      </c>
      <c r="B486">
        <v>3560</v>
      </c>
      <c r="C486">
        <v>3510</v>
      </c>
      <c r="D486">
        <v>641.70000000000005</v>
      </c>
      <c r="E486">
        <v>637.20000000000005</v>
      </c>
      <c r="F486">
        <v>5.5084745762711798</v>
      </c>
      <c r="G486">
        <v>5.7525023151510899</v>
      </c>
      <c r="H486">
        <v>0.24995822444556501</v>
      </c>
      <c r="I486">
        <v>-0.97627409308572399</v>
      </c>
      <c r="J486">
        <v>-4.43</v>
      </c>
      <c r="L486">
        <v>6.0024605395966546</v>
      </c>
      <c r="M486">
        <v>5.5025440907055252</v>
      </c>
      <c r="N486">
        <v>6.2524187640422202</v>
      </c>
      <c r="O486">
        <v>5.2525858662599596</v>
      </c>
    </row>
    <row r="487" spans="1:15">
      <c r="A487" s="19">
        <v>43082</v>
      </c>
      <c r="B487">
        <v>3565</v>
      </c>
      <c r="C487">
        <v>3550</v>
      </c>
      <c r="D487">
        <v>640</v>
      </c>
      <c r="E487">
        <v>651.70000000000005</v>
      </c>
      <c r="F487">
        <v>5.4472916986343396</v>
      </c>
      <c r="G487">
        <v>5.7540957720188297</v>
      </c>
      <c r="H487">
        <v>0.248775626558385</v>
      </c>
      <c r="I487">
        <v>-1.2332561578836501</v>
      </c>
      <c r="J487">
        <v>-5.63</v>
      </c>
      <c r="L487">
        <v>6.0028713985772146</v>
      </c>
      <c r="M487">
        <v>5.5053201454604448</v>
      </c>
      <c r="N487">
        <v>6.2516470251355996</v>
      </c>
      <c r="O487">
        <v>5.2565445189020599</v>
      </c>
    </row>
    <row r="488" spans="1:15">
      <c r="A488" s="19">
        <v>43081</v>
      </c>
      <c r="B488">
        <v>3660</v>
      </c>
      <c r="C488">
        <v>3595</v>
      </c>
      <c r="D488">
        <v>613</v>
      </c>
      <c r="E488">
        <v>638.6</v>
      </c>
      <c r="F488">
        <v>5.6295020357030996</v>
      </c>
      <c r="G488">
        <v>5.7565497014441096</v>
      </c>
      <c r="H488">
        <v>0.246635707542046</v>
      </c>
      <c r="I488">
        <v>-0.51512275739453095</v>
      </c>
      <c r="J488">
        <v>-2.2599999999999998</v>
      </c>
      <c r="L488">
        <v>6.0031854089861554</v>
      </c>
      <c r="M488">
        <v>5.5099139939020638</v>
      </c>
      <c r="N488">
        <v>6.2498211165282012</v>
      </c>
      <c r="O488">
        <v>5.263278286360018</v>
      </c>
    </row>
    <row r="489" spans="1:15">
      <c r="A489" s="19">
        <v>43080</v>
      </c>
      <c r="B489">
        <v>3660</v>
      </c>
      <c r="C489">
        <v>3655</v>
      </c>
      <c r="D489">
        <v>605.5</v>
      </c>
      <c r="E489">
        <v>614.20000000000005</v>
      </c>
      <c r="F489">
        <v>5.9508303484207001</v>
      </c>
      <c r="G489">
        <v>5.7556722023638702</v>
      </c>
      <c r="H489">
        <v>0.24720259100075101</v>
      </c>
      <c r="I489">
        <v>0.78946642616801599</v>
      </c>
      <c r="J489">
        <v>3.28</v>
      </c>
      <c r="L489">
        <v>6.0028747933646214</v>
      </c>
      <c r="M489">
        <v>5.5084696113631191</v>
      </c>
      <c r="N489">
        <v>6.2500773843653725</v>
      </c>
      <c r="O489">
        <v>5.2612670203623679</v>
      </c>
    </row>
    <row r="490" spans="1:15">
      <c r="A490" s="19">
        <v>43077</v>
      </c>
      <c r="B490">
        <v>3570</v>
      </c>
      <c r="C490">
        <v>3640</v>
      </c>
      <c r="D490">
        <v>586.9</v>
      </c>
      <c r="E490">
        <v>603.9</v>
      </c>
      <c r="F490">
        <v>6.0274879947011097</v>
      </c>
      <c r="G490">
        <v>5.7502122161527902</v>
      </c>
      <c r="H490">
        <v>0.24735409170266001</v>
      </c>
      <c r="I490">
        <v>1.1209670179283999</v>
      </c>
      <c r="J490">
        <v>4.5999999999999996</v>
      </c>
      <c r="L490">
        <v>5.9975663078554504</v>
      </c>
      <c r="M490">
        <v>5.50285812445013</v>
      </c>
      <c r="N490">
        <v>6.2449203995581106</v>
      </c>
      <c r="O490">
        <v>5.2555040327474698</v>
      </c>
    </row>
    <row r="491" spans="1:15">
      <c r="A491" s="19">
        <v>43076</v>
      </c>
      <c r="B491">
        <v>3545</v>
      </c>
      <c r="C491">
        <v>3570</v>
      </c>
      <c r="D491">
        <v>600.1</v>
      </c>
      <c r="E491">
        <v>596.9</v>
      </c>
      <c r="F491">
        <v>5.9809013235047699</v>
      </c>
      <c r="G491">
        <v>5.7431084575183098</v>
      </c>
      <c r="H491">
        <v>0.24693913600032799</v>
      </c>
      <c r="I491">
        <v>0.96296143996446104</v>
      </c>
      <c r="J491">
        <v>3.98</v>
      </c>
      <c r="L491">
        <v>5.9900475935186375</v>
      </c>
      <c r="M491">
        <v>5.4961693215179821</v>
      </c>
      <c r="N491">
        <v>6.236986729518966</v>
      </c>
      <c r="O491">
        <v>5.2492301855176535</v>
      </c>
    </row>
    <row r="492" spans="1:15">
      <c r="A492" s="19">
        <v>43075</v>
      </c>
      <c r="B492">
        <v>3560</v>
      </c>
      <c r="C492">
        <v>3480</v>
      </c>
      <c r="D492">
        <v>602.1</v>
      </c>
      <c r="E492">
        <v>598.20000000000005</v>
      </c>
      <c r="F492">
        <v>5.8174523570712102</v>
      </c>
      <c r="G492">
        <v>5.7370219371591098</v>
      </c>
      <c r="H492">
        <v>0.24662858446362701</v>
      </c>
      <c r="I492">
        <v>0.32611961864446398</v>
      </c>
      <c r="J492">
        <v>1.38</v>
      </c>
      <c r="L492">
        <v>5.9836505216227369</v>
      </c>
      <c r="M492">
        <v>5.4903933526954827</v>
      </c>
      <c r="N492">
        <v>6.230279106086364</v>
      </c>
      <c r="O492">
        <v>5.2437647682318556</v>
      </c>
    </row>
    <row r="493" spans="1:15">
      <c r="A493" s="19">
        <v>43074</v>
      </c>
      <c r="B493">
        <v>3495</v>
      </c>
      <c r="C493">
        <v>3590</v>
      </c>
      <c r="D493">
        <v>597.1</v>
      </c>
      <c r="E493">
        <v>604.5</v>
      </c>
      <c r="F493">
        <v>5.9387923904052897</v>
      </c>
      <c r="G493">
        <v>5.7328525945127904</v>
      </c>
      <c r="H493">
        <v>0.24787365260250299</v>
      </c>
      <c r="I493">
        <v>0.83082567965682297</v>
      </c>
      <c r="J493">
        <v>3.47</v>
      </c>
      <c r="L493">
        <v>5.9807262471152933</v>
      </c>
      <c r="M493">
        <v>5.4849789419102875</v>
      </c>
      <c r="N493">
        <v>6.2285998997177963</v>
      </c>
      <c r="O493">
        <v>5.2371052893077845</v>
      </c>
    </row>
    <row r="494" spans="1:15">
      <c r="A494" s="19">
        <v>43073</v>
      </c>
      <c r="B494">
        <v>3530</v>
      </c>
      <c r="C494">
        <v>3495</v>
      </c>
      <c r="D494">
        <v>603</v>
      </c>
      <c r="E494">
        <v>597.5</v>
      </c>
      <c r="F494">
        <v>5.8493723849372303</v>
      </c>
      <c r="G494">
        <v>5.7260937479182497</v>
      </c>
      <c r="H494">
        <v>0.249074256432817</v>
      </c>
      <c r="I494">
        <v>0.49494732528582502</v>
      </c>
      <c r="J494">
        <v>2.11</v>
      </c>
      <c r="L494">
        <v>5.9751680043510671</v>
      </c>
      <c r="M494">
        <v>5.4770194914854322</v>
      </c>
      <c r="N494">
        <v>6.2242422607838837</v>
      </c>
      <c r="O494">
        <v>5.2279452350526157</v>
      </c>
    </row>
    <row r="495" spans="1:15">
      <c r="A495" s="19">
        <v>43070</v>
      </c>
      <c r="B495">
        <v>3560</v>
      </c>
      <c r="C495">
        <v>3505</v>
      </c>
      <c r="D495">
        <v>602.20000000000005</v>
      </c>
      <c r="E495">
        <v>598.70000000000005</v>
      </c>
      <c r="F495">
        <v>5.8543510940370798</v>
      </c>
      <c r="G495">
        <v>5.7212181095043997</v>
      </c>
      <c r="H495">
        <v>0.25018988388183</v>
      </c>
      <c r="I495">
        <v>0.53212776818570096</v>
      </c>
      <c r="J495">
        <v>2.27</v>
      </c>
      <c r="L495">
        <v>5.9714079933862294</v>
      </c>
      <c r="M495">
        <v>5.47102822562257</v>
      </c>
      <c r="N495">
        <v>6.22159787726806</v>
      </c>
      <c r="O495">
        <v>5.2208383417407394</v>
      </c>
    </row>
    <row r="496" spans="1:15">
      <c r="A496" s="19">
        <v>43069</v>
      </c>
      <c r="B496">
        <v>3475</v>
      </c>
      <c r="C496">
        <v>3505</v>
      </c>
      <c r="D496">
        <v>598</v>
      </c>
      <c r="E496">
        <v>595.9</v>
      </c>
      <c r="F496">
        <v>5.8818593723779102</v>
      </c>
      <c r="G496">
        <v>5.7175686193889703</v>
      </c>
      <c r="H496">
        <v>0.25021757043464599</v>
      </c>
      <c r="I496">
        <v>0.65659159228328701</v>
      </c>
      <c r="J496">
        <v>2.79</v>
      </c>
      <c r="L496">
        <v>5.9677861898236166</v>
      </c>
      <c r="M496">
        <v>5.467351048954324</v>
      </c>
      <c r="N496">
        <v>6.2180037602582621</v>
      </c>
      <c r="O496">
        <v>5.2171334785196786</v>
      </c>
    </row>
    <row r="497" spans="1:15">
      <c r="A497" s="19">
        <v>43068</v>
      </c>
      <c r="B497">
        <v>3570</v>
      </c>
      <c r="C497">
        <v>3565</v>
      </c>
      <c r="D497">
        <v>587.1</v>
      </c>
      <c r="E497">
        <v>593.9</v>
      </c>
      <c r="F497">
        <v>6.0026940562384201</v>
      </c>
      <c r="G497">
        <v>5.7126915271710201</v>
      </c>
      <c r="H497">
        <v>0.25053238584588</v>
      </c>
      <c r="I497">
        <v>1.15754507381654</v>
      </c>
      <c r="J497">
        <v>4.83</v>
      </c>
      <c r="L497">
        <v>5.9632239130169005</v>
      </c>
      <c r="M497">
        <v>5.4621591413251398</v>
      </c>
      <c r="N497">
        <v>6.2137562988627799</v>
      </c>
      <c r="O497">
        <v>5.2116267554792604</v>
      </c>
    </row>
    <row r="498" spans="1:15">
      <c r="A498" s="19">
        <v>43067</v>
      </c>
      <c r="B498">
        <v>3545</v>
      </c>
      <c r="C498">
        <v>3660</v>
      </c>
      <c r="D498">
        <v>581.1</v>
      </c>
      <c r="E498">
        <v>577.1</v>
      </c>
      <c r="F498">
        <v>6.3420551031017096</v>
      </c>
      <c r="G498">
        <v>5.7032657384516501</v>
      </c>
      <c r="H498">
        <v>0.25273313535064101</v>
      </c>
      <c r="I498">
        <v>2.5275251848706102</v>
      </c>
      <c r="J498">
        <v>10.07</v>
      </c>
      <c r="L498">
        <v>5.9559988738022911</v>
      </c>
      <c r="M498">
        <v>5.4505326031010091</v>
      </c>
      <c r="N498">
        <v>6.2087320091529321</v>
      </c>
      <c r="O498">
        <v>5.1977994677503681</v>
      </c>
    </row>
    <row r="499" spans="1:15">
      <c r="A499" s="19">
        <v>43066</v>
      </c>
      <c r="B499">
        <v>3530</v>
      </c>
      <c r="C499">
        <v>3535</v>
      </c>
      <c r="D499">
        <v>587.4</v>
      </c>
      <c r="E499">
        <v>581.70000000000005</v>
      </c>
      <c r="F499">
        <v>6.0770156438026399</v>
      </c>
      <c r="G499">
        <v>5.6887096398122399</v>
      </c>
      <c r="H499">
        <v>0.246893896772029</v>
      </c>
      <c r="I499">
        <v>1.5727646939322499</v>
      </c>
      <c r="J499">
        <v>6.39</v>
      </c>
      <c r="L499">
        <v>5.935603536584269</v>
      </c>
      <c r="M499">
        <v>5.4418157430402108</v>
      </c>
      <c r="N499">
        <v>6.1824974333562981</v>
      </c>
      <c r="O499">
        <v>5.1949218462681817</v>
      </c>
    </row>
    <row r="500" spans="1:15">
      <c r="A500" s="19">
        <v>43063</v>
      </c>
      <c r="B500">
        <v>3420</v>
      </c>
      <c r="C500">
        <v>3490</v>
      </c>
      <c r="D500">
        <v>584.5</v>
      </c>
      <c r="E500">
        <v>585.9</v>
      </c>
      <c r="F500">
        <v>5.9566478921317598</v>
      </c>
      <c r="G500">
        <v>5.6766387132261196</v>
      </c>
      <c r="H500">
        <v>0.249728868192993</v>
      </c>
      <c r="I500">
        <v>1.1212527447537199</v>
      </c>
      <c r="J500">
        <v>4.7</v>
      </c>
      <c r="L500">
        <v>5.9263675814191128</v>
      </c>
      <c r="M500">
        <v>5.4269098450331263</v>
      </c>
      <c r="N500">
        <v>6.1760964496121051</v>
      </c>
      <c r="O500">
        <v>5.177180976840134</v>
      </c>
    </row>
    <row r="501" spans="1:15">
      <c r="A501" s="19">
        <v>43061</v>
      </c>
      <c r="B501">
        <v>3490</v>
      </c>
      <c r="C501">
        <v>3430</v>
      </c>
      <c r="D501">
        <v>585</v>
      </c>
      <c r="E501">
        <v>588.79999999999995</v>
      </c>
      <c r="F501">
        <v>5.8254076086956497</v>
      </c>
      <c r="G501">
        <v>5.66728191823979</v>
      </c>
      <c r="H501">
        <v>0.25219675248729501</v>
      </c>
      <c r="I501">
        <v>0.62699336488810598</v>
      </c>
      <c r="J501">
        <v>2.71</v>
      </c>
      <c r="L501">
        <v>5.9194786707270852</v>
      </c>
      <c r="M501">
        <v>5.4150851657524948</v>
      </c>
      <c r="N501">
        <v>6.1716754232143796</v>
      </c>
      <c r="O501">
        <v>5.1628884132652004</v>
      </c>
    </row>
    <row r="502" spans="1:15">
      <c r="A502" s="19">
        <v>43060</v>
      </c>
      <c r="B502">
        <v>3430</v>
      </c>
      <c r="C502">
        <v>3460</v>
      </c>
      <c r="D502">
        <v>586.20000000000005</v>
      </c>
      <c r="E502">
        <v>585.6</v>
      </c>
      <c r="F502">
        <v>5.9084699453551899</v>
      </c>
      <c r="G502">
        <v>5.6582150753661704</v>
      </c>
      <c r="H502">
        <v>0.25849403421214101</v>
      </c>
      <c r="I502">
        <v>0.96812628868501704</v>
      </c>
      <c r="J502">
        <v>4.24</v>
      </c>
      <c r="L502">
        <v>5.9167091095783118</v>
      </c>
      <c r="M502">
        <v>5.3997210411540291</v>
      </c>
      <c r="N502">
        <v>6.1752031437904522</v>
      </c>
      <c r="O502">
        <v>5.1412270069418886</v>
      </c>
    </row>
    <row r="503" spans="1:15">
      <c r="A503" s="19">
        <v>43059</v>
      </c>
      <c r="B503">
        <v>3370</v>
      </c>
      <c r="C503">
        <v>3410</v>
      </c>
      <c r="D503">
        <v>585.5</v>
      </c>
      <c r="E503">
        <v>581.29999999999995</v>
      </c>
      <c r="F503">
        <v>5.8661620505762899</v>
      </c>
      <c r="G503">
        <v>5.6454050357555099</v>
      </c>
      <c r="H503">
        <v>0.26935256194401402</v>
      </c>
      <c r="I503">
        <v>0.81958386891701296</v>
      </c>
      <c r="J503">
        <v>3.76</v>
      </c>
      <c r="L503">
        <v>5.9147575976995235</v>
      </c>
      <c r="M503">
        <v>5.3760524738114963</v>
      </c>
      <c r="N503">
        <v>6.1841101596435379</v>
      </c>
      <c r="O503">
        <v>5.1066999118674818</v>
      </c>
    </row>
    <row r="504" spans="1:15">
      <c r="A504" s="19">
        <v>43056</v>
      </c>
      <c r="B504">
        <v>3370</v>
      </c>
      <c r="C504">
        <v>3370</v>
      </c>
      <c r="D504">
        <v>591.6</v>
      </c>
      <c r="E504">
        <v>588.70000000000005</v>
      </c>
      <c r="F504">
        <v>5.7244776626464997</v>
      </c>
      <c r="G504">
        <v>5.6333106166796201</v>
      </c>
      <c r="H504">
        <v>0.27934798175283898</v>
      </c>
      <c r="I504">
        <v>0.326356558564804</v>
      </c>
      <c r="J504">
        <v>1.59</v>
      </c>
      <c r="L504">
        <v>5.9126585984324587</v>
      </c>
      <c r="M504">
        <v>5.3539626349267815</v>
      </c>
      <c r="N504">
        <v>6.1920065801852981</v>
      </c>
      <c r="O504">
        <v>5.074614653173942</v>
      </c>
    </row>
    <row r="505" spans="1:15">
      <c r="A505" s="19">
        <v>43055</v>
      </c>
      <c r="B505">
        <v>3245</v>
      </c>
      <c r="C505">
        <v>3310</v>
      </c>
      <c r="D505">
        <v>587.29999999999995</v>
      </c>
      <c r="E505">
        <v>589.29999999999995</v>
      </c>
      <c r="F505">
        <v>5.6168335313083304</v>
      </c>
      <c r="G505">
        <v>5.62313484601464</v>
      </c>
      <c r="H505">
        <v>0.28955540375515099</v>
      </c>
      <c r="I505">
        <v>-2.1762034569524399E-2</v>
      </c>
      <c r="J505">
        <v>-0.11</v>
      </c>
      <c r="L505">
        <v>5.9126902497697911</v>
      </c>
      <c r="M505">
        <v>5.3335794422594889</v>
      </c>
      <c r="N505">
        <v>6.2022456535249422</v>
      </c>
      <c r="O505">
        <v>5.0440240385043378</v>
      </c>
    </row>
    <row r="506" spans="1:15">
      <c r="A506" s="19">
        <v>43054</v>
      </c>
      <c r="B506">
        <v>3370</v>
      </c>
      <c r="C506">
        <v>3270</v>
      </c>
      <c r="D506">
        <v>591.9</v>
      </c>
      <c r="E506">
        <v>588</v>
      </c>
      <c r="F506">
        <v>5.5612244897959098</v>
      </c>
      <c r="G506">
        <v>5.6152513147008198</v>
      </c>
      <c r="H506">
        <v>0.29755804467303398</v>
      </c>
      <c r="I506">
        <v>-0.18156734752130199</v>
      </c>
      <c r="J506">
        <v>-0.97</v>
      </c>
      <c r="L506">
        <v>5.9128093593738535</v>
      </c>
      <c r="M506">
        <v>5.3176932700277861</v>
      </c>
      <c r="N506">
        <v>6.2103674040468881</v>
      </c>
      <c r="O506">
        <v>5.0201352253547515</v>
      </c>
    </row>
    <row r="507" spans="1:15">
      <c r="A507" s="19">
        <v>43053</v>
      </c>
      <c r="B507">
        <v>3405</v>
      </c>
      <c r="C507">
        <v>3350</v>
      </c>
      <c r="D507">
        <v>600</v>
      </c>
      <c r="E507">
        <v>597.1</v>
      </c>
      <c r="F507">
        <v>5.6104505108022096</v>
      </c>
      <c r="G507">
        <v>5.6078977256562403</v>
      </c>
      <c r="H507">
        <v>0.30551095266948503</v>
      </c>
      <c r="I507">
        <v>8.3557892889273792E-3</v>
      </c>
      <c r="J507">
        <v>0.05</v>
      </c>
      <c r="L507">
        <v>5.9134086783257249</v>
      </c>
      <c r="M507">
        <v>5.3023867729867558</v>
      </c>
      <c r="N507">
        <v>6.2189196309952104</v>
      </c>
      <c r="O507">
        <v>4.9968758203172703</v>
      </c>
    </row>
    <row r="508" spans="1:15">
      <c r="A508" s="19">
        <v>43052</v>
      </c>
      <c r="B508">
        <v>3400</v>
      </c>
      <c r="C508">
        <v>3380</v>
      </c>
      <c r="D508">
        <v>607.20000000000005</v>
      </c>
      <c r="E508">
        <v>596.5</v>
      </c>
      <c r="F508">
        <v>5.6663872590108904</v>
      </c>
      <c r="G508">
        <v>5.59919953116363</v>
      </c>
      <c r="H508">
        <v>0.31446982117135103</v>
      </c>
      <c r="I508">
        <v>0.21365397670594399</v>
      </c>
      <c r="J508">
        <v>1.19</v>
      </c>
      <c r="L508">
        <v>5.9136693523349813</v>
      </c>
      <c r="M508">
        <v>5.2847297099922788</v>
      </c>
      <c r="N508">
        <v>6.2281391735063316</v>
      </c>
      <c r="O508">
        <v>4.9702598888209284</v>
      </c>
    </row>
    <row r="509" spans="1:15">
      <c r="A509" s="19">
        <v>43049</v>
      </c>
      <c r="B509">
        <v>3400</v>
      </c>
      <c r="C509">
        <v>3385</v>
      </c>
      <c r="D509">
        <v>600</v>
      </c>
      <c r="E509">
        <v>604.5</v>
      </c>
      <c r="F509">
        <v>5.5996691480562397</v>
      </c>
      <c r="G509">
        <v>5.5902792121467799</v>
      </c>
      <c r="H509">
        <v>0.32183991557220398</v>
      </c>
      <c r="I509">
        <v>2.9175796584357899E-2</v>
      </c>
      <c r="J509">
        <v>0.17</v>
      </c>
      <c r="L509">
        <v>5.9121191277189835</v>
      </c>
      <c r="M509">
        <v>5.2684392965745763</v>
      </c>
      <c r="N509">
        <v>6.233959043291188</v>
      </c>
      <c r="O509">
        <v>4.9465993810023718</v>
      </c>
    </row>
    <row r="510" spans="1:15">
      <c r="A510" s="19">
        <v>43048</v>
      </c>
      <c r="B510">
        <v>3415</v>
      </c>
      <c r="C510">
        <v>3420</v>
      </c>
      <c r="D510">
        <v>614.9</v>
      </c>
      <c r="E510">
        <v>606.20000000000005</v>
      </c>
      <c r="F510">
        <v>5.6417024084460499</v>
      </c>
      <c r="G510">
        <v>5.5816126010797502</v>
      </c>
      <c r="H510">
        <v>0.330115622649436</v>
      </c>
      <c r="I510">
        <v>0.182026548407588</v>
      </c>
      <c r="J510">
        <v>1.07</v>
      </c>
      <c r="L510">
        <v>5.9117282237291864</v>
      </c>
      <c r="M510">
        <v>5.251496978430314</v>
      </c>
      <c r="N510">
        <v>6.2418438463786226</v>
      </c>
      <c r="O510">
        <v>4.9213813557808779</v>
      </c>
    </row>
    <row r="511" spans="1:15">
      <c r="A511" s="19">
        <v>43047</v>
      </c>
      <c r="B511">
        <v>3445</v>
      </c>
      <c r="C511">
        <v>3405</v>
      </c>
      <c r="D511">
        <v>609.6</v>
      </c>
      <c r="E511">
        <v>611.79999999999995</v>
      </c>
      <c r="F511">
        <v>5.5655442955214101</v>
      </c>
      <c r="G511">
        <v>5.5707440943869297</v>
      </c>
      <c r="H511">
        <v>0.34119108980500701</v>
      </c>
      <c r="I511">
        <v>-1.5240136747103099E-2</v>
      </c>
      <c r="J511">
        <v>-0.09</v>
      </c>
      <c r="L511">
        <v>5.911935184191937</v>
      </c>
      <c r="M511">
        <v>5.2295530045819225</v>
      </c>
      <c r="N511">
        <v>6.2531262739969442</v>
      </c>
      <c r="O511">
        <v>4.8883619147769153</v>
      </c>
    </row>
    <row r="512" spans="1:15">
      <c r="A512" s="19">
        <v>43046</v>
      </c>
      <c r="B512">
        <v>3400</v>
      </c>
      <c r="C512">
        <v>3415</v>
      </c>
      <c r="D512">
        <v>610</v>
      </c>
      <c r="E512">
        <v>617.29999999999995</v>
      </c>
      <c r="F512">
        <v>5.5321561639397299</v>
      </c>
      <c r="G512">
        <v>5.56082793161473</v>
      </c>
      <c r="H512">
        <v>0.35183934528620597</v>
      </c>
      <c r="I512">
        <v>-8.14910784115781E-2</v>
      </c>
      <c r="J512">
        <v>-0.52</v>
      </c>
      <c r="L512">
        <v>5.9126672769009359</v>
      </c>
      <c r="M512">
        <v>5.2089885863285241</v>
      </c>
      <c r="N512">
        <v>6.2645066221871417</v>
      </c>
      <c r="O512">
        <v>4.8571492410423183</v>
      </c>
    </row>
    <row r="513" spans="1:15">
      <c r="A513" s="19">
        <v>43045</v>
      </c>
      <c r="B513">
        <v>3375</v>
      </c>
      <c r="C513">
        <v>3395</v>
      </c>
      <c r="D513">
        <v>621.20000000000005</v>
      </c>
      <c r="E513">
        <v>614.5</v>
      </c>
      <c r="F513">
        <v>5.5248169243287197</v>
      </c>
      <c r="G513">
        <v>5.5510151873678399</v>
      </c>
      <c r="H513">
        <v>0.36260043934403302</v>
      </c>
      <c r="I513">
        <v>-7.2251051561101301E-2</v>
      </c>
      <c r="J513">
        <v>-0.47</v>
      </c>
      <c r="L513">
        <v>5.9136156267118727</v>
      </c>
      <c r="M513">
        <v>5.1884147480238072</v>
      </c>
      <c r="N513">
        <v>6.2762160660559063</v>
      </c>
      <c r="O513">
        <v>4.8258143086797736</v>
      </c>
    </row>
    <row r="514" spans="1:15">
      <c r="A514" s="19">
        <v>43041</v>
      </c>
      <c r="B514">
        <v>3395</v>
      </c>
      <c r="C514">
        <v>3395</v>
      </c>
      <c r="D514">
        <v>624.79999999999995</v>
      </c>
      <c r="E514">
        <v>623.1</v>
      </c>
      <c r="F514">
        <v>5.4485636334456702</v>
      </c>
      <c r="G514">
        <v>5.5398317144902798</v>
      </c>
      <c r="H514">
        <v>0.37592584188293698</v>
      </c>
      <c r="I514">
        <v>-0.242782141784842</v>
      </c>
      <c r="J514">
        <v>-1.68</v>
      </c>
      <c r="L514">
        <v>5.915757556373217</v>
      </c>
      <c r="M514">
        <v>5.1639058726073426</v>
      </c>
      <c r="N514">
        <v>6.2916833982561542</v>
      </c>
      <c r="O514">
        <v>4.7879800307244054</v>
      </c>
    </row>
    <row r="515" spans="1:15">
      <c r="A515" s="19">
        <v>43040</v>
      </c>
      <c r="B515">
        <v>3370</v>
      </c>
      <c r="C515">
        <v>3390</v>
      </c>
      <c r="D515">
        <v>615.79999999999995</v>
      </c>
      <c r="E515">
        <v>618.5</v>
      </c>
      <c r="F515">
        <v>5.48100242522231</v>
      </c>
      <c r="G515">
        <v>5.5290405679413599</v>
      </c>
      <c r="H515">
        <v>0.38975277743098002</v>
      </c>
      <c r="I515">
        <v>-0.12325285540153701</v>
      </c>
      <c r="J515">
        <v>-0.88</v>
      </c>
      <c r="L515">
        <v>5.9187933453723396</v>
      </c>
      <c r="M515">
        <v>5.1392877905103802</v>
      </c>
      <c r="N515">
        <v>6.3085461228033202</v>
      </c>
      <c r="O515">
        <v>4.7495350130793996</v>
      </c>
    </row>
    <row r="516" spans="1:15">
      <c r="A516" s="19">
        <v>43039</v>
      </c>
      <c r="B516">
        <v>3315</v>
      </c>
      <c r="C516">
        <v>3340</v>
      </c>
      <c r="D516">
        <v>616.20000000000005</v>
      </c>
      <c r="E516">
        <v>608.20000000000005</v>
      </c>
      <c r="F516">
        <v>5.4916146004603696</v>
      </c>
      <c r="G516">
        <v>5.5186617726835197</v>
      </c>
      <c r="H516">
        <v>0.40109302978880101</v>
      </c>
      <c r="I516">
        <v>-6.7433663051663997E-2</v>
      </c>
      <c r="J516">
        <v>-0.49</v>
      </c>
      <c r="L516">
        <v>5.9197548024723208</v>
      </c>
      <c r="M516">
        <v>5.1175687428947185</v>
      </c>
      <c r="N516">
        <v>6.3208478322611219</v>
      </c>
      <c r="O516">
        <v>4.7164757131059174</v>
      </c>
    </row>
    <row r="517" spans="1:15">
      <c r="A517" s="19">
        <v>43038</v>
      </c>
      <c r="B517">
        <v>3320</v>
      </c>
      <c r="C517">
        <v>3305</v>
      </c>
      <c r="D517">
        <v>619.1</v>
      </c>
      <c r="E517">
        <v>625.29999999999995</v>
      </c>
      <c r="F517">
        <v>5.2854629777706696</v>
      </c>
      <c r="G517">
        <v>5.5072915379012199</v>
      </c>
      <c r="H517">
        <v>0.41359106570167198</v>
      </c>
      <c r="I517">
        <v>-0.53634756291027896</v>
      </c>
      <c r="J517">
        <v>-4.2</v>
      </c>
      <c r="L517">
        <v>5.9208826036028919</v>
      </c>
      <c r="M517">
        <v>5.093700472199548</v>
      </c>
      <c r="N517">
        <v>6.3344736693045638</v>
      </c>
      <c r="O517">
        <v>4.6801094064978761</v>
      </c>
    </row>
    <row r="518" spans="1:15">
      <c r="A518" s="19">
        <v>43035</v>
      </c>
      <c r="B518">
        <v>3305</v>
      </c>
      <c r="C518">
        <v>3310</v>
      </c>
      <c r="D518">
        <v>618</v>
      </c>
      <c r="E518">
        <v>625.20000000000005</v>
      </c>
      <c r="F518">
        <v>5.2943058221369101</v>
      </c>
      <c r="G518">
        <v>5.49729797209213</v>
      </c>
      <c r="H518">
        <v>0.427646777980634</v>
      </c>
      <c r="I518">
        <v>-0.47467246430279503</v>
      </c>
      <c r="J518">
        <v>-3.83</v>
      </c>
      <c r="L518">
        <v>5.9249447500727639</v>
      </c>
      <c r="M518">
        <v>5.0696511941114961</v>
      </c>
      <c r="N518">
        <v>6.3525915280533978</v>
      </c>
      <c r="O518">
        <v>4.6420044161308622</v>
      </c>
    </row>
    <row r="519" spans="1:15">
      <c r="A519" s="19">
        <v>43034</v>
      </c>
      <c r="B519">
        <v>3275</v>
      </c>
      <c r="C519">
        <v>3260</v>
      </c>
      <c r="D519">
        <v>614.9</v>
      </c>
      <c r="E519">
        <v>613.5</v>
      </c>
      <c r="F519">
        <v>5.31377343113284</v>
      </c>
      <c r="G519">
        <v>5.4869528360353099</v>
      </c>
      <c r="H519">
        <v>0.44158956701811702</v>
      </c>
      <c r="I519">
        <v>-0.39217277272169898</v>
      </c>
      <c r="J519">
        <v>-3.26</v>
      </c>
      <c r="L519">
        <v>5.9285424030534273</v>
      </c>
      <c r="M519">
        <v>5.0453632690171926</v>
      </c>
      <c r="N519">
        <v>6.3701319700715437</v>
      </c>
      <c r="O519">
        <v>4.6037737019990761</v>
      </c>
    </row>
    <row r="520" spans="1:15">
      <c r="A520" s="19">
        <v>43033</v>
      </c>
      <c r="B520">
        <v>3290</v>
      </c>
      <c r="C520">
        <v>3255</v>
      </c>
      <c r="D520">
        <v>604</v>
      </c>
      <c r="E520">
        <v>611.20000000000005</v>
      </c>
      <c r="F520">
        <v>5.3255890052356003</v>
      </c>
      <c r="G520">
        <v>5.4753885112644003</v>
      </c>
      <c r="H520">
        <v>0.45705911916427</v>
      </c>
      <c r="I520">
        <v>-0.32774645499407501</v>
      </c>
      <c r="J520">
        <v>-2.81</v>
      </c>
      <c r="L520">
        <v>5.93244763042867</v>
      </c>
      <c r="M520">
        <v>5.0183293921001306</v>
      </c>
      <c r="N520">
        <v>6.3895067495929405</v>
      </c>
      <c r="O520">
        <v>4.5612702729358601</v>
      </c>
    </row>
    <row r="521" spans="1:15">
      <c r="A521" s="19">
        <v>43032</v>
      </c>
      <c r="B521">
        <v>3310</v>
      </c>
      <c r="C521">
        <v>3295</v>
      </c>
      <c r="D521">
        <v>586.4</v>
      </c>
      <c r="E521">
        <v>592.70000000000005</v>
      </c>
      <c r="F521">
        <v>5.55930487599122</v>
      </c>
      <c r="G521">
        <v>5.4631303874740702</v>
      </c>
      <c r="H521">
        <v>0.47296397167655702</v>
      </c>
      <c r="I521">
        <v>0.203344217057882</v>
      </c>
      <c r="J521">
        <v>1.73</v>
      </c>
      <c r="L521">
        <v>5.9360943591506272</v>
      </c>
      <c r="M521">
        <v>4.9901664157975132</v>
      </c>
      <c r="N521">
        <v>6.4090583308271842</v>
      </c>
      <c r="O521">
        <v>4.5172024441209562</v>
      </c>
    </row>
    <row r="522" spans="1:15">
      <c r="A522" s="19">
        <v>43031</v>
      </c>
      <c r="B522">
        <v>3310</v>
      </c>
      <c r="C522">
        <v>3310</v>
      </c>
      <c r="D522">
        <v>594</v>
      </c>
      <c r="E522">
        <v>587.70000000000005</v>
      </c>
      <c r="F522">
        <v>5.6321252339629</v>
      </c>
      <c r="G522">
        <v>5.4499284210300099</v>
      </c>
      <c r="H522">
        <v>0.483790384045582</v>
      </c>
      <c r="I522">
        <v>0.37660279935561503</v>
      </c>
      <c r="J522">
        <v>3.23</v>
      </c>
      <c r="L522">
        <v>5.9337188050755918</v>
      </c>
      <c r="M522">
        <v>4.9661380369844279</v>
      </c>
      <c r="N522">
        <v>6.4175091891211737</v>
      </c>
      <c r="O522">
        <v>4.482347652938846</v>
      </c>
    </row>
    <row r="523" spans="1:15">
      <c r="A523" s="19">
        <v>43028</v>
      </c>
      <c r="B523">
        <v>3250</v>
      </c>
      <c r="C523">
        <v>3270</v>
      </c>
      <c r="D523">
        <v>586.79999999999995</v>
      </c>
      <c r="E523">
        <v>585.79999999999995</v>
      </c>
      <c r="F523">
        <v>5.5821099351314398</v>
      </c>
      <c r="G523">
        <v>5.4343484725334701</v>
      </c>
      <c r="H523">
        <v>0.49632476929221198</v>
      </c>
      <c r="I523">
        <v>0.297711240179864</v>
      </c>
      <c r="J523">
        <v>2.65</v>
      </c>
      <c r="L523">
        <v>5.9306732418256818</v>
      </c>
      <c r="M523">
        <v>4.9380237032412584</v>
      </c>
      <c r="N523">
        <v>6.4269980111178944</v>
      </c>
      <c r="O523">
        <v>4.4416989339490458</v>
      </c>
    </row>
    <row r="524" spans="1:15">
      <c r="A524" s="19">
        <v>43027</v>
      </c>
      <c r="B524">
        <v>3240</v>
      </c>
      <c r="C524">
        <v>3250</v>
      </c>
      <c r="D524">
        <v>595</v>
      </c>
      <c r="E524">
        <v>592.4</v>
      </c>
      <c r="F524">
        <v>5.4861580013504296</v>
      </c>
      <c r="G524">
        <v>5.4197515907325702</v>
      </c>
      <c r="H524">
        <v>0.50773188428472904</v>
      </c>
      <c r="I524">
        <v>0.13079031014846201</v>
      </c>
      <c r="J524">
        <v>1.21</v>
      </c>
      <c r="L524">
        <v>5.9274834750172989</v>
      </c>
      <c r="M524">
        <v>4.9120197064478415</v>
      </c>
      <c r="N524">
        <v>6.4352153593020285</v>
      </c>
      <c r="O524">
        <v>4.4042878221631119</v>
      </c>
    </row>
    <row r="525" spans="1:15">
      <c r="A525" s="19">
        <v>43026</v>
      </c>
      <c r="B525">
        <v>3255</v>
      </c>
      <c r="C525">
        <v>3255</v>
      </c>
      <c r="D525">
        <v>597.5</v>
      </c>
      <c r="E525">
        <v>591.4</v>
      </c>
      <c r="F525">
        <v>5.5038890767669901</v>
      </c>
      <c r="G525">
        <v>5.4071148087582204</v>
      </c>
      <c r="H525">
        <v>0.51761981298569704</v>
      </c>
      <c r="I525">
        <v>0.18696013093193301</v>
      </c>
      <c r="J525">
        <v>1.76</v>
      </c>
      <c r="L525">
        <v>5.9247346217439176</v>
      </c>
      <c r="M525">
        <v>4.8894949957725231</v>
      </c>
      <c r="N525">
        <v>6.442354434729614</v>
      </c>
      <c r="O525">
        <v>4.3718751827868267</v>
      </c>
    </row>
    <row r="526" spans="1:15">
      <c r="A526" s="19">
        <v>43025</v>
      </c>
      <c r="B526">
        <v>3280</v>
      </c>
      <c r="C526">
        <v>3255</v>
      </c>
      <c r="D526">
        <v>592</v>
      </c>
      <c r="E526">
        <v>595.5</v>
      </c>
      <c r="F526">
        <v>5.4659949622166204</v>
      </c>
      <c r="G526">
        <v>5.3957749644051303</v>
      </c>
      <c r="H526">
        <v>0.52464394945392001</v>
      </c>
      <c r="I526">
        <v>0.13384314807132799</v>
      </c>
      <c r="J526">
        <v>1.28</v>
      </c>
      <c r="L526">
        <v>5.9204189138590504</v>
      </c>
      <c r="M526">
        <v>4.8711310149512101</v>
      </c>
      <c r="N526">
        <v>6.4450628633129705</v>
      </c>
      <c r="O526">
        <v>4.34648706549729</v>
      </c>
    </row>
    <row r="527" spans="1:15">
      <c r="A527" s="19">
        <v>43024</v>
      </c>
      <c r="B527">
        <v>3320</v>
      </c>
      <c r="C527">
        <v>3255</v>
      </c>
      <c r="D527">
        <v>570.70000000000005</v>
      </c>
      <c r="E527">
        <v>587.1</v>
      </c>
      <c r="F527">
        <v>5.54420030659172</v>
      </c>
      <c r="G527">
        <v>5.3855934442739901</v>
      </c>
      <c r="H527">
        <v>0.53055863871709597</v>
      </c>
      <c r="I527">
        <v>0.29894313416749102</v>
      </c>
      <c r="J527">
        <v>2.86</v>
      </c>
      <c r="L527">
        <v>5.9161520829910863</v>
      </c>
      <c r="M527">
        <v>4.8550348055568939</v>
      </c>
      <c r="N527">
        <v>6.4467107217081825</v>
      </c>
      <c r="O527">
        <v>4.3244761668397977</v>
      </c>
    </row>
    <row r="528" spans="1:15">
      <c r="A528" s="19">
        <v>43021</v>
      </c>
      <c r="B528">
        <v>3305</v>
      </c>
      <c r="C528">
        <v>3320</v>
      </c>
      <c r="D528">
        <v>565</v>
      </c>
      <c r="E528">
        <v>569.20000000000005</v>
      </c>
      <c r="F528">
        <v>5.8327477160927597</v>
      </c>
      <c r="G528">
        <v>5.3785995036510403</v>
      </c>
      <c r="H528">
        <v>0.531877448633442</v>
      </c>
      <c r="I528">
        <v>0.85385874811682205</v>
      </c>
      <c r="J528">
        <v>7.79</v>
      </c>
      <c r="L528">
        <v>5.9104769522844824</v>
      </c>
      <c r="M528">
        <v>4.8467220550175982</v>
      </c>
      <c r="N528">
        <v>6.4423544009179246</v>
      </c>
      <c r="O528">
        <v>4.3148446063841561</v>
      </c>
    </row>
    <row r="529" spans="1:15">
      <c r="A529" s="19">
        <v>43020</v>
      </c>
      <c r="B529">
        <v>3325</v>
      </c>
      <c r="C529">
        <v>3305</v>
      </c>
      <c r="D529">
        <v>572</v>
      </c>
      <c r="E529">
        <v>566.1</v>
      </c>
      <c r="F529">
        <v>5.8381911323087703</v>
      </c>
      <c r="G529">
        <v>5.3678050015932701</v>
      </c>
      <c r="H529">
        <v>0.5307650959354</v>
      </c>
      <c r="I529">
        <v>0.88624164308791897</v>
      </c>
      <c r="J529">
        <v>8.06</v>
      </c>
      <c r="L529">
        <v>5.8985700975286699</v>
      </c>
      <c r="M529">
        <v>4.8370399056578703</v>
      </c>
      <c r="N529">
        <v>6.4293351934640697</v>
      </c>
      <c r="O529">
        <v>4.3062748097224706</v>
      </c>
    </row>
    <row r="530" spans="1:15">
      <c r="A530" s="19">
        <v>43019</v>
      </c>
      <c r="B530">
        <v>3280</v>
      </c>
      <c r="C530">
        <v>3295</v>
      </c>
      <c r="D530">
        <v>576.6</v>
      </c>
      <c r="E530">
        <v>573.29999999999995</v>
      </c>
      <c r="F530">
        <v>5.7474271759985998</v>
      </c>
      <c r="G530">
        <v>5.3555547630296001</v>
      </c>
      <c r="H530">
        <v>0.53036964463178105</v>
      </c>
      <c r="I530">
        <v>0.73886659414880596</v>
      </c>
      <c r="J530">
        <v>6.82</v>
      </c>
      <c r="L530">
        <v>5.8859244076613813</v>
      </c>
      <c r="M530">
        <v>4.8251851183978189</v>
      </c>
      <c r="N530">
        <v>6.4162940522931624</v>
      </c>
      <c r="O530">
        <v>4.2948154737660378</v>
      </c>
    </row>
    <row r="531" spans="1:15">
      <c r="A531" s="19">
        <v>43018</v>
      </c>
      <c r="B531">
        <v>3225</v>
      </c>
      <c r="C531">
        <v>3265</v>
      </c>
      <c r="D531">
        <v>578.6</v>
      </c>
      <c r="E531">
        <v>577.79999999999995</v>
      </c>
      <c r="F531">
        <v>5.6507442021460701</v>
      </c>
      <c r="G531">
        <v>5.3459542390944597</v>
      </c>
      <c r="H531">
        <v>0.52970575172801904</v>
      </c>
      <c r="I531">
        <v>0.57539485281652303</v>
      </c>
      <c r="J531">
        <v>5.39</v>
      </c>
      <c r="L531">
        <v>5.8756599908224789</v>
      </c>
      <c r="M531">
        <v>4.8162484873664404</v>
      </c>
      <c r="N531">
        <v>6.4053657425504973</v>
      </c>
      <c r="O531">
        <v>4.286542735638422</v>
      </c>
    </row>
    <row r="532" spans="1:15">
      <c r="A532" s="19">
        <v>43014</v>
      </c>
      <c r="B532">
        <v>3285</v>
      </c>
      <c r="C532">
        <v>3220</v>
      </c>
      <c r="D532">
        <v>575</v>
      </c>
      <c r="E532">
        <v>577.1</v>
      </c>
      <c r="F532">
        <v>5.5796222491769099</v>
      </c>
      <c r="G532">
        <v>5.3377070282635799</v>
      </c>
      <c r="H532">
        <v>0.52971130745442996</v>
      </c>
      <c r="I532">
        <v>0.45669257482131798</v>
      </c>
      <c r="J532">
        <v>4.34</v>
      </c>
      <c r="L532">
        <v>5.8674183357180096</v>
      </c>
      <c r="M532">
        <v>4.8079957208091502</v>
      </c>
      <c r="N532">
        <v>6.3971296431724394</v>
      </c>
      <c r="O532">
        <v>4.2782844133547204</v>
      </c>
    </row>
    <row r="533" spans="1:15">
      <c r="A533" s="19">
        <v>43013</v>
      </c>
      <c r="B533">
        <v>3235</v>
      </c>
      <c r="C533">
        <v>3265</v>
      </c>
      <c r="D533">
        <v>573.4</v>
      </c>
      <c r="E533">
        <v>572.20000000000005</v>
      </c>
      <c r="F533">
        <v>5.7060468367703496</v>
      </c>
      <c r="G533">
        <v>5.3303044828013801</v>
      </c>
      <c r="H533">
        <v>0.53015801481552904</v>
      </c>
      <c r="I533">
        <v>0.70873653414391702</v>
      </c>
      <c r="J533">
        <v>6.58</v>
      </c>
      <c r="L533">
        <v>5.8604624976169095</v>
      </c>
      <c r="M533">
        <v>4.8001464679858508</v>
      </c>
      <c r="N533">
        <v>6.390620512432438</v>
      </c>
      <c r="O533">
        <v>4.2699884531703223</v>
      </c>
    </row>
    <row r="534" spans="1:15">
      <c r="A534" s="19">
        <v>43012</v>
      </c>
      <c r="B534">
        <v>3330</v>
      </c>
      <c r="C534">
        <v>3230</v>
      </c>
      <c r="D534">
        <v>575</v>
      </c>
      <c r="E534">
        <v>573.4</v>
      </c>
      <c r="F534">
        <v>5.6330659225671402</v>
      </c>
      <c r="G534">
        <v>5.32055472914164</v>
      </c>
      <c r="H534">
        <v>0.52988206180921005</v>
      </c>
      <c r="I534">
        <v>0.58977500079635303</v>
      </c>
      <c r="J534">
        <v>5.55</v>
      </c>
      <c r="L534">
        <v>5.8504367909508499</v>
      </c>
      <c r="M534">
        <v>4.79067266733243</v>
      </c>
      <c r="N534">
        <v>6.3803188527600598</v>
      </c>
      <c r="O534">
        <v>4.2607906055232201</v>
      </c>
    </row>
    <row r="535" spans="1:15">
      <c r="A535" s="19">
        <v>43011</v>
      </c>
      <c r="B535">
        <v>3345</v>
      </c>
      <c r="C535">
        <v>3330</v>
      </c>
      <c r="D535">
        <v>577</v>
      </c>
      <c r="E535">
        <v>572.20000000000005</v>
      </c>
      <c r="F535">
        <v>5.8196434813002398</v>
      </c>
      <c r="G535">
        <v>5.31087552978682</v>
      </c>
      <c r="H535">
        <v>0.53071471974569095</v>
      </c>
      <c r="I535">
        <v>0.95864676931744197</v>
      </c>
      <c r="J535">
        <v>8.74</v>
      </c>
      <c r="L535">
        <v>5.8415902495325112</v>
      </c>
      <c r="M535">
        <v>4.7801608100411288</v>
      </c>
      <c r="N535">
        <v>6.3723049692782023</v>
      </c>
      <c r="O535">
        <v>4.2494460902954376</v>
      </c>
    </row>
    <row r="536" spans="1:15">
      <c r="A536" s="19">
        <v>43010</v>
      </c>
      <c r="B536">
        <v>3340</v>
      </c>
      <c r="C536">
        <v>3330</v>
      </c>
      <c r="D536">
        <v>577.29999999999995</v>
      </c>
      <c r="E536">
        <v>573.4</v>
      </c>
      <c r="F536">
        <v>5.8074642483432104</v>
      </c>
      <c r="G536">
        <v>5.3006740575117197</v>
      </c>
      <c r="H536">
        <v>0.52818456258962299</v>
      </c>
      <c r="I536">
        <v>0.95949451522543105</v>
      </c>
      <c r="J536">
        <v>8.73</v>
      </c>
      <c r="L536">
        <v>5.828858620101343</v>
      </c>
      <c r="M536">
        <v>4.7724894949220964</v>
      </c>
      <c r="N536">
        <v>6.3570431826909655</v>
      </c>
      <c r="O536">
        <v>4.244304932332474</v>
      </c>
    </row>
    <row r="537" spans="1:15">
      <c r="A537" s="19">
        <v>43007</v>
      </c>
      <c r="B537">
        <v>3325</v>
      </c>
      <c r="C537">
        <v>3315</v>
      </c>
      <c r="D537">
        <v>570.9</v>
      </c>
      <c r="E537">
        <v>578</v>
      </c>
      <c r="F537">
        <v>5.73529411764705</v>
      </c>
      <c r="G537">
        <v>5.2875784166186701</v>
      </c>
      <c r="H537">
        <v>0.52763257806268304</v>
      </c>
      <c r="I537">
        <v>0.84853687896275498</v>
      </c>
      <c r="J537">
        <v>7.81</v>
      </c>
      <c r="L537">
        <v>5.8152109946813528</v>
      </c>
      <c r="M537">
        <v>4.7599458385559874</v>
      </c>
      <c r="N537">
        <v>6.3428435727440364</v>
      </c>
      <c r="O537">
        <v>4.2323132604933038</v>
      </c>
    </row>
    <row r="538" spans="1:15">
      <c r="A538" s="19">
        <v>43006</v>
      </c>
      <c r="B538">
        <v>3350</v>
      </c>
      <c r="C538">
        <v>3325</v>
      </c>
      <c r="D538">
        <v>569</v>
      </c>
      <c r="E538">
        <v>573.5</v>
      </c>
      <c r="F538">
        <v>5.7977332170880498</v>
      </c>
      <c r="G538">
        <v>5.2755526449970098</v>
      </c>
      <c r="H538">
        <v>0.52756961951784598</v>
      </c>
      <c r="I538">
        <v>0.98978514450522903</v>
      </c>
      <c r="J538">
        <v>9.01</v>
      </c>
      <c r="L538">
        <v>5.8031222645148555</v>
      </c>
      <c r="M538">
        <v>4.7479830254791642</v>
      </c>
      <c r="N538">
        <v>6.330691884032702</v>
      </c>
      <c r="O538">
        <v>4.2204134059613176</v>
      </c>
    </row>
    <row r="539" spans="1:15">
      <c r="A539" s="19">
        <v>43005</v>
      </c>
      <c r="B539">
        <v>3370</v>
      </c>
      <c r="C539">
        <v>3355</v>
      </c>
      <c r="D539">
        <v>555.9</v>
      </c>
      <c r="E539">
        <v>559</v>
      </c>
      <c r="F539">
        <v>6.0017889087656497</v>
      </c>
      <c r="G539">
        <v>5.2634601089125397</v>
      </c>
      <c r="H539">
        <v>0.52585331258781398</v>
      </c>
      <c r="I539">
        <v>1.4040584744435001</v>
      </c>
      <c r="J539">
        <v>12.3</v>
      </c>
      <c r="L539">
        <v>5.7893134215003537</v>
      </c>
      <c r="M539">
        <v>4.7376067963247257</v>
      </c>
      <c r="N539">
        <v>6.3151667340881676</v>
      </c>
      <c r="O539">
        <v>4.2117534837369117</v>
      </c>
    </row>
    <row r="540" spans="1:15">
      <c r="A540" s="19">
        <v>43004</v>
      </c>
      <c r="B540">
        <v>3375</v>
      </c>
      <c r="C540">
        <v>3370</v>
      </c>
      <c r="D540">
        <v>567.20000000000005</v>
      </c>
      <c r="E540">
        <v>567.6</v>
      </c>
      <c r="F540">
        <v>5.9372797744890704</v>
      </c>
      <c r="G540">
        <v>5.2478937841295599</v>
      </c>
      <c r="H540">
        <v>0.52102451875678402</v>
      </c>
      <c r="I540">
        <v>1.3231354102191899</v>
      </c>
      <c r="J540">
        <v>11.61</v>
      </c>
      <c r="L540">
        <v>5.7689183028863438</v>
      </c>
      <c r="M540">
        <v>4.726869265372776</v>
      </c>
      <c r="N540">
        <v>6.2899428216431277</v>
      </c>
      <c r="O540">
        <v>4.2058447466159921</v>
      </c>
    </row>
    <row r="541" spans="1:15">
      <c r="A541" s="19">
        <v>43003</v>
      </c>
      <c r="B541">
        <v>3350</v>
      </c>
      <c r="C541">
        <v>3375</v>
      </c>
      <c r="D541">
        <v>570</v>
      </c>
      <c r="E541">
        <v>567</v>
      </c>
      <c r="F541">
        <v>5.9523809523809499</v>
      </c>
      <c r="G541">
        <v>5.2350576224703804</v>
      </c>
      <c r="H541">
        <v>0.51571423339334299</v>
      </c>
      <c r="I541">
        <v>1.3909318057612099</v>
      </c>
      <c r="J541">
        <v>12.05</v>
      </c>
      <c r="L541">
        <v>5.7507718558637233</v>
      </c>
      <c r="M541">
        <v>4.7193433890770375</v>
      </c>
      <c r="N541">
        <v>6.2664860892570662</v>
      </c>
      <c r="O541">
        <v>4.2036291556836947</v>
      </c>
    </row>
    <row r="542" spans="1:15">
      <c r="A542" s="19">
        <v>43000</v>
      </c>
      <c r="B542">
        <v>3305</v>
      </c>
      <c r="C542">
        <v>3335</v>
      </c>
      <c r="D542">
        <v>565.20000000000005</v>
      </c>
      <c r="E542">
        <v>567.79999999999995</v>
      </c>
      <c r="F542">
        <v>5.8735470235998504</v>
      </c>
      <c r="G542">
        <v>5.2249206497165899</v>
      </c>
      <c r="H542">
        <v>0.50894233902455099</v>
      </c>
      <c r="I542">
        <v>1.2744594508022999</v>
      </c>
      <c r="J542">
        <v>11.04</v>
      </c>
      <c r="L542">
        <v>5.7338629887411408</v>
      </c>
      <c r="M542">
        <v>4.715978310692039</v>
      </c>
      <c r="N542">
        <v>6.2428053277656916</v>
      </c>
      <c r="O542">
        <v>4.2070359716674881</v>
      </c>
    </row>
    <row r="543" spans="1:15">
      <c r="A543" s="19">
        <v>42999</v>
      </c>
      <c r="B543">
        <v>3355</v>
      </c>
      <c r="C543">
        <v>3330</v>
      </c>
      <c r="D543">
        <v>565.4</v>
      </c>
      <c r="E543">
        <v>560.9</v>
      </c>
      <c r="F543">
        <v>5.9368871456587602</v>
      </c>
      <c r="G543">
        <v>5.2172874690884301</v>
      </c>
      <c r="H543">
        <v>0.50342008596087995</v>
      </c>
      <c r="I543">
        <v>1.4294218618568399</v>
      </c>
      <c r="J543">
        <v>12.12</v>
      </c>
      <c r="L543">
        <v>5.7207075550493105</v>
      </c>
      <c r="M543">
        <v>4.7138673831275497</v>
      </c>
      <c r="N543">
        <v>6.22412764101019</v>
      </c>
      <c r="O543">
        <v>4.2104472971666702</v>
      </c>
    </row>
    <row r="544" spans="1:15">
      <c r="A544" s="19">
        <v>42998</v>
      </c>
      <c r="B544">
        <v>3420</v>
      </c>
      <c r="C544">
        <v>3330</v>
      </c>
      <c r="D544">
        <v>553.9</v>
      </c>
      <c r="E544">
        <v>558.1</v>
      </c>
      <c r="F544">
        <v>5.96667263931195</v>
      </c>
      <c r="G544">
        <v>5.2077756028019602</v>
      </c>
      <c r="H544">
        <v>0.49642472295488699</v>
      </c>
      <c r="I544">
        <v>1.5287253060096899</v>
      </c>
      <c r="J544">
        <v>12.72</v>
      </c>
      <c r="L544">
        <v>5.7042003257568474</v>
      </c>
      <c r="M544">
        <v>4.7113508798470729</v>
      </c>
      <c r="N544">
        <v>6.2006250487117338</v>
      </c>
      <c r="O544">
        <v>4.2149261568921865</v>
      </c>
    </row>
    <row r="545" spans="1:15">
      <c r="A545" s="19">
        <v>42997</v>
      </c>
      <c r="B545">
        <v>3340</v>
      </c>
      <c r="C545">
        <v>3390</v>
      </c>
      <c r="D545">
        <v>553</v>
      </c>
      <c r="E545">
        <v>552.9</v>
      </c>
      <c r="F545">
        <v>6.1313076505697204</v>
      </c>
      <c r="G545">
        <v>5.1941812872925901</v>
      </c>
      <c r="H545">
        <v>0.48936666693023201</v>
      </c>
      <c r="I545">
        <v>1.91497792270092</v>
      </c>
      <c r="J545">
        <v>15.28</v>
      </c>
      <c r="L545">
        <v>5.6835479542228224</v>
      </c>
      <c r="M545">
        <v>4.7048146203623578</v>
      </c>
      <c r="N545">
        <v>6.1729146211530539</v>
      </c>
      <c r="O545">
        <v>4.2154479534321263</v>
      </c>
    </row>
    <row r="546" spans="1:15">
      <c r="A546" s="19">
        <v>42993</v>
      </c>
      <c r="B546">
        <v>3330</v>
      </c>
      <c r="C546">
        <v>3340</v>
      </c>
      <c r="D546">
        <v>535.79999999999995</v>
      </c>
      <c r="E546">
        <v>542.70000000000005</v>
      </c>
      <c r="F546">
        <v>6.1544131195872396</v>
      </c>
      <c r="G546">
        <v>5.18031569729437</v>
      </c>
      <c r="H546">
        <v>0.47719907188390998</v>
      </c>
      <c r="I546">
        <v>2.04128104953617</v>
      </c>
      <c r="J546">
        <v>15.83</v>
      </c>
      <c r="L546">
        <v>5.6575147691782801</v>
      </c>
      <c r="M546">
        <v>4.7031166254104599</v>
      </c>
      <c r="N546">
        <v>6.1347138410621902</v>
      </c>
      <c r="O546">
        <v>4.2259175535265499</v>
      </c>
    </row>
    <row r="547" spans="1:15">
      <c r="A547" s="19">
        <v>42992</v>
      </c>
      <c r="B547">
        <v>3400</v>
      </c>
      <c r="C547">
        <v>3370</v>
      </c>
      <c r="D547">
        <v>540.6</v>
      </c>
      <c r="E547">
        <v>538.4</v>
      </c>
      <c r="F547">
        <v>6.2592867756314998</v>
      </c>
      <c r="G547">
        <v>5.1660881597408101</v>
      </c>
      <c r="H547">
        <v>0.46365960351520602</v>
      </c>
      <c r="I547">
        <v>2.3577611842883699</v>
      </c>
      <c r="J547">
        <v>17.47</v>
      </c>
      <c r="L547">
        <v>5.6297477632560158</v>
      </c>
      <c r="M547">
        <v>4.7024285562256045</v>
      </c>
      <c r="N547">
        <v>6.0934073667712223</v>
      </c>
      <c r="O547">
        <v>4.238768952710398</v>
      </c>
    </row>
    <row r="548" spans="1:15">
      <c r="A548" s="19">
        <v>42991</v>
      </c>
      <c r="B548">
        <v>3350</v>
      </c>
      <c r="C548">
        <v>3400</v>
      </c>
      <c r="D548">
        <v>543</v>
      </c>
      <c r="E548">
        <v>540.1</v>
      </c>
      <c r="F548">
        <v>6.2951305313830703</v>
      </c>
      <c r="G548">
        <v>5.15030008699443</v>
      </c>
      <c r="H548">
        <v>0.44598958420725299</v>
      </c>
      <c r="I548">
        <v>2.5669443523520301</v>
      </c>
      <c r="J548">
        <v>18.190000000000001</v>
      </c>
      <c r="L548">
        <v>5.5962896712016832</v>
      </c>
      <c r="M548">
        <v>4.7043105027871768</v>
      </c>
      <c r="N548">
        <v>6.0422792554089355</v>
      </c>
      <c r="O548">
        <v>4.2583209185799245</v>
      </c>
    </row>
    <row r="549" spans="1:15">
      <c r="A549" s="19">
        <v>42990</v>
      </c>
      <c r="B549">
        <v>3320</v>
      </c>
      <c r="C549">
        <v>3355</v>
      </c>
      <c r="D549">
        <v>538</v>
      </c>
      <c r="E549">
        <v>537.70000000000005</v>
      </c>
      <c r="F549">
        <v>6.2395387762692902</v>
      </c>
      <c r="G549">
        <v>5.1334545128903004</v>
      </c>
      <c r="H549">
        <v>0.425834810926216</v>
      </c>
      <c r="I549">
        <v>2.5974491398981501</v>
      </c>
      <c r="J549">
        <v>17.73</v>
      </c>
      <c r="L549">
        <v>5.5592893238165164</v>
      </c>
      <c r="M549">
        <v>4.7076197019640844</v>
      </c>
      <c r="N549">
        <v>5.9851241347427324</v>
      </c>
      <c r="O549">
        <v>4.2817848910378684</v>
      </c>
    </row>
    <row r="550" spans="1:15">
      <c r="A550" s="19">
        <v>42989</v>
      </c>
      <c r="B550">
        <v>3240</v>
      </c>
      <c r="C550">
        <v>3310</v>
      </c>
      <c r="D550">
        <v>528.79999999999995</v>
      </c>
      <c r="E550">
        <v>528.4</v>
      </c>
      <c r="F550">
        <v>6.26419379258137</v>
      </c>
      <c r="G550">
        <v>5.1163441708208897</v>
      </c>
      <c r="H550">
        <v>0.40638509767551501</v>
      </c>
      <c r="I550">
        <v>2.8245366976448598</v>
      </c>
      <c r="J550">
        <v>18.32</v>
      </c>
      <c r="L550">
        <v>5.5227292684964047</v>
      </c>
      <c r="M550">
        <v>4.7099590731453747</v>
      </c>
      <c r="N550">
        <v>5.9291143661719197</v>
      </c>
      <c r="O550">
        <v>4.3035739754698596</v>
      </c>
    </row>
    <row r="551" spans="1:15">
      <c r="A551" s="19">
        <v>42986</v>
      </c>
      <c r="B551">
        <v>3195</v>
      </c>
      <c r="C551">
        <v>3205</v>
      </c>
      <c r="D551">
        <v>526.79999999999995</v>
      </c>
      <c r="E551">
        <v>524.20000000000005</v>
      </c>
      <c r="F551">
        <v>6.11407859595574</v>
      </c>
      <c r="G551">
        <v>5.0992213548339302</v>
      </c>
      <c r="H551">
        <v>0.38410432583667697</v>
      </c>
      <c r="I551">
        <v>2.64213957734317</v>
      </c>
      <c r="J551">
        <v>16.600000000000001</v>
      </c>
      <c r="L551">
        <v>5.4833256806706068</v>
      </c>
      <c r="M551">
        <v>4.7151170289972537</v>
      </c>
      <c r="N551">
        <v>5.8674300065072842</v>
      </c>
      <c r="O551">
        <v>4.3310127031605763</v>
      </c>
    </row>
    <row r="552" spans="1:15">
      <c r="A552" s="19">
        <v>42985</v>
      </c>
      <c r="B552">
        <v>3090</v>
      </c>
      <c r="C552">
        <v>3155</v>
      </c>
      <c r="D552">
        <v>535.79999999999995</v>
      </c>
      <c r="E552">
        <v>531.5</v>
      </c>
      <c r="F552">
        <v>5.9360301034807099</v>
      </c>
      <c r="G552">
        <v>5.0849639884798998</v>
      </c>
      <c r="H552">
        <v>0.36556793461017001</v>
      </c>
      <c r="I552">
        <v>2.3280655506844798</v>
      </c>
      <c r="J552">
        <v>14.34</v>
      </c>
      <c r="L552">
        <v>5.45053192309007</v>
      </c>
      <c r="M552">
        <v>4.7193960538697297</v>
      </c>
      <c r="N552">
        <v>5.8160998577002401</v>
      </c>
      <c r="O552">
        <v>4.3538281192595596</v>
      </c>
    </row>
    <row r="553" spans="1:15">
      <c r="A553" s="19">
        <v>42984</v>
      </c>
      <c r="B553">
        <v>3030</v>
      </c>
      <c r="C553">
        <v>3080</v>
      </c>
      <c r="D553">
        <v>535</v>
      </c>
      <c r="E553">
        <v>534.6</v>
      </c>
      <c r="F553">
        <v>5.7613168724279804</v>
      </c>
      <c r="G553">
        <v>5.0746073339115698</v>
      </c>
      <c r="H553">
        <v>0.35206360366292899</v>
      </c>
      <c r="I553">
        <v>1.95052692573662</v>
      </c>
      <c r="J553">
        <v>11.92</v>
      </c>
      <c r="L553">
        <v>5.4266709375744986</v>
      </c>
      <c r="M553">
        <v>4.722543730248641</v>
      </c>
      <c r="N553">
        <v>5.7787345412374282</v>
      </c>
      <c r="O553">
        <v>4.3704801265857114</v>
      </c>
    </row>
    <row r="554" spans="1:15">
      <c r="A554" s="19">
        <v>42983</v>
      </c>
      <c r="B554">
        <v>3025</v>
      </c>
      <c r="C554">
        <v>3035</v>
      </c>
      <c r="D554">
        <v>545.29999999999995</v>
      </c>
      <c r="E554">
        <v>541.70000000000005</v>
      </c>
      <c r="F554">
        <v>5.60273213956064</v>
      </c>
      <c r="G554">
        <v>5.0659811901093601</v>
      </c>
      <c r="H554">
        <v>0.34293999034128198</v>
      </c>
      <c r="I554">
        <v>1.5651454031859</v>
      </c>
      <c r="J554">
        <v>9.58</v>
      </c>
      <c r="L554">
        <v>5.4089211804506423</v>
      </c>
      <c r="M554">
        <v>4.7230411997680779</v>
      </c>
      <c r="N554">
        <v>5.7518611707919245</v>
      </c>
      <c r="O554">
        <v>4.3801012094267957</v>
      </c>
    </row>
    <row r="555" spans="1:15">
      <c r="A555" s="19">
        <v>42982</v>
      </c>
      <c r="B555">
        <v>3005</v>
      </c>
      <c r="C555">
        <v>3010</v>
      </c>
      <c r="D555">
        <v>546.29999999999995</v>
      </c>
      <c r="E555">
        <v>544.20000000000005</v>
      </c>
      <c r="F555">
        <v>5.5310547592796704</v>
      </c>
      <c r="G555">
        <v>5.0582853170395801</v>
      </c>
      <c r="H555">
        <v>0.33723739536387898</v>
      </c>
      <c r="I555">
        <v>1.40188914023005</v>
      </c>
      <c r="J555">
        <v>8.5500000000000007</v>
      </c>
      <c r="L555">
        <v>5.3955227124034586</v>
      </c>
      <c r="M555">
        <v>4.7210479216757015</v>
      </c>
      <c r="N555">
        <v>5.732760107767338</v>
      </c>
      <c r="O555">
        <v>4.3838105263118221</v>
      </c>
    </row>
    <row r="556" spans="1:15">
      <c r="A556" s="19">
        <v>42979</v>
      </c>
      <c r="B556">
        <v>3060</v>
      </c>
      <c r="C556">
        <v>3000</v>
      </c>
      <c r="D556">
        <v>550.1</v>
      </c>
      <c r="E556">
        <v>548.4</v>
      </c>
      <c r="F556">
        <v>5.4704595185995597</v>
      </c>
      <c r="G556">
        <v>5.0540048993970697</v>
      </c>
      <c r="H556">
        <v>0.333223026925488</v>
      </c>
      <c r="I556">
        <v>1.2497774329851701</v>
      </c>
      <c r="J556">
        <v>7.61</v>
      </c>
      <c r="L556">
        <v>5.3872279263225575</v>
      </c>
      <c r="M556">
        <v>4.7207818724715818</v>
      </c>
      <c r="N556">
        <v>5.7204509532480454</v>
      </c>
      <c r="O556">
        <v>4.3875588455460939</v>
      </c>
    </row>
    <row r="557" spans="1:15">
      <c r="A557" s="19">
        <v>42978</v>
      </c>
      <c r="B557">
        <v>3040</v>
      </c>
      <c r="C557">
        <v>3050</v>
      </c>
      <c r="D557">
        <v>545.6</v>
      </c>
      <c r="E557">
        <v>548.6</v>
      </c>
      <c r="F557">
        <v>5.5596062705067402</v>
      </c>
      <c r="G557">
        <v>5.0495428638487603</v>
      </c>
      <c r="H557">
        <v>0.32984001784873002</v>
      </c>
      <c r="I557">
        <v>1.5463963711398401</v>
      </c>
      <c r="J557">
        <v>9.17</v>
      </c>
      <c r="L557">
        <v>5.3793828816974907</v>
      </c>
      <c r="M557">
        <v>4.7197028460000299</v>
      </c>
      <c r="N557">
        <v>5.7092228995462202</v>
      </c>
      <c r="O557">
        <v>4.3898628281513004</v>
      </c>
    </row>
    <row r="558" spans="1:15">
      <c r="A558" s="19">
        <v>42977</v>
      </c>
      <c r="B558">
        <v>3070</v>
      </c>
      <c r="C558">
        <v>3050</v>
      </c>
      <c r="D558">
        <v>541.1</v>
      </c>
      <c r="E558">
        <v>540.70000000000005</v>
      </c>
      <c r="F558">
        <v>5.64083595339374</v>
      </c>
      <c r="G558">
        <v>5.0414220681129098</v>
      </c>
      <c r="H558">
        <v>0.32463871893109197</v>
      </c>
      <c r="I558">
        <v>1.8464029406426601</v>
      </c>
      <c r="J558">
        <v>10.63</v>
      </c>
      <c r="L558">
        <v>5.3660607870440016</v>
      </c>
      <c r="M558">
        <v>4.7167833491818181</v>
      </c>
      <c r="N558">
        <v>5.6906995059750933</v>
      </c>
      <c r="O558">
        <v>4.3921446302507263</v>
      </c>
    </row>
    <row r="559" spans="1:15">
      <c r="A559" s="19">
        <v>42976</v>
      </c>
      <c r="B559">
        <v>3110</v>
      </c>
      <c r="C559">
        <v>3055</v>
      </c>
      <c r="D559">
        <v>537.9</v>
      </c>
      <c r="E559">
        <v>539.4</v>
      </c>
      <c r="F559">
        <v>5.6637004078605804</v>
      </c>
      <c r="G559">
        <v>5.0306850570453898</v>
      </c>
      <c r="H559">
        <v>0.317882750211125</v>
      </c>
      <c r="I559">
        <v>1.9913485409156899</v>
      </c>
      <c r="J559">
        <v>11.18</v>
      </c>
      <c r="L559">
        <v>5.348567807256515</v>
      </c>
      <c r="M559">
        <v>4.7128023068342646</v>
      </c>
      <c r="N559">
        <v>5.6664505574676394</v>
      </c>
      <c r="O559">
        <v>4.3949195566231403</v>
      </c>
    </row>
    <row r="560" spans="1:15">
      <c r="A560" s="19">
        <v>42975</v>
      </c>
      <c r="B560">
        <v>3085</v>
      </c>
      <c r="C560">
        <v>3080</v>
      </c>
      <c r="D560">
        <v>545</v>
      </c>
      <c r="E560">
        <v>542.70000000000005</v>
      </c>
      <c r="F560">
        <v>5.6753270683618897</v>
      </c>
      <c r="G560">
        <v>5.0151734346885499</v>
      </c>
      <c r="H560">
        <v>0.31498638768743298</v>
      </c>
      <c r="I560">
        <v>2.0958163891463601</v>
      </c>
      <c r="J560">
        <v>11.63</v>
      </c>
      <c r="L560">
        <v>5.3301598223759825</v>
      </c>
      <c r="M560">
        <v>4.7001870470011173</v>
      </c>
      <c r="N560">
        <v>5.645146210063416</v>
      </c>
      <c r="O560">
        <v>4.3852006593136839</v>
      </c>
    </row>
    <row r="561" spans="1:15">
      <c r="A561" s="19">
        <v>42972</v>
      </c>
      <c r="B561">
        <v>3085</v>
      </c>
      <c r="C561">
        <v>3065</v>
      </c>
      <c r="D561">
        <v>541</v>
      </c>
      <c r="E561">
        <v>544.6</v>
      </c>
      <c r="F561">
        <v>5.6279838413514502</v>
      </c>
      <c r="G561">
        <v>4.9977708053787904</v>
      </c>
      <c r="H561">
        <v>0.31408695928012997</v>
      </c>
      <c r="I561">
        <v>2.0064922065438902</v>
      </c>
      <c r="J561">
        <v>11.2</v>
      </c>
      <c r="L561">
        <v>5.31185776465892</v>
      </c>
      <c r="M561">
        <v>4.6836838460986607</v>
      </c>
      <c r="N561">
        <v>5.6259447239390505</v>
      </c>
      <c r="O561">
        <v>4.3695968868185302</v>
      </c>
    </row>
    <row r="562" spans="1:15">
      <c r="A562" s="19">
        <v>42971</v>
      </c>
      <c r="B562">
        <v>3050</v>
      </c>
      <c r="C562">
        <v>3055</v>
      </c>
      <c r="D562">
        <v>545</v>
      </c>
      <c r="E562">
        <v>542.5</v>
      </c>
      <c r="F562">
        <v>5.6313364055299502</v>
      </c>
      <c r="G562">
        <v>4.9808635674044996</v>
      </c>
      <c r="H562">
        <v>0.31383680781655399</v>
      </c>
      <c r="I562">
        <v>2.0726467448192398</v>
      </c>
      <c r="J562">
        <v>11.55</v>
      </c>
      <c r="L562">
        <v>5.294700375221054</v>
      </c>
      <c r="M562">
        <v>4.6670267595879453</v>
      </c>
      <c r="N562">
        <v>5.6085371830376074</v>
      </c>
      <c r="O562">
        <v>4.3531899517713919</v>
      </c>
    </row>
    <row r="563" spans="1:15">
      <c r="A563" s="19">
        <v>42970</v>
      </c>
      <c r="B563">
        <v>3035</v>
      </c>
      <c r="C563">
        <v>3040</v>
      </c>
      <c r="D563">
        <v>551.70000000000005</v>
      </c>
      <c r="E563">
        <v>546.4</v>
      </c>
      <c r="F563">
        <v>5.5636896046852096</v>
      </c>
      <c r="G563">
        <v>4.96340454894563</v>
      </c>
      <c r="H563">
        <v>0.31358697271304597</v>
      </c>
      <c r="I563">
        <v>1.9142538050803599</v>
      </c>
      <c r="J563">
        <v>10.79</v>
      </c>
      <c r="L563">
        <v>5.276991521658676</v>
      </c>
      <c r="M563">
        <v>4.649817576232584</v>
      </c>
      <c r="N563">
        <v>5.5905784943717221</v>
      </c>
      <c r="O563">
        <v>4.3362306035195379</v>
      </c>
    </row>
    <row r="564" spans="1:15">
      <c r="A564" s="19">
        <v>42969</v>
      </c>
      <c r="B564">
        <v>3025</v>
      </c>
      <c r="C564">
        <v>3030</v>
      </c>
      <c r="D564">
        <v>547.79999999999995</v>
      </c>
      <c r="E564">
        <v>546.79999999999995</v>
      </c>
      <c r="F564">
        <v>5.5413313825896102</v>
      </c>
      <c r="G564">
        <v>4.9467481174811399</v>
      </c>
      <c r="H564">
        <v>0.31443583153145999</v>
      </c>
      <c r="I564">
        <v>1.8909526379756201</v>
      </c>
      <c r="J564">
        <v>10.73</v>
      </c>
      <c r="L564">
        <v>5.2611839490126</v>
      </c>
      <c r="M564">
        <v>4.6323122859496797</v>
      </c>
      <c r="N564">
        <v>5.5756197805440602</v>
      </c>
      <c r="O564">
        <v>4.3178764544182195</v>
      </c>
    </row>
    <row r="565" spans="1:15">
      <c r="A565" s="19">
        <v>42968</v>
      </c>
      <c r="B565">
        <v>3045</v>
      </c>
      <c r="C565">
        <v>3010</v>
      </c>
      <c r="D565">
        <v>555</v>
      </c>
      <c r="E565">
        <v>547.79999999999995</v>
      </c>
      <c r="F565">
        <v>5.4947060971157304</v>
      </c>
      <c r="G565">
        <v>4.9283282256029297</v>
      </c>
      <c r="H565">
        <v>0.31948898585501501</v>
      </c>
      <c r="I565">
        <v>1.7727618058477499</v>
      </c>
      <c r="J565">
        <v>10.31</v>
      </c>
      <c r="L565">
        <v>5.2478172114579449</v>
      </c>
      <c r="M565">
        <v>4.6088392397479145</v>
      </c>
      <c r="N565">
        <v>5.5673061973129601</v>
      </c>
      <c r="O565">
        <v>4.2893502538928994</v>
      </c>
    </row>
    <row r="566" spans="1:15">
      <c r="A566" s="19">
        <v>42965</v>
      </c>
      <c r="B566">
        <v>3060</v>
      </c>
      <c r="C566">
        <v>3055</v>
      </c>
      <c r="D566">
        <v>552.20000000000005</v>
      </c>
      <c r="E566">
        <v>553</v>
      </c>
      <c r="F566">
        <v>5.52441229656419</v>
      </c>
      <c r="G566">
        <v>4.9107184333617697</v>
      </c>
      <c r="H566">
        <v>0.32415023170357898</v>
      </c>
      <c r="I566">
        <v>1.8932390082744599</v>
      </c>
      <c r="J566">
        <v>11.11</v>
      </c>
      <c r="L566">
        <v>5.2348686650653491</v>
      </c>
      <c r="M566">
        <v>4.5865682016581903</v>
      </c>
      <c r="N566">
        <v>5.5590188967689276</v>
      </c>
      <c r="O566">
        <v>4.2624179699546119</v>
      </c>
    </row>
    <row r="567" spans="1:15">
      <c r="A567" s="19">
        <v>42964</v>
      </c>
      <c r="B567">
        <v>3110</v>
      </c>
      <c r="C567">
        <v>3070</v>
      </c>
      <c r="D567">
        <v>558.70000000000005</v>
      </c>
      <c r="E567">
        <v>557.70000000000005</v>
      </c>
      <c r="F567">
        <v>5.5047516585978098</v>
      </c>
      <c r="G567">
        <v>4.8911415646641103</v>
      </c>
      <c r="H567">
        <v>0.33076539218142098</v>
      </c>
      <c r="I567">
        <v>1.85512181273527</v>
      </c>
      <c r="J567">
        <v>11.15</v>
      </c>
      <c r="L567">
        <v>5.2219069568455314</v>
      </c>
      <c r="M567">
        <v>4.5603761724826892</v>
      </c>
      <c r="N567">
        <v>5.5526723490269525</v>
      </c>
      <c r="O567">
        <v>4.2296107803012681</v>
      </c>
    </row>
    <row r="568" spans="1:15">
      <c r="A568" s="19">
        <v>42963</v>
      </c>
      <c r="B568">
        <v>3085</v>
      </c>
      <c r="C568">
        <v>3050</v>
      </c>
      <c r="D568">
        <v>564.79999999999995</v>
      </c>
      <c r="E568">
        <v>561.5</v>
      </c>
      <c r="F568">
        <v>5.4318788958147799</v>
      </c>
      <c r="G568">
        <v>4.8708631214413503</v>
      </c>
      <c r="H568">
        <v>0.33904211975697401</v>
      </c>
      <c r="I568">
        <v>1.6547081960659</v>
      </c>
      <c r="J568">
        <v>10.33</v>
      </c>
      <c r="L568">
        <v>5.2099052411983244</v>
      </c>
      <c r="M568">
        <v>4.5318210016843761</v>
      </c>
      <c r="N568">
        <v>5.5489473609552986</v>
      </c>
      <c r="O568">
        <v>4.1927788819274019</v>
      </c>
    </row>
    <row r="569" spans="1:15">
      <c r="A569" s="19">
        <v>42962</v>
      </c>
      <c r="B569">
        <v>3115</v>
      </c>
      <c r="C569">
        <v>3095</v>
      </c>
      <c r="D569">
        <v>563.70000000000005</v>
      </c>
      <c r="E569">
        <v>564.4</v>
      </c>
      <c r="F569">
        <v>5.4836995038979399</v>
      </c>
      <c r="G569">
        <v>4.8516656666422797</v>
      </c>
      <c r="H569">
        <v>0.347392482741818</v>
      </c>
      <c r="I569">
        <v>1.81936532496988</v>
      </c>
      <c r="J569">
        <v>11.53</v>
      </c>
      <c r="L569">
        <v>5.1990581493840979</v>
      </c>
      <c r="M569">
        <v>4.5042731839004615</v>
      </c>
      <c r="N569">
        <v>5.5464506321259162</v>
      </c>
      <c r="O569">
        <v>4.1568807011586433</v>
      </c>
    </row>
    <row r="570" spans="1:15">
      <c r="A570" s="19">
        <v>42961</v>
      </c>
      <c r="B570">
        <v>3090</v>
      </c>
      <c r="C570">
        <v>3090</v>
      </c>
      <c r="D570">
        <v>554.9</v>
      </c>
      <c r="E570">
        <v>553.70000000000005</v>
      </c>
      <c r="F570">
        <v>5.5806393353801598</v>
      </c>
      <c r="G570">
        <v>4.8340271477898504</v>
      </c>
      <c r="H570">
        <v>0.34843642068341002</v>
      </c>
      <c r="I570">
        <v>2.1427501353788898</v>
      </c>
      <c r="J570">
        <v>13.38</v>
      </c>
      <c r="L570">
        <v>5.1824635684732607</v>
      </c>
      <c r="M570">
        <v>4.4855907271064401</v>
      </c>
      <c r="N570">
        <v>5.5308999891566701</v>
      </c>
      <c r="O570">
        <v>4.1371543064230307</v>
      </c>
    </row>
    <row r="571" spans="1:15">
      <c r="A571" s="19">
        <v>42957</v>
      </c>
      <c r="B571">
        <v>3050</v>
      </c>
      <c r="C571">
        <v>3105</v>
      </c>
      <c r="D571">
        <v>572.6</v>
      </c>
      <c r="E571">
        <v>562.9</v>
      </c>
      <c r="F571">
        <v>5.51607745603126</v>
      </c>
      <c r="G571">
        <v>4.8169441069177799</v>
      </c>
      <c r="H571">
        <v>0.34277480559196699</v>
      </c>
      <c r="I571">
        <v>2.0396287524868999</v>
      </c>
      <c r="J571">
        <v>12.67</v>
      </c>
      <c r="L571">
        <v>5.1597189125097467</v>
      </c>
      <c r="M571">
        <v>4.474169301325813</v>
      </c>
      <c r="N571">
        <v>5.5024937181017135</v>
      </c>
      <c r="O571">
        <v>4.1313944957338462</v>
      </c>
    </row>
    <row r="572" spans="1:15">
      <c r="A572" s="19">
        <v>42956</v>
      </c>
      <c r="B572">
        <v>3035</v>
      </c>
      <c r="C572">
        <v>3035</v>
      </c>
      <c r="D572">
        <v>575</v>
      </c>
      <c r="E572">
        <v>573.1</v>
      </c>
      <c r="F572">
        <v>5.29575990228581</v>
      </c>
      <c r="G572">
        <v>4.80050710591137</v>
      </c>
      <c r="H572">
        <v>0.338384701747724</v>
      </c>
      <c r="I572">
        <v>1.4635791565531999</v>
      </c>
      <c r="J572">
        <v>9.35</v>
      </c>
      <c r="L572">
        <v>5.1388918076590944</v>
      </c>
      <c r="M572">
        <v>4.4621224041636456</v>
      </c>
      <c r="N572">
        <v>5.4772765094068179</v>
      </c>
      <c r="O572">
        <v>4.1237377024159221</v>
      </c>
    </row>
    <row r="573" spans="1:15">
      <c r="A573" s="19">
        <v>42955</v>
      </c>
      <c r="B573">
        <v>3000</v>
      </c>
      <c r="C573">
        <v>3020</v>
      </c>
      <c r="D573">
        <v>576.9</v>
      </c>
      <c r="E573">
        <v>575.20000000000005</v>
      </c>
      <c r="F573">
        <v>5.2503477051460301</v>
      </c>
      <c r="G573">
        <v>4.7895570501902904</v>
      </c>
      <c r="H573">
        <v>0.33545639097513802</v>
      </c>
      <c r="I573">
        <v>1.37362312167095</v>
      </c>
      <c r="J573">
        <v>8.7799999999999994</v>
      </c>
      <c r="L573">
        <v>5.1250134411654287</v>
      </c>
      <c r="M573">
        <v>4.4541006592151522</v>
      </c>
      <c r="N573">
        <v>5.460469832140566</v>
      </c>
      <c r="O573">
        <v>4.1186442682400148</v>
      </c>
    </row>
    <row r="574" spans="1:15">
      <c r="A574" s="19">
        <v>42954</v>
      </c>
      <c r="B574">
        <v>3000</v>
      </c>
      <c r="C574">
        <v>2982</v>
      </c>
      <c r="D574">
        <v>578.6</v>
      </c>
      <c r="E574">
        <v>576.6</v>
      </c>
      <c r="F574">
        <v>5.1716961498439096</v>
      </c>
      <c r="G574">
        <v>4.77797226279315</v>
      </c>
      <c r="H574">
        <v>0.33434414430387999</v>
      </c>
      <c r="I574">
        <v>1.1776006661355101</v>
      </c>
      <c r="J574">
        <v>7.61</v>
      </c>
      <c r="L574">
        <v>5.1123164070970297</v>
      </c>
      <c r="M574">
        <v>4.4436281184892703</v>
      </c>
      <c r="N574">
        <v>5.4466605514009103</v>
      </c>
      <c r="O574">
        <v>4.1092839741853897</v>
      </c>
    </row>
    <row r="575" spans="1:15">
      <c r="A575" s="19">
        <v>42951</v>
      </c>
      <c r="B575">
        <v>2969</v>
      </c>
      <c r="C575">
        <v>3010</v>
      </c>
      <c r="D575">
        <v>573</v>
      </c>
      <c r="E575">
        <v>572.79999999999995</v>
      </c>
      <c r="F575">
        <v>5.25488826815642</v>
      </c>
      <c r="G575">
        <v>4.7679609271335002</v>
      </c>
      <c r="H575">
        <v>0.33364560409870703</v>
      </c>
      <c r="I575">
        <v>1.4594148253152499</v>
      </c>
      <c r="J575">
        <v>9.27</v>
      </c>
      <c r="L575">
        <v>5.101606531232207</v>
      </c>
      <c r="M575">
        <v>4.4343153230347934</v>
      </c>
      <c r="N575">
        <v>5.4352521353309147</v>
      </c>
      <c r="O575">
        <v>4.1006697189360857</v>
      </c>
    </row>
    <row r="576" spans="1:15">
      <c r="A576" s="19">
        <v>42950</v>
      </c>
      <c r="B576">
        <v>2895</v>
      </c>
      <c r="C576">
        <v>2955</v>
      </c>
      <c r="D576">
        <v>574</v>
      </c>
      <c r="E576">
        <v>574.29999999999995</v>
      </c>
      <c r="F576">
        <v>5.1453943931742998</v>
      </c>
      <c r="G576">
        <v>4.7574575151062399</v>
      </c>
      <c r="H576">
        <v>0.33053652643248999</v>
      </c>
      <c r="I576">
        <v>1.1736581195884599</v>
      </c>
      <c r="J576">
        <v>7.54</v>
      </c>
      <c r="L576">
        <v>5.0879940415387299</v>
      </c>
      <c r="M576">
        <v>4.4269209886737499</v>
      </c>
      <c r="N576">
        <v>5.4185305679712199</v>
      </c>
      <c r="O576">
        <v>4.09638446224126</v>
      </c>
    </row>
    <row r="577" spans="1:15">
      <c r="A577" s="19">
        <v>42949</v>
      </c>
      <c r="B577">
        <v>2842</v>
      </c>
      <c r="C577">
        <v>2839</v>
      </c>
      <c r="D577">
        <v>578.4</v>
      </c>
      <c r="E577">
        <v>573.79999999999995</v>
      </c>
      <c r="F577">
        <v>4.9477169745555898</v>
      </c>
      <c r="G577">
        <v>4.7478083656646204</v>
      </c>
      <c r="H577">
        <v>0.32963271040859998</v>
      </c>
      <c r="I577">
        <v>0.60645865103365604</v>
      </c>
      <c r="J577">
        <v>4.04</v>
      </c>
      <c r="L577">
        <v>5.07744107607322</v>
      </c>
      <c r="M577">
        <v>4.4181756552560207</v>
      </c>
      <c r="N577">
        <v>5.4070737864818206</v>
      </c>
      <c r="O577">
        <v>4.0885429448474202</v>
      </c>
    </row>
    <row r="578" spans="1:15">
      <c r="A578" s="19">
        <v>42948</v>
      </c>
      <c r="B578">
        <v>2819</v>
      </c>
      <c r="C578">
        <v>2848</v>
      </c>
      <c r="D578">
        <v>571.29999999999995</v>
      </c>
      <c r="E578">
        <v>574.29999999999995</v>
      </c>
      <c r="F578">
        <v>4.9590806198850697</v>
      </c>
      <c r="G578">
        <v>4.74159657701993</v>
      </c>
      <c r="H578">
        <v>0.33019620116266901</v>
      </c>
      <c r="I578">
        <v>0.65865095388544403</v>
      </c>
      <c r="J578">
        <v>4.3899999999999997</v>
      </c>
      <c r="L578">
        <v>5.0717927781825987</v>
      </c>
      <c r="M578">
        <v>4.4114003758572613</v>
      </c>
      <c r="N578">
        <v>5.4019889793452682</v>
      </c>
      <c r="O578">
        <v>4.0812041746945917</v>
      </c>
    </row>
    <row r="579" spans="1:15">
      <c r="A579" s="19">
        <v>42947</v>
      </c>
      <c r="B579">
        <v>2839</v>
      </c>
      <c r="C579">
        <v>2820</v>
      </c>
      <c r="D579">
        <v>568</v>
      </c>
      <c r="E579">
        <v>568.4</v>
      </c>
      <c r="F579">
        <v>4.9612948627726903</v>
      </c>
      <c r="G579">
        <v>4.7347953267119003</v>
      </c>
      <c r="H579">
        <v>0.330899112813687</v>
      </c>
      <c r="I579">
        <v>0.68449726001024502</v>
      </c>
      <c r="J579">
        <v>4.57</v>
      </c>
      <c r="L579">
        <v>5.0656944395255872</v>
      </c>
      <c r="M579">
        <v>4.4038962138982134</v>
      </c>
      <c r="N579">
        <v>5.3965935523392741</v>
      </c>
      <c r="O579">
        <v>4.0729971010845265</v>
      </c>
    </row>
    <row r="580" spans="1:15">
      <c r="A580" s="19">
        <v>42944</v>
      </c>
      <c r="B580">
        <v>2847</v>
      </c>
      <c r="C580">
        <v>2850</v>
      </c>
      <c r="D580">
        <v>565</v>
      </c>
      <c r="E580">
        <v>567.1</v>
      </c>
      <c r="F580">
        <v>5.0255686827719899</v>
      </c>
      <c r="G580">
        <v>4.7272869217407996</v>
      </c>
      <c r="H580">
        <v>0.33206137553381398</v>
      </c>
      <c r="I580">
        <v>0.89827297905902104</v>
      </c>
      <c r="J580">
        <v>5.94</v>
      </c>
      <c r="L580">
        <v>5.0593482972746138</v>
      </c>
      <c r="M580">
        <v>4.3952255462069854</v>
      </c>
      <c r="N580">
        <v>5.3914096728084271</v>
      </c>
      <c r="O580">
        <v>4.063164170673172</v>
      </c>
    </row>
    <row r="581" spans="1:15">
      <c r="A581" s="19">
        <v>42943</v>
      </c>
      <c r="B581">
        <v>2839</v>
      </c>
      <c r="C581">
        <v>2839</v>
      </c>
      <c r="D581">
        <v>566</v>
      </c>
      <c r="E581">
        <v>566.70000000000005</v>
      </c>
      <c r="F581">
        <v>5.0097053114522598</v>
      </c>
      <c r="G581">
        <v>4.71869604985325</v>
      </c>
      <c r="H581">
        <v>0.33256756341368798</v>
      </c>
      <c r="I581">
        <v>0.87503801817563298</v>
      </c>
      <c r="J581">
        <v>5.81</v>
      </c>
      <c r="L581">
        <v>5.0512636132669382</v>
      </c>
      <c r="M581">
        <v>4.3861284864395618</v>
      </c>
      <c r="N581">
        <v>5.3838311766806264</v>
      </c>
      <c r="O581">
        <v>4.0535609230258736</v>
      </c>
    </row>
    <row r="582" spans="1:15">
      <c r="A582" s="19">
        <v>42942</v>
      </c>
      <c r="B582">
        <v>2868</v>
      </c>
      <c r="C582">
        <v>2839</v>
      </c>
      <c r="D582">
        <v>575.70000000000005</v>
      </c>
      <c r="E582">
        <v>572.6</v>
      </c>
      <c r="F582">
        <v>4.9580859238560899</v>
      </c>
      <c r="G582">
        <v>4.7114729199992498</v>
      </c>
      <c r="H582">
        <v>0.33205125451670198</v>
      </c>
      <c r="I582">
        <v>0.74269559443700495</v>
      </c>
      <c r="J582">
        <v>4.97</v>
      </c>
      <c r="L582">
        <v>5.0435241745159516</v>
      </c>
      <c r="M582">
        <v>4.379421665482548</v>
      </c>
      <c r="N582">
        <v>5.3755754290326534</v>
      </c>
      <c r="O582">
        <v>4.0473704109658462</v>
      </c>
    </row>
    <row r="583" spans="1:15">
      <c r="A583" s="19">
        <v>42941</v>
      </c>
      <c r="B583">
        <v>2808</v>
      </c>
      <c r="C583">
        <v>2843</v>
      </c>
      <c r="D583">
        <v>569</v>
      </c>
      <c r="E583">
        <v>568.9</v>
      </c>
      <c r="F583">
        <v>4.9973633327474003</v>
      </c>
      <c r="G583">
        <v>4.7038103078482303</v>
      </c>
      <c r="H583">
        <v>0.33290177571546398</v>
      </c>
      <c r="I583">
        <v>0.88180071814960403</v>
      </c>
      <c r="J583">
        <v>5.87</v>
      </c>
      <c r="L583">
        <v>5.0367120835636943</v>
      </c>
      <c r="M583">
        <v>4.3709085321327663</v>
      </c>
      <c r="N583">
        <v>5.3696138592791582</v>
      </c>
      <c r="O583">
        <v>4.0380067564173023</v>
      </c>
    </row>
    <row r="584" spans="1:15">
      <c r="A584" s="19">
        <v>42940</v>
      </c>
      <c r="B584">
        <v>2770</v>
      </c>
      <c r="C584">
        <v>2803</v>
      </c>
      <c r="D584">
        <v>570</v>
      </c>
      <c r="E584">
        <v>566.29999999999995</v>
      </c>
      <c r="F584">
        <v>4.9496733180293102</v>
      </c>
      <c r="G584">
        <v>4.6956378169717503</v>
      </c>
      <c r="H584">
        <v>0.33311845395645601</v>
      </c>
      <c r="I584">
        <v>0.76259810298821196</v>
      </c>
      <c r="J584">
        <v>5.13</v>
      </c>
      <c r="L584">
        <v>5.0287562709282065</v>
      </c>
      <c r="M584">
        <v>4.3625193630152941</v>
      </c>
      <c r="N584">
        <v>5.3618747248846628</v>
      </c>
      <c r="O584">
        <v>4.0294009090588379</v>
      </c>
    </row>
    <row r="585" spans="1:15">
      <c r="A585" s="19">
        <v>42937</v>
      </c>
      <c r="B585">
        <v>2765</v>
      </c>
      <c r="C585">
        <v>2769</v>
      </c>
      <c r="D585">
        <v>574</v>
      </c>
      <c r="E585">
        <v>573.70000000000005</v>
      </c>
      <c r="F585">
        <v>4.8265644064842199</v>
      </c>
      <c r="G585">
        <v>4.6870035494044</v>
      </c>
      <c r="H585">
        <v>0.33481013432434598</v>
      </c>
      <c r="I585">
        <v>0.41683582058069502</v>
      </c>
      <c r="J585">
        <v>2.89</v>
      </c>
      <c r="L585">
        <v>5.0218136837287464</v>
      </c>
      <c r="M585">
        <v>4.3521934150800536</v>
      </c>
      <c r="N585">
        <v>5.3566238180530918</v>
      </c>
      <c r="O585">
        <v>4.0173832807557082</v>
      </c>
    </row>
    <row r="586" spans="1:15">
      <c r="A586" s="19">
        <v>42936</v>
      </c>
      <c r="B586">
        <v>2777</v>
      </c>
      <c r="C586">
        <v>2774</v>
      </c>
      <c r="D586">
        <v>578.5</v>
      </c>
      <c r="E586">
        <v>575.29999999999995</v>
      </c>
      <c r="F586">
        <v>4.8218320876064604</v>
      </c>
      <c r="G586">
        <v>4.6787873119021999</v>
      </c>
      <c r="H586">
        <v>0.33882145902226601</v>
      </c>
      <c r="I586">
        <v>0.42218334138883901</v>
      </c>
      <c r="J586">
        <v>2.97</v>
      </c>
      <c r="L586">
        <v>5.0176087709244657</v>
      </c>
      <c r="M586">
        <v>4.3399658528799341</v>
      </c>
      <c r="N586">
        <v>5.3564302299467315</v>
      </c>
      <c r="O586">
        <v>4.0011443938576683</v>
      </c>
    </row>
    <row r="587" spans="1:15">
      <c r="A587" s="19">
        <v>42935</v>
      </c>
      <c r="B587">
        <v>2717</v>
      </c>
      <c r="C587">
        <v>2777</v>
      </c>
      <c r="D587">
        <v>580</v>
      </c>
      <c r="E587">
        <v>579</v>
      </c>
      <c r="F587">
        <v>4.7962003454231397</v>
      </c>
      <c r="G587">
        <v>4.6688865836827702</v>
      </c>
      <c r="H587">
        <v>0.34528436574136601</v>
      </c>
      <c r="I587">
        <v>0.36872147821409201</v>
      </c>
      <c r="J587">
        <v>2.65</v>
      </c>
      <c r="L587">
        <v>5.0141709494241358</v>
      </c>
      <c r="M587">
        <v>4.3236022179414046</v>
      </c>
      <c r="N587">
        <v>5.3594553151655022</v>
      </c>
      <c r="O587">
        <v>3.9783178522000382</v>
      </c>
    </row>
    <row r="588" spans="1:15">
      <c r="A588" s="19">
        <v>42934</v>
      </c>
      <c r="B588">
        <v>2742</v>
      </c>
      <c r="C588">
        <v>2739</v>
      </c>
      <c r="D588">
        <v>585.1</v>
      </c>
      <c r="E588">
        <v>584.5</v>
      </c>
      <c r="F588">
        <v>4.6860564585115396</v>
      </c>
      <c r="G588">
        <v>4.6570233239168299</v>
      </c>
      <c r="H588">
        <v>0.35583017544763801</v>
      </c>
      <c r="I588">
        <v>8.15926714427542E-2</v>
      </c>
      <c r="J588">
        <v>0.62</v>
      </c>
      <c r="L588">
        <v>5.0128534993644678</v>
      </c>
      <c r="M588">
        <v>4.3011931484691921</v>
      </c>
      <c r="N588">
        <v>5.3686836748121056</v>
      </c>
      <c r="O588">
        <v>3.9453629730215538</v>
      </c>
    </row>
    <row r="589" spans="1:15">
      <c r="A589" s="19">
        <v>42930</v>
      </c>
      <c r="B589">
        <v>2774</v>
      </c>
      <c r="C589">
        <v>2739</v>
      </c>
      <c r="D589">
        <v>592.4</v>
      </c>
      <c r="E589">
        <v>590.4</v>
      </c>
      <c r="F589">
        <v>4.6392276422764196</v>
      </c>
      <c r="G589">
        <v>4.6476773933037503</v>
      </c>
      <c r="H589">
        <v>0.36405503079080997</v>
      </c>
      <c r="I589">
        <v>-2.3210092740595701E-2</v>
      </c>
      <c r="J589">
        <v>-0.18</v>
      </c>
      <c r="L589">
        <v>5.0117324240945607</v>
      </c>
      <c r="M589">
        <v>4.2836223625129399</v>
      </c>
      <c r="N589">
        <v>5.3757874548853701</v>
      </c>
      <c r="O589">
        <v>3.9195673317221305</v>
      </c>
    </row>
    <row r="590" spans="1:15">
      <c r="A590" s="19">
        <v>42929</v>
      </c>
      <c r="B590">
        <v>2778</v>
      </c>
      <c r="C590">
        <v>2775</v>
      </c>
      <c r="D590">
        <v>595.5</v>
      </c>
      <c r="E590">
        <v>590.1</v>
      </c>
      <c r="F590">
        <v>4.70259278088459</v>
      </c>
      <c r="G590">
        <v>4.6373777414829398</v>
      </c>
      <c r="H590">
        <v>0.374913661628686</v>
      </c>
      <c r="I590">
        <v>0.173946820498215</v>
      </c>
      <c r="J590">
        <v>1.39</v>
      </c>
      <c r="L590">
        <v>5.0122914031116261</v>
      </c>
      <c r="M590">
        <v>4.2624640798542535</v>
      </c>
      <c r="N590">
        <v>5.3872050647403116</v>
      </c>
      <c r="O590">
        <v>3.887550418225568</v>
      </c>
    </row>
    <row r="591" spans="1:15">
      <c r="A591" s="19">
        <v>42928</v>
      </c>
      <c r="B591">
        <v>2753</v>
      </c>
      <c r="C591">
        <v>2768</v>
      </c>
      <c r="D591">
        <v>600.6</v>
      </c>
      <c r="E591">
        <v>596.70000000000005</v>
      </c>
      <c r="F591">
        <v>4.6388469917881601</v>
      </c>
      <c r="G591">
        <v>4.6261470114949104</v>
      </c>
      <c r="H591">
        <v>0.38526483954184099</v>
      </c>
      <c r="I591">
        <v>3.2964285836082401E-2</v>
      </c>
      <c r="J591">
        <v>0.27</v>
      </c>
      <c r="L591">
        <v>5.0114118510367511</v>
      </c>
      <c r="M591">
        <v>4.2408821719530696</v>
      </c>
      <c r="N591">
        <v>5.3966766905785928</v>
      </c>
      <c r="O591">
        <v>3.8556173324112284</v>
      </c>
    </row>
    <row r="592" spans="1:15">
      <c r="A592" s="19">
        <v>42927</v>
      </c>
      <c r="B592">
        <v>2755</v>
      </c>
      <c r="C592">
        <v>2732</v>
      </c>
      <c r="D592">
        <v>605.70000000000005</v>
      </c>
      <c r="E592">
        <v>602.29999999999995</v>
      </c>
      <c r="F592">
        <v>4.5359455420886601</v>
      </c>
      <c r="G592">
        <v>4.6153988592340101</v>
      </c>
      <c r="H592">
        <v>0.395859418787958</v>
      </c>
      <c r="I592">
        <v>-0.20071094275999601</v>
      </c>
      <c r="J592">
        <v>-1.75</v>
      </c>
      <c r="L592">
        <v>5.0112582780219679</v>
      </c>
      <c r="M592">
        <v>4.2195394404460522</v>
      </c>
      <c r="N592">
        <v>5.4071176968099257</v>
      </c>
      <c r="O592">
        <v>3.823680021658094</v>
      </c>
    </row>
    <row r="593" spans="1:15">
      <c r="A593" s="19">
        <v>42926</v>
      </c>
      <c r="B593">
        <v>2712</v>
      </c>
      <c r="C593">
        <v>2735</v>
      </c>
      <c r="D593">
        <v>608.70000000000005</v>
      </c>
      <c r="E593">
        <v>605.29999999999995</v>
      </c>
      <c r="F593">
        <v>4.5184206178754298</v>
      </c>
      <c r="G593">
        <v>4.6065268357639004</v>
      </c>
      <c r="H593">
        <v>0.40489412204394598</v>
      </c>
      <c r="I593">
        <v>-0.21760310434663199</v>
      </c>
      <c r="J593">
        <v>-1.95</v>
      </c>
      <c r="L593">
        <v>5.0114209578078466</v>
      </c>
      <c r="M593">
        <v>4.2016327137199543</v>
      </c>
      <c r="N593">
        <v>5.4163150798517927</v>
      </c>
      <c r="O593">
        <v>3.7967385916760086</v>
      </c>
    </row>
    <row r="594" spans="1:15">
      <c r="A594" s="19">
        <v>42923</v>
      </c>
      <c r="B594">
        <v>2727</v>
      </c>
      <c r="C594">
        <v>2711</v>
      </c>
      <c r="D594">
        <v>612.9</v>
      </c>
      <c r="E594">
        <v>609.70000000000005</v>
      </c>
      <c r="F594">
        <v>4.4464490733147404</v>
      </c>
      <c r="G594">
        <v>4.5983900045977002</v>
      </c>
      <c r="H594">
        <v>0.41264082988799999</v>
      </c>
      <c r="I594">
        <v>-0.36821594054130602</v>
      </c>
      <c r="J594">
        <v>-3.42</v>
      </c>
      <c r="L594">
        <v>5.0110308344857</v>
      </c>
      <c r="M594">
        <v>4.1857491747097004</v>
      </c>
      <c r="N594">
        <v>5.4236716643736997</v>
      </c>
      <c r="O594">
        <v>3.7731083448217002</v>
      </c>
    </row>
    <row r="595" spans="1:15">
      <c r="A595" s="19">
        <v>42922</v>
      </c>
      <c r="B595">
        <v>2756</v>
      </c>
      <c r="C595">
        <v>2716</v>
      </c>
      <c r="D595">
        <v>628</v>
      </c>
      <c r="E595">
        <v>616.4</v>
      </c>
      <c r="F595">
        <v>4.4062297209604102</v>
      </c>
      <c r="G595">
        <v>4.58983724628267</v>
      </c>
      <c r="H595">
        <v>0.42223756174971899</v>
      </c>
      <c r="I595">
        <v>-0.43484413030760699</v>
      </c>
      <c r="J595">
        <v>-4.17</v>
      </c>
      <c r="L595">
        <v>5.0120748080323887</v>
      </c>
      <c r="M595">
        <v>4.1675996845329513</v>
      </c>
      <c r="N595">
        <v>5.4343123697821083</v>
      </c>
      <c r="O595">
        <v>3.7453621227832321</v>
      </c>
    </row>
    <row r="596" spans="1:15">
      <c r="A596" s="19">
        <v>42921</v>
      </c>
      <c r="B596">
        <v>2820</v>
      </c>
      <c r="C596">
        <v>2874</v>
      </c>
      <c r="D596">
        <v>623</v>
      </c>
      <c r="E596">
        <v>629</v>
      </c>
      <c r="F596">
        <v>4.5691573926868001</v>
      </c>
      <c r="G596">
        <v>4.5807619449659596</v>
      </c>
      <c r="H596">
        <v>0.43325727546133902</v>
      </c>
      <c r="I596">
        <v>-2.6784437184114902E-2</v>
      </c>
      <c r="J596">
        <v>-0.25</v>
      </c>
      <c r="L596">
        <v>5.0140192204272989</v>
      </c>
      <c r="M596">
        <v>4.1475046695046203</v>
      </c>
      <c r="N596">
        <v>5.4472764958886373</v>
      </c>
      <c r="O596">
        <v>3.7142473940432814</v>
      </c>
    </row>
    <row r="597" spans="1:15">
      <c r="A597" s="19">
        <v>42920</v>
      </c>
      <c r="B597">
        <v>2825</v>
      </c>
      <c r="C597">
        <v>2792</v>
      </c>
      <c r="D597">
        <v>634</v>
      </c>
      <c r="E597">
        <v>625.5</v>
      </c>
      <c r="F597">
        <v>4.4636290967226202</v>
      </c>
      <c r="G597">
        <v>4.5676962566532104</v>
      </c>
      <c r="H597">
        <v>0.44793728722524701</v>
      </c>
      <c r="I597">
        <v>-0.23232528949584899</v>
      </c>
      <c r="J597">
        <v>-2.33</v>
      </c>
      <c r="L597">
        <v>5.0156335438784572</v>
      </c>
      <c r="M597">
        <v>4.1197589694279637</v>
      </c>
      <c r="N597">
        <v>5.4635708311037048</v>
      </c>
      <c r="O597">
        <v>3.6718216822027165</v>
      </c>
    </row>
    <row r="598" spans="1:15">
      <c r="A598" s="19">
        <v>42919</v>
      </c>
      <c r="B598">
        <v>2821</v>
      </c>
      <c r="C598">
        <v>2801</v>
      </c>
      <c r="D598">
        <v>617.4</v>
      </c>
      <c r="E598">
        <v>624.20000000000005</v>
      </c>
      <c r="F598">
        <v>4.48734380006408</v>
      </c>
      <c r="G598">
        <v>4.5562406150217498</v>
      </c>
      <c r="H598">
        <v>0.46124101414575103</v>
      </c>
      <c r="I598">
        <v>-0.14937269853434301</v>
      </c>
      <c r="J598">
        <v>-1.54</v>
      </c>
      <c r="L598">
        <v>5.0174816291675004</v>
      </c>
      <c r="M598">
        <v>4.0949996008759992</v>
      </c>
      <c r="N598">
        <v>5.4787226433132519</v>
      </c>
      <c r="O598">
        <v>3.6337585867302478</v>
      </c>
    </row>
    <row r="599" spans="1:15">
      <c r="A599" s="19">
        <v>42916</v>
      </c>
      <c r="B599">
        <v>2808</v>
      </c>
      <c r="C599">
        <v>2807</v>
      </c>
      <c r="D599">
        <v>612</v>
      </c>
      <c r="E599">
        <v>618.5</v>
      </c>
      <c r="F599">
        <v>4.5383993532740501</v>
      </c>
      <c r="G599">
        <v>4.5443184183534102</v>
      </c>
      <c r="H599">
        <v>0.47424080920686101</v>
      </c>
      <c r="I599">
        <v>-1.24811381991071E-2</v>
      </c>
      <c r="J599">
        <v>-0.13</v>
      </c>
      <c r="L599">
        <v>5.0185592275602708</v>
      </c>
      <c r="M599">
        <v>4.0700776091465496</v>
      </c>
      <c r="N599">
        <v>5.4928000367671324</v>
      </c>
      <c r="O599">
        <v>3.5958367999396881</v>
      </c>
    </row>
    <row r="600" spans="1:15">
      <c r="A600" s="19">
        <v>42915</v>
      </c>
      <c r="B600">
        <v>2840</v>
      </c>
      <c r="C600">
        <v>2853</v>
      </c>
      <c r="D600">
        <v>614.79999999999995</v>
      </c>
      <c r="E600">
        <v>613.1</v>
      </c>
      <c r="F600">
        <v>4.6534007502854298</v>
      </c>
      <c r="G600">
        <v>4.5311202150163297</v>
      </c>
      <c r="H600">
        <v>0.48780204739663402</v>
      </c>
      <c r="I600">
        <v>0.25067655193680699</v>
      </c>
      <c r="J600">
        <v>2.63</v>
      </c>
      <c r="L600">
        <v>5.0189222624129641</v>
      </c>
      <c r="M600">
        <v>4.0433181676196952</v>
      </c>
      <c r="N600">
        <v>5.5067243098095977</v>
      </c>
      <c r="O600">
        <v>3.5555161202230616</v>
      </c>
    </row>
    <row r="601" spans="1:15">
      <c r="A601" s="19">
        <v>42914</v>
      </c>
      <c r="B601">
        <v>2912</v>
      </c>
      <c r="C601">
        <v>2844</v>
      </c>
      <c r="D601">
        <v>591.79999999999995</v>
      </c>
      <c r="E601">
        <v>604.79999999999995</v>
      </c>
      <c r="F601">
        <v>4.7023809523809499</v>
      </c>
      <c r="G601">
        <v>4.5164361298071203</v>
      </c>
      <c r="H601">
        <v>0.500315636743074</v>
      </c>
      <c r="I601">
        <v>0.37165502918174598</v>
      </c>
      <c r="J601">
        <v>3.95</v>
      </c>
      <c r="L601">
        <v>5.0167517665501942</v>
      </c>
      <c r="M601">
        <v>4.0161204930640464</v>
      </c>
      <c r="N601">
        <v>5.5170674032932681</v>
      </c>
      <c r="O601">
        <v>3.5158048563209725</v>
      </c>
    </row>
    <row r="602" spans="1:15">
      <c r="A602" s="19">
        <v>42913</v>
      </c>
      <c r="B602">
        <v>2941</v>
      </c>
      <c r="C602">
        <v>2937</v>
      </c>
      <c r="D602">
        <v>584.9</v>
      </c>
      <c r="E602">
        <v>585.1</v>
      </c>
      <c r="F602">
        <v>5.0196547598701002</v>
      </c>
      <c r="G602">
        <v>4.5009896799923599</v>
      </c>
      <c r="H602">
        <v>0.51208127256162606</v>
      </c>
      <c r="I602">
        <v>1.0128569578090201</v>
      </c>
      <c r="J602">
        <v>10.33</v>
      </c>
      <c r="L602">
        <v>5.0130709525539858</v>
      </c>
      <c r="M602">
        <v>3.9889084074307339</v>
      </c>
      <c r="N602">
        <v>5.5251522251156118</v>
      </c>
      <c r="O602">
        <v>3.476827134869108</v>
      </c>
    </row>
    <row r="603" spans="1:15">
      <c r="A603" s="19">
        <v>42912</v>
      </c>
      <c r="B603">
        <v>2896</v>
      </c>
      <c r="C603">
        <v>2928</v>
      </c>
      <c r="D603">
        <v>586.4</v>
      </c>
      <c r="E603">
        <v>582.9</v>
      </c>
      <c r="F603">
        <v>5.0231600617601604</v>
      </c>
      <c r="G603">
        <v>4.4815534841002798</v>
      </c>
      <c r="H603">
        <v>0.51963462174344699</v>
      </c>
      <c r="I603">
        <v>1.0422834718801299</v>
      </c>
      <c r="J603">
        <v>10.78</v>
      </c>
      <c r="L603">
        <v>5.0011881058437266</v>
      </c>
      <c r="M603">
        <v>3.9619188623568329</v>
      </c>
      <c r="N603">
        <v>5.5208227275871735</v>
      </c>
      <c r="O603">
        <v>3.442284240613386</v>
      </c>
    </row>
    <row r="604" spans="1:15">
      <c r="A604" s="19">
        <v>42909</v>
      </c>
      <c r="B604">
        <v>2919</v>
      </c>
      <c r="C604">
        <v>2900</v>
      </c>
      <c r="D604">
        <v>583</v>
      </c>
      <c r="E604">
        <v>589.5</v>
      </c>
      <c r="F604">
        <v>4.91942324003392</v>
      </c>
      <c r="G604">
        <v>4.4625763763415502</v>
      </c>
      <c r="H604">
        <v>0.52546508270091097</v>
      </c>
      <c r="I604">
        <v>0.86941431263931401</v>
      </c>
      <c r="J604">
        <v>9.2899999999999991</v>
      </c>
      <c r="L604">
        <v>4.9880414590424609</v>
      </c>
      <c r="M604">
        <v>3.9371112936406392</v>
      </c>
      <c r="N604">
        <v>5.5135065417433724</v>
      </c>
      <c r="O604">
        <v>3.4116462109397281</v>
      </c>
    </row>
    <row r="605" spans="1:15">
      <c r="A605" s="19">
        <v>42908</v>
      </c>
      <c r="B605">
        <v>2945</v>
      </c>
      <c r="C605">
        <v>2937</v>
      </c>
      <c r="D605">
        <v>590</v>
      </c>
      <c r="E605">
        <v>584.20000000000005</v>
      </c>
      <c r="F605">
        <v>5.0273878808627099</v>
      </c>
      <c r="G605">
        <v>4.4446423425995301</v>
      </c>
      <c r="H605">
        <v>0.53247340487983497</v>
      </c>
      <c r="I605">
        <v>1.0944124775484201</v>
      </c>
      <c r="J605">
        <v>11.59</v>
      </c>
      <c r="L605">
        <v>4.977115747479365</v>
      </c>
      <c r="M605">
        <v>3.9121689377196951</v>
      </c>
      <c r="N605">
        <v>5.5095891523592</v>
      </c>
      <c r="O605">
        <v>3.3796955328398601</v>
      </c>
    </row>
    <row r="606" spans="1:15">
      <c r="A606" s="19">
        <v>42907</v>
      </c>
      <c r="B606">
        <v>2997</v>
      </c>
      <c r="C606">
        <v>2969</v>
      </c>
      <c r="D606">
        <v>592</v>
      </c>
      <c r="E606">
        <v>590</v>
      </c>
      <c r="F606">
        <v>5.0322033898305003</v>
      </c>
      <c r="G606">
        <v>4.4259115256597799</v>
      </c>
      <c r="H606">
        <v>0.53633920809879998</v>
      </c>
      <c r="I606">
        <v>1.1304261463932299</v>
      </c>
      <c r="J606">
        <v>12.05</v>
      </c>
      <c r="L606">
        <v>4.9622507337585802</v>
      </c>
      <c r="M606">
        <v>3.88957231756098</v>
      </c>
      <c r="N606">
        <v>5.4985899418573796</v>
      </c>
      <c r="O606">
        <v>3.3532331094621801</v>
      </c>
    </row>
    <row r="607" spans="1:15">
      <c r="A607" s="19">
        <v>42906</v>
      </c>
      <c r="B607">
        <v>2979</v>
      </c>
      <c r="C607">
        <v>2982</v>
      </c>
      <c r="D607">
        <v>603</v>
      </c>
      <c r="E607">
        <v>593.5</v>
      </c>
      <c r="F607">
        <v>5.02443133951137</v>
      </c>
      <c r="G607">
        <v>4.4082492260911801</v>
      </c>
      <c r="H607">
        <v>0.53789174952757901</v>
      </c>
      <c r="I607">
        <v>1.14555040853735</v>
      </c>
      <c r="J607">
        <v>12.26</v>
      </c>
      <c r="L607">
        <v>4.9461409756187589</v>
      </c>
      <c r="M607">
        <v>3.8703574765636013</v>
      </c>
      <c r="N607">
        <v>5.4840327251463385</v>
      </c>
      <c r="O607">
        <v>3.3324657270360221</v>
      </c>
    </row>
    <row r="608" spans="1:15">
      <c r="A608" s="19">
        <v>42905</v>
      </c>
      <c r="B608">
        <v>2910</v>
      </c>
      <c r="C608">
        <v>2963</v>
      </c>
      <c r="D608">
        <v>590</v>
      </c>
      <c r="E608">
        <v>595.6</v>
      </c>
      <c r="F608">
        <v>4.9748153122901204</v>
      </c>
      <c r="G608">
        <v>4.3911722058621603</v>
      </c>
      <c r="H608">
        <v>0.53838893678393696</v>
      </c>
      <c r="I608">
        <v>1.0840547911596199</v>
      </c>
      <c r="J608">
        <v>11.73</v>
      </c>
      <c r="L608">
        <v>4.9295611426460972</v>
      </c>
      <c r="M608">
        <v>3.8527832690782233</v>
      </c>
      <c r="N608">
        <v>5.4679500794300342</v>
      </c>
      <c r="O608">
        <v>3.3143943322942864</v>
      </c>
    </row>
    <row r="609" spans="1:15">
      <c r="A609" s="19">
        <v>42902</v>
      </c>
      <c r="B609">
        <v>2960</v>
      </c>
      <c r="C609">
        <v>2906</v>
      </c>
      <c r="D609">
        <v>592.5</v>
      </c>
      <c r="E609">
        <v>592.20000000000005</v>
      </c>
      <c r="F609">
        <v>4.9071259709557502</v>
      </c>
      <c r="G609">
        <v>4.3753463855366803</v>
      </c>
      <c r="H609">
        <v>0.53844514387482401</v>
      </c>
      <c r="I609">
        <v>0.98762072881226004</v>
      </c>
      <c r="J609">
        <v>10.84</v>
      </c>
      <c r="L609">
        <v>4.9137915294115047</v>
      </c>
      <c r="M609">
        <v>3.8369012416618564</v>
      </c>
      <c r="N609">
        <v>5.4522366732863281</v>
      </c>
      <c r="O609">
        <v>3.2984560977870325</v>
      </c>
    </row>
    <row r="610" spans="1:15">
      <c r="A610" s="19">
        <v>42901</v>
      </c>
      <c r="B610">
        <v>2896</v>
      </c>
      <c r="C610">
        <v>2966</v>
      </c>
      <c r="D610">
        <v>592</v>
      </c>
      <c r="E610">
        <v>586.79999999999995</v>
      </c>
      <c r="F610">
        <v>5.0545330606680299</v>
      </c>
      <c r="G610">
        <v>4.3606009244471897</v>
      </c>
      <c r="H610">
        <v>0.53882299568159697</v>
      </c>
      <c r="I610">
        <v>1.28786659400648</v>
      </c>
      <c r="J610">
        <v>13.73</v>
      </c>
      <c r="L610">
        <v>4.899423920128787</v>
      </c>
      <c r="M610">
        <v>3.8217779287655929</v>
      </c>
      <c r="N610">
        <v>5.4382469158103834</v>
      </c>
      <c r="O610">
        <v>3.282954933083996</v>
      </c>
    </row>
    <row r="611" spans="1:15">
      <c r="A611" s="19">
        <v>42900</v>
      </c>
      <c r="B611">
        <v>2882</v>
      </c>
      <c r="C611">
        <v>2900</v>
      </c>
      <c r="D611">
        <v>599.29999999999995</v>
      </c>
      <c r="E611">
        <v>601</v>
      </c>
      <c r="F611">
        <v>4.8252911813643902</v>
      </c>
      <c r="G611">
        <v>4.3425274158756197</v>
      </c>
      <c r="H611">
        <v>0.53797664498151099</v>
      </c>
      <c r="I611">
        <v>0.89736937466005495</v>
      </c>
      <c r="J611">
        <v>10</v>
      </c>
      <c r="L611">
        <v>4.8805040608571311</v>
      </c>
      <c r="M611">
        <v>3.8045507708941089</v>
      </c>
      <c r="N611">
        <v>5.4184807058386415</v>
      </c>
      <c r="O611">
        <v>3.266574125912598</v>
      </c>
    </row>
    <row r="612" spans="1:15">
      <c r="A612" s="19">
        <v>42899</v>
      </c>
      <c r="B612">
        <v>2892</v>
      </c>
      <c r="C612">
        <v>2886</v>
      </c>
      <c r="D612">
        <v>587.5</v>
      </c>
      <c r="E612">
        <v>597.1</v>
      </c>
      <c r="F612">
        <v>4.8333612460224398</v>
      </c>
      <c r="G612">
        <v>4.3268993043364903</v>
      </c>
      <c r="H612">
        <v>0.54074310074010601</v>
      </c>
      <c r="I612">
        <v>0.93660361268181302</v>
      </c>
      <c r="J612">
        <v>10.48</v>
      </c>
      <c r="L612">
        <v>4.8676424050765963</v>
      </c>
      <c r="M612">
        <v>3.7861562035963843</v>
      </c>
      <c r="N612">
        <v>5.4083855058167023</v>
      </c>
      <c r="O612">
        <v>3.2454131028562783</v>
      </c>
    </row>
    <row r="613" spans="1:15">
      <c r="A613" s="19">
        <v>42898</v>
      </c>
      <c r="B613">
        <v>2882</v>
      </c>
      <c r="C613">
        <v>2911</v>
      </c>
      <c r="D613">
        <v>598</v>
      </c>
      <c r="E613">
        <v>595.20000000000005</v>
      </c>
      <c r="F613">
        <v>4.89079301075268</v>
      </c>
      <c r="G613">
        <v>4.3105456558140203</v>
      </c>
      <c r="H613">
        <v>0.54371756869635701</v>
      </c>
      <c r="I613">
        <v>1.0671852232582599</v>
      </c>
      <c r="J613">
        <v>11.86</v>
      </c>
      <c r="L613">
        <v>4.854263224510377</v>
      </c>
      <c r="M613">
        <v>3.7668280871176631</v>
      </c>
      <c r="N613">
        <v>5.3979807932067345</v>
      </c>
      <c r="O613">
        <v>3.223110518421306</v>
      </c>
    </row>
    <row r="614" spans="1:15">
      <c r="A614" s="19">
        <v>42895</v>
      </c>
      <c r="B614">
        <v>2902</v>
      </c>
      <c r="C614">
        <v>2874</v>
      </c>
      <c r="D614">
        <v>590.5</v>
      </c>
      <c r="E614">
        <v>594.5</v>
      </c>
      <c r="F614">
        <v>4.8343145500420501</v>
      </c>
      <c r="G614">
        <v>4.2934026773928702</v>
      </c>
      <c r="H614">
        <v>0.54541883467364105</v>
      </c>
      <c r="I614">
        <v>0.99173669529187103</v>
      </c>
      <c r="J614">
        <v>11.19</v>
      </c>
      <c r="L614">
        <v>4.8388215120665112</v>
      </c>
      <c r="M614">
        <v>3.7479838427192291</v>
      </c>
      <c r="N614">
        <v>5.3842403467401523</v>
      </c>
      <c r="O614">
        <v>3.2025650080455881</v>
      </c>
    </row>
    <row r="615" spans="1:15">
      <c r="A615" s="19">
        <v>42894</v>
      </c>
      <c r="B615">
        <v>2990</v>
      </c>
      <c r="C615">
        <v>2934</v>
      </c>
      <c r="D615">
        <v>581.4</v>
      </c>
      <c r="E615">
        <v>589.79999999999995</v>
      </c>
      <c r="F615">
        <v>4.9745676500508598</v>
      </c>
      <c r="G615">
        <v>4.2764613030088698</v>
      </c>
      <c r="H615">
        <v>0.54808108562104096</v>
      </c>
      <c r="I615">
        <v>1.27372822262412</v>
      </c>
      <c r="J615">
        <v>14.03</v>
      </c>
      <c r="L615">
        <v>4.8245423886299106</v>
      </c>
      <c r="M615">
        <v>3.7283802173878291</v>
      </c>
      <c r="N615">
        <v>5.3726234742509522</v>
      </c>
      <c r="O615">
        <v>3.1802991317667879</v>
      </c>
    </row>
    <row r="616" spans="1:15">
      <c r="A616" s="19">
        <v>42893</v>
      </c>
      <c r="B616">
        <v>3045</v>
      </c>
      <c r="C616">
        <v>3000</v>
      </c>
      <c r="D616">
        <v>574.4</v>
      </c>
      <c r="E616">
        <v>577.79999999999995</v>
      </c>
      <c r="F616">
        <v>5.1921079958463103</v>
      </c>
      <c r="G616">
        <v>4.2568606324236304</v>
      </c>
      <c r="H616">
        <v>0.54905004926582901</v>
      </c>
      <c r="I616">
        <v>1.7033918213344199</v>
      </c>
      <c r="J616">
        <v>18.010000000000002</v>
      </c>
      <c r="L616">
        <v>4.8059106816894595</v>
      </c>
      <c r="M616">
        <v>3.7078105831578014</v>
      </c>
      <c r="N616">
        <v>5.3549607309552885</v>
      </c>
      <c r="O616">
        <v>3.1587605338919724</v>
      </c>
    </row>
    <row r="617" spans="1:15">
      <c r="A617" s="19">
        <v>42892</v>
      </c>
      <c r="B617">
        <v>3090</v>
      </c>
      <c r="C617">
        <v>3055</v>
      </c>
      <c r="D617">
        <v>575</v>
      </c>
      <c r="E617">
        <v>576.29999999999995</v>
      </c>
      <c r="F617">
        <v>5.30105847648794</v>
      </c>
      <c r="G617">
        <v>4.23412208937971</v>
      </c>
      <c r="H617">
        <v>0.54514648570936297</v>
      </c>
      <c r="I617">
        <v>1.95715539781915</v>
      </c>
      <c r="J617">
        <v>20.13</v>
      </c>
      <c r="L617">
        <v>4.7792685750890733</v>
      </c>
      <c r="M617">
        <v>3.6889756036703472</v>
      </c>
      <c r="N617">
        <v>5.3244150607984357</v>
      </c>
      <c r="O617">
        <v>3.1438291179609843</v>
      </c>
    </row>
    <row r="618" spans="1:15">
      <c r="A618" s="19">
        <v>42891</v>
      </c>
      <c r="B618">
        <v>2909</v>
      </c>
      <c r="C618">
        <v>3050</v>
      </c>
      <c r="D618">
        <v>584.5</v>
      </c>
      <c r="E618">
        <v>583.9</v>
      </c>
      <c r="F618">
        <v>5.2234971741736604</v>
      </c>
      <c r="G618">
        <v>4.2094824751569897</v>
      </c>
      <c r="H618">
        <v>0.53808277477866695</v>
      </c>
      <c r="I618">
        <v>1.8844957440493599</v>
      </c>
      <c r="J618">
        <v>19.41</v>
      </c>
      <c r="L618">
        <v>4.7475652499356569</v>
      </c>
      <c r="M618">
        <v>3.6713997003783225</v>
      </c>
      <c r="N618">
        <v>5.2856480247143232</v>
      </c>
      <c r="O618">
        <v>3.1333169255996558</v>
      </c>
    </row>
    <row r="619" spans="1:15">
      <c r="A619" s="19">
        <v>42888</v>
      </c>
      <c r="B619">
        <v>2918</v>
      </c>
      <c r="C619">
        <v>2899</v>
      </c>
      <c r="D619">
        <v>571.79999999999995</v>
      </c>
      <c r="E619">
        <v>586</v>
      </c>
      <c r="F619">
        <v>4.9470989761092099</v>
      </c>
      <c r="G619">
        <v>4.18706492033344</v>
      </c>
      <c r="H619">
        <v>0.53033769699604905</v>
      </c>
      <c r="I619">
        <v>1.43311339186479</v>
      </c>
      <c r="J619">
        <v>15.36</v>
      </c>
      <c r="L619">
        <v>4.7174026173294887</v>
      </c>
      <c r="M619">
        <v>3.6567272233373909</v>
      </c>
      <c r="N619">
        <v>5.2477403143255383</v>
      </c>
      <c r="O619">
        <v>3.1263895263413417</v>
      </c>
    </row>
    <row r="620" spans="1:15">
      <c r="A620" s="19">
        <v>42887</v>
      </c>
      <c r="B620">
        <v>2897</v>
      </c>
      <c r="C620">
        <v>2897</v>
      </c>
      <c r="D620">
        <v>566.6</v>
      </c>
      <c r="E620">
        <v>569</v>
      </c>
      <c r="F620">
        <v>5.0913884007029804</v>
      </c>
      <c r="G620">
        <v>4.1677496945288697</v>
      </c>
      <c r="H620">
        <v>0.52868268572496302</v>
      </c>
      <c r="I620">
        <v>1.7470568473555399</v>
      </c>
      <c r="J620">
        <v>18.14</v>
      </c>
      <c r="L620">
        <v>4.6964323802538326</v>
      </c>
      <c r="M620">
        <v>3.6390670088039068</v>
      </c>
      <c r="N620">
        <v>5.2251150659787955</v>
      </c>
      <c r="O620">
        <v>3.1103843230789439</v>
      </c>
    </row>
    <row r="621" spans="1:15">
      <c r="A621" s="19">
        <v>42886</v>
      </c>
      <c r="B621">
        <v>2877</v>
      </c>
      <c r="C621">
        <v>2883</v>
      </c>
      <c r="D621">
        <v>563.70000000000005</v>
      </c>
      <c r="E621">
        <v>566.70000000000005</v>
      </c>
      <c r="F621">
        <v>5.0873478030703998</v>
      </c>
      <c r="G621">
        <v>4.1450380310929296</v>
      </c>
      <c r="H621">
        <v>0.52509170043842002</v>
      </c>
      <c r="I621">
        <v>1.7945623044331001</v>
      </c>
      <c r="J621">
        <v>18.52</v>
      </c>
      <c r="L621">
        <v>4.6701297315313495</v>
      </c>
      <c r="M621">
        <v>3.6199463306545097</v>
      </c>
      <c r="N621">
        <v>5.1952214319697694</v>
      </c>
      <c r="O621">
        <v>3.0948546302160898</v>
      </c>
    </row>
    <row r="622" spans="1:15">
      <c r="A622" s="19">
        <v>42885</v>
      </c>
      <c r="B622">
        <v>2872</v>
      </c>
      <c r="C622">
        <v>2869</v>
      </c>
      <c r="D622">
        <v>567.79999999999995</v>
      </c>
      <c r="E622">
        <v>565.29999999999995</v>
      </c>
      <c r="F622">
        <v>5.0751813196532796</v>
      </c>
      <c r="G622">
        <v>4.1227802966101903</v>
      </c>
      <c r="H622">
        <v>0.52003272160268499</v>
      </c>
      <c r="I622">
        <v>1.83142518437664</v>
      </c>
      <c r="J622">
        <v>18.77</v>
      </c>
      <c r="L622">
        <v>4.6428130182128751</v>
      </c>
      <c r="M622">
        <v>3.6027475750075055</v>
      </c>
      <c r="N622">
        <v>5.1628457398155607</v>
      </c>
      <c r="O622">
        <v>3.0827148534048203</v>
      </c>
    </row>
    <row r="623" spans="1:15">
      <c r="A623" s="19">
        <v>42884</v>
      </c>
      <c r="B623">
        <v>2842</v>
      </c>
      <c r="C623">
        <v>2856</v>
      </c>
      <c r="D623">
        <v>571</v>
      </c>
      <c r="E623">
        <v>567.6</v>
      </c>
      <c r="F623">
        <v>5.0317124735729299</v>
      </c>
      <c r="G623">
        <v>4.1002735770442298</v>
      </c>
      <c r="H623">
        <v>0.51482819032518001</v>
      </c>
      <c r="I623">
        <v>1.80922279322035</v>
      </c>
      <c r="J623">
        <v>18.510000000000002</v>
      </c>
      <c r="L623">
        <v>4.6151017673694099</v>
      </c>
      <c r="M623">
        <v>3.5854453867190497</v>
      </c>
      <c r="N623">
        <v>5.12992995769459</v>
      </c>
      <c r="O623">
        <v>3.0706171963938695</v>
      </c>
    </row>
    <row r="624" spans="1:15">
      <c r="A624" s="19">
        <v>42881</v>
      </c>
      <c r="B624">
        <v>2890</v>
      </c>
      <c r="C624">
        <v>2833</v>
      </c>
      <c r="D624">
        <v>573</v>
      </c>
      <c r="E624">
        <v>571.6</v>
      </c>
      <c r="F624">
        <v>4.9562631210636798</v>
      </c>
      <c r="G624">
        <v>4.0786549697319501</v>
      </c>
      <c r="H624">
        <v>0.50927418111632095</v>
      </c>
      <c r="I624">
        <v>1.7232527857744899</v>
      </c>
      <c r="J624">
        <v>17.71</v>
      </c>
      <c r="L624">
        <v>4.5879291508482707</v>
      </c>
      <c r="M624">
        <v>3.569380788615629</v>
      </c>
      <c r="N624">
        <v>5.0972033319645922</v>
      </c>
      <c r="O624">
        <v>3.060106607499308</v>
      </c>
    </row>
    <row r="625" spans="1:15">
      <c r="A625" s="19">
        <v>42880</v>
      </c>
      <c r="B625">
        <v>2844</v>
      </c>
      <c r="C625">
        <v>2861</v>
      </c>
      <c r="D625">
        <v>569</v>
      </c>
      <c r="E625">
        <v>574.5</v>
      </c>
      <c r="F625">
        <v>4.97998259355961</v>
      </c>
      <c r="G625">
        <v>4.0591896145508901</v>
      </c>
      <c r="H625">
        <v>0.50322250215267805</v>
      </c>
      <c r="I625">
        <v>1.8297929346755399</v>
      </c>
      <c r="J625">
        <v>18.489999999999998</v>
      </c>
      <c r="L625">
        <v>4.5624121167035678</v>
      </c>
      <c r="M625">
        <v>3.5559671123982119</v>
      </c>
      <c r="N625">
        <v>5.0656346188562464</v>
      </c>
      <c r="O625">
        <v>3.0527446102455338</v>
      </c>
    </row>
    <row r="626" spans="1:15">
      <c r="A626" s="19">
        <v>42879</v>
      </c>
      <c r="B626">
        <v>2901</v>
      </c>
      <c r="C626">
        <v>2873</v>
      </c>
      <c r="D626">
        <v>571.1</v>
      </c>
      <c r="E626">
        <v>569.5</v>
      </c>
      <c r="F626">
        <v>5.0447761194029797</v>
      </c>
      <c r="G626">
        <v>4.04007680020029</v>
      </c>
      <c r="H626">
        <v>0.49504259605025602</v>
      </c>
      <c r="I626">
        <v>2.0295209487401098</v>
      </c>
      <c r="J626">
        <v>19.920000000000002</v>
      </c>
      <c r="L626">
        <v>4.5351193962505461</v>
      </c>
      <c r="M626">
        <v>3.545034204150034</v>
      </c>
      <c r="N626">
        <v>5.0301619923008021</v>
      </c>
      <c r="O626">
        <v>3.049991608099778</v>
      </c>
    </row>
    <row r="627" spans="1:15">
      <c r="A627" s="19">
        <v>42878</v>
      </c>
      <c r="B627">
        <v>2922</v>
      </c>
      <c r="C627">
        <v>2899</v>
      </c>
      <c r="D627">
        <v>566.5</v>
      </c>
      <c r="E627">
        <v>561.9</v>
      </c>
      <c r="F627">
        <v>5.1592810108560201</v>
      </c>
      <c r="G627">
        <v>4.0212874798010798</v>
      </c>
      <c r="H627">
        <v>0.48315296811278602</v>
      </c>
      <c r="I627">
        <v>2.3553483185666502</v>
      </c>
      <c r="J627">
        <v>22.06</v>
      </c>
      <c r="L627">
        <v>4.5044404479138658</v>
      </c>
      <c r="M627">
        <v>3.5381345116882938</v>
      </c>
      <c r="N627">
        <v>4.9875934160266517</v>
      </c>
      <c r="O627">
        <v>3.0549815435755079</v>
      </c>
    </row>
    <row r="628" spans="1:15">
      <c r="A628" s="19">
        <v>42877</v>
      </c>
      <c r="B628">
        <v>2852</v>
      </c>
      <c r="C628">
        <v>2907</v>
      </c>
      <c r="D628">
        <v>572</v>
      </c>
      <c r="E628">
        <v>568.4</v>
      </c>
      <c r="F628">
        <v>5.1143560872624896</v>
      </c>
      <c r="G628">
        <v>4.0007635517070899</v>
      </c>
      <c r="H628">
        <v>0.466793033363542</v>
      </c>
      <c r="I628">
        <v>2.3856237260681601</v>
      </c>
      <c r="J628">
        <v>21.77</v>
      </c>
      <c r="L628">
        <v>4.467556585070632</v>
      </c>
      <c r="M628">
        <v>3.5339705183435477</v>
      </c>
      <c r="N628">
        <v>4.9343496184341742</v>
      </c>
      <c r="O628">
        <v>3.067177484980006</v>
      </c>
    </row>
    <row r="629" spans="1:15">
      <c r="A629" s="19">
        <v>42874</v>
      </c>
      <c r="B629">
        <v>2895</v>
      </c>
      <c r="C629">
        <v>2853</v>
      </c>
      <c r="D629">
        <v>561</v>
      </c>
      <c r="E629">
        <v>567.70000000000005</v>
      </c>
      <c r="F629">
        <v>5.0255416593271001</v>
      </c>
      <c r="G629">
        <v>3.9785603955272801</v>
      </c>
      <c r="H629">
        <v>0.45268723055002602</v>
      </c>
      <c r="I629">
        <v>2.3128137776886502</v>
      </c>
      <c r="J629">
        <v>20.83</v>
      </c>
      <c r="L629">
        <v>4.4312476260773064</v>
      </c>
      <c r="M629">
        <v>3.5258731649772539</v>
      </c>
      <c r="N629">
        <v>4.8839348566273326</v>
      </c>
      <c r="O629">
        <v>3.0731859344272281</v>
      </c>
    </row>
    <row r="630" spans="1:15">
      <c r="A630" s="19">
        <v>42873</v>
      </c>
      <c r="B630">
        <v>2860</v>
      </c>
      <c r="C630">
        <v>2890</v>
      </c>
      <c r="D630">
        <v>551</v>
      </c>
      <c r="E630">
        <v>554.70000000000005</v>
      </c>
      <c r="F630">
        <v>5.2100234360915803</v>
      </c>
      <c r="G630">
        <v>3.9573060691558202</v>
      </c>
      <c r="H630">
        <v>0.44028308910879699</v>
      </c>
      <c r="I630">
        <v>2.8452543327781599</v>
      </c>
      <c r="J630">
        <v>24.04</v>
      </c>
      <c r="L630">
        <v>4.3975891582646174</v>
      </c>
      <c r="M630">
        <v>3.517022980047023</v>
      </c>
      <c r="N630">
        <v>4.8378722473734141</v>
      </c>
      <c r="O630">
        <v>3.0767398909382262</v>
      </c>
    </row>
    <row r="631" spans="1:15">
      <c r="A631" s="19">
        <v>42872</v>
      </c>
      <c r="B631">
        <v>2853</v>
      </c>
      <c r="C631">
        <v>2893</v>
      </c>
      <c r="D631">
        <v>572</v>
      </c>
      <c r="E631">
        <v>563.29999999999995</v>
      </c>
      <c r="F631">
        <v>5.1358068524764704</v>
      </c>
      <c r="G631">
        <v>3.9342270445169798</v>
      </c>
      <c r="H631">
        <v>0.41885757793537598</v>
      </c>
      <c r="I631">
        <v>2.8687073393354701</v>
      </c>
      <c r="J631">
        <v>23.4</v>
      </c>
      <c r="L631">
        <v>4.3530846224523554</v>
      </c>
      <c r="M631">
        <v>3.5153694665816038</v>
      </c>
      <c r="N631">
        <v>4.7719422003877314</v>
      </c>
      <c r="O631">
        <v>3.0965118886462277</v>
      </c>
    </row>
    <row r="632" spans="1:15">
      <c r="A632" s="19">
        <v>42871</v>
      </c>
      <c r="B632">
        <v>2837</v>
      </c>
      <c r="C632">
        <v>2853</v>
      </c>
      <c r="D632">
        <v>584.9</v>
      </c>
      <c r="E632">
        <v>576.29999999999995</v>
      </c>
      <c r="F632">
        <v>4.9505465903175399</v>
      </c>
      <c r="G632">
        <v>3.9124412146799199</v>
      </c>
      <c r="H632">
        <v>0.39775482445244698</v>
      </c>
      <c r="I632">
        <v>2.6099127196425198</v>
      </c>
      <c r="J632">
        <v>20.97</v>
      </c>
      <c r="L632">
        <v>4.310196039132367</v>
      </c>
      <c r="M632">
        <v>3.5146863902274728</v>
      </c>
      <c r="N632">
        <v>4.7079508635848137</v>
      </c>
      <c r="O632">
        <v>3.1169315657750261</v>
      </c>
    </row>
    <row r="633" spans="1:15">
      <c r="A633" s="19">
        <v>42870</v>
      </c>
      <c r="B633">
        <v>2742</v>
      </c>
      <c r="C633">
        <v>2823</v>
      </c>
      <c r="D633">
        <v>580</v>
      </c>
      <c r="E633">
        <v>583.79999999999995</v>
      </c>
      <c r="F633">
        <v>4.8355601233299002</v>
      </c>
      <c r="G633">
        <v>3.8940772244947501</v>
      </c>
      <c r="H633">
        <v>0.38083705248437399</v>
      </c>
      <c r="I633">
        <v>2.4721410185627302</v>
      </c>
      <c r="J633">
        <v>19.47</v>
      </c>
      <c r="L633">
        <v>4.274914276979124</v>
      </c>
      <c r="M633">
        <v>3.5132401720103763</v>
      </c>
      <c r="N633">
        <v>4.6557513294634978</v>
      </c>
      <c r="O633">
        <v>3.132403119526002</v>
      </c>
    </row>
    <row r="634" spans="1:15">
      <c r="A634" s="19">
        <v>42867</v>
      </c>
      <c r="B634">
        <v>2723</v>
      </c>
      <c r="C634">
        <v>2738</v>
      </c>
      <c r="D634">
        <v>613.5</v>
      </c>
      <c r="E634">
        <v>608.4</v>
      </c>
      <c r="F634">
        <v>4.5003287310979596</v>
      </c>
      <c r="G634">
        <v>3.8773540729273099</v>
      </c>
      <c r="H634">
        <v>0.366391674566929</v>
      </c>
      <c r="I634">
        <v>1.7002969811117801</v>
      </c>
      <c r="J634">
        <v>13.84</v>
      </c>
      <c r="L634">
        <v>4.2437457474942386</v>
      </c>
      <c r="M634">
        <v>3.5109623983603808</v>
      </c>
      <c r="N634">
        <v>4.6101374220611682</v>
      </c>
      <c r="O634">
        <v>3.1445707237934517</v>
      </c>
    </row>
    <row r="635" spans="1:15">
      <c r="A635" s="19">
        <v>42866</v>
      </c>
      <c r="B635">
        <v>2662</v>
      </c>
      <c r="C635">
        <v>2692</v>
      </c>
      <c r="D635">
        <v>610.5</v>
      </c>
      <c r="E635">
        <v>616</v>
      </c>
      <c r="F635">
        <v>4.3701298701298699</v>
      </c>
      <c r="G635">
        <v>3.86347735876307</v>
      </c>
      <c r="H635">
        <v>0.36221934400258998</v>
      </c>
      <c r="I635">
        <v>1.3987450415214899</v>
      </c>
      <c r="J635">
        <v>11.59</v>
      </c>
      <c r="L635">
        <v>4.22569670276566</v>
      </c>
      <c r="M635">
        <v>3.5012580147604799</v>
      </c>
      <c r="N635">
        <v>4.5879160467682496</v>
      </c>
      <c r="O635">
        <v>3.1390386707578899</v>
      </c>
    </row>
    <row r="636" spans="1:15">
      <c r="A636" s="19">
        <v>42865</v>
      </c>
      <c r="B636">
        <v>2674</v>
      </c>
      <c r="C636">
        <v>2660</v>
      </c>
      <c r="D636">
        <v>615.20000000000005</v>
      </c>
      <c r="E636">
        <v>610.1</v>
      </c>
      <c r="F636">
        <v>4.3599409932797899</v>
      </c>
      <c r="G636">
        <v>3.8517525133627899</v>
      </c>
      <c r="H636">
        <v>0.35985404876097299</v>
      </c>
      <c r="I636">
        <v>1.4122072036336799</v>
      </c>
      <c r="J636">
        <v>11.66</v>
      </c>
      <c r="L636">
        <v>4.2116065621237633</v>
      </c>
      <c r="M636">
        <v>3.491898464601817</v>
      </c>
      <c r="N636">
        <v>4.5714606108847358</v>
      </c>
      <c r="O636">
        <v>3.132044415840844</v>
      </c>
    </row>
    <row r="637" spans="1:15">
      <c r="A637" s="19">
        <v>42864</v>
      </c>
      <c r="B637">
        <v>2665</v>
      </c>
      <c r="C637">
        <v>2661</v>
      </c>
      <c r="D637">
        <v>615.79999999999995</v>
      </c>
      <c r="E637">
        <v>615.70000000000005</v>
      </c>
      <c r="F637">
        <v>4.3219100211141699</v>
      </c>
      <c r="G637">
        <v>3.8405270706108601</v>
      </c>
      <c r="H637">
        <v>0.35694598588715498</v>
      </c>
      <c r="I637">
        <v>1.3486156716593301</v>
      </c>
      <c r="J637">
        <v>11.14</v>
      </c>
      <c r="L637">
        <v>4.1974730564980147</v>
      </c>
      <c r="M637">
        <v>3.483581084723705</v>
      </c>
      <c r="N637">
        <v>4.5544190423851703</v>
      </c>
      <c r="O637">
        <v>3.1266350988365499</v>
      </c>
    </row>
    <row r="638" spans="1:15">
      <c r="A638" s="19">
        <v>42863</v>
      </c>
      <c r="B638">
        <v>2550</v>
      </c>
      <c r="C638">
        <v>2659</v>
      </c>
      <c r="D638">
        <v>608.6</v>
      </c>
      <c r="E638">
        <v>616.29999999999995</v>
      </c>
      <c r="F638">
        <v>4.3144572448482803</v>
      </c>
      <c r="G638">
        <v>3.8309184672561698</v>
      </c>
      <c r="H638">
        <v>0.35354161042006699</v>
      </c>
      <c r="I638">
        <v>1.3676997652909499</v>
      </c>
      <c r="J638">
        <v>11.21</v>
      </c>
      <c r="L638">
        <v>4.1844600776762366</v>
      </c>
      <c r="M638">
        <v>3.477376856836103</v>
      </c>
      <c r="N638">
        <v>4.5380016880963039</v>
      </c>
      <c r="O638">
        <v>3.1238352464160357</v>
      </c>
    </row>
    <row r="639" spans="1:15">
      <c r="A639" s="19">
        <v>42857</v>
      </c>
      <c r="B639">
        <v>2497</v>
      </c>
      <c r="C639">
        <v>2488</v>
      </c>
      <c r="D639">
        <v>598.9</v>
      </c>
      <c r="E639">
        <v>598.1</v>
      </c>
      <c r="F639">
        <v>4.1598394917237904</v>
      </c>
      <c r="G639">
        <v>3.8212814273041702</v>
      </c>
      <c r="H639">
        <v>0.35006352730771401</v>
      </c>
      <c r="I639">
        <v>0.96713321442943201</v>
      </c>
      <c r="J639">
        <v>8.14</v>
      </c>
      <c r="L639">
        <v>4.1713449546118841</v>
      </c>
      <c r="M639">
        <v>3.4712178999964562</v>
      </c>
      <c r="N639">
        <v>4.5214084819195985</v>
      </c>
      <c r="O639">
        <v>3.1211543726887423</v>
      </c>
    </row>
    <row r="640" spans="1:15">
      <c r="A640" s="19">
        <v>42856</v>
      </c>
      <c r="B640">
        <v>2495</v>
      </c>
      <c r="C640">
        <v>2476</v>
      </c>
      <c r="D640">
        <v>592.70000000000005</v>
      </c>
      <c r="E640">
        <v>593.20000000000005</v>
      </c>
      <c r="F640">
        <v>4.1739716790289902</v>
      </c>
      <c r="G640">
        <v>3.8135725185710498</v>
      </c>
      <c r="H640">
        <v>0.348887180872966</v>
      </c>
      <c r="I640">
        <v>1.0329962813657001</v>
      </c>
      <c r="J640">
        <v>8.6300000000000008</v>
      </c>
      <c r="L640">
        <v>4.1624596994440157</v>
      </c>
      <c r="M640">
        <v>3.464685337698084</v>
      </c>
      <c r="N640">
        <v>4.5113468803169816</v>
      </c>
      <c r="O640">
        <v>3.1157981568251181</v>
      </c>
    </row>
    <row r="641" spans="1:15">
      <c r="A641" s="19">
        <v>42853</v>
      </c>
      <c r="B641">
        <v>2528</v>
      </c>
      <c r="C641">
        <v>2514</v>
      </c>
      <c r="D641">
        <v>629.5</v>
      </c>
      <c r="E641">
        <v>619.79999999999995</v>
      </c>
      <c r="F641">
        <v>4.0561471442400698</v>
      </c>
      <c r="G641">
        <v>3.8058263623498201</v>
      </c>
      <c r="H641">
        <v>0.34724496520287401</v>
      </c>
      <c r="I641">
        <v>0.72087663457986595</v>
      </c>
      <c r="J641">
        <v>6.17</v>
      </c>
      <c r="L641">
        <v>4.153071327552694</v>
      </c>
      <c r="M641">
        <v>3.4585813971469461</v>
      </c>
      <c r="N641">
        <v>4.500316292755568</v>
      </c>
      <c r="O641">
        <v>3.1113364319440722</v>
      </c>
    </row>
    <row r="642" spans="1:15">
      <c r="A642" s="19">
        <v>42852</v>
      </c>
      <c r="B642">
        <v>2498</v>
      </c>
      <c r="C642">
        <v>2519</v>
      </c>
      <c r="D642">
        <v>624</v>
      </c>
      <c r="E642">
        <v>632.29999999999995</v>
      </c>
      <c r="F642">
        <v>3.9838684168907101</v>
      </c>
      <c r="G642">
        <v>3.7989543737512399</v>
      </c>
      <c r="H642">
        <v>0.34732298449799798</v>
      </c>
      <c r="I642">
        <v>0.53239794483147296</v>
      </c>
      <c r="J642">
        <v>4.6399999999999997</v>
      </c>
      <c r="L642">
        <v>4.1462773582492378</v>
      </c>
      <c r="M642">
        <v>3.451631389253242</v>
      </c>
      <c r="N642">
        <v>4.4936003427472357</v>
      </c>
      <c r="O642">
        <v>3.1043084047552441</v>
      </c>
    </row>
    <row r="643" spans="1:15">
      <c r="A643" s="19">
        <v>42851</v>
      </c>
      <c r="B643">
        <v>2536</v>
      </c>
      <c r="C643">
        <v>2517</v>
      </c>
      <c r="D643">
        <v>618.5</v>
      </c>
      <c r="E643">
        <v>630.5</v>
      </c>
      <c r="F643">
        <v>3.99206978588421</v>
      </c>
      <c r="G643">
        <v>3.7926720428235998</v>
      </c>
      <c r="H643">
        <v>0.34818167900637997</v>
      </c>
      <c r="I643">
        <v>0.57268304188101304</v>
      </c>
      <c r="J643">
        <v>4.99</v>
      </c>
      <c r="L643">
        <v>4.1408537218299797</v>
      </c>
      <c r="M643">
        <v>3.44449036381722</v>
      </c>
      <c r="N643">
        <v>4.48903540083636</v>
      </c>
      <c r="O643">
        <v>3.0963086848108397</v>
      </c>
    </row>
    <row r="644" spans="1:15">
      <c r="A644" s="19">
        <v>42850</v>
      </c>
      <c r="B644">
        <v>2547</v>
      </c>
      <c r="C644">
        <v>2546</v>
      </c>
      <c r="D644">
        <v>594.4</v>
      </c>
      <c r="E644">
        <v>611.9</v>
      </c>
      <c r="F644">
        <v>4.1608105899656804</v>
      </c>
      <c r="G644">
        <v>3.7868638878663998</v>
      </c>
      <c r="H644">
        <v>0.34844021115908003</v>
      </c>
      <c r="I644">
        <v>1.07320191563237</v>
      </c>
      <c r="J644">
        <v>8.99</v>
      </c>
      <c r="L644">
        <v>4.1353040990254799</v>
      </c>
      <c r="M644">
        <v>3.4384236767073197</v>
      </c>
      <c r="N644">
        <v>4.4837443101845595</v>
      </c>
      <c r="O644">
        <v>3.0899834655482397</v>
      </c>
    </row>
    <row r="645" spans="1:15">
      <c r="A645" s="19">
        <v>42849</v>
      </c>
      <c r="B645">
        <v>2564</v>
      </c>
      <c r="C645">
        <v>2556</v>
      </c>
      <c r="D645">
        <v>602.29999999999995</v>
      </c>
      <c r="E645">
        <v>594.5</v>
      </c>
      <c r="F645">
        <v>4.29941126997476</v>
      </c>
      <c r="G645">
        <v>3.7793625848137702</v>
      </c>
      <c r="H645">
        <v>0.34635870451122902</v>
      </c>
      <c r="I645">
        <v>1.5014742761983499</v>
      </c>
      <c r="J645">
        <v>12.1</v>
      </c>
      <c r="L645">
        <v>4.125721289324999</v>
      </c>
      <c r="M645">
        <v>3.4330038803025413</v>
      </c>
      <c r="N645">
        <v>4.4720799938362283</v>
      </c>
      <c r="O645">
        <v>3.086645175791312</v>
      </c>
    </row>
    <row r="646" spans="1:15">
      <c r="A646" s="19">
        <v>42846</v>
      </c>
      <c r="B646">
        <v>2568</v>
      </c>
      <c r="C646">
        <v>2537</v>
      </c>
      <c r="D646">
        <v>586</v>
      </c>
      <c r="E646">
        <v>592.29999999999995</v>
      </c>
      <c r="F646">
        <v>4.2833023805503903</v>
      </c>
      <c r="G646">
        <v>3.7699400402372198</v>
      </c>
      <c r="H646">
        <v>0.34166362109664</v>
      </c>
      <c r="I646">
        <v>1.5025373162803499</v>
      </c>
      <c r="J646">
        <v>11.99</v>
      </c>
      <c r="L646">
        <v>4.1116036613338602</v>
      </c>
      <c r="M646">
        <v>3.4282764191405799</v>
      </c>
      <c r="N646">
        <v>4.4532672824304997</v>
      </c>
      <c r="O646">
        <v>3.08661279804394</v>
      </c>
    </row>
    <row r="647" spans="1:15">
      <c r="A647" s="19">
        <v>42845</v>
      </c>
      <c r="B647">
        <v>2515</v>
      </c>
      <c r="C647">
        <v>2580</v>
      </c>
      <c r="D647">
        <v>569.5</v>
      </c>
      <c r="E647">
        <v>576.6</v>
      </c>
      <c r="F647">
        <v>4.4745057232049898</v>
      </c>
      <c r="G647">
        <v>3.7622413580796099</v>
      </c>
      <c r="H647">
        <v>0.33647520163703099</v>
      </c>
      <c r="I647">
        <v>2.1168405922933999</v>
      </c>
      <c r="J647">
        <v>15.92</v>
      </c>
      <c r="L647">
        <v>4.0987165597166406</v>
      </c>
      <c r="M647">
        <v>3.4257661564425788</v>
      </c>
      <c r="N647">
        <v>4.4351917613536722</v>
      </c>
      <c r="O647">
        <v>3.0892909548055481</v>
      </c>
    </row>
    <row r="648" spans="1:15">
      <c r="A648" s="19">
        <v>42844</v>
      </c>
      <c r="B648">
        <v>2477</v>
      </c>
      <c r="C648">
        <v>2490</v>
      </c>
      <c r="D648">
        <v>559.5</v>
      </c>
      <c r="E648">
        <v>568.29999999999995</v>
      </c>
      <c r="F648">
        <v>4.38148865036072</v>
      </c>
      <c r="G648">
        <v>3.75353485419167</v>
      </c>
      <c r="H648">
        <v>0.32622436132916799</v>
      </c>
      <c r="I648">
        <v>1.9249138648337301</v>
      </c>
      <c r="J648">
        <v>14.33</v>
      </c>
      <c r="L648">
        <v>4.0797592155208378</v>
      </c>
      <c r="M648">
        <v>3.4273104928625022</v>
      </c>
      <c r="N648">
        <v>4.405983576850006</v>
      </c>
      <c r="O648">
        <v>3.101086131533334</v>
      </c>
    </row>
    <row r="649" spans="1:15">
      <c r="A649" s="19">
        <v>42843</v>
      </c>
      <c r="B649">
        <v>2522</v>
      </c>
      <c r="C649">
        <v>2477</v>
      </c>
      <c r="D649">
        <v>565</v>
      </c>
      <c r="E649">
        <v>560.29999999999995</v>
      </c>
      <c r="F649">
        <v>4.4208459753703302</v>
      </c>
      <c r="G649">
        <v>3.7465238483757499</v>
      </c>
      <c r="H649">
        <v>0.31820523169685</v>
      </c>
      <c r="I649">
        <v>2.1191421756289599</v>
      </c>
      <c r="J649">
        <v>15.25</v>
      </c>
      <c r="L649">
        <v>4.0647290800725999</v>
      </c>
      <c r="M649">
        <v>3.4283186166788999</v>
      </c>
      <c r="N649">
        <v>4.3829343117694499</v>
      </c>
      <c r="O649">
        <v>3.1101133849820499</v>
      </c>
    </row>
    <row r="650" spans="1:15">
      <c r="A650" s="19">
        <v>42842</v>
      </c>
      <c r="B650">
        <v>2490</v>
      </c>
      <c r="C650">
        <v>2494</v>
      </c>
      <c r="D650">
        <v>557.4</v>
      </c>
      <c r="E650">
        <v>558.29999999999995</v>
      </c>
      <c r="F650">
        <v>4.46713236611141</v>
      </c>
      <c r="G650">
        <v>3.73780665577367</v>
      </c>
      <c r="H650">
        <v>0.30841756894396299</v>
      </c>
      <c r="I650">
        <v>2.3647346447706599</v>
      </c>
      <c r="J650">
        <v>16.329999999999998</v>
      </c>
      <c r="L650">
        <v>4.0462242247176334</v>
      </c>
      <c r="M650">
        <v>3.429389086829707</v>
      </c>
      <c r="N650">
        <v>4.354641793661596</v>
      </c>
      <c r="O650">
        <v>3.120971517885744</v>
      </c>
    </row>
    <row r="651" spans="1:15">
      <c r="A651" s="19">
        <v>42839</v>
      </c>
      <c r="B651">
        <v>2530</v>
      </c>
      <c r="C651">
        <v>2485</v>
      </c>
      <c r="D651">
        <v>553</v>
      </c>
      <c r="E651">
        <v>562</v>
      </c>
      <c r="F651">
        <v>4.4217081850533804</v>
      </c>
      <c r="G651">
        <v>3.7284952719067701</v>
      </c>
      <c r="H651">
        <v>0.29657254065681299</v>
      </c>
      <c r="I651">
        <v>2.33741435269549</v>
      </c>
      <c r="J651">
        <v>15.68</v>
      </c>
      <c r="L651">
        <v>4.0250678125635835</v>
      </c>
      <c r="M651">
        <v>3.4319227312499572</v>
      </c>
      <c r="N651">
        <v>4.3216403532203964</v>
      </c>
      <c r="O651">
        <v>3.1353501905931442</v>
      </c>
    </row>
    <row r="652" spans="1:15">
      <c r="A652" s="19">
        <v>42838</v>
      </c>
      <c r="B652">
        <v>2565</v>
      </c>
      <c r="C652">
        <v>2504</v>
      </c>
      <c r="D652">
        <v>555</v>
      </c>
      <c r="E652">
        <v>558.70000000000005</v>
      </c>
      <c r="F652">
        <v>4.4818328262036804</v>
      </c>
      <c r="G652">
        <v>3.71950384628264</v>
      </c>
      <c r="H652">
        <v>0.28543284944617697</v>
      </c>
      <c r="I652">
        <v>2.6707822221590001</v>
      </c>
      <c r="J652">
        <v>17.010000000000002</v>
      </c>
      <c r="L652">
        <v>4.0049366957288166</v>
      </c>
      <c r="M652">
        <v>3.4340709968364629</v>
      </c>
      <c r="N652">
        <v>4.2903695451749941</v>
      </c>
      <c r="O652">
        <v>3.1486381473902858</v>
      </c>
    </row>
    <row r="653" spans="1:15">
      <c r="A653" s="19">
        <v>42837</v>
      </c>
      <c r="B653">
        <v>2470</v>
      </c>
      <c r="C653">
        <v>2503</v>
      </c>
      <c r="D653">
        <v>563</v>
      </c>
      <c r="E653">
        <v>562.6</v>
      </c>
      <c r="F653">
        <v>4.4489868467827902</v>
      </c>
      <c r="G653">
        <v>3.7092698847904</v>
      </c>
      <c r="H653">
        <v>0.27132809348117098</v>
      </c>
      <c r="I653">
        <v>2.7262822382368501</v>
      </c>
      <c r="J653">
        <v>16.63</v>
      </c>
      <c r="L653">
        <v>3.9805979782715708</v>
      </c>
      <c r="M653">
        <v>3.4379417913092292</v>
      </c>
      <c r="N653">
        <v>4.2519260717527416</v>
      </c>
      <c r="O653">
        <v>3.1666136978280579</v>
      </c>
    </row>
    <row r="654" spans="1:15">
      <c r="A654" s="19">
        <v>42836</v>
      </c>
      <c r="B654">
        <v>2477</v>
      </c>
      <c r="C654">
        <v>2492</v>
      </c>
      <c r="D654">
        <v>563</v>
      </c>
      <c r="E654">
        <v>566.6</v>
      </c>
      <c r="F654">
        <v>4.3981644899399903</v>
      </c>
      <c r="G654">
        <v>3.6987751532022499</v>
      </c>
      <c r="H654">
        <v>0.25737713052920003</v>
      </c>
      <c r="I654">
        <v>2.7173717233528198</v>
      </c>
      <c r="J654">
        <v>15.9</v>
      </c>
      <c r="L654">
        <v>3.9561522837314498</v>
      </c>
      <c r="M654">
        <v>3.4413980226730501</v>
      </c>
      <c r="N654">
        <v>4.2135294142606501</v>
      </c>
      <c r="O654">
        <v>3.1840208921438498</v>
      </c>
    </row>
    <row r="655" spans="1:15">
      <c r="A655" s="19">
        <v>42835</v>
      </c>
      <c r="B655">
        <v>2515</v>
      </c>
      <c r="C655">
        <v>2496</v>
      </c>
      <c r="D655">
        <v>562</v>
      </c>
      <c r="E655">
        <v>569.70000000000005</v>
      </c>
      <c r="F655">
        <v>4.3812532912058897</v>
      </c>
      <c r="G655">
        <v>3.6887916585422298</v>
      </c>
      <c r="H655">
        <v>0.24424143825040101</v>
      </c>
      <c r="I655">
        <v>2.8351521249794498</v>
      </c>
      <c r="J655">
        <v>15.81</v>
      </c>
      <c r="L655">
        <v>3.9330330967926308</v>
      </c>
      <c r="M655">
        <v>3.4445502202918288</v>
      </c>
      <c r="N655">
        <v>4.1772745350430318</v>
      </c>
      <c r="O655">
        <v>3.2003087820414278</v>
      </c>
    </row>
    <row r="656" spans="1:15">
      <c r="A656" s="19">
        <v>42832</v>
      </c>
      <c r="B656">
        <v>2473</v>
      </c>
      <c r="C656">
        <v>2490</v>
      </c>
      <c r="D656">
        <v>560.4</v>
      </c>
      <c r="E656">
        <v>557.29999999999995</v>
      </c>
      <c r="F656">
        <v>4.4679705724026499</v>
      </c>
      <c r="G656">
        <v>3.67773562096863</v>
      </c>
      <c r="H656">
        <v>0.231057521076349</v>
      </c>
      <c r="I656">
        <v>3.4200788953019998</v>
      </c>
      <c r="J656">
        <v>17.690000000000001</v>
      </c>
      <c r="L656">
        <v>3.9087931420449791</v>
      </c>
      <c r="M656">
        <v>3.446678099892281</v>
      </c>
      <c r="N656">
        <v>4.1398506631213277</v>
      </c>
      <c r="O656">
        <v>3.215620578815932</v>
      </c>
    </row>
    <row r="657" spans="1:15">
      <c r="A657" s="19">
        <v>42831</v>
      </c>
      <c r="B657">
        <v>2500</v>
      </c>
      <c r="C657">
        <v>2449</v>
      </c>
      <c r="D657">
        <v>563</v>
      </c>
      <c r="E657">
        <v>558.70000000000005</v>
      </c>
      <c r="F657">
        <v>4.3833900125290803</v>
      </c>
      <c r="G657">
        <v>3.66332895997233</v>
      </c>
      <c r="H657">
        <v>0.21442276730581999</v>
      </c>
      <c r="I657">
        <v>3.3581371120435302</v>
      </c>
      <c r="J657">
        <v>16.43</v>
      </c>
      <c r="L657">
        <v>3.8777517272781501</v>
      </c>
      <c r="M657">
        <v>3.4489061926665099</v>
      </c>
      <c r="N657">
        <v>4.0921744945839702</v>
      </c>
      <c r="O657">
        <v>3.2344834253606898</v>
      </c>
    </row>
    <row r="658" spans="1:15">
      <c r="A658" s="19">
        <v>42830</v>
      </c>
      <c r="B658">
        <v>2487</v>
      </c>
      <c r="C658">
        <v>2500</v>
      </c>
      <c r="D658">
        <v>583.4</v>
      </c>
      <c r="E658">
        <v>570.20000000000005</v>
      </c>
      <c r="F658">
        <v>4.3844265170115699</v>
      </c>
      <c r="G658">
        <v>3.6525347308081999</v>
      </c>
      <c r="H658">
        <v>0.197621490411582</v>
      </c>
      <c r="I658">
        <v>3.7035030182146298</v>
      </c>
      <c r="J658">
        <v>16.690000000000001</v>
      </c>
      <c r="L658">
        <v>3.8501562212197817</v>
      </c>
      <c r="M658">
        <v>3.4549132403966181</v>
      </c>
      <c r="N658">
        <v>4.0477777116313636</v>
      </c>
      <c r="O658">
        <v>3.2572917499850358</v>
      </c>
    </row>
    <row r="659" spans="1:15">
      <c r="A659" s="19">
        <v>42829</v>
      </c>
      <c r="B659">
        <v>2472</v>
      </c>
      <c r="C659">
        <v>2475</v>
      </c>
      <c r="D659">
        <v>579.70000000000005</v>
      </c>
      <c r="E659">
        <v>575.29999999999995</v>
      </c>
      <c r="F659">
        <v>4.3021032504780097</v>
      </c>
      <c r="G659">
        <v>3.6422035938557</v>
      </c>
      <c r="H659">
        <v>0.17840936587314599</v>
      </c>
      <c r="I659">
        <v>3.6987949225238999</v>
      </c>
      <c r="J659">
        <v>15.34</v>
      </c>
      <c r="L659">
        <v>3.8206129597288458</v>
      </c>
      <c r="M659">
        <v>3.4637942279825542</v>
      </c>
      <c r="N659">
        <v>3.9990223256019921</v>
      </c>
      <c r="O659">
        <v>3.2853848621094079</v>
      </c>
    </row>
    <row r="660" spans="1:15">
      <c r="A660" s="19">
        <v>42828</v>
      </c>
      <c r="B660">
        <v>2455</v>
      </c>
      <c r="C660">
        <v>2466</v>
      </c>
      <c r="D660">
        <v>597</v>
      </c>
      <c r="E660">
        <v>585.70000000000005</v>
      </c>
      <c r="F660">
        <v>4.2103465938193603</v>
      </c>
      <c r="G660">
        <v>3.6333585697925801</v>
      </c>
      <c r="H660">
        <v>0.16107636231685499</v>
      </c>
      <c r="I660">
        <v>3.5820775669850899</v>
      </c>
      <c r="J660">
        <v>13.7</v>
      </c>
      <c r="L660">
        <v>3.7944349321094353</v>
      </c>
      <c r="M660">
        <v>3.4722822074757249</v>
      </c>
      <c r="N660">
        <v>3.95551129442629</v>
      </c>
      <c r="O660">
        <v>3.3112058451588702</v>
      </c>
    </row>
    <row r="661" spans="1:15">
      <c r="A661" s="19">
        <v>42825</v>
      </c>
      <c r="B661">
        <v>2419</v>
      </c>
      <c r="C661">
        <v>2439</v>
      </c>
      <c r="D661">
        <v>613</v>
      </c>
      <c r="E661">
        <v>597.9</v>
      </c>
      <c r="F661">
        <v>4.0792774711490196</v>
      </c>
      <c r="G661">
        <v>3.62617181616474</v>
      </c>
      <c r="H661">
        <v>0.14654115666862899</v>
      </c>
      <c r="I661">
        <v>3.09200271981523</v>
      </c>
      <c r="J661">
        <v>11.11</v>
      </c>
      <c r="L661">
        <v>3.7727129728333688</v>
      </c>
      <c r="M661">
        <v>3.4796306594961113</v>
      </c>
      <c r="N661">
        <v>3.919254129501998</v>
      </c>
      <c r="O661">
        <v>3.3330895028274821</v>
      </c>
    </row>
    <row r="662" spans="1:15">
      <c r="A662" s="19">
        <v>42824</v>
      </c>
      <c r="B662">
        <v>2407</v>
      </c>
      <c r="C662">
        <v>2372</v>
      </c>
      <c r="D662">
        <v>600</v>
      </c>
      <c r="E662">
        <v>607.20000000000005</v>
      </c>
      <c r="F662">
        <v>3.9064558629775998</v>
      </c>
      <c r="G662">
        <v>3.6198036863591301</v>
      </c>
      <c r="H662">
        <v>0.13676390992856799</v>
      </c>
      <c r="I662">
        <v>2.0959635971813202</v>
      </c>
      <c r="J662">
        <v>7.34</v>
      </c>
      <c r="L662">
        <v>3.7565675962876979</v>
      </c>
      <c r="M662">
        <v>3.4830397764305623</v>
      </c>
      <c r="N662">
        <v>3.8933315062162661</v>
      </c>
      <c r="O662">
        <v>3.346275866501994</v>
      </c>
    </row>
    <row r="663" spans="1:15">
      <c r="A663" s="19">
        <v>42823</v>
      </c>
      <c r="B663">
        <v>2380</v>
      </c>
      <c r="C663">
        <v>2409</v>
      </c>
      <c r="D663">
        <v>612.9</v>
      </c>
      <c r="E663">
        <v>604.5</v>
      </c>
      <c r="F663">
        <v>3.9851116625310099</v>
      </c>
      <c r="G663">
        <v>3.6161061005070998</v>
      </c>
      <c r="H663">
        <v>0.13265090816637901</v>
      </c>
      <c r="I663">
        <v>2.7817793871496201</v>
      </c>
      <c r="J663">
        <v>9.26</v>
      </c>
      <c r="L663">
        <v>3.7487570086734787</v>
      </c>
      <c r="M663">
        <v>3.4834551923407209</v>
      </c>
      <c r="N663">
        <v>3.8814079168398576</v>
      </c>
      <c r="O663">
        <v>3.350804284174342</v>
      </c>
    </row>
    <row r="664" spans="1:15">
      <c r="A664" s="19">
        <v>42822</v>
      </c>
      <c r="B664">
        <v>2350</v>
      </c>
      <c r="C664">
        <v>2368</v>
      </c>
      <c r="D664">
        <v>612</v>
      </c>
      <c r="E664">
        <v>612.4</v>
      </c>
      <c r="F664">
        <v>3.8667537557152101</v>
      </c>
      <c r="G664">
        <v>3.6108104303916</v>
      </c>
      <c r="H664">
        <v>0.12555184191711999</v>
      </c>
      <c r="I664">
        <v>2.0385469573004902</v>
      </c>
      <c r="J664">
        <v>6.62</v>
      </c>
      <c r="L664">
        <v>3.7363622723087202</v>
      </c>
      <c r="M664">
        <v>3.4852585884744798</v>
      </c>
      <c r="N664">
        <v>3.86191411422584</v>
      </c>
      <c r="O664">
        <v>3.35970674655736</v>
      </c>
    </row>
    <row r="665" spans="1:15">
      <c r="A665" s="19">
        <v>42821</v>
      </c>
      <c r="B665">
        <v>2340</v>
      </c>
      <c r="C665">
        <v>2332</v>
      </c>
      <c r="D665">
        <v>608.5</v>
      </c>
      <c r="E665">
        <v>604.1</v>
      </c>
      <c r="F665">
        <v>3.8602880317828099</v>
      </c>
      <c r="G665">
        <v>3.6089467924345602</v>
      </c>
      <c r="H665">
        <v>0.122744883612791</v>
      </c>
      <c r="I665">
        <v>2.04767182101968</v>
      </c>
      <c r="J665">
        <v>6.51</v>
      </c>
      <c r="L665">
        <v>3.7316916760473511</v>
      </c>
      <c r="M665">
        <v>3.4862019088217693</v>
      </c>
      <c r="N665">
        <v>3.854436559660142</v>
      </c>
      <c r="O665">
        <v>3.3634570252089784</v>
      </c>
    </row>
    <row r="666" spans="1:15">
      <c r="A666" s="19">
        <v>42818</v>
      </c>
      <c r="B666">
        <v>2369</v>
      </c>
      <c r="C666">
        <v>2351</v>
      </c>
      <c r="D666">
        <v>608.20000000000005</v>
      </c>
      <c r="E666">
        <v>613.4</v>
      </c>
      <c r="F666">
        <v>3.8327355722204102</v>
      </c>
      <c r="G666">
        <v>3.6076136479814802</v>
      </c>
      <c r="H666">
        <v>0.120530810919076</v>
      </c>
      <c r="I666">
        <v>1.8677541661116699</v>
      </c>
      <c r="J666">
        <v>5.87</v>
      </c>
      <c r="L666">
        <v>3.7281444589005561</v>
      </c>
      <c r="M666">
        <v>3.4870828370624043</v>
      </c>
      <c r="N666">
        <v>3.848675269819632</v>
      </c>
      <c r="O666">
        <v>3.3665520261433284</v>
      </c>
    </row>
    <row r="667" spans="1:15">
      <c r="A667" s="19">
        <v>42817</v>
      </c>
      <c r="B667">
        <v>2386</v>
      </c>
      <c r="C667">
        <v>2356</v>
      </c>
      <c r="D667">
        <v>604.1</v>
      </c>
      <c r="E667">
        <v>608.70000000000005</v>
      </c>
      <c r="F667">
        <v>3.8705437818301198</v>
      </c>
      <c r="G667">
        <v>3.60602014516531</v>
      </c>
      <c r="H667">
        <v>0.118313634594488</v>
      </c>
      <c r="I667">
        <v>2.2357832009087102</v>
      </c>
      <c r="J667">
        <v>6.83</v>
      </c>
      <c r="L667">
        <v>3.7243337797597982</v>
      </c>
      <c r="M667">
        <v>3.4877065105708218</v>
      </c>
      <c r="N667">
        <v>3.8426474143542859</v>
      </c>
      <c r="O667">
        <v>3.3693928759763341</v>
      </c>
    </row>
    <row r="668" spans="1:15">
      <c r="A668" s="19">
        <v>42816</v>
      </c>
      <c r="B668">
        <v>2403</v>
      </c>
      <c r="C668">
        <v>2400</v>
      </c>
      <c r="D668">
        <v>620</v>
      </c>
      <c r="E668">
        <v>614.1</v>
      </c>
      <c r="F668">
        <v>3.9081582804103498</v>
      </c>
      <c r="G668">
        <v>3.6072958577038801</v>
      </c>
      <c r="H668">
        <v>0.121628364761817</v>
      </c>
      <c r="I668">
        <v>2.4736205513874201</v>
      </c>
      <c r="J668">
        <v>7.7</v>
      </c>
      <c r="L668">
        <v>3.7289242224656971</v>
      </c>
      <c r="M668">
        <v>3.485667492942063</v>
      </c>
      <c r="N668">
        <v>3.8505525872275141</v>
      </c>
      <c r="O668">
        <v>3.364039128180246</v>
      </c>
    </row>
    <row r="669" spans="1:15">
      <c r="A669" s="19">
        <v>42815</v>
      </c>
      <c r="B669">
        <v>2423</v>
      </c>
      <c r="C669">
        <v>2439</v>
      </c>
      <c r="D669">
        <v>635</v>
      </c>
      <c r="E669">
        <v>641</v>
      </c>
      <c r="F669">
        <v>3.8049921996879799</v>
      </c>
      <c r="G669">
        <v>3.6095529535033402</v>
      </c>
      <c r="H669">
        <v>0.12856360823652399</v>
      </c>
      <c r="I669">
        <v>1.5201754902918401</v>
      </c>
      <c r="J669">
        <v>5.14</v>
      </c>
      <c r="L669">
        <v>3.7381165617398642</v>
      </c>
      <c r="M669">
        <v>3.4809893452668161</v>
      </c>
      <c r="N669">
        <v>3.8666801699763882</v>
      </c>
      <c r="O669">
        <v>3.3524257370302921</v>
      </c>
    </row>
    <row r="670" spans="1:15">
      <c r="A670" s="19">
        <v>42811</v>
      </c>
      <c r="B670">
        <v>2337</v>
      </c>
      <c r="C670">
        <v>2384</v>
      </c>
      <c r="D670">
        <v>645.6</v>
      </c>
      <c r="E670">
        <v>639.9</v>
      </c>
      <c r="F670">
        <v>3.7255821222065899</v>
      </c>
      <c r="G670">
        <v>3.6127598843090101</v>
      </c>
      <c r="H670">
        <v>0.13617329997282099</v>
      </c>
      <c r="I670">
        <v>0.82851952563457698</v>
      </c>
      <c r="J670">
        <v>3.03</v>
      </c>
      <c r="L670">
        <v>3.7489331842818312</v>
      </c>
      <c r="M670">
        <v>3.4765865843361889</v>
      </c>
      <c r="N670">
        <v>3.8851064842546519</v>
      </c>
      <c r="O670">
        <v>3.3404132843633683</v>
      </c>
    </row>
    <row r="671" spans="1:15">
      <c r="A671" s="19">
        <v>42810</v>
      </c>
      <c r="B671">
        <v>2292</v>
      </c>
      <c r="C671">
        <v>2333</v>
      </c>
      <c r="D671">
        <v>648.70000000000005</v>
      </c>
      <c r="E671">
        <v>650</v>
      </c>
      <c r="F671">
        <v>3.5892307692307601</v>
      </c>
      <c r="G671">
        <v>3.6162922224726999</v>
      </c>
      <c r="H671">
        <v>0.14235009228505</v>
      </c>
      <c r="I671">
        <v>-0.190104922361054</v>
      </c>
      <c r="J671">
        <v>-0.75</v>
      </c>
      <c r="L671">
        <v>3.7586423147577497</v>
      </c>
      <c r="M671">
        <v>3.4739421301876501</v>
      </c>
      <c r="N671">
        <v>3.9009924070427999</v>
      </c>
      <c r="O671">
        <v>3.3315920379025998</v>
      </c>
    </row>
    <row r="672" spans="1:15">
      <c r="A672" s="19">
        <v>42809</v>
      </c>
      <c r="B672">
        <v>2360</v>
      </c>
      <c r="C672">
        <v>2362</v>
      </c>
      <c r="D672">
        <v>652.5</v>
      </c>
      <c r="E672">
        <v>655.29999999999995</v>
      </c>
      <c r="F672">
        <v>3.6044559743628799</v>
      </c>
      <c r="G672">
        <v>3.6232781127728799</v>
      </c>
      <c r="H672">
        <v>0.15328681994649801</v>
      </c>
      <c r="I672">
        <v>-0.122790324807873</v>
      </c>
      <c r="J672">
        <v>-0.52</v>
      </c>
      <c r="L672">
        <v>3.7765649327193778</v>
      </c>
      <c r="M672">
        <v>3.4699912928263821</v>
      </c>
      <c r="N672">
        <v>3.9298517526658761</v>
      </c>
      <c r="O672">
        <v>3.3167044728798838</v>
      </c>
    </row>
    <row r="673" spans="1:15">
      <c r="A673" s="19">
        <v>42808</v>
      </c>
      <c r="B673">
        <v>2335</v>
      </c>
      <c r="C673">
        <v>2360</v>
      </c>
      <c r="D673">
        <v>658.4</v>
      </c>
      <c r="E673">
        <v>656.8</v>
      </c>
      <c r="F673">
        <v>3.5931790499390899</v>
      </c>
      <c r="G673">
        <v>3.6290587631226199</v>
      </c>
      <c r="H673">
        <v>0.160474355377518</v>
      </c>
      <c r="I673">
        <v>-0.223585339222101</v>
      </c>
      <c r="J673">
        <v>-1</v>
      </c>
      <c r="L673">
        <v>3.7895331185001377</v>
      </c>
      <c r="M673">
        <v>3.468584407745102</v>
      </c>
      <c r="N673">
        <v>3.9500074738776561</v>
      </c>
      <c r="O673">
        <v>3.3081100523675837</v>
      </c>
    </row>
    <row r="674" spans="1:15">
      <c r="A674" s="19">
        <v>42807</v>
      </c>
      <c r="B674">
        <v>2335</v>
      </c>
      <c r="C674">
        <v>2336</v>
      </c>
      <c r="D674">
        <v>657.2</v>
      </c>
      <c r="E674">
        <v>658.3</v>
      </c>
      <c r="F674">
        <v>3.5485341029925501</v>
      </c>
      <c r="G674">
        <v>3.6337958315479</v>
      </c>
      <c r="H674">
        <v>0.164537642801378</v>
      </c>
      <c r="I674">
        <v>-0.51818980206412901</v>
      </c>
      <c r="J674">
        <v>-2.4</v>
      </c>
      <c r="L674">
        <v>3.798333474349278</v>
      </c>
      <c r="M674">
        <v>3.4692581887465219</v>
      </c>
      <c r="N674">
        <v>3.9628711171506561</v>
      </c>
      <c r="O674">
        <v>3.3047205459451439</v>
      </c>
    </row>
    <row r="675" spans="1:15">
      <c r="A675" s="19">
        <v>42804</v>
      </c>
      <c r="B675">
        <v>2335</v>
      </c>
      <c r="C675">
        <v>2349</v>
      </c>
      <c r="D675">
        <v>660</v>
      </c>
      <c r="E675">
        <v>661.3</v>
      </c>
      <c r="F675">
        <v>3.5520943595947299</v>
      </c>
      <c r="G675">
        <v>3.6384847341458002</v>
      </c>
      <c r="H675">
        <v>0.16703298410181699</v>
      </c>
      <c r="I675">
        <v>-0.51720547899932001</v>
      </c>
      <c r="J675">
        <v>-2.4300000000000002</v>
      </c>
      <c r="L675">
        <v>3.805517718247617</v>
      </c>
      <c r="M675">
        <v>3.4714517500439834</v>
      </c>
      <c r="N675">
        <v>3.9725507023494342</v>
      </c>
      <c r="O675">
        <v>3.3044187659421662</v>
      </c>
    </row>
    <row r="676" spans="1:15">
      <c r="A676" s="19">
        <v>42803</v>
      </c>
      <c r="B676">
        <v>2310</v>
      </c>
      <c r="C676">
        <v>2317</v>
      </c>
      <c r="D676">
        <v>650</v>
      </c>
      <c r="E676">
        <v>653.79999999999995</v>
      </c>
      <c r="F676">
        <v>3.54389721627409</v>
      </c>
      <c r="G676">
        <v>3.6455906046936501</v>
      </c>
      <c r="H676">
        <v>0.17438110982456401</v>
      </c>
      <c r="I676">
        <v>-0.58316745731160502</v>
      </c>
      <c r="J676">
        <v>-2.87</v>
      </c>
      <c r="L676">
        <v>3.8199717145182142</v>
      </c>
      <c r="M676">
        <v>3.4712094948690861</v>
      </c>
      <c r="N676">
        <v>3.9943528243427782</v>
      </c>
      <c r="O676">
        <v>3.2968283850445221</v>
      </c>
    </row>
    <row r="677" spans="1:15">
      <c r="A677" s="19">
        <v>42802</v>
      </c>
      <c r="B677">
        <v>2337</v>
      </c>
      <c r="C677">
        <v>2306</v>
      </c>
      <c r="D677">
        <v>651.9</v>
      </c>
      <c r="E677">
        <v>647.4</v>
      </c>
      <c r="F677">
        <v>3.56194006796416</v>
      </c>
      <c r="G677">
        <v>3.6520502963430101</v>
      </c>
      <c r="H677">
        <v>0.179395649888344</v>
      </c>
      <c r="I677">
        <v>-0.50229884857816798</v>
      </c>
      <c r="J677">
        <v>-2.5299999999999998</v>
      </c>
      <c r="L677">
        <v>3.8314459462313541</v>
      </c>
      <c r="M677">
        <v>3.4726546464546661</v>
      </c>
      <c r="N677">
        <v>4.0108415961196986</v>
      </c>
      <c r="O677">
        <v>3.2932589965663221</v>
      </c>
    </row>
    <row r="678" spans="1:15">
      <c r="A678" s="19">
        <v>42801</v>
      </c>
      <c r="B678">
        <v>2332</v>
      </c>
      <c r="C678">
        <v>2341</v>
      </c>
      <c r="D678">
        <v>652</v>
      </c>
      <c r="E678">
        <v>650.29999999999995</v>
      </c>
      <c r="F678">
        <v>3.5998769798554502</v>
      </c>
      <c r="G678">
        <v>3.6584806056232102</v>
      </c>
      <c r="H678">
        <v>0.18461782918715799</v>
      </c>
      <c r="I678">
        <v>-0.31743210298692898</v>
      </c>
      <c r="J678">
        <v>-1.63</v>
      </c>
      <c r="L678">
        <v>3.8430984348103681</v>
      </c>
      <c r="M678">
        <v>3.4738627764360523</v>
      </c>
      <c r="N678">
        <v>4.0277162639975259</v>
      </c>
      <c r="O678">
        <v>3.289244947248894</v>
      </c>
    </row>
    <row r="679" spans="1:15">
      <c r="A679" s="19">
        <v>42800</v>
      </c>
      <c r="B679">
        <v>2313</v>
      </c>
      <c r="C679">
        <v>2343</v>
      </c>
      <c r="D679">
        <v>638.9</v>
      </c>
      <c r="E679">
        <v>655.5</v>
      </c>
      <c r="F679">
        <v>3.57437070938215</v>
      </c>
      <c r="G679">
        <v>3.6650500036553799</v>
      </c>
      <c r="H679">
        <v>0.19106904266144001</v>
      </c>
      <c r="I679">
        <v>-0.47458914856190099</v>
      </c>
      <c r="J679">
        <v>-2.54</v>
      </c>
      <c r="L679">
        <v>3.8561190463168198</v>
      </c>
      <c r="M679">
        <v>3.47398096099394</v>
      </c>
      <c r="N679">
        <v>4.0471880889782597</v>
      </c>
      <c r="O679">
        <v>3.2829119183324997</v>
      </c>
    </row>
    <row r="680" spans="1:15">
      <c r="A680" s="19">
        <v>42797</v>
      </c>
      <c r="B680">
        <v>2331</v>
      </c>
      <c r="C680">
        <v>2317</v>
      </c>
      <c r="D680">
        <v>638.20000000000005</v>
      </c>
      <c r="E680">
        <v>639.6</v>
      </c>
      <c r="F680">
        <v>3.62257661038148</v>
      </c>
      <c r="G680">
        <v>3.6750183941969499</v>
      </c>
      <c r="H680">
        <v>0.205067836981003</v>
      </c>
      <c r="I680">
        <v>-0.25572895578121402</v>
      </c>
      <c r="J680">
        <v>-1.45</v>
      </c>
      <c r="L680">
        <v>3.8800862311779527</v>
      </c>
      <c r="M680">
        <v>3.469950557215947</v>
      </c>
      <c r="N680">
        <v>4.085154068158956</v>
      </c>
      <c r="O680">
        <v>3.2648827202349437</v>
      </c>
    </row>
    <row r="681" spans="1:15">
      <c r="A681" s="19">
        <v>42796</v>
      </c>
      <c r="B681">
        <v>2362</v>
      </c>
      <c r="C681">
        <v>2368</v>
      </c>
      <c r="D681">
        <v>644</v>
      </c>
      <c r="E681">
        <v>638.70000000000005</v>
      </c>
      <c r="F681">
        <v>3.70753092218568</v>
      </c>
      <c r="G681">
        <v>3.6874624380574201</v>
      </c>
      <c r="H681">
        <v>0.22848819420424901</v>
      </c>
      <c r="I681">
        <v>8.7831601970335405E-2</v>
      </c>
      <c r="J681">
        <v>0.54</v>
      </c>
      <c r="L681">
        <v>3.9159506322616693</v>
      </c>
      <c r="M681">
        <v>3.458974243853171</v>
      </c>
      <c r="N681">
        <v>4.144438826465918</v>
      </c>
      <c r="O681">
        <v>3.2304860496489223</v>
      </c>
    </row>
    <row r="682" spans="1:15">
      <c r="A682" s="19">
        <v>42795</v>
      </c>
      <c r="B682">
        <v>2380</v>
      </c>
      <c r="C682">
        <v>2360</v>
      </c>
      <c r="D682">
        <v>629</v>
      </c>
      <c r="E682">
        <v>630.4</v>
      </c>
      <c r="F682">
        <v>3.7436548223350199</v>
      </c>
      <c r="G682">
        <v>3.7027027601766398</v>
      </c>
      <c r="H682">
        <v>0.26458712018890901</v>
      </c>
      <c r="I682">
        <v>0.15477723227474199</v>
      </c>
      <c r="J682">
        <v>1.0900000000000001</v>
      </c>
      <c r="L682">
        <v>3.967289880365549</v>
      </c>
      <c r="M682">
        <v>3.4381156399877306</v>
      </c>
      <c r="N682">
        <v>4.2318770005544577</v>
      </c>
      <c r="O682">
        <v>3.1735285197988219</v>
      </c>
    </row>
    <row r="683" spans="1:15">
      <c r="A683" s="19">
        <v>42794</v>
      </c>
      <c r="B683">
        <v>2383</v>
      </c>
      <c r="C683">
        <v>2375</v>
      </c>
      <c r="D683">
        <v>623</v>
      </c>
      <c r="E683">
        <v>627</v>
      </c>
      <c r="F683">
        <v>3.7878787878787801</v>
      </c>
      <c r="G683">
        <v>3.71989816735445</v>
      </c>
      <c r="H683">
        <v>0.30544261164713099</v>
      </c>
      <c r="I683">
        <v>0.22256429827437499</v>
      </c>
      <c r="J683">
        <v>1.79</v>
      </c>
      <c r="L683">
        <v>4.0253407790015814</v>
      </c>
      <c r="M683">
        <v>3.4144555557073191</v>
      </c>
      <c r="N683">
        <v>4.3307833906487119</v>
      </c>
      <c r="O683">
        <v>3.1090129440601881</v>
      </c>
    </row>
    <row r="684" spans="1:15">
      <c r="A684" s="19">
        <v>42793</v>
      </c>
      <c r="B684">
        <v>2330</v>
      </c>
      <c r="C684">
        <v>2375</v>
      </c>
      <c r="D684">
        <v>625</v>
      </c>
      <c r="E684">
        <v>624.79999999999995</v>
      </c>
      <c r="F684">
        <v>3.8012163892445501</v>
      </c>
      <c r="G684">
        <v>3.73535864416462</v>
      </c>
      <c r="H684">
        <v>0.33628137626215998</v>
      </c>
      <c r="I684">
        <v>0.19584119052907401</v>
      </c>
      <c r="J684">
        <v>1.73</v>
      </c>
      <c r="L684">
        <v>4.0716400204267797</v>
      </c>
      <c r="M684">
        <v>3.3990772679024599</v>
      </c>
      <c r="N684">
        <v>4.4079213966889403</v>
      </c>
      <c r="O684">
        <v>3.0627958916403002</v>
      </c>
    </row>
    <row r="685" spans="1:15">
      <c r="A685" s="19">
        <v>42790</v>
      </c>
      <c r="B685">
        <v>2306</v>
      </c>
      <c r="C685">
        <v>2340</v>
      </c>
      <c r="D685">
        <v>636.70000000000005</v>
      </c>
      <c r="E685">
        <v>632.6</v>
      </c>
      <c r="F685">
        <v>3.69901991779955</v>
      </c>
      <c r="G685">
        <v>3.75071280414637</v>
      </c>
      <c r="H685">
        <v>0.36407837295823398</v>
      </c>
      <c r="I685">
        <v>-0.14198285365538099</v>
      </c>
      <c r="J685">
        <v>-1.4</v>
      </c>
      <c r="L685">
        <v>4.1147911771046042</v>
      </c>
      <c r="M685">
        <v>3.3866344311881358</v>
      </c>
      <c r="N685">
        <v>4.4788695500628375</v>
      </c>
      <c r="O685">
        <v>3.022556058229902</v>
      </c>
    </row>
    <row r="686" spans="1:15">
      <c r="A686" s="19">
        <v>42789</v>
      </c>
      <c r="B686">
        <v>2327</v>
      </c>
      <c r="C686">
        <v>2330</v>
      </c>
      <c r="D686">
        <v>639.70000000000005</v>
      </c>
      <c r="E686">
        <v>637.79999999999995</v>
      </c>
      <c r="F686">
        <v>3.6531828159297501</v>
      </c>
      <c r="G686">
        <v>3.7683708010580901</v>
      </c>
      <c r="H686">
        <v>0.39217475092885801</v>
      </c>
      <c r="I686">
        <v>-0.29371596426214402</v>
      </c>
      <c r="J686">
        <v>-3.15</v>
      </c>
      <c r="L686">
        <v>4.1605455519869476</v>
      </c>
      <c r="M686">
        <v>3.3761960501292321</v>
      </c>
      <c r="N686">
        <v>4.5527203029158061</v>
      </c>
      <c r="O686">
        <v>2.9840212992003741</v>
      </c>
    </row>
    <row r="687" spans="1:15">
      <c r="A687" s="19">
        <v>42788</v>
      </c>
      <c r="B687">
        <v>2304</v>
      </c>
      <c r="C687">
        <v>2321</v>
      </c>
      <c r="D687">
        <v>643.5</v>
      </c>
      <c r="E687">
        <v>643.5</v>
      </c>
      <c r="F687">
        <v>3.6068376068375998</v>
      </c>
      <c r="G687">
        <v>3.7854130992667199</v>
      </c>
      <c r="H687">
        <v>0.41396552268279802</v>
      </c>
      <c r="I687">
        <v>-0.43137769365867301</v>
      </c>
      <c r="J687">
        <v>-4.95</v>
      </c>
      <c r="L687">
        <v>4.1993786219495179</v>
      </c>
      <c r="M687">
        <v>3.3714475765839218</v>
      </c>
      <c r="N687">
        <v>4.6133441446323156</v>
      </c>
      <c r="O687">
        <v>2.9574820539011237</v>
      </c>
    </row>
    <row r="688" spans="1:15">
      <c r="A688" s="19">
        <v>42787</v>
      </c>
      <c r="B688">
        <v>2265</v>
      </c>
      <c r="C688">
        <v>2304</v>
      </c>
      <c r="D688">
        <v>643.20000000000005</v>
      </c>
      <c r="E688">
        <v>639.1</v>
      </c>
      <c r="F688">
        <v>3.6050696291660098</v>
      </c>
      <c r="G688">
        <v>3.8021487243335201</v>
      </c>
      <c r="H688">
        <v>0.43141200009629099</v>
      </c>
      <c r="I688">
        <v>-0.45682339648298997</v>
      </c>
      <c r="J688">
        <v>-5.47</v>
      </c>
      <c r="L688">
        <v>4.233560724429811</v>
      </c>
      <c r="M688">
        <v>3.3707367242372293</v>
      </c>
      <c r="N688">
        <v>4.6649727245261019</v>
      </c>
      <c r="O688">
        <v>2.9393247241409384</v>
      </c>
    </row>
    <row r="689" spans="1:15">
      <c r="A689" s="19">
        <v>42786</v>
      </c>
      <c r="B689">
        <v>2228</v>
      </c>
      <c r="C689">
        <v>2243</v>
      </c>
      <c r="D689">
        <v>624.20000000000005</v>
      </c>
      <c r="E689">
        <v>629.4</v>
      </c>
      <c r="F689">
        <v>3.56371147124245</v>
      </c>
      <c r="G689">
        <v>3.8182871378616601</v>
      </c>
      <c r="H689">
        <v>0.44612599891191002</v>
      </c>
      <c r="I689">
        <v>-0.57063624904201304</v>
      </c>
      <c r="J689">
        <v>-7.14</v>
      </c>
      <c r="L689">
        <v>4.2644131367735705</v>
      </c>
      <c r="M689">
        <v>3.3721611389497501</v>
      </c>
      <c r="N689">
        <v>4.7105391356854804</v>
      </c>
      <c r="O689">
        <v>2.9260351400378402</v>
      </c>
    </row>
    <row r="690" spans="1:15">
      <c r="A690" s="19">
        <v>42783</v>
      </c>
      <c r="B690">
        <v>2194</v>
      </c>
      <c r="C690">
        <v>2211</v>
      </c>
      <c r="D690">
        <v>630.9</v>
      </c>
      <c r="E690">
        <v>630.9</v>
      </c>
      <c r="F690">
        <v>3.50451735615786</v>
      </c>
      <c r="G690">
        <v>3.8365483739342898</v>
      </c>
      <c r="H690">
        <v>0.463041744540165</v>
      </c>
      <c r="I690">
        <v>-0.71706497673585001</v>
      </c>
      <c r="J690">
        <v>-9.4700000000000006</v>
      </c>
      <c r="L690">
        <v>4.2995901184744545</v>
      </c>
      <c r="M690">
        <v>3.3735066293941247</v>
      </c>
      <c r="N690">
        <v>4.7626318630146196</v>
      </c>
      <c r="O690">
        <v>2.91046488485396</v>
      </c>
    </row>
    <row r="691" spans="1:15">
      <c r="A691" s="19">
        <v>42782</v>
      </c>
      <c r="B691">
        <v>2169</v>
      </c>
      <c r="C691">
        <v>2205</v>
      </c>
      <c r="D691">
        <v>628.70000000000005</v>
      </c>
      <c r="E691">
        <v>632.4</v>
      </c>
      <c r="F691">
        <v>3.48671726755218</v>
      </c>
      <c r="G691">
        <v>3.8577918062635099</v>
      </c>
      <c r="H691">
        <v>0.48342080337887</v>
      </c>
      <c r="I691">
        <v>-0.76760151014955602</v>
      </c>
      <c r="J691">
        <v>-10.64</v>
      </c>
      <c r="L691">
        <v>4.3412126096423798</v>
      </c>
      <c r="M691">
        <v>3.3743710028846401</v>
      </c>
      <c r="N691">
        <v>4.8246334130212496</v>
      </c>
      <c r="O691">
        <v>2.8909501995057698</v>
      </c>
    </row>
    <row r="692" spans="1:15">
      <c r="A692" s="19">
        <v>42781</v>
      </c>
      <c r="B692">
        <v>2174</v>
      </c>
      <c r="C692">
        <v>2153</v>
      </c>
      <c r="D692">
        <v>618</v>
      </c>
      <c r="E692">
        <v>623.5</v>
      </c>
      <c r="F692">
        <v>3.4530874097834801</v>
      </c>
      <c r="G692">
        <v>3.87970595638288</v>
      </c>
      <c r="H692">
        <v>0.50296036129052701</v>
      </c>
      <c r="I692">
        <v>-0.84821504721517105</v>
      </c>
      <c r="J692">
        <v>-12.35</v>
      </c>
      <c r="L692">
        <v>4.3826663176734071</v>
      </c>
      <c r="M692">
        <v>3.3767455950923528</v>
      </c>
      <c r="N692">
        <v>4.8856266789639342</v>
      </c>
      <c r="O692">
        <v>2.8737852338018257</v>
      </c>
    </row>
    <row r="693" spans="1:15">
      <c r="A693" s="19">
        <v>42780</v>
      </c>
      <c r="B693">
        <v>2153</v>
      </c>
      <c r="C693">
        <v>2154</v>
      </c>
      <c r="D693">
        <v>619.5</v>
      </c>
      <c r="E693">
        <v>608.1</v>
      </c>
      <c r="F693">
        <v>3.54218056240749</v>
      </c>
      <c r="G693">
        <v>3.90170493883247</v>
      </c>
      <c r="H693">
        <v>0.519626273511407</v>
      </c>
      <c r="I693">
        <v>-0.69189029645376199</v>
      </c>
      <c r="J693">
        <v>-10.15</v>
      </c>
      <c r="L693">
        <v>4.421331212343877</v>
      </c>
      <c r="M693">
        <v>3.382078665321063</v>
      </c>
      <c r="N693">
        <v>4.940957485855284</v>
      </c>
      <c r="O693">
        <v>2.862452391809656</v>
      </c>
    </row>
    <row r="694" spans="1:15">
      <c r="A694" s="19">
        <v>42779</v>
      </c>
      <c r="B694">
        <v>2108</v>
      </c>
      <c r="C694">
        <v>2154</v>
      </c>
      <c r="D694">
        <v>623.79999999999995</v>
      </c>
      <c r="E694">
        <v>615.70000000000005</v>
      </c>
      <c r="F694">
        <v>3.4984570407666</v>
      </c>
      <c r="G694">
        <v>3.92194978135274</v>
      </c>
      <c r="H694">
        <v>0.53458732248261598</v>
      </c>
      <c r="I694">
        <v>-0.79218627673293995</v>
      </c>
      <c r="J694">
        <v>-12.11</v>
      </c>
      <c r="L694">
        <v>4.4565371038353563</v>
      </c>
      <c r="M694">
        <v>3.3873624588701241</v>
      </c>
      <c r="N694">
        <v>4.9911244263179722</v>
      </c>
      <c r="O694">
        <v>2.8527751363875078</v>
      </c>
    </row>
    <row r="695" spans="1:15">
      <c r="A695" s="19">
        <v>42776</v>
      </c>
      <c r="B695">
        <v>2065</v>
      </c>
      <c r="C695">
        <v>2086</v>
      </c>
      <c r="D695">
        <v>609.79999999999995</v>
      </c>
      <c r="E695">
        <v>615.70000000000005</v>
      </c>
      <c r="F695">
        <v>3.3880136430079499</v>
      </c>
      <c r="G695">
        <v>3.9412437419717601</v>
      </c>
      <c r="H695">
        <v>0.54496689133540599</v>
      </c>
      <c r="I695">
        <v>-1.01516276999535</v>
      </c>
      <c r="J695">
        <v>-16.329999999999998</v>
      </c>
      <c r="L695">
        <v>4.4862106333071665</v>
      </c>
      <c r="M695">
        <v>3.3962768506363541</v>
      </c>
      <c r="N695">
        <v>5.0311775246425725</v>
      </c>
      <c r="O695">
        <v>2.8513099593009481</v>
      </c>
    </row>
    <row r="696" spans="1:15">
      <c r="A696" s="19">
        <v>42775</v>
      </c>
      <c r="B696">
        <v>2035</v>
      </c>
      <c r="C696">
        <v>2045</v>
      </c>
      <c r="D696">
        <v>593</v>
      </c>
      <c r="E696">
        <v>598.29999999999995</v>
      </c>
      <c r="F696">
        <v>3.4180177168644401</v>
      </c>
      <c r="G696">
        <v>3.9662472931508899</v>
      </c>
      <c r="H696">
        <v>0.56177096646339097</v>
      </c>
      <c r="I696">
        <v>-0.97589517617438903</v>
      </c>
      <c r="J696">
        <v>-16.04</v>
      </c>
      <c r="L696">
        <v>4.5280182596142806</v>
      </c>
      <c r="M696">
        <v>3.4044763266874991</v>
      </c>
      <c r="N696">
        <v>5.0897892260776718</v>
      </c>
      <c r="O696">
        <v>2.8427053602241079</v>
      </c>
    </row>
    <row r="697" spans="1:15">
      <c r="A697" s="19">
        <v>42774</v>
      </c>
      <c r="B697">
        <v>2022</v>
      </c>
      <c r="C697">
        <v>2034</v>
      </c>
      <c r="D697">
        <v>593.20000000000005</v>
      </c>
      <c r="E697">
        <v>600.5</v>
      </c>
      <c r="F697">
        <v>3.3871773522064901</v>
      </c>
      <c r="G697">
        <v>3.9924054790167598</v>
      </c>
      <c r="H697">
        <v>0.58098174442110395</v>
      </c>
      <c r="I697">
        <v>-1.04173346688083</v>
      </c>
      <c r="J697">
        <v>-17.87</v>
      </c>
      <c r="L697">
        <v>4.5733872234378641</v>
      </c>
      <c r="M697">
        <v>3.411423734595656</v>
      </c>
      <c r="N697">
        <v>5.1543689678589679</v>
      </c>
      <c r="O697">
        <v>2.8304419901745517</v>
      </c>
    </row>
    <row r="698" spans="1:15">
      <c r="A698" s="19">
        <v>42773</v>
      </c>
      <c r="B698">
        <v>2050</v>
      </c>
      <c r="C698">
        <v>2023</v>
      </c>
      <c r="D698">
        <v>586.6</v>
      </c>
      <c r="E698">
        <v>593.20000000000005</v>
      </c>
      <c r="F698">
        <v>3.4103169251517098</v>
      </c>
      <c r="G698">
        <v>4.0187786063241404</v>
      </c>
      <c r="H698">
        <v>0.59756703969321601</v>
      </c>
      <c r="I698">
        <v>-1.0182316639900399</v>
      </c>
      <c r="J698">
        <v>-17.84</v>
      </c>
      <c r="L698">
        <v>4.616345646017356</v>
      </c>
      <c r="M698">
        <v>3.4212115666309244</v>
      </c>
      <c r="N698">
        <v>5.2139126857105724</v>
      </c>
      <c r="O698">
        <v>2.8236445269377084</v>
      </c>
    </row>
    <row r="699" spans="1:15">
      <c r="A699" s="19">
        <v>42772</v>
      </c>
      <c r="B699">
        <v>2092</v>
      </c>
      <c r="C699">
        <v>2066</v>
      </c>
      <c r="D699">
        <v>600.29999999999995</v>
      </c>
      <c r="E699">
        <v>590.9</v>
      </c>
      <c r="F699">
        <v>3.4963614824843399</v>
      </c>
      <c r="G699">
        <v>4.04400759536483</v>
      </c>
      <c r="H699">
        <v>0.61113481366132605</v>
      </c>
      <c r="I699">
        <v>-0.89611342806592797</v>
      </c>
      <c r="J699">
        <v>-15.66</v>
      </c>
      <c r="L699">
        <v>4.6551424090261557</v>
      </c>
      <c r="M699">
        <v>3.4328727817035039</v>
      </c>
      <c r="N699">
        <v>5.2662772226874823</v>
      </c>
      <c r="O699">
        <v>2.8217379680421777</v>
      </c>
    </row>
    <row r="700" spans="1:15">
      <c r="A700" s="19">
        <v>42769</v>
      </c>
      <c r="B700">
        <v>2104</v>
      </c>
      <c r="C700">
        <v>2085</v>
      </c>
      <c r="D700">
        <v>580</v>
      </c>
      <c r="E700">
        <v>587.9</v>
      </c>
      <c r="F700">
        <v>3.5465215172648401</v>
      </c>
      <c r="G700">
        <v>4.0677142609342196</v>
      </c>
      <c r="H700">
        <v>0.62378560211904099</v>
      </c>
      <c r="I700">
        <v>-0.83553185886121695</v>
      </c>
      <c r="J700">
        <v>-14.7</v>
      </c>
      <c r="L700">
        <v>4.6914998630532603</v>
      </c>
      <c r="M700">
        <v>3.4439286588151785</v>
      </c>
      <c r="N700">
        <v>5.3152854651723018</v>
      </c>
      <c r="O700">
        <v>2.8201430566961374</v>
      </c>
    </row>
    <row r="701" spans="1:15">
      <c r="A701" s="19">
        <v>42768</v>
      </c>
      <c r="B701">
        <v>2130</v>
      </c>
      <c r="C701">
        <v>2101</v>
      </c>
      <c r="D701">
        <v>591.5</v>
      </c>
      <c r="E701">
        <v>577.9</v>
      </c>
      <c r="F701">
        <v>3.6355770894618402</v>
      </c>
      <c r="G701">
        <v>4.0908627784712497</v>
      </c>
      <c r="H701">
        <v>0.63610689716822999</v>
      </c>
      <c r="I701">
        <v>-0.71573770232049105</v>
      </c>
      <c r="J701">
        <v>-12.52</v>
      </c>
      <c r="L701">
        <v>4.7269696756394799</v>
      </c>
      <c r="M701">
        <v>3.4547558813030195</v>
      </c>
      <c r="N701">
        <v>5.3630765728077101</v>
      </c>
      <c r="O701">
        <v>2.8186489841347897</v>
      </c>
    </row>
    <row r="702" spans="1:15">
      <c r="A702" s="19">
        <v>42767</v>
      </c>
      <c r="B702">
        <v>2114</v>
      </c>
      <c r="C702">
        <v>2130</v>
      </c>
      <c r="D702">
        <v>599</v>
      </c>
      <c r="E702">
        <v>588.4</v>
      </c>
      <c r="F702">
        <v>3.61998640380693</v>
      </c>
      <c r="G702">
        <v>4.1117469375460303</v>
      </c>
      <c r="H702">
        <v>0.64644444969139703</v>
      </c>
      <c r="I702">
        <v>-0.76071584182347296</v>
      </c>
      <c r="J702">
        <v>-13.58</v>
      </c>
      <c r="L702">
        <v>4.7581913872374271</v>
      </c>
      <c r="M702">
        <v>3.4653024878546335</v>
      </c>
      <c r="N702">
        <v>5.4046358369288239</v>
      </c>
      <c r="O702">
        <v>2.8188580381632362</v>
      </c>
    </row>
    <row r="703" spans="1:15">
      <c r="A703" s="19">
        <v>42766</v>
      </c>
      <c r="B703">
        <v>2113</v>
      </c>
      <c r="C703">
        <v>2115</v>
      </c>
      <c r="D703">
        <v>611.6</v>
      </c>
      <c r="E703">
        <v>613.20000000000005</v>
      </c>
      <c r="F703">
        <v>3.4491193737769001</v>
      </c>
      <c r="G703">
        <v>4.13093288263725</v>
      </c>
      <c r="H703">
        <v>0.65288596364856799</v>
      </c>
      <c r="I703">
        <v>-1.0443071942458699</v>
      </c>
      <c r="J703">
        <v>-19.77</v>
      </c>
      <c r="L703">
        <v>4.7838188462858184</v>
      </c>
      <c r="M703">
        <v>3.478046918988682</v>
      </c>
      <c r="N703">
        <v>5.436704809934386</v>
      </c>
      <c r="O703">
        <v>2.825160955340114</v>
      </c>
    </row>
    <row r="704" spans="1:15">
      <c r="A704" s="19">
        <v>42765</v>
      </c>
      <c r="B704">
        <v>2166</v>
      </c>
      <c r="C704">
        <v>2133</v>
      </c>
      <c r="D704">
        <v>616</v>
      </c>
      <c r="E704">
        <v>621.6</v>
      </c>
      <c r="F704">
        <v>3.43146718146718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42762</v>
      </c>
      <c r="B705">
        <v>2177</v>
      </c>
      <c r="C705">
        <v>2172</v>
      </c>
      <c r="D705">
        <v>619.5</v>
      </c>
      <c r="E705">
        <v>624.29999999999995</v>
      </c>
      <c r="F705">
        <v>3.4790965881787601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42761</v>
      </c>
      <c r="B706">
        <v>2119</v>
      </c>
      <c r="C706">
        <v>2154</v>
      </c>
      <c r="D706">
        <v>599.1</v>
      </c>
      <c r="E706">
        <v>615.1</v>
      </c>
      <c r="F706">
        <v>3.50186961469679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42760</v>
      </c>
      <c r="B707">
        <v>2117</v>
      </c>
      <c r="C707">
        <v>2105</v>
      </c>
      <c r="D707">
        <v>595.5</v>
      </c>
      <c r="E707">
        <v>589.1</v>
      </c>
      <c r="F707">
        <v>3.5732473264301401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42759</v>
      </c>
      <c r="B708">
        <v>2096</v>
      </c>
      <c r="C708">
        <v>2094</v>
      </c>
      <c r="D708">
        <v>596</v>
      </c>
      <c r="E708">
        <v>584.70000000000005</v>
      </c>
      <c r="F708">
        <v>3.58132375577219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42758</v>
      </c>
      <c r="B709">
        <v>2129</v>
      </c>
      <c r="C709">
        <v>2101</v>
      </c>
      <c r="D709">
        <v>605.70000000000005</v>
      </c>
      <c r="E709">
        <v>607.29999999999995</v>
      </c>
      <c r="F709">
        <v>3.4595751687798399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42755</v>
      </c>
      <c r="B710">
        <v>2127</v>
      </c>
      <c r="C710">
        <v>2136</v>
      </c>
      <c r="D710">
        <v>609</v>
      </c>
      <c r="E710">
        <v>611.9</v>
      </c>
      <c r="F710">
        <v>3.4907664651086701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42754</v>
      </c>
      <c r="B711">
        <v>2151</v>
      </c>
      <c r="C711">
        <v>2146</v>
      </c>
      <c r="D711">
        <v>610</v>
      </c>
      <c r="E711">
        <v>610</v>
      </c>
      <c r="F711">
        <v>3.5180327868852399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42753</v>
      </c>
      <c r="B712">
        <v>2152</v>
      </c>
      <c r="C712">
        <v>2164</v>
      </c>
      <c r="D712">
        <v>589.5</v>
      </c>
      <c r="E712">
        <v>600.9</v>
      </c>
      <c r="F712">
        <v>3.6012647695123898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42752</v>
      </c>
      <c r="B713">
        <v>2162</v>
      </c>
      <c r="C713">
        <v>2141</v>
      </c>
      <c r="D713">
        <v>601.6</v>
      </c>
      <c r="E713">
        <v>596.1</v>
      </c>
      <c r="F713">
        <v>3.5916792484482398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42751</v>
      </c>
      <c r="B714">
        <v>2200</v>
      </c>
      <c r="C714">
        <v>2173</v>
      </c>
      <c r="D714">
        <v>616.1</v>
      </c>
      <c r="E714">
        <v>606.70000000000005</v>
      </c>
      <c r="F714">
        <v>3.5816713367397299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42748</v>
      </c>
      <c r="B715">
        <v>2175</v>
      </c>
      <c r="C715">
        <v>2200</v>
      </c>
      <c r="D715">
        <v>610.6</v>
      </c>
      <c r="E715">
        <v>612.29999999999995</v>
      </c>
      <c r="F715">
        <v>3.5930099624367098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42747</v>
      </c>
      <c r="B716">
        <v>2186</v>
      </c>
      <c r="C716">
        <v>2168</v>
      </c>
      <c r="D716">
        <v>615</v>
      </c>
      <c r="E716">
        <v>612.29999999999995</v>
      </c>
      <c r="F716">
        <v>3.5407479993467201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42746</v>
      </c>
      <c r="B717">
        <v>2183</v>
      </c>
      <c r="C717">
        <v>2200</v>
      </c>
      <c r="D717">
        <v>621</v>
      </c>
      <c r="E717">
        <v>626.29999999999995</v>
      </c>
      <c r="F717">
        <v>3.5126935973175799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42745</v>
      </c>
      <c r="B718">
        <v>2225</v>
      </c>
      <c r="C718">
        <v>2189</v>
      </c>
      <c r="D718">
        <v>620.9</v>
      </c>
      <c r="E718">
        <v>615.5</v>
      </c>
      <c r="F718">
        <v>3.5564581640942299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42741</v>
      </c>
      <c r="B719">
        <v>2201</v>
      </c>
      <c r="C719">
        <v>2255</v>
      </c>
      <c r="D719">
        <v>629.5</v>
      </c>
      <c r="E719">
        <v>626.70000000000005</v>
      </c>
      <c r="F719">
        <v>3.59821286101803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42740</v>
      </c>
      <c r="B720">
        <v>2323</v>
      </c>
      <c r="C720">
        <v>2290</v>
      </c>
      <c r="D720">
        <v>629.20000000000005</v>
      </c>
      <c r="E720">
        <v>637.4</v>
      </c>
      <c r="F720">
        <v>3.5927204267335999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42739</v>
      </c>
      <c r="B721">
        <v>2286</v>
      </c>
      <c r="C721">
        <v>2311</v>
      </c>
      <c r="D721">
        <v>616.9</v>
      </c>
      <c r="E721">
        <v>623.6</v>
      </c>
      <c r="F721">
        <v>3.70590121872995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42734</v>
      </c>
      <c r="B722">
        <v>2300</v>
      </c>
      <c r="C722">
        <v>2291</v>
      </c>
      <c r="D722">
        <v>590.70000000000005</v>
      </c>
      <c r="E722">
        <v>599.5</v>
      </c>
      <c r="F722">
        <v>3.8215179316096699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42733</v>
      </c>
      <c r="B723">
        <v>2302</v>
      </c>
      <c r="C723">
        <v>2308</v>
      </c>
      <c r="D723">
        <v>602</v>
      </c>
      <c r="E723">
        <v>598.6</v>
      </c>
      <c r="F723">
        <v>3.85566321416638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42732</v>
      </c>
      <c r="B724">
        <v>2313</v>
      </c>
      <c r="C724">
        <v>2319</v>
      </c>
      <c r="D724">
        <v>615</v>
      </c>
      <c r="E724">
        <v>615.6</v>
      </c>
      <c r="F724">
        <v>3.7670565302144201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42731</v>
      </c>
      <c r="B725">
        <v>2298</v>
      </c>
      <c r="C725">
        <v>2308</v>
      </c>
      <c r="D725">
        <v>607.1</v>
      </c>
      <c r="E725">
        <v>612.4</v>
      </c>
      <c r="F725">
        <v>3.76877857609405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42730</v>
      </c>
      <c r="B726">
        <v>2280</v>
      </c>
      <c r="C726">
        <v>2299</v>
      </c>
      <c r="D726">
        <v>607</v>
      </c>
      <c r="E726">
        <v>613.5</v>
      </c>
      <c r="F726">
        <v>3.7473512632436798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42726</v>
      </c>
      <c r="B727">
        <v>2304</v>
      </c>
      <c r="C727">
        <v>2288</v>
      </c>
      <c r="D727">
        <v>615.1</v>
      </c>
      <c r="E727">
        <v>616</v>
      </c>
      <c r="F727">
        <v>3.71428571428571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42725</v>
      </c>
      <c r="B728">
        <v>2296</v>
      </c>
      <c r="C728">
        <v>2296</v>
      </c>
      <c r="D728">
        <v>630</v>
      </c>
      <c r="E728">
        <v>627</v>
      </c>
      <c r="F728">
        <v>3.6618819776714502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42724</v>
      </c>
      <c r="B729">
        <v>2253</v>
      </c>
      <c r="C729">
        <v>2290</v>
      </c>
      <c r="D729">
        <v>627</v>
      </c>
      <c r="E729">
        <v>627.5</v>
      </c>
      <c r="F729">
        <v>3.6494023904382402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42723</v>
      </c>
      <c r="B730">
        <v>2187</v>
      </c>
      <c r="C730">
        <v>2252</v>
      </c>
      <c r="D730">
        <v>641.29999999999995</v>
      </c>
      <c r="E730">
        <v>634</v>
      </c>
      <c r="F730">
        <v>3.55205047318612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42720</v>
      </c>
      <c r="B731">
        <v>2225</v>
      </c>
      <c r="C731">
        <v>2190</v>
      </c>
      <c r="D731">
        <v>631.6</v>
      </c>
      <c r="E731">
        <v>646.5</v>
      </c>
      <c r="F731">
        <v>3.3874709976798099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42719</v>
      </c>
      <c r="B732">
        <v>2257</v>
      </c>
      <c r="C732">
        <v>2239</v>
      </c>
      <c r="D732">
        <v>626</v>
      </c>
      <c r="E732">
        <v>626.5</v>
      </c>
      <c r="F732">
        <v>3.5738228252194699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42718</v>
      </c>
      <c r="B733">
        <v>2252</v>
      </c>
      <c r="C733">
        <v>2243</v>
      </c>
      <c r="D733">
        <v>615.5</v>
      </c>
      <c r="E733">
        <v>621.4</v>
      </c>
      <c r="F733">
        <v>3.6095912455744998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42717</v>
      </c>
      <c r="B734">
        <v>2255</v>
      </c>
      <c r="C734">
        <v>2240</v>
      </c>
      <c r="D734">
        <v>603.4</v>
      </c>
      <c r="E734">
        <v>615.6</v>
      </c>
      <c r="F734">
        <v>3.6387264457439801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42716</v>
      </c>
      <c r="B735">
        <v>2237</v>
      </c>
      <c r="C735">
        <v>2252</v>
      </c>
      <c r="D735">
        <v>630</v>
      </c>
      <c r="E735">
        <v>613.4</v>
      </c>
      <c r="F735">
        <v>3.67134007173133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42713</v>
      </c>
      <c r="B736">
        <v>2230</v>
      </c>
      <c r="C736">
        <v>2246</v>
      </c>
      <c r="D736">
        <v>621.6</v>
      </c>
      <c r="E736">
        <v>623.6</v>
      </c>
      <c r="F736">
        <v>3.60166773572803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42712</v>
      </c>
      <c r="B737">
        <v>2212</v>
      </c>
      <c r="C737">
        <v>2237</v>
      </c>
      <c r="D737">
        <v>620</v>
      </c>
      <c r="E737">
        <v>616.4</v>
      </c>
      <c r="F737">
        <v>3.62913692407527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42711</v>
      </c>
      <c r="B738">
        <v>2207</v>
      </c>
      <c r="C738">
        <v>2189</v>
      </c>
      <c r="D738">
        <v>599</v>
      </c>
      <c r="E738">
        <v>610.1</v>
      </c>
      <c r="F738">
        <v>3.58793640386821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42710</v>
      </c>
      <c r="B739">
        <v>2218</v>
      </c>
      <c r="C739">
        <v>2206</v>
      </c>
      <c r="D739">
        <v>588.79999999999995</v>
      </c>
      <c r="E739">
        <v>591.9</v>
      </c>
      <c r="F739">
        <v>3.7269809089373198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42709</v>
      </c>
      <c r="B740">
        <v>2184</v>
      </c>
      <c r="C740">
        <v>2190</v>
      </c>
      <c r="D740">
        <v>579.5</v>
      </c>
      <c r="E740">
        <v>582.4</v>
      </c>
      <c r="F740">
        <v>3.76030219780219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42706</v>
      </c>
      <c r="B741">
        <v>2219</v>
      </c>
      <c r="C741">
        <v>2196</v>
      </c>
      <c r="D741">
        <v>569.29999999999995</v>
      </c>
      <c r="E741">
        <v>591.4</v>
      </c>
      <c r="F741">
        <v>3.71322286100777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42705</v>
      </c>
      <c r="B742">
        <v>2255</v>
      </c>
      <c r="C742">
        <v>2231</v>
      </c>
      <c r="D742">
        <v>560</v>
      </c>
      <c r="E742">
        <v>562.5</v>
      </c>
      <c r="F742">
        <v>3.9662222222222199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42704</v>
      </c>
      <c r="B743">
        <v>2237</v>
      </c>
      <c r="C743">
        <v>2243</v>
      </c>
      <c r="D743">
        <v>559</v>
      </c>
      <c r="E743">
        <v>550.1</v>
      </c>
      <c r="F743">
        <v>4.0774404653699303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42703</v>
      </c>
      <c r="B744">
        <v>2208</v>
      </c>
      <c r="C744">
        <v>2240</v>
      </c>
      <c r="D744">
        <v>539</v>
      </c>
      <c r="E744">
        <v>553.70000000000005</v>
      </c>
      <c r="F744">
        <v>4.0455120101137796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42702</v>
      </c>
      <c r="B745">
        <v>2205</v>
      </c>
      <c r="C745">
        <v>2186</v>
      </c>
      <c r="D745">
        <v>532</v>
      </c>
      <c r="E745">
        <v>547.79999999999995</v>
      </c>
      <c r="F745">
        <v>3.9905074844833801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42699</v>
      </c>
      <c r="B746">
        <v>2210</v>
      </c>
      <c r="C746">
        <v>2217</v>
      </c>
      <c r="D746">
        <v>551.29999999999995</v>
      </c>
      <c r="E746">
        <v>539</v>
      </c>
      <c r="F746">
        <v>4.1131725417439702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42698</v>
      </c>
      <c r="B747">
        <v>2210</v>
      </c>
      <c r="C747">
        <v>2210</v>
      </c>
      <c r="D747">
        <v>559.70000000000005</v>
      </c>
      <c r="E747">
        <v>547.29999999999995</v>
      </c>
      <c r="F747">
        <v>4.0380047505938199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42696</v>
      </c>
      <c r="B748">
        <v>2126</v>
      </c>
      <c r="C748">
        <v>2191</v>
      </c>
      <c r="D748">
        <v>543</v>
      </c>
      <c r="E748">
        <v>554.9</v>
      </c>
      <c r="F748">
        <v>3.94845918183456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42695</v>
      </c>
      <c r="B749">
        <v>2150</v>
      </c>
      <c r="C749">
        <v>2126</v>
      </c>
      <c r="D749">
        <v>533.1</v>
      </c>
      <c r="E749">
        <v>545.1</v>
      </c>
      <c r="F749">
        <v>3.9002017978352499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42692</v>
      </c>
      <c r="B750">
        <v>2158</v>
      </c>
      <c r="C750">
        <v>2181</v>
      </c>
      <c r="D750">
        <v>550</v>
      </c>
      <c r="E750">
        <v>533.9</v>
      </c>
      <c r="F750">
        <v>4.0850346506836397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42691</v>
      </c>
      <c r="B751">
        <v>2189</v>
      </c>
      <c r="C751">
        <v>2158</v>
      </c>
      <c r="D751">
        <v>534.5</v>
      </c>
      <c r="E751">
        <v>535.70000000000005</v>
      </c>
      <c r="F751">
        <v>4.0283740899757303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42690</v>
      </c>
      <c r="B752">
        <v>2124</v>
      </c>
      <c r="C752">
        <v>2177</v>
      </c>
      <c r="D752">
        <v>525</v>
      </c>
      <c r="E752">
        <v>538.29999999999995</v>
      </c>
      <c r="F752">
        <v>4.0442132639791897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42689</v>
      </c>
      <c r="B753">
        <v>2144</v>
      </c>
      <c r="C753">
        <v>2113</v>
      </c>
      <c r="D753">
        <v>505</v>
      </c>
      <c r="E753">
        <v>516.29999999999995</v>
      </c>
      <c r="F753">
        <v>4.0925818322680598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42688</v>
      </c>
      <c r="B754">
        <v>2188</v>
      </c>
      <c r="C754">
        <v>2161</v>
      </c>
      <c r="D754">
        <v>491</v>
      </c>
      <c r="E754">
        <v>500</v>
      </c>
      <c r="F754">
        <v>4.3220000000000001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42685</v>
      </c>
      <c r="B755">
        <v>2257</v>
      </c>
      <c r="C755">
        <v>2185</v>
      </c>
      <c r="D755">
        <v>477</v>
      </c>
      <c r="E755">
        <v>479.6</v>
      </c>
      <c r="F755">
        <v>4.5558798999165901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42684</v>
      </c>
      <c r="B756">
        <v>2236</v>
      </c>
      <c r="C756">
        <v>2272</v>
      </c>
      <c r="D756">
        <v>464.8</v>
      </c>
      <c r="E756">
        <v>468.4</v>
      </c>
      <c r="F756">
        <v>4.85055508112724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42683</v>
      </c>
      <c r="B757">
        <v>2259</v>
      </c>
      <c r="C757">
        <v>2191</v>
      </c>
      <c r="D757">
        <v>460</v>
      </c>
      <c r="E757">
        <v>435.3</v>
      </c>
      <c r="F757">
        <v>5.0333103606708001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42682</v>
      </c>
      <c r="B758">
        <v>2264</v>
      </c>
      <c r="C758">
        <v>2258</v>
      </c>
      <c r="D758">
        <v>456</v>
      </c>
      <c r="E758">
        <v>456.4</v>
      </c>
      <c r="F758">
        <v>4.9474145486415404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42681</v>
      </c>
      <c r="B759">
        <v>2275</v>
      </c>
      <c r="C759">
        <v>2255</v>
      </c>
      <c r="D759">
        <v>456</v>
      </c>
      <c r="E759">
        <v>455.3</v>
      </c>
      <c r="F759">
        <v>4.95277838787612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42678</v>
      </c>
      <c r="B760">
        <v>2224</v>
      </c>
      <c r="C760">
        <v>2257</v>
      </c>
      <c r="D760">
        <v>449</v>
      </c>
      <c r="E760">
        <v>449.3</v>
      </c>
      <c r="F760">
        <v>5.0233696861784898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42676</v>
      </c>
      <c r="B761">
        <v>2240</v>
      </c>
      <c r="C761">
        <v>2227</v>
      </c>
      <c r="D761">
        <v>456.2</v>
      </c>
      <c r="E761">
        <v>451.6</v>
      </c>
      <c r="F761">
        <v>4.9313551815766097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42675</v>
      </c>
      <c r="B762">
        <v>2240</v>
      </c>
      <c r="C762">
        <v>2255</v>
      </c>
      <c r="D762">
        <v>467</v>
      </c>
      <c r="E762">
        <v>463.8</v>
      </c>
      <c r="F762">
        <v>4.8620094868477697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42674</v>
      </c>
      <c r="B763">
        <v>2244</v>
      </c>
      <c r="C763">
        <v>2244</v>
      </c>
      <c r="D763">
        <v>456.3</v>
      </c>
      <c r="E763">
        <v>466</v>
      </c>
      <c r="F763">
        <v>4.8154506437768196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42671</v>
      </c>
      <c r="B764">
        <v>2281</v>
      </c>
      <c r="C764">
        <v>2256</v>
      </c>
      <c r="D764">
        <v>454.2</v>
      </c>
      <c r="E764">
        <v>457.3</v>
      </c>
      <c r="F764">
        <v>4.9333041766892602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42670</v>
      </c>
      <c r="B765">
        <v>2293</v>
      </c>
      <c r="C765">
        <v>2268</v>
      </c>
      <c r="D765">
        <v>442.8</v>
      </c>
      <c r="E765">
        <v>444.9</v>
      </c>
      <c r="F765">
        <v>5.0977747808496296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42669</v>
      </c>
      <c r="B766">
        <v>2260</v>
      </c>
      <c r="C766">
        <v>2284</v>
      </c>
      <c r="D766">
        <v>442.4</v>
      </c>
      <c r="E766">
        <v>445.2</v>
      </c>
      <c r="F766">
        <v>5.1302785265049398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42668</v>
      </c>
      <c r="B767">
        <v>2217</v>
      </c>
      <c r="C767">
        <v>2254</v>
      </c>
      <c r="D767">
        <v>439.4</v>
      </c>
      <c r="E767">
        <v>441.7</v>
      </c>
      <c r="F767">
        <v>5.1030110935023698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42667</v>
      </c>
      <c r="B768">
        <v>2201</v>
      </c>
      <c r="C768">
        <v>2215</v>
      </c>
      <c r="D768">
        <v>438.9</v>
      </c>
      <c r="E768">
        <v>437.7</v>
      </c>
      <c r="F768">
        <v>5.0605437514279101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42664</v>
      </c>
      <c r="B769">
        <v>2221</v>
      </c>
      <c r="C769">
        <v>2178</v>
      </c>
      <c r="D769">
        <v>436.3</v>
      </c>
      <c r="E769">
        <v>440.4</v>
      </c>
      <c r="F769">
        <v>4.9455040871934601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42663</v>
      </c>
      <c r="B770">
        <v>2255</v>
      </c>
      <c r="C770">
        <v>2269</v>
      </c>
      <c r="D770">
        <v>423.8</v>
      </c>
      <c r="E770">
        <v>431.1</v>
      </c>
      <c r="F770">
        <v>5.2632799814428202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42662</v>
      </c>
      <c r="B771">
        <v>2255</v>
      </c>
      <c r="C771">
        <v>2273</v>
      </c>
      <c r="D771">
        <v>425</v>
      </c>
      <c r="E771">
        <v>422.5</v>
      </c>
      <c r="F771">
        <v>5.3798816568047299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42661</v>
      </c>
      <c r="B772">
        <v>2235</v>
      </c>
      <c r="C772">
        <v>2270</v>
      </c>
      <c r="D772">
        <v>420.1</v>
      </c>
      <c r="E772">
        <v>423.1</v>
      </c>
      <c r="F772">
        <v>5.36516190025998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42660</v>
      </c>
      <c r="B773">
        <v>2217</v>
      </c>
      <c r="C773">
        <v>2235</v>
      </c>
      <c r="D773">
        <v>422</v>
      </c>
      <c r="E773">
        <v>421.5</v>
      </c>
      <c r="F773">
        <v>5.3024911032028399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42657</v>
      </c>
      <c r="B774">
        <v>2218</v>
      </c>
      <c r="C774">
        <v>2230</v>
      </c>
      <c r="D774">
        <v>419.8</v>
      </c>
      <c r="E774">
        <v>422.8</v>
      </c>
      <c r="F774">
        <v>5.2743614001892096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42656</v>
      </c>
      <c r="B775">
        <v>2210</v>
      </c>
      <c r="C775">
        <v>2224</v>
      </c>
      <c r="D775">
        <v>426</v>
      </c>
      <c r="E775">
        <v>421</v>
      </c>
      <c r="F775">
        <v>5.2826603325415604</v>
      </c>
      <c r="L775">
        <v>0</v>
      </c>
      <c r="M775">
        <v>0</v>
      </c>
      <c r="N775">
        <v>0</v>
      </c>
      <c r="O775">
        <v>0</v>
      </c>
    </row>
    <row r="776" spans="1:15">
      <c r="A776" s="19">
        <v>42655</v>
      </c>
      <c r="B776">
        <v>2171</v>
      </c>
      <c r="C776">
        <v>2203</v>
      </c>
      <c r="D776">
        <v>427</v>
      </c>
      <c r="E776">
        <v>423.5</v>
      </c>
      <c r="F776">
        <v>5.2018890200708299</v>
      </c>
      <c r="L776">
        <v>0</v>
      </c>
      <c r="M776">
        <v>0</v>
      </c>
      <c r="N776">
        <v>0</v>
      </c>
      <c r="O776">
        <v>0</v>
      </c>
    </row>
    <row r="777" spans="1:15">
      <c r="A777" s="19">
        <v>42654</v>
      </c>
      <c r="B777">
        <v>2171</v>
      </c>
      <c r="C777">
        <v>2189</v>
      </c>
      <c r="D777">
        <v>435.9</v>
      </c>
      <c r="E777">
        <v>432.7</v>
      </c>
      <c r="F777">
        <v>5.0589322856482504</v>
      </c>
      <c r="L777">
        <v>0</v>
      </c>
      <c r="M777">
        <v>0</v>
      </c>
      <c r="N777">
        <v>0</v>
      </c>
      <c r="O777">
        <v>0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284"/>
  <sheetViews>
    <sheetView workbookViewId="0">
      <selection activeCell="H108" sqref="H108"/>
    </sheetView>
  </sheetViews>
  <sheetFormatPr defaultRowHeight="14.25"/>
  <cols>
    <col min="1" max="1" width="9" style="214"/>
    <col min="4" max="4" width="9.875" customWidth="1"/>
    <col min="22" max="22" width="11.25" customWidth="1"/>
  </cols>
  <sheetData>
    <row r="1" spans="1:34"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49</v>
      </c>
      <c r="K1" t="s">
        <v>69</v>
      </c>
      <c r="L1" t="s">
        <v>70</v>
      </c>
      <c r="M1" t="s">
        <v>71</v>
      </c>
      <c r="N1" t="s">
        <v>72</v>
      </c>
      <c r="O1" t="s">
        <v>73</v>
      </c>
      <c r="P1" t="s">
        <v>74</v>
      </c>
      <c r="Q1" t="s">
        <v>75</v>
      </c>
      <c r="R1" t="s">
        <v>76</v>
      </c>
      <c r="S1" t="s">
        <v>77</v>
      </c>
      <c r="T1" t="s">
        <v>110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  <c r="AD1" t="s">
        <v>87</v>
      </c>
      <c r="AE1" t="s">
        <v>88</v>
      </c>
      <c r="AF1" t="s">
        <v>111</v>
      </c>
      <c r="AG1" t="s">
        <v>112</v>
      </c>
      <c r="AH1" t="s">
        <v>113</v>
      </c>
    </row>
    <row r="2" spans="1:34">
      <c r="A2" s="214">
        <v>48</v>
      </c>
      <c r="B2">
        <v>1942</v>
      </c>
      <c r="C2" t="s">
        <v>114</v>
      </c>
      <c r="D2" t="s">
        <v>115</v>
      </c>
      <c r="E2">
        <v>992</v>
      </c>
      <c r="F2">
        <v>1005</v>
      </c>
      <c r="G2">
        <v>1000</v>
      </c>
      <c r="H2" t="s">
        <v>91</v>
      </c>
      <c r="I2">
        <v>9412</v>
      </c>
      <c r="J2" t="s">
        <v>116</v>
      </c>
      <c r="K2" t="s">
        <v>117</v>
      </c>
      <c r="L2">
        <v>447</v>
      </c>
      <c r="M2">
        <v>442</v>
      </c>
      <c r="N2">
        <v>2300</v>
      </c>
      <c r="O2" t="s">
        <v>89</v>
      </c>
      <c r="P2">
        <v>0.94078437724469399</v>
      </c>
      <c r="Q2">
        <v>0.94758887929889601</v>
      </c>
      <c r="R2">
        <v>1.7448783578596699E-4</v>
      </c>
      <c r="S2">
        <v>2.8887730557709698E-4</v>
      </c>
      <c r="T2">
        <v>2.6375518344684901</v>
      </c>
      <c r="U2">
        <v>2.6375518344684901</v>
      </c>
      <c r="V2">
        <v>5.04</v>
      </c>
      <c r="W2">
        <v>1.1499999999999999</v>
      </c>
      <c r="X2">
        <v>647020</v>
      </c>
      <c r="Y2">
        <v>34054</v>
      </c>
      <c r="Z2">
        <v>1.64</v>
      </c>
      <c r="AA2">
        <v>19</v>
      </c>
      <c r="AB2">
        <v>17</v>
      </c>
      <c r="AC2">
        <v>2</v>
      </c>
      <c r="AD2">
        <v>89.47</v>
      </c>
      <c r="AE2">
        <v>12</v>
      </c>
      <c r="AF2">
        <v>9</v>
      </c>
      <c r="AG2">
        <v>1</v>
      </c>
      <c r="AH2">
        <v>9</v>
      </c>
    </row>
    <row r="3" spans="1:34">
      <c r="A3" s="214">
        <v>275</v>
      </c>
      <c r="B3">
        <v>3861</v>
      </c>
      <c r="C3" t="s">
        <v>94</v>
      </c>
      <c r="D3" t="s">
        <v>118</v>
      </c>
      <c r="E3">
        <v>530</v>
      </c>
      <c r="F3">
        <v>543</v>
      </c>
      <c r="G3">
        <v>1900</v>
      </c>
      <c r="H3" t="s">
        <v>91</v>
      </c>
      <c r="I3">
        <v>9401</v>
      </c>
      <c r="J3" t="s">
        <v>119</v>
      </c>
      <c r="K3" t="s">
        <v>117</v>
      </c>
      <c r="L3">
        <v>1748</v>
      </c>
      <c r="M3">
        <v>1741</v>
      </c>
      <c r="N3">
        <v>600</v>
      </c>
      <c r="O3" t="s">
        <v>89</v>
      </c>
      <c r="P3">
        <v>0.91774387216009401</v>
      </c>
      <c r="Q3">
        <v>0.90173185184953297</v>
      </c>
      <c r="R3">
        <v>3.2064003055014403E-2</v>
      </c>
      <c r="S3">
        <v>1.0007437493776901E-2</v>
      </c>
      <c r="T3">
        <v>0.73309817267565403</v>
      </c>
      <c r="U3">
        <v>0.73309817267565403</v>
      </c>
      <c r="V3">
        <v>3.47</v>
      </c>
      <c r="W3">
        <v>1.23</v>
      </c>
      <c r="X3">
        <v>616285</v>
      </c>
      <c r="Y3">
        <v>30814</v>
      </c>
      <c r="Z3">
        <v>1.65</v>
      </c>
      <c r="AA3">
        <v>20</v>
      </c>
      <c r="AB3">
        <v>14</v>
      </c>
      <c r="AC3">
        <v>6</v>
      </c>
      <c r="AD3">
        <v>70</v>
      </c>
      <c r="AE3">
        <v>11</v>
      </c>
      <c r="AF3">
        <v>12</v>
      </c>
      <c r="AG3">
        <v>3</v>
      </c>
      <c r="AH3">
        <v>5</v>
      </c>
    </row>
    <row r="4" spans="1:34">
      <c r="A4" s="214">
        <v>61</v>
      </c>
      <c r="B4">
        <v>7189</v>
      </c>
      <c r="C4" t="s">
        <v>120</v>
      </c>
      <c r="D4" t="s">
        <v>121</v>
      </c>
      <c r="E4">
        <v>751</v>
      </c>
      <c r="F4">
        <v>762</v>
      </c>
      <c r="G4">
        <v>1400</v>
      </c>
      <c r="H4" t="s">
        <v>91</v>
      </c>
      <c r="I4">
        <v>7278</v>
      </c>
      <c r="J4" t="s">
        <v>122</v>
      </c>
      <c r="K4" t="s">
        <v>123</v>
      </c>
      <c r="L4">
        <v>2120</v>
      </c>
      <c r="M4">
        <v>2132</v>
      </c>
      <c r="N4">
        <v>500</v>
      </c>
      <c r="O4" t="s">
        <v>89</v>
      </c>
      <c r="P4">
        <v>0.92381517215937803</v>
      </c>
      <c r="Q4">
        <v>0.94140027173588503</v>
      </c>
      <c r="R4">
        <v>0.35352367530553602</v>
      </c>
      <c r="S4">
        <v>5.3278313093967397E-2</v>
      </c>
      <c r="T4">
        <v>1.3356449830517101</v>
      </c>
      <c r="U4">
        <v>1.3356449830517101</v>
      </c>
      <c r="V4">
        <v>3.51</v>
      </c>
      <c r="W4">
        <v>0.08</v>
      </c>
      <c r="X4">
        <v>575872</v>
      </c>
      <c r="Y4">
        <v>30309</v>
      </c>
      <c r="Z4">
        <v>1.56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9</v>
      </c>
      <c r="AG4">
        <v>3</v>
      </c>
      <c r="AH4">
        <v>7</v>
      </c>
    </row>
    <row r="5" spans="1:34">
      <c r="A5" s="214">
        <v>246</v>
      </c>
      <c r="B5">
        <v>3635</v>
      </c>
      <c r="C5" t="s">
        <v>124</v>
      </c>
      <c r="D5" t="s">
        <v>117</v>
      </c>
      <c r="E5">
        <v>2362</v>
      </c>
      <c r="F5">
        <v>2350</v>
      </c>
      <c r="G5">
        <v>300</v>
      </c>
      <c r="H5" t="s">
        <v>89</v>
      </c>
      <c r="I5">
        <v>6920</v>
      </c>
      <c r="J5" t="s">
        <v>125</v>
      </c>
      <c r="K5" t="s">
        <v>126</v>
      </c>
      <c r="L5">
        <v>7570</v>
      </c>
      <c r="M5">
        <v>7730</v>
      </c>
      <c r="N5">
        <v>100</v>
      </c>
      <c r="O5" t="s">
        <v>91</v>
      </c>
      <c r="P5">
        <v>0.91037843817625497</v>
      </c>
      <c r="Q5">
        <v>0.90591434100764501</v>
      </c>
      <c r="R5">
        <v>0.34292016467530301</v>
      </c>
      <c r="S5">
        <v>8.3668182536329495E-3</v>
      </c>
      <c r="T5">
        <v>-1.5644916675868199</v>
      </c>
      <c r="U5">
        <v>1.5644916675868199</v>
      </c>
      <c r="V5">
        <v>-26.56</v>
      </c>
      <c r="W5">
        <v>8.8000000000000007</v>
      </c>
      <c r="X5">
        <v>540388</v>
      </c>
      <c r="Y5">
        <v>24563</v>
      </c>
      <c r="Z5">
        <v>1.3</v>
      </c>
      <c r="AA5">
        <v>22</v>
      </c>
      <c r="AB5">
        <v>14</v>
      </c>
      <c r="AC5">
        <v>8</v>
      </c>
      <c r="AD5">
        <v>63.64</v>
      </c>
      <c r="AE5">
        <v>10</v>
      </c>
      <c r="AF5">
        <v>11</v>
      </c>
      <c r="AG5">
        <v>7</v>
      </c>
      <c r="AH5">
        <v>4</v>
      </c>
    </row>
    <row r="6" spans="1:34">
      <c r="A6" s="214">
        <v>176</v>
      </c>
      <c r="B6">
        <v>4182</v>
      </c>
      <c r="C6" t="s">
        <v>127</v>
      </c>
      <c r="D6" t="s">
        <v>90</v>
      </c>
      <c r="E6">
        <v>1489</v>
      </c>
      <c r="F6">
        <v>1498</v>
      </c>
      <c r="G6">
        <v>700</v>
      </c>
      <c r="H6" t="s">
        <v>91</v>
      </c>
      <c r="I6">
        <v>7984</v>
      </c>
      <c r="J6" t="s">
        <v>128</v>
      </c>
      <c r="K6" t="s">
        <v>129</v>
      </c>
      <c r="L6">
        <v>1520</v>
      </c>
      <c r="M6">
        <v>1522</v>
      </c>
      <c r="N6">
        <v>700</v>
      </c>
      <c r="O6" t="s">
        <v>89</v>
      </c>
      <c r="P6">
        <v>0.91066443341335102</v>
      </c>
      <c r="Q6">
        <v>0.91779284848517195</v>
      </c>
      <c r="R6">
        <v>0.360173388605739</v>
      </c>
      <c r="S6">
        <v>3.3982760405776198E-3</v>
      </c>
      <c r="T6">
        <v>1.14301912076061</v>
      </c>
      <c r="U6">
        <v>1.14301912076061</v>
      </c>
      <c r="V6">
        <v>4.71</v>
      </c>
      <c r="W6">
        <v>1.58</v>
      </c>
      <c r="X6">
        <v>534332</v>
      </c>
      <c r="Y6">
        <v>26717</v>
      </c>
      <c r="Z6">
        <v>1.31</v>
      </c>
      <c r="AA6">
        <v>20</v>
      </c>
      <c r="AB6">
        <v>14</v>
      </c>
      <c r="AC6">
        <v>6</v>
      </c>
      <c r="AD6">
        <v>70</v>
      </c>
      <c r="AE6">
        <v>9</v>
      </c>
      <c r="AF6">
        <v>12</v>
      </c>
      <c r="AG6">
        <v>3</v>
      </c>
      <c r="AH6">
        <v>5</v>
      </c>
    </row>
    <row r="7" spans="1:34">
      <c r="A7" s="214">
        <v>72</v>
      </c>
      <c r="B7">
        <v>4202</v>
      </c>
      <c r="C7" t="s">
        <v>130</v>
      </c>
      <c r="D7" t="s">
        <v>90</v>
      </c>
      <c r="E7">
        <v>935</v>
      </c>
      <c r="F7">
        <v>930</v>
      </c>
      <c r="G7">
        <v>1100</v>
      </c>
      <c r="H7" t="s">
        <v>89</v>
      </c>
      <c r="I7">
        <v>7189</v>
      </c>
      <c r="J7" t="s">
        <v>120</v>
      </c>
      <c r="K7" t="s">
        <v>121</v>
      </c>
      <c r="L7">
        <v>751</v>
      </c>
      <c r="M7">
        <v>762</v>
      </c>
      <c r="N7">
        <v>1300</v>
      </c>
      <c r="O7" t="s">
        <v>91</v>
      </c>
      <c r="P7">
        <v>0.94945807859940601</v>
      </c>
      <c r="Q7">
        <v>0.93839528850751797</v>
      </c>
      <c r="R7">
        <v>0.20166728348259999</v>
      </c>
      <c r="S7">
        <v>0.381484134304796</v>
      </c>
      <c r="T7">
        <v>-0.126644573669077</v>
      </c>
      <c r="U7">
        <v>0.126644573669077</v>
      </c>
      <c r="V7">
        <v>-0.31</v>
      </c>
      <c r="W7">
        <v>3.17</v>
      </c>
      <c r="X7">
        <v>527044</v>
      </c>
      <c r="Y7">
        <v>25097</v>
      </c>
      <c r="Z7">
        <v>1.18</v>
      </c>
      <c r="AA7">
        <v>21</v>
      </c>
      <c r="AB7">
        <v>14</v>
      </c>
      <c r="AC7">
        <v>7</v>
      </c>
      <c r="AD7">
        <v>66.67</v>
      </c>
      <c r="AE7">
        <v>14</v>
      </c>
      <c r="AF7">
        <v>10</v>
      </c>
      <c r="AG7">
        <v>2</v>
      </c>
      <c r="AH7">
        <v>9</v>
      </c>
    </row>
    <row r="8" spans="1:34">
      <c r="A8" s="214">
        <v>227</v>
      </c>
      <c r="B8">
        <v>3105</v>
      </c>
      <c r="C8" t="s">
        <v>131</v>
      </c>
      <c r="D8" t="s">
        <v>126</v>
      </c>
      <c r="E8">
        <v>839</v>
      </c>
      <c r="F8">
        <v>845</v>
      </c>
      <c r="G8">
        <v>1100</v>
      </c>
      <c r="H8" t="s">
        <v>89</v>
      </c>
      <c r="I8">
        <v>6995</v>
      </c>
      <c r="J8" t="s">
        <v>132</v>
      </c>
      <c r="K8" t="s">
        <v>123</v>
      </c>
      <c r="L8">
        <v>1852</v>
      </c>
      <c r="M8">
        <v>1861</v>
      </c>
      <c r="N8">
        <v>500</v>
      </c>
      <c r="O8" t="s">
        <v>91</v>
      </c>
      <c r="P8">
        <v>0.91427880910673098</v>
      </c>
      <c r="Q8">
        <v>0.90816446938387396</v>
      </c>
      <c r="R8">
        <v>6.7820452931495703E-2</v>
      </c>
      <c r="S8">
        <v>0.19376540505081</v>
      </c>
      <c r="T8">
        <v>-0.97519222653439597</v>
      </c>
      <c r="U8">
        <v>0.97519222653439597</v>
      </c>
      <c r="V8">
        <v>-2.87</v>
      </c>
      <c r="W8">
        <v>0.11</v>
      </c>
      <c r="X8">
        <v>520544</v>
      </c>
      <c r="Y8">
        <v>30620</v>
      </c>
      <c r="Z8">
        <v>1.48</v>
      </c>
      <c r="AA8">
        <v>17</v>
      </c>
      <c r="AB8">
        <v>10</v>
      </c>
      <c r="AC8">
        <v>7</v>
      </c>
      <c r="AD8">
        <v>58.82</v>
      </c>
      <c r="AE8">
        <v>12</v>
      </c>
      <c r="AF8">
        <v>8</v>
      </c>
      <c r="AG8">
        <v>1</v>
      </c>
      <c r="AH8">
        <v>8</v>
      </c>
    </row>
    <row r="9" spans="1:34">
      <c r="A9" s="214">
        <v>42</v>
      </c>
      <c r="B9">
        <v>4182</v>
      </c>
      <c r="C9" t="s">
        <v>127</v>
      </c>
      <c r="D9" t="s">
        <v>90</v>
      </c>
      <c r="E9">
        <v>1489</v>
      </c>
      <c r="F9">
        <v>1498</v>
      </c>
      <c r="G9">
        <v>700</v>
      </c>
      <c r="H9" t="s">
        <v>91</v>
      </c>
      <c r="I9">
        <v>7211</v>
      </c>
      <c r="J9" t="s">
        <v>56</v>
      </c>
      <c r="K9" t="s">
        <v>123</v>
      </c>
      <c r="L9">
        <v>468</v>
      </c>
      <c r="M9">
        <v>473</v>
      </c>
      <c r="N9">
        <v>2200</v>
      </c>
      <c r="O9" t="s">
        <v>89</v>
      </c>
      <c r="P9">
        <v>0.91403699989071996</v>
      </c>
      <c r="Q9">
        <v>0.948896474192507</v>
      </c>
      <c r="R9">
        <v>3.6027628572019098E-2</v>
      </c>
      <c r="S9">
        <v>4.0292613703275901E-2</v>
      </c>
      <c r="T9">
        <v>3.0662091160200098</v>
      </c>
      <c r="U9">
        <v>3.0662091160200098</v>
      </c>
      <c r="V9">
        <v>8.9499999999999993</v>
      </c>
      <c r="W9">
        <v>0.76</v>
      </c>
      <c r="X9">
        <v>508536</v>
      </c>
      <c r="Y9">
        <v>29914</v>
      </c>
      <c r="Z9">
        <v>1.43</v>
      </c>
      <c r="AA9">
        <v>17</v>
      </c>
      <c r="AB9">
        <v>13</v>
      </c>
      <c r="AC9">
        <v>4</v>
      </c>
      <c r="AD9">
        <v>76.47</v>
      </c>
      <c r="AE9">
        <v>11</v>
      </c>
      <c r="AF9">
        <v>10</v>
      </c>
      <c r="AG9">
        <v>3</v>
      </c>
      <c r="AH9">
        <v>4</v>
      </c>
    </row>
    <row r="10" spans="1:34">
      <c r="A10" s="214">
        <v>247</v>
      </c>
      <c r="B10">
        <v>5411</v>
      </c>
      <c r="C10" t="s">
        <v>133</v>
      </c>
      <c r="D10" t="s">
        <v>134</v>
      </c>
      <c r="E10">
        <v>1313.5</v>
      </c>
      <c r="F10">
        <v>1325</v>
      </c>
      <c r="G10">
        <v>800</v>
      </c>
      <c r="H10" t="s">
        <v>91</v>
      </c>
      <c r="I10">
        <v>7731</v>
      </c>
      <c r="J10" t="s">
        <v>135</v>
      </c>
      <c r="K10" t="s">
        <v>136</v>
      </c>
      <c r="L10">
        <v>1307</v>
      </c>
      <c r="M10">
        <v>1345</v>
      </c>
      <c r="N10">
        <v>800</v>
      </c>
      <c r="O10" t="s">
        <v>89</v>
      </c>
      <c r="P10">
        <v>0.95228563090558305</v>
      </c>
      <c r="Q10">
        <v>0.90589385539759704</v>
      </c>
      <c r="R10">
        <v>2.5630608144243901E-2</v>
      </c>
      <c r="S10">
        <v>0.16744144815821299</v>
      </c>
      <c r="T10">
        <v>0.607529563215225</v>
      </c>
      <c r="U10">
        <v>0.607529563215225</v>
      </c>
      <c r="V10">
        <v>1.93</v>
      </c>
      <c r="W10">
        <v>1.49</v>
      </c>
      <c r="X10">
        <v>494382</v>
      </c>
      <c r="Y10">
        <v>27466</v>
      </c>
      <c r="Z10">
        <v>1.42</v>
      </c>
      <c r="AA10">
        <v>18</v>
      </c>
      <c r="AB10">
        <v>14</v>
      </c>
      <c r="AC10">
        <v>4</v>
      </c>
      <c r="AD10">
        <v>77.78</v>
      </c>
      <c r="AE10">
        <v>12</v>
      </c>
      <c r="AF10">
        <v>9</v>
      </c>
      <c r="AG10">
        <v>2</v>
      </c>
      <c r="AH10">
        <v>7</v>
      </c>
    </row>
    <row r="11" spans="1:34">
      <c r="A11" s="214">
        <v>244</v>
      </c>
      <c r="B11">
        <v>7278</v>
      </c>
      <c r="C11" t="s">
        <v>122</v>
      </c>
      <c r="D11" t="s">
        <v>123</v>
      </c>
      <c r="E11">
        <v>2120</v>
      </c>
      <c r="F11">
        <v>2132</v>
      </c>
      <c r="G11">
        <v>500</v>
      </c>
      <c r="H11" t="s">
        <v>91</v>
      </c>
      <c r="I11">
        <v>8377</v>
      </c>
      <c r="J11" t="s">
        <v>137</v>
      </c>
      <c r="K11" t="s">
        <v>121</v>
      </c>
      <c r="L11">
        <v>1032</v>
      </c>
      <c r="M11">
        <v>1036</v>
      </c>
      <c r="N11">
        <v>1000</v>
      </c>
      <c r="O11" t="s">
        <v>89</v>
      </c>
      <c r="P11">
        <v>0.93967366323280799</v>
      </c>
      <c r="Q11">
        <v>0.90593895272473002</v>
      </c>
      <c r="R11">
        <v>0.25268225367567498</v>
      </c>
      <c r="S11">
        <v>0.34302046963692001</v>
      </c>
      <c r="T11">
        <v>0.88189682097929301</v>
      </c>
      <c r="U11">
        <v>0.88189682097929301</v>
      </c>
      <c r="V11">
        <v>2.0499999999999998</v>
      </c>
      <c r="W11">
        <v>2.81</v>
      </c>
      <c r="X11">
        <v>488333</v>
      </c>
      <c r="Y11">
        <v>28725</v>
      </c>
      <c r="Z11">
        <v>1.46</v>
      </c>
      <c r="AA11">
        <v>17</v>
      </c>
      <c r="AB11">
        <v>13</v>
      </c>
      <c r="AC11">
        <v>4</v>
      </c>
      <c r="AD11">
        <v>76.47</v>
      </c>
      <c r="AE11">
        <v>13</v>
      </c>
      <c r="AF11">
        <v>10</v>
      </c>
      <c r="AG11">
        <v>2</v>
      </c>
      <c r="AH11">
        <v>5</v>
      </c>
    </row>
    <row r="12" spans="1:34">
      <c r="A12" s="214">
        <v>18</v>
      </c>
      <c r="B12">
        <v>3099</v>
      </c>
      <c r="C12" t="s">
        <v>92</v>
      </c>
      <c r="D12" t="s">
        <v>138</v>
      </c>
      <c r="E12">
        <v>879</v>
      </c>
      <c r="F12">
        <v>861</v>
      </c>
      <c r="G12">
        <v>1200</v>
      </c>
      <c r="H12" t="s">
        <v>89</v>
      </c>
      <c r="I12">
        <v>7189</v>
      </c>
      <c r="J12" t="s">
        <v>120</v>
      </c>
      <c r="K12" t="s">
        <v>121</v>
      </c>
      <c r="L12">
        <v>751</v>
      </c>
      <c r="M12">
        <v>762</v>
      </c>
      <c r="N12">
        <v>1400</v>
      </c>
      <c r="O12" t="s">
        <v>91</v>
      </c>
      <c r="P12">
        <v>0.90886870179854995</v>
      </c>
      <c r="Q12">
        <v>0.96089465406697006</v>
      </c>
      <c r="R12">
        <v>0.31496009457117802</v>
      </c>
      <c r="S12">
        <v>2.56310248915682E-2</v>
      </c>
      <c r="T12">
        <v>-0.876683454121298</v>
      </c>
      <c r="U12">
        <v>0.876683454121298</v>
      </c>
      <c r="V12">
        <v>-2.7</v>
      </c>
      <c r="W12">
        <v>3.25</v>
      </c>
      <c r="X12">
        <v>474842</v>
      </c>
      <c r="Y12">
        <v>31656</v>
      </c>
      <c r="Z12">
        <v>1.55</v>
      </c>
      <c r="AA12">
        <v>15</v>
      </c>
      <c r="AB12">
        <v>10</v>
      </c>
      <c r="AC12">
        <v>5</v>
      </c>
      <c r="AD12">
        <v>66.67</v>
      </c>
      <c r="AE12">
        <v>12</v>
      </c>
      <c r="AF12">
        <v>8</v>
      </c>
      <c r="AG12">
        <v>0</v>
      </c>
      <c r="AH12">
        <v>7</v>
      </c>
    </row>
    <row r="13" spans="1:34">
      <c r="A13" s="214">
        <v>89</v>
      </c>
      <c r="B13">
        <v>2914</v>
      </c>
      <c r="C13" t="s">
        <v>139</v>
      </c>
      <c r="D13" t="s">
        <v>140</v>
      </c>
      <c r="E13">
        <v>2381</v>
      </c>
      <c r="F13">
        <v>2369.5</v>
      </c>
      <c r="G13">
        <v>400</v>
      </c>
      <c r="H13" t="s">
        <v>89</v>
      </c>
      <c r="I13">
        <v>7189</v>
      </c>
      <c r="J13" t="s">
        <v>120</v>
      </c>
      <c r="K13" t="s">
        <v>121</v>
      </c>
      <c r="L13">
        <v>751</v>
      </c>
      <c r="M13">
        <v>762</v>
      </c>
      <c r="N13">
        <v>1200</v>
      </c>
      <c r="O13" t="s">
        <v>91</v>
      </c>
      <c r="P13">
        <v>0.94542766107101495</v>
      </c>
      <c r="Q13">
        <v>0.93502579999422197</v>
      </c>
      <c r="R13">
        <v>3.7177543406052102E-2</v>
      </c>
      <c r="S13">
        <v>2.7445288880005601E-2</v>
      </c>
      <c r="T13">
        <v>-0.80409195956248003</v>
      </c>
      <c r="U13">
        <v>0.80409195956248003</v>
      </c>
      <c r="V13">
        <v>-3.77</v>
      </c>
      <c r="W13">
        <v>3.52</v>
      </c>
      <c r="X13">
        <v>472123</v>
      </c>
      <c r="Y13">
        <v>22482</v>
      </c>
      <c r="Z13">
        <v>1.1299999999999999</v>
      </c>
      <c r="AA13">
        <v>21</v>
      </c>
      <c r="AB13">
        <v>15</v>
      </c>
      <c r="AC13">
        <v>6</v>
      </c>
      <c r="AD13">
        <v>71.430000000000007</v>
      </c>
      <c r="AE13">
        <v>13</v>
      </c>
      <c r="AF13">
        <v>11</v>
      </c>
      <c r="AG13">
        <v>3</v>
      </c>
      <c r="AH13">
        <v>7</v>
      </c>
    </row>
    <row r="14" spans="1:34">
      <c r="A14" s="214">
        <v>138</v>
      </c>
      <c r="B14">
        <v>4182</v>
      </c>
      <c r="C14" t="s">
        <v>127</v>
      </c>
      <c r="D14" t="s">
        <v>90</v>
      </c>
      <c r="E14">
        <v>1489</v>
      </c>
      <c r="F14">
        <v>1498</v>
      </c>
      <c r="G14">
        <v>600</v>
      </c>
      <c r="H14" t="s">
        <v>91</v>
      </c>
      <c r="I14">
        <v>4208</v>
      </c>
      <c r="J14" t="s">
        <v>141</v>
      </c>
      <c r="K14" t="s">
        <v>90</v>
      </c>
      <c r="L14">
        <v>2220</v>
      </c>
      <c r="M14">
        <v>2233</v>
      </c>
      <c r="N14">
        <v>400</v>
      </c>
      <c r="O14" t="s">
        <v>89</v>
      </c>
      <c r="P14">
        <v>0.95685657270753</v>
      </c>
      <c r="Q14">
        <v>0.92489737843278597</v>
      </c>
      <c r="R14">
        <v>0.16988780290182101</v>
      </c>
      <c r="S14">
        <v>0.103442532225362</v>
      </c>
      <c r="T14">
        <v>1.7789396647446301</v>
      </c>
      <c r="U14">
        <v>1.7789396647446301</v>
      </c>
      <c r="V14">
        <v>4.96</v>
      </c>
      <c r="W14">
        <v>0.63</v>
      </c>
      <c r="X14">
        <v>428264</v>
      </c>
      <c r="Y14">
        <v>21413</v>
      </c>
      <c r="Z14">
        <v>1.0900000000000001</v>
      </c>
      <c r="AA14">
        <v>20</v>
      </c>
      <c r="AB14">
        <v>15</v>
      </c>
      <c r="AC14">
        <v>5</v>
      </c>
      <c r="AD14">
        <v>75</v>
      </c>
      <c r="AE14">
        <v>13</v>
      </c>
      <c r="AF14">
        <v>10</v>
      </c>
      <c r="AG14">
        <v>2</v>
      </c>
      <c r="AH14">
        <v>8</v>
      </c>
    </row>
    <row r="15" spans="1:34">
      <c r="A15" s="214">
        <v>243</v>
      </c>
      <c r="B15">
        <v>7731</v>
      </c>
      <c r="C15" t="s">
        <v>135</v>
      </c>
      <c r="D15" t="s">
        <v>136</v>
      </c>
      <c r="E15">
        <v>1307</v>
      </c>
      <c r="F15">
        <v>1345</v>
      </c>
      <c r="G15">
        <v>700</v>
      </c>
      <c r="H15" t="s">
        <v>91</v>
      </c>
      <c r="I15">
        <v>9404</v>
      </c>
      <c r="J15" t="s">
        <v>142</v>
      </c>
      <c r="K15" t="s">
        <v>117</v>
      </c>
      <c r="L15">
        <v>1389</v>
      </c>
      <c r="M15">
        <v>1396</v>
      </c>
      <c r="N15">
        <v>700</v>
      </c>
      <c r="O15" t="s">
        <v>89</v>
      </c>
      <c r="P15">
        <v>0.91722331842970295</v>
      </c>
      <c r="Q15">
        <v>0.90612901888478103</v>
      </c>
      <c r="R15">
        <v>2.2389679882290899E-2</v>
      </c>
      <c r="S15">
        <v>3.1594258349620902E-2</v>
      </c>
      <c r="T15">
        <v>0.27329332709398502</v>
      </c>
      <c r="U15">
        <v>0.27329332709398502</v>
      </c>
      <c r="V15">
        <v>0.65</v>
      </c>
      <c r="W15">
        <v>3.65</v>
      </c>
      <c r="X15">
        <v>405195</v>
      </c>
      <c r="Y15">
        <v>22511</v>
      </c>
      <c r="Z15">
        <v>1.1399999999999999</v>
      </c>
      <c r="AA15">
        <v>18</v>
      </c>
      <c r="AB15">
        <v>13</v>
      </c>
      <c r="AC15">
        <v>5</v>
      </c>
      <c r="AD15">
        <v>72.22</v>
      </c>
      <c r="AE15">
        <v>13</v>
      </c>
      <c r="AF15">
        <v>11</v>
      </c>
      <c r="AG15">
        <v>3</v>
      </c>
      <c r="AH15">
        <v>4</v>
      </c>
    </row>
    <row r="16" spans="1:34">
      <c r="A16" s="214">
        <v>149</v>
      </c>
      <c r="B16">
        <v>7013</v>
      </c>
      <c r="C16" t="s">
        <v>143</v>
      </c>
      <c r="D16" t="s">
        <v>144</v>
      </c>
      <c r="E16">
        <v>2400</v>
      </c>
      <c r="F16">
        <v>2431</v>
      </c>
      <c r="G16">
        <v>400</v>
      </c>
      <c r="H16" t="s">
        <v>91</v>
      </c>
      <c r="I16">
        <v>7278</v>
      </c>
      <c r="J16" t="s">
        <v>122</v>
      </c>
      <c r="K16" t="s">
        <v>123</v>
      </c>
      <c r="L16">
        <v>2120</v>
      </c>
      <c r="M16">
        <v>2132</v>
      </c>
      <c r="N16">
        <v>500</v>
      </c>
      <c r="O16" t="s">
        <v>89</v>
      </c>
      <c r="P16">
        <v>0.93691532874084005</v>
      </c>
      <c r="Q16">
        <v>0.92312442230324498</v>
      </c>
      <c r="R16">
        <v>4.4303209981812398E-2</v>
      </c>
      <c r="S16">
        <v>0.123839105901468</v>
      </c>
      <c r="T16">
        <v>0.657588300693706</v>
      </c>
      <c r="U16">
        <v>0.657588300693706</v>
      </c>
      <c r="V16">
        <v>2.82</v>
      </c>
      <c r="W16">
        <v>9.6300000000000008</v>
      </c>
      <c r="X16">
        <v>398432</v>
      </c>
      <c r="Y16">
        <v>49804</v>
      </c>
      <c r="Z16">
        <v>2.58</v>
      </c>
      <c r="AA16">
        <v>8</v>
      </c>
      <c r="AB16">
        <v>8</v>
      </c>
      <c r="AC16">
        <v>0</v>
      </c>
      <c r="AD16">
        <v>100</v>
      </c>
      <c r="AE16">
        <v>8</v>
      </c>
      <c r="AF16">
        <v>7</v>
      </c>
      <c r="AG16">
        <v>0</v>
      </c>
      <c r="AH16">
        <v>1</v>
      </c>
    </row>
    <row r="17" spans="1:34">
      <c r="A17" s="214">
        <v>105</v>
      </c>
      <c r="B17">
        <v>7186</v>
      </c>
      <c r="C17" t="s">
        <v>51</v>
      </c>
      <c r="D17" t="s">
        <v>121</v>
      </c>
      <c r="E17">
        <v>410</v>
      </c>
      <c r="F17">
        <v>410</v>
      </c>
      <c r="G17">
        <v>2000</v>
      </c>
      <c r="H17" t="s">
        <v>91</v>
      </c>
      <c r="I17">
        <v>8273</v>
      </c>
      <c r="J17" t="s">
        <v>145</v>
      </c>
      <c r="K17" t="s">
        <v>138</v>
      </c>
      <c r="L17">
        <v>4165</v>
      </c>
      <c r="M17">
        <v>4160</v>
      </c>
      <c r="N17">
        <v>200</v>
      </c>
      <c r="O17" t="s">
        <v>89</v>
      </c>
      <c r="P17">
        <v>0.95462565494092999</v>
      </c>
      <c r="Q17">
        <v>0.93228384167358902</v>
      </c>
      <c r="R17">
        <v>4.8632393612256297E-2</v>
      </c>
      <c r="S17">
        <v>1.71591131010966E-2</v>
      </c>
      <c r="T17">
        <v>1.4637615857025601</v>
      </c>
      <c r="U17">
        <v>1.4637615857025601</v>
      </c>
      <c r="V17">
        <v>4.4000000000000004</v>
      </c>
      <c r="W17">
        <v>1.44</v>
      </c>
      <c r="X17">
        <v>394867</v>
      </c>
      <c r="Y17">
        <v>24679</v>
      </c>
      <c r="Z17">
        <v>1.71</v>
      </c>
      <c r="AA17">
        <v>16</v>
      </c>
      <c r="AB17">
        <v>12</v>
      </c>
      <c r="AC17">
        <v>4</v>
      </c>
      <c r="AD17">
        <v>75</v>
      </c>
      <c r="AE17">
        <v>12</v>
      </c>
      <c r="AF17">
        <v>8</v>
      </c>
      <c r="AG17">
        <v>3</v>
      </c>
      <c r="AH17">
        <v>5</v>
      </c>
    </row>
    <row r="18" spans="1:34">
      <c r="A18" s="214">
        <v>95</v>
      </c>
      <c r="B18">
        <v>7167</v>
      </c>
      <c r="C18" t="s">
        <v>146</v>
      </c>
      <c r="D18" t="s">
        <v>121</v>
      </c>
      <c r="E18">
        <v>259</v>
      </c>
      <c r="F18">
        <v>263</v>
      </c>
      <c r="G18">
        <v>4100</v>
      </c>
      <c r="H18" t="s">
        <v>91</v>
      </c>
      <c r="I18">
        <v>7278</v>
      </c>
      <c r="J18" t="s">
        <v>122</v>
      </c>
      <c r="K18" t="s">
        <v>123</v>
      </c>
      <c r="L18">
        <v>2120</v>
      </c>
      <c r="M18">
        <v>2132</v>
      </c>
      <c r="N18">
        <v>500</v>
      </c>
      <c r="O18" t="s">
        <v>89</v>
      </c>
      <c r="P18">
        <v>0.95175416292841497</v>
      </c>
      <c r="Q18">
        <v>0.93426418528434196</v>
      </c>
      <c r="R18">
        <v>0.19405342900335401</v>
      </c>
      <c r="S18">
        <v>6.2636794969053805E-2</v>
      </c>
      <c r="T18">
        <v>8.0298064283795295E-2</v>
      </c>
      <c r="U18">
        <v>8.0298064283795295E-2</v>
      </c>
      <c r="V18">
        <v>0.16</v>
      </c>
      <c r="W18">
        <v>1.1499999999999999</v>
      </c>
      <c r="X18">
        <v>391489</v>
      </c>
      <c r="Y18">
        <v>23029</v>
      </c>
      <c r="Z18">
        <v>1.04</v>
      </c>
      <c r="AA18">
        <v>17</v>
      </c>
      <c r="AB18">
        <v>10</v>
      </c>
      <c r="AC18">
        <v>7</v>
      </c>
      <c r="AD18">
        <v>58.82</v>
      </c>
      <c r="AE18">
        <v>14</v>
      </c>
      <c r="AF18">
        <v>7</v>
      </c>
      <c r="AG18">
        <v>1</v>
      </c>
      <c r="AH18">
        <v>9</v>
      </c>
    </row>
    <row r="19" spans="1:34">
      <c r="A19" s="214">
        <v>201</v>
      </c>
      <c r="B19">
        <v>8002</v>
      </c>
      <c r="C19" t="s">
        <v>57</v>
      </c>
      <c r="D19" t="s">
        <v>147</v>
      </c>
      <c r="E19">
        <v>727.3</v>
      </c>
      <c r="F19">
        <v>734.5</v>
      </c>
      <c r="G19">
        <v>1400</v>
      </c>
      <c r="H19" t="s">
        <v>91</v>
      </c>
      <c r="I19">
        <v>8308</v>
      </c>
      <c r="J19" t="s">
        <v>148</v>
      </c>
      <c r="K19" t="s">
        <v>121</v>
      </c>
      <c r="L19">
        <v>447</v>
      </c>
      <c r="M19">
        <v>448.8</v>
      </c>
      <c r="N19">
        <v>2300</v>
      </c>
      <c r="O19" t="s">
        <v>89</v>
      </c>
      <c r="P19">
        <v>0.91323077505677097</v>
      </c>
      <c r="Q19">
        <v>0.91389853849038405</v>
      </c>
      <c r="R19">
        <v>0.130749004404697</v>
      </c>
      <c r="S19">
        <v>0.24070908773508701</v>
      </c>
      <c r="T19">
        <v>1.0707674051876499</v>
      </c>
      <c r="U19">
        <v>1.0707674051876499</v>
      </c>
      <c r="V19">
        <v>2.36</v>
      </c>
      <c r="W19">
        <v>0.38</v>
      </c>
      <c r="X19">
        <v>390665</v>
      </c>
      <c r="Y19">
        <v>24417</v>
      </c>
      <c r="Z19">
        <v>1.1499999999999999</v>
      </c>
      <c r="AA19">
        <v>16</v>
      </c>
      <c r="AB19">
        <v>12</v>
      </c>
      <c r="AC19">
        <v>4</v>
      </c>
      <c r="AD19">
        <v>75</v>
      </c>
      <c r="AE19">
        <v>15</v>
      </c>
      <c r="AF19">
        <v>6</v>
      </c>
      <c r="AG19">
        <v>1</v>
      </c>
      <c r="AH19">
        <v>9</v>
      </c>
    </row>
    <row r="20" spans="1:34">
      <c r="A20" s="214">
        <v>25</v>
      </c>
      <c r="B20">
        <v>1911</v>
      </c>
      <c r="C20" t="s">
        <v>149</v>
      </c>
      <c r="D20" t="s">
        <v>115</v>
      </c>
      <c r="E20">
        <v>1473</v>
      </c>
      <c r="F20">
        <v>1479</v>
      </c>
      <c r="G20">
        <v>700</v>
      </c>
      <c r="H20" t="s">
        <v>89</v>
      </c>
      <c r="I20">
        <v>6770</v>
      </c>
      <c r="J20" t="s">
        <v>50</v>
      </c>
      <c r="K20" t="s">
        <v>126</v>
      </c>
      <c r="L20">
        <v>2097</v>
      </c>
      <c r="M20">
        <v>2110</v>
      </c>
      <c r="N20">
        <v>500</v>
      </c>
      <c r="O20" t="s">
        <v>91</v>
      </c>
      <c r="P20">
        <v>0.93879835462571204</v>
      </c>
      <c r="Q20">
        <v>0.95451362329183298</v>
      </c>
      <c r="R20">
        <v>0.106625506940903</v>
      </c>
      <c r="S20">
        <v>3.7713192017591497E-2</v>
      </c>
      <c r="T20">
        <v>-0.41215312735345999</v>
      </c>
      <c r="U20">
        <v>0.41215312735345999</v>
      </c>
      <c r="V20">
        <v>-0.88</v>
      </c>
      <c r="W20">
        <v>1.87</v>
      </c>
      <c r="X20">
        <v>390260</v>
      </c>
      <c r="Y20">
        <v>22956</v>
      </c>
      <c r="Z20">
        <v>1.21</v>
      </c>
      <c r="AA20">
        <v>17</v>
      </c>
      <c r="AB20">
        <v>13</v>
      </c>
      <c r="AC20">
        <v>4</v>
      </c>
      <c r="AD20">
        <v>76.47</v>
      </c>
      <c r="AE20">
        <v>11</v>
      </c>
      <c r="AF20">
        <v>10</v>
      </c>
      <c r="AG20">
        <v>2</v>
      </c>
      <c r="AH20">
        <v>5</v>
      </c>
    </row>
    <row r="21" spans="1:34">
      <c r="A21" s="214">
        <v>266</v>
      </c>
      <c r="B21">
        <v>7189</v>
      </c>
      <c r="C21" t="s">
        <v>120</v>
      </c>
      <c r="D21" t="s">
        <v>121</v>
      </c>
      <c r="E21">
        <v>751</v>
      </c>
      <c r="F21">
        <v>762</v>
      </c>
      <c r="G21">
        <v>1400</v>
      </c>
      <c r="H21" t="s">
        <v>91</v>
      </c>
      <c r="I21">
        <v>7984</v>
      </c>
      <c r="J21" t="s">
        <v>128</v>
      </c>
      <c r="K21" t="s">
        <v>129</v>
      </c>
      <c r="L21">
        <v>1520</v>
      </c>
      <c r="M21">
        <v>1522</v>
      </c>
      <c r="N21">
        <v>700</v>
      </c>
      <c r="O21" t="s">
        <v>89</v>
      </c>
      <c r="P21">
        <v>0.926062550230347</v>
      </c>
      <c r="Q21">
        <v>0.90313627453003598</v>
      </c>
      <c r="R21">
        <v>0.21468732866949</v>
      </c>
      <c r="S21">
        <v>1.9959673413690499E-2</v>
      </c>
      <c r="T21">
        <v>6.3864418614988594E-2</v>
      </c>
      <c r="U21">
        <v>6.3864418614988594E-2</v>
      </c>
      <c r="V21">
        <v>0.3</v>
      </c>
      <c r="W21">
        <v>0.13</v>
      </c>
      <c r="X21">
        <v>383996</v>
      </c>
      <c r="Y21">
        <v>25600</v>
      </c>
      <c r="Z21">
        <v>1.23</v>
      </c>
      <c r="AA21">
        <v>15</v>
      </c>
      <c r="AB21">
        <v>10</v>
      </c>
      <c r="AC21">
        <v>5</v>
      </c>
      <c r="AD21">
        <v>66.67</v>
      </c>
      <c r="AE21">
        <v>13</v>
      </c>
      <c r="AF21">
        <v>7</v>
      </c>
      <c r="AG21">
        <v>3</v>
      </c>
      <c r="AH21">
        <v>5</v>
      </c>
    </row>
    <row r="22" spans="1:34">
      <c r="A22" s="214">
        <v>263</v>
      </c>
      <c r="B22">
        <v>7453</v>
      </c>
      <c r="C22" t="s">
        <v>150</v>
      </c>
      <c r="D22" t="s">
        <v>138</v>
      </c>
      <c r="E22">
        <v>2030</v>
      </c>
      <c r="F22">
        <v>2101</v>
      </c>
      <c r="G22">
        <v>500</v>
      </c>
      <c r="H22" t="s">
        <v>91</v>
      </c>
      <c r="I22">
        <v>8308</v>
      </c>
      <c r="J22" t="s">
        <v>148</v>
      </c>
      <c r="K22" t="s">
        <v>121</v>
      </c>
      <c r="L22">
        <v>447</v>
      </c>
      <c r="M22">
        <v>448.8</v>
      </c>
      <c r="N22">
        <v>2300</v>
      </c>
      <c r="O22" t="s">
        <v>89</v>
      </c>
      <c r="P22">
        <v>0.90726564463305703</v>
      </c>
      <c r="Q22">
        <v>0.90378171958988596</v>
      </c>
      <c r="R22">
        <v>3.30353688584362E-3</v>
      </c>
      <c r="S22">
        <v>0.34924408453655997</v>
      </c>
      <c r="T22">
        <v>2.9515686612896901</v>
      </c>
      <c r="U22">
        <v>2.9515686612896901</v>
      </c>
      <c r="V22">
        <v>6.23</v>
      </c>
      <c r="W22">
        <v>1.74</v>
      </c>
      <c r="X22">
        <v>378202</v>
      </c>
      <c r="Y22">
        <v>19905</v>
      </c>
      <c r="Z22">
        <v>1.08</v>
      </c>
      <c r="AA22">
        <v>19</v>
      </c>
      <c r="AB22">
        <v>12</v>
      </c>
      <c r="AC22">
        <v>7</v>
      </c>
      <c r="AD22">
        <v>63.16</v>
      </c>
      <c r="AE22">
        <v>11</v>
      </c>
      <c r="AF22">
        <v>10</v>
      </c>
      <c r="AG22">
        <v>4</v>
      </c>
      <c r="AH22">
        <v>5</v>
      </c>
    </row>
    <row r="23" spans="1:34">
      <c r="A23" s="214">
        <v>146</v>
      </c>
      <c r="B23">
        <v>7201</v>
      </c>
      <c r="C23" t="s">
        <v>151</v>
      </c>
      <c r="D23" t="s">
        <v>123</v>
      </c>
      <c r="E23">
        <v>662</v>
      </c>
      <c r="F23">
        <v>668.7</v>
      </c>
      <c r="G23">
        <v>1500</v>
      </c>
      <c r="H23" t="s">
        <v>91</v>
      </c>
      <c r="I23">
        <v>9404</v>
      </c>
      <c r="J23" t="s">
        <v>142</v>
      </c>
      <c r="K23" t="s">
        <v>117</v>
      </c>
      <c r="L23">
        <v>1389</v>
      </c>
      <c r="M23">
        <v>1396</v>
      </c>
      <c r="N23">
        <v>700</v>
      </c>
      <c r="O23" t="s">
        <v>89</v>
      </c>
      <c r="P23">
        <v>0.90858257751152005</v>
      </c>
      <c r="Q23">
        <v>0.923547312223026</v>
      </c>
      <c r="R23" s="20">
        <v>0.30155439507151599</v>
      </c>
      <c r="S23">
        <v>0.14657021937848899</v>
      </c>
      <c r="T23">
        <v>0.15092159899168101</v>
      </c>
      <c r="U23">
        <v>0.15092159899168101</v>
      </c>
      <c r="V23">
        <v>0.4</v>
      </c>
      <c r="W23">
        <v>2.65</v>
      </c>
      <c r="X23">
        <v>376971</v>
      </c>
      <c r="Y23">
        <v>22175</v>
      </c>
      <c r="Z23">
        <v>1.0900000000000001</v>
      </c>
      <c r="AA23">
        <v>17</v>
      </c>
      <c r="AB23">
        <v>14</v>
      </c>
      <c r="AC23">
        <v>3</v>
      </c>
      <c r="AD23">
        <v>82.35</v>
      </c>
      <c r="AE23">
        <v>14</v>
      </c>
      <c r="AF23">
        <v>5</v>
      </c>
      <c r="AG23">
        <v>1</v>
      </c>
      <c r="AH23">
        <v>11</v>
      </c>
    </row>
    <row r="24" spans="1:34">
      <c r="A24" s="214">
        <v>114</v>
      </c>
      <c r="B24">
        <v>6752</v>
      </c>
      <c r="C24" t="s">
        <v>152</v>
      </c>
      <c r="D24" t="s">
        <v>126</v>
      </c>
      <c r="E24">
        <v>874.4</v>
      </c>
      <c r="F24">
        <v>877.9</v>
      </c>
      <c r="G24">
        <v>1200</v>
      </c>
      <c r="H24" t="s">
        <v>89</v>
      </c>
      <c r="I24">
        <v>7189</v>
      </c>
      <c r="J24" t="s">
        <v>120</v>
      </c>
      <c r="K24" t="s">
        <v>121</v>
      </c>
      <c r="L24">
        <v>751</v>
      </c>
      <c r="M24">
        <v>762</v>
      </c>
      <c r="N24">
        <v>1400</v>
      </c>
      <c r="O24" t="s">
        <v>91</v>
      </c>
      <c r="P24">
        <v>0.91221166711419199</v>
      </c>
      <c r="Q24">
        <v>0.93049344559685598</v>
      </c>
      <c r="R24" s="20">
        <v>0.25417880211044103</v>
      </c>
      <c r="S24">
        <v>0.13735006006169001</v>
      </c>
      <c r="T24">
        <v>-1.23130383886794</v>
      </c>
      <c r="U24">
        <v>1.23130383886794</v>
      </c>
      <c r="V24">
        <v>-4.49</v>
      </c>
      <c r="W24">
        <v>1.26</v>
      </c>
      <c r="X24">
        <v>376546</v>
      </c>
      <c r="Y24">
        <v>25103</v>
      </c>
      <c r="Z24">
        <v>1.21</v>
      </c>
      <c r="AA24">
        <v>15</v>
      </c>
      <c r="AB24">
        <v>10</v>
      </c>
      <c r="AC24">
        <v>5</v>
      </c>
      <c r="AD24">
        <v>66.67</v>
      </c>
      <c r="AE24">
        <v>12</v>
      </c>
      <c r="AF24">
        <v>9</v>
      </c>
      <c r="AG24">
        <v>3</v>
      </c>
      <c r="AH24">
        <v>3</v>
      </c>
    </row>
    <row r="25" spans="1:34">
      <c r="A25" s="214">
        <v>231</v>
      </c>
      <c r="B25">
        <v>5393</v>
      </c>
      <c r="C25" t="s">
        <v>153</v>
      </c>
      <c r="D25" t="s">
        <v>154</v>
      </c>
      <c r="E25">
        <v>1892</v>
      </c>
      <c r="F25">
        <v>1934</v>
      </c>
      <c r="G25">
        <v>500</v>
      </c>
      <c r="H25" t="s">
        <v>91</v>
      </c>
      <c r="I25">
        <v>7762</v>
      </c>
      <c r="J25" t="s">
        <v>155</v>
      </c>
      <c r="K25" t="s">
        <v>136</v>
      </c>
      <c r="L25">
        <v>539</v>
      </c>
      <c r="M25">
        <v>546</v>
      </c>
      <c r="N25">
        <v>1800</v>
      </c>
      <c r="O25" t="s">
        <v>89</v>
      </c>
      <c r="P25">
        <v>0.92178778527636096</v>
      </c>
      <c r="Q25">
        <v>0.90767871473115902</v>
      </c>
      <c r="R25">
        <v>2.72287665940118E-2</v>
      </c>
      <c r="S25">
        <v>0.28043359198593998</v>
      </c>
      <c r="T25">
        <v>0.59413682606233398</v>
      </c>
      <c r="U25">
        <v>0.59413682606233398</v>
      </c>
      <c r="V25">
        <v>1.1499999999999999</v>
      </c>
      <c r="W25">
        <v>1.63</v>
      </c>
      <c r="X25">
        <v>370950</v>
      </c>
      <c r="Y25">
        <v>23184</v>
      </c>
      <c r="Z25">
        <v>1.1000000000000001</v>
      </c>
      <c r="AA25">
        <v>16</v>
      </c>
      <c r="AB25">
        <v>11</v>
      </c>
      <c r="AC25">
        <v>5</v>
      </c>
      <c r="AD25">
        <v>68.75</v>
      </c>
      <c r="AE25">
        <v>9</v>
      </c>
      <c r="AF25">
        <v>9</v>
      </c>
      <c r="AG25">
        <v>1</v>
      </c>
      <c r="AH25">
        <v>6</v>
      </c>
    </row>
    <row r="26" spans="1:34">
      <c r="A26" s="214">
        <v>65</v>
      </c>
      <c r="B26">
        <v>6371</v>
      </c>
      <c r="C26" t="s">
        <v>156</v>
      </c>
      <c r="D26" t="s">
        <v>144</v>
      </c>
      <c r="E26">
        <v>3445</v>
      </c>
      <c r="F26">
        <v>3460</v>
      </c>
      <c r="G26">
        <v>300</v>
      </c>
      <c r="H26" t="s">
        <v>91</v>
      </c>
      <c r="I26">
        <v>7278</v>
      </c>
      <c r="J26" t="s">
        <v>122</v>
      </c>
      <c r="K26" t="s">
        <v>123</v>
      </c>
      <c r="L26">
        <v>2120</v>
      </c>
      <c r="M26">
        <v>2132</v>
      </c>
      <c r="N26">
        <v>500</v>
      </c>
      <c r="O26" t="s">
        <v>89</v>
      </c>
      <c r="P26">
        <v>0.96645380686605498</v>
      </c>
      <c r="Q26">
        <v>0.94032113483533297</v>
      </c>
      <c r="R26">
        <v>3.9448689841908399E-2</v>
      </c>
      <c r="S26">
        <v>6.1249848663867601E-3</v>
      </c>
      <c r="T26">
        <v>0.460597007999552</v>
      </c>
      <c r="U26">
        <v>0.460597007999552</v>
      </c>
      <c r="V26">
        <v>0.86</v>
      </c>
      <c r="W26">
        <v>2.7</v>
      </c>
      <c r="X26">
        <v>367982</v>
      </c>
      <c r="Y26">
        <v>36798</v>
      </c>
      <c r="Z26">
        <v>2.11</v>
      </c>
      <c r="AA26">
        <v>10</v>
      </c>
      <c r="AB26">
        <v>7</v>
      </c>
      <c r="AC26">
        <v>3</v>
      </c>
      <c r="AD26">
        <v>70</v>
      </c>
      <c r="AE26">
        <v>10</v>
      </c>
      <c r="AF26">
        <v>6</v>
      </c>
      <c r="AG26">
        <v>0</v>
      </c>
      <c r="AH26">
        <v>4</v>
      </c>
    </row>
    <row r="27" spans="1:34">
      <c r="A27" s="214">
        <v>66</v>
      </c>
      <c r="B27">
        <v>3861</v>
      </c>
      <c r="C27" t="s">
        <v>94</v>
      </c>
      <c r="D27" t="s">
        <v>118</v>
      </c>
      <c r="E27">
        <v>530</v>
      </c>
      <c r="F27">
        <v>543</v>
      </c>
      <c r="G27">
        <v>2000</v>
      </c>
      <c r="H27" t="s">
        <v>91</v>
      </c>
      <c r="I27">
        <v>5411</v>
      </c>
      <c r="J27" t="s">
        <v>133</v>
      </c>
      <c r="K27" t="s">
        <v>134</v>
      </c>
      <c r="L27">
        <v>1313.5</v>
      </c>
      <c r="M27">
        <v>1325</v>
      </c>
      <c r="N27">
        <v>800</v>
      </c>
      <c r="O27" t="s">
        <v>89</v>
      </c>
      <c r="P27">
        <v>0.97147656235207203</v>
      </c>
      <c r="Q27">
        <v>0.94012006732434805</v>
      </c>
      <c r="R27">
        <v>2.0408662727186199E-3</v>
      </c>
      <c r="S27">
        <v>0.24981177032487301</v>
      </c>
      <c r="T27">
        <v>2.7050769370407899</v>
      </c>
      <c r="U27">
        <v>2.7050769370407899</v>
      </c>
      <c r="V27">
        <v>4.5599999999999996</v>
      </c>
      <c r="W27">
        <v>2.4500000000000002</v>
      </c>
      <c r="X27">
        <v>354060</v>
      </c>
      <c r="Y27">
        <v>18635</v>
      </c>
      <c r="Z27">
        <v>0.86</v>
      </c>
      <c r="AA27">
        <v>19</v>
      </c>
      <c r="AB27">
        <v>11</v>
      </c>
      <c r="AC27">
        <v>8</v>
      </c>
      <c r="AD27">
        <v>57.89</v>
      </c>
      <c r="AE27">
        <v>13</v>
      </c>
      <c r="AF27">
        <v>7</v>
      </c>
      <c r="AG27">
        <v>3</v>
      </c>
      <c r="AH27">
        <v>9</v>
      </c>
    </row>
    <row r="28" spans="1:34">
      <c r="A28" s="214">
        <v>162</v>
      </c>
      <c r="B28">
        <v>4208</v>
      </c>
      <c r="C28" t="s">
        <v>141</v>
      </c>
      <c r="D28" t="s">
        <v>90</v>
      </c>
      <c r="E28">
        <v>2220</v>
      </c>
      <c r="F28">
        <v>2233</v>
      </c>
      <c r="G28">
        <v>400</v>
      </c>
      <c r="H28" t="s">
        <v>91</v>
      </c>
      <c r="I28">
        <v>6301</v>
      </c>
      <c r="J28" t="s">
        <v>157</v>
      </c>
      <c r="K28" t="s">
        <v>144</v>
      </c>
      <c r="L28">
        <v>2423</v>
      </c>
      <c r="M28">
        <v>2427.5</v>
      </c>
      <c r="N28">
        <v>400</v>
      </c>
      <c r="O28" t="s">
        <v>89</v>
      </c>
      <c r="P28">
        <v>0.92936322997616205</v>
      </c>
      <c r="Q28">
        <v>0.92060421866189401</v>
      </c>
      <c r="R28">
        <v>0.14357608477193101</v>
      </c>
      <c r="S28">
        <v>1.1793789898499199E-2</v>
      </c>
      <c r="T28">
        <v>1.6779393093827699</v>
      </c>
      <c r="U28">
        <v>1.6779393093827699</v>
      </c>
      <c r="V28">
        <v>3.31</v>
      </c>
      <c r="W28">
        <v>8.01</v>
      </c>
      <c r="X28">
        <v>346563</v>
      </c>
      <c r="Y28">
        <v>31506</v>
      </c>
      <c r="Z28">
        <v>1.64</v>
      </c>
      <c r="AA28">
        <v>11</v>
      </c>
      <c r="AB28">
        <v>8</v>
      </c>
      <c r="AC28">
        <v>3</v>
      </c>
      <c r="AD28">
        <v>72.73</v>
      </c>
      <c r="AE28">
        <v>12</v>
      </c>
      <c r="AF28">
        <v>7</v>
      </c>
      <c r="AG28">
        <v>0</v>
      </c>
      <c r="AH28">
        <v>4</v>
      </c>
    </row>
    <row r="29" spans="1:34">
      <c r="A29" s="214">
        <v>112</v>
      </c>
      <c r="B29">
        <v>7186</v>
      </c>
      <c r="C29" t="s">
        <v>51</v>
      </c>
      <c r="D29" t="s">
        <v>121</v>
      </c>
      <c r="E29">
        <v>410</v>
      </c>
      <c r="F29">
        <v>410</v>
      </c>
      <c r="G29">
        <v>2400</v>
      </c>
      <c r="H29" t="s">
        <v>89</v>
      </c>
      <c r="I29">
        <v>8750</v>
      </c>
      <c r="J29" t="s">
        <v>58</v>
      </c>
      <c r="K29" t="s">
        <v>158</v>
      </c>
      <c r="L29">
        <v>1645.5</v>
      </c>
      <c r="M29">
        <v>1665</v>
      </c>
      <c r="N29">
        <v>600</v>
      </c>
      <c r="O29" t="s">
        <v>91</v>
      </c>
      <c r="P29">
        <v>0.95551045431385195</v>
      </c>
      <c r="Q29">
        <v>0.93077798863640504</v>
      </c>
      <c r="R29">
        <v>4.3634580156482097E-2</v>
      </c>
      <c r="S29">
        <v>0.21290297301548</v>
      </c>
      <c r="T29">
        <v>-1.2280289213878901</v>
      </c>
      <c r="U29">
        <v>1.2280289213878901</v>
      </c>
      <c r="V29">
        <v>-2.35</v>
      </c>
      <c r="W29">
        <v>1.5</v>
      </c>
      <c r="X29">
        <v>328916</v>
      </c>
      <c r="Y29">
        <v>21928</v>
      </c>
      <c r="Z29">
        <v>1.0900000000000001</v>
      </c>
      <c r="AA29">
        <v>15</v>
      </c>
      <c r="AB29">
        <v>9</v>
      </c>
      <c r="AC29">
        <v>6</v>
      </c>
      <c r="AD29">
        <v>60</v>
      </c>
      <c r="AE29">
        <v>11</v>
      </c>
      <c r="AF29">
        <v>8</v>
      </c>
      <c r="AG29">
        <v>1</v>
      </c>
      <c r="AH29">
        <v>6</v>
      </c>
    </row>
    <row r="30" spans="1:34">
      <c r="A30" s="214">
        <v>171</v>
      </c>
      <c r="B30">
        <v>5406</v>
      </c>
      <c r="C30" t="s">
        <v>159</v>
      </c>
      <c r="D30" t="s">
        <v>134</v>
      </c>
      <c r="E30">
        <v>565</v>
      </c>
      <c r="F30">
        <v>570</v>
      </c>
      <c r="G30">
        <v>1700</v>
      </c>
      <c r="H30" t="s">
        <v>89</v>
      </c>
      <c r="I30">
        <v>6586</v>
      </c>
      <c r="J30" t="s">
        <v>160</v>
      </c>
      <c r="K30" t="s">
        <v>144</v>
      </c>
      <c r="L30">
        <v>3170</v>
      </c>
      <c r="M30">
        <v>3270</v>
      </c>
      <c r="N30">
        <v>300</v>
      </c>
      <c r="O30" t="s">
        <v>91</v>
      </c>
      <c r="P30">
        <v>0.94130117538245095</v>
      </c>
      <c r="Q30">
        <v>0.91873356689454799</v>
      </c>
      <c r="R30">
        <v>3.83059553455573E-3</v>
      </c>
      <c r="S30">
        <v>7.5822252037749005E-2</v>
      </c>
      <c r="T30">
        <v>-1.09940670550423</v>
      </c>
      <c r="U30">
        <v>1.09940670550423</v>
      </c>
      <c r="V30">
        <v>-4.95</v>
      </c>
      <c r="W30">
        <v>1.22</v>
      </c>
      <c r="X30">
        <v>317594</v>
      </c>
      <c r="Y30">
        <v>17644</v>
      </c>
      <c r="Z30">
        <v>0.93</v>
      </c>
      <c r="AA30">
        <v>18</v>
      </c>
      <c r="AB30">
        <v>11</v>
      </c>
      <c r="AC30">
        <v>7</v>
      </c>
      <c r="AD30">
        <v>61.11</v>
      </c>
      <c r="AE30">
        <v>10</v>
      </c>
      <c r="AF30">
        <v>9</v>
      </c>
      <c r="AG30">
        <v>4</v>
      </c>
      <c r="AH30">
        <v>5</v>
      </c>
    </row>
    <row r="31" spans="1:34">
      <c r="A31" s="214">
        <v>140</v>
      </c>
      <c r="B31">
        <v>1893</v>
      </c>
      <c r="C31" t="s">
        <v>161</v>
      </c>
      <c r="D31" t="s">
        <v>115</v>
      </c>
      <c r="E31">
        <v>586</v>
      </c>
      <c r="F31">
        <v>595</v>
      </c>
      <c r="G31">
        <v>1700</v>
      </c>
      <c r="H31" t="s">
        <v>91</v>
      </c>
      <c r="I31">
        <v>9989</v>
      </c>
      <c r="J31" t="s">
        <v>162</v>
      </c>
      <c r="K31" t="s">
        <v>138</v>
      </c>
      <c r="L31">
        <v>3400</v>
      </c>
      <c r="M31">
        <v>3415</v>
      </c>
      <c r="N31">
        <v>300</v>
      </c>
      <c r="O31" t="s">
        <v>89</v>
      </c>
      <c r="P31">
        <v>0.93141232127942997</v>
      </c>
      <c r="Q31">
        <v>0.92457657850015196</v>
      </c>
      <c r="R31">
        <v>5.2937705916043603E-4</v>
      </c>
      <c r="S31">
        <v>7.9105143414660004E-2</v>
      </c>
      <c r="T31">
        <v>0.20864235786513899</v>
      </c>
      <c r="U31">
        <v>0.20864235786513899</v>
      </c>
      <c r="V31">
        <v>0.6</v>
      </c>
      <c r="W31">
        <v>1.27</v>
      </c>
      <c r="X31">
        <v>311622</v>
      </c>
      <c r="Y31">
        <v>19476</v>
      </c>
      <c r="Z31">
        <v>1.1399999999999999</v>
      </c>
      <c r="AA31">
        <v>16</v>
      </c>
      <c r="AB31">
        <v>12</v>
      </c>
      <c r="AC31">
        <v>4</v>
      </c>
      <c r="AD31">
        <v>75</v>
      </c>
      <c r="AE31">
        <v>14</v>
      </c>
      <c r="AF31">
        <v>8</v>
      </c>
      <c r="AG31">
        <v>2</v>
      </c>
      <c r="AH31">
        <v>6</v>
      </c>
    </row>
    <row r="32" spans="1:34">
      <c r="A32" s="214">
        <v>135</v>
      </c>
      <c r="B32">
        <v>1860</v>
      </c>
      <c r="C32" t="s">
        <v>163</v>
      </c>
      <c r="D32" t="s">
        <v>115</v>
      </c>
      <c r="E32">
        <v>624</v>
      </c>
      <c r="F32">
        <v>625</v>
      </c>
      <c r="G32">
        <v>1400</v>
      </c>
      <c r="H32" t="s">
        <v>89</v>
      </c>
      <c r="I32">
        <v>6923</v>
      </c>
      <c r="J32" t="s">
        <v>164</v>
      </c>
      <c r="K32" t="s">
        <v>126</v>
      </c>
      <c r="L32">
        <v>2871</v>
      </c>
      <c r="M32">
        <v>2908</v>
      </c>
      <c r="N32">
        <v>300</v>
      </c>
      <c r="O32" t="s">
        <v>91</v>
      </c>
      <c r="P32">
        <v>0.92136493858950197</v>
      </c>
      <c r="Q32">
        <v>0.92546481847978701</v>
      </c>
      <c r="R32">
        <v>0.11887402375115701</v>
      </c>
      <c r="S32">
        <v>8.6828370416733597E-3</v>
      </c>
      <c r="T32">
        <v>-1.2183493485129999</v>
      </c>
      <c r="U32">
        <v>1.2183493485129999</v>
      </c>
      <c r="V32">
        <v>-3.11</v>
      </c>
      <c r="W32">
        <v>0.3</v>
      </c>
      <c r="X32">
        <v>310952</v>
      </c>
      <c r="Y32">
        <v>16366</v>
      </c>
      <c r="Z32">
        <v>0.7</v>
      </c>
      <c r="AA32">
        <v>19</v>
      </c>
      <c r="AB32">
        <v>14</v>
      </c>
      <c r="AC32">
        <v>5</v>
      </c>
      <c r="AD32">
        <v>73.680000000000007</v>
      </c>
      <c r="AE32">
        <v>12</v>
      </c>
      <c r="AF32">
        <v>9</v>
      </c>
      <c r="AG32">
        <v>5</v>
      </c>
      <c r="AH32">
        <v>5</v>
      </c>
    </row>
    <row r="33" spans="1:34">
      <c r="A33" s="214">
        <v>115</v>
      </c>
      <c r="B33">
        <v>6371</v>
      </c>
      <c r="C33" t="s">
        <v>156</v>
      </c>
      <c r="D33" t="s">
        <v>144</v>
      </c>
      <c r="E33">
        <v>3445</v>
      </c>
      <c r="F33">
        <v>3460</v>
      </c>
      <c r="G33">
        <v>300</v>
      </c>
      <c r="H33" t="s">
        <v>89</v>
      </c>
      <c r="I33">
        <v>7259</v>
      </c>
      <c r="J33" t="s">
        <v>55</v>
      </c>
      <c r="K33" t="s">
        <v>123</v>
      </c>
      <c r="L33">
        <v>3445</v>
      </c>
      <c r="M33">
        <v>3510</v>
      </c>
      <c r="N33">
        <v>300</v>
      </c>
      <c r="O33" t="s">
        <v>91</v>
      </c>
      <c r="P33">
        <v>0.90698910692805601</v>
      </c>
      <c r="Q33">
        <v>0.93007583217669298</v>
      </c>
      <c r="R33">
        <v>0.204646028859086</v>
      </c>
      <c r="S33">
        <v>4.1711545257491697E-2</v>
      </c>
      <c r="T33">
        <v>-0.31081176144296502</v>
      </c>
      <c r="U33">
        <v>0.31081176144296502</v>
      </c>
      <c r="V33">
        <v>-1.19</v>
      </c>
      <c r="W33">
        <v>1.42</v>
      </c>
      <c r="X33">
        <v>305033</v>
      </c>
      <c r="Y33">
        <v>38129</v>
      </c>
      <c r="Z33">
        <v>2.17</v>
      </c>
      <c r="AA33">
        <v>8</v>
      </c>
      <c r="AB33">
        <v>6</v>
      </c>
      <c r="AC33">
        <v>2</v>
      </c>
      <c r="AD33">
        <v>75</v>
      </c>
      <c r="AE33">
        <v>10</v>
      </c>
      <c r="AF33">
        <v>6</v>
      </c>
      <c r="AG33">
        <v>0</v>
      </c>
      <c r="AH33">
        <v>2</v>
      </c>
    </row>
    <row r="34" spans="1:34">
      <c r="A34" s="214">
        <v>184</v>
      </c>
      <c r="B34">
        <v>6770</v>
      </c>
      <c r="C34" t="s">
        <v>50</v>
      </c>
      <c r="D34" t="s">
        <v>126</v>
      </c>
      <c r="E34">
        <v>2097</v>
      </c>
      <c r="F34">
        <v>2110</v>
      </c>
      <c r="G34">
        <v>500</v>
      </c>
      <c r="H34" t="s">
        <v>91</v>
      </c>
      <c r="I34">
        <v>7453</v>
      </c>
      <c r="J34" t="s">
        <v>150</v>
      </c>
      <c r="K34" t="s">
        <v>138</v>
      </c>
      <c r="L34">
        <v>2030</v>
      </c>
      <c r="M34">
        <v>2101</v>
      </c>
      <c r="N34">
        <v>500</v>
      </c>
      <c r="O34" t="s">
        <v>89</v>
      </c>
      <c r="P34">
        <v>0.91781989444026402</v>
      </c>
      <c r="Q34">
        <v>0.91567639520811195</v>
      </c>
      <c r="R34">
        <v>6.1014216327178003E-2</v>
      </c>
      <c r="S34">
        <v>0.107544454062022</v>
      </c>
      <c r="T34">
        <v>0.87909708486912397</v>
      </c>
      <c r="U34">
        <v>0.87909708486912397</v>
      </c>
      <c r="V34">
        <v>2.74</v>
      </c>
      <c r="W34">
        <v>0.43</v>
      </c>
      <c r="X34">
        <v>299963</v>
      </c>
      <c r="Y34">
        <v>23074</v>
      </c>
      <c r="Z34">
        <v>1.21</v>
      </c>
      <c r="AA34">
        <v>13</v>
      </c>
      <c r="AB34">
        <v>9</v>
      </c>
      <c r="AC34">
        <v>4</v>
      </c>
      <c r="AD34">
        <v>69.23</v>
      </c>
      <c r="AE34">
        <v>7</v>
      </c>
      <c r="AF34">
        <v>9</v>
      </c>
      <c r="AG34">
        <v>3</v>
      </c>
      <c r="AH34">
        <v>1</v>
      </c>
    </row>
    <row r="35" spans="1:34">
      <c r="A35" s="214">
        <v>144</v>
      </c>
      <c r="B35">
        <v>3291</v>
      </c>
      <c r="C35" t="s">
        <v>165</v>
      </c>
      <c r="D35" t="s">
        <v>166</v>
      </c>
      <c r="E35">
        <v>1710</v>
      </c>
      <c r="F35">
        <v>1726</v>
      </c>
      <c r="G35">
        <v>600</v>
      </c>
      <c r="H35" t="s">
        <v>89</v>
      </c>
      <c r="I35">
        <v>5991</v>
      </c>
      <c r="J35" t="s">
        <v>167</v>
      </c>
      <c r="K35" t="s">
        <v>168</v>
      </c>
      <c r="L35">
        <v>822</v>
      </c>
      <c r="M35">
        <v>825</v>
      </c>
      <c r="N35">
        <v>1300</v>
      </c>
      <c r="O35" t="s">
        <v>91</v>
      </c>
      <c r="P35">
        <v>0.95092535619473595</v>
      </c>
      <c r="Q35">
        <v>0.92366153716973298</v>
      </c>
      <c r="R35" s="20">
        <v>3.6550502191316902E-3</v>
      </c>
      <c r="S35">
        <v>1.7293698604239701E-4</v>
      </c>
      <c r="T35">
        <v>-1.0668793089144999</v>
      </c>
      <c r="U35">
        <v>1.0668793089144999</v>
      </c>
      <c r="V35">
        <v>-2.73</v>
      </c>
      <c r="W35">
        <v>3.56</v>
      </c>
      <c r="X35">
        <v>298319</v>
      </c>
      <c r="Y35">
        <v>13560</v>
      </c>
      <c r="Z35">
        <v>0.64</v>
      </c>
      <c r="AA35">
        <v>22</v>
      </c>
      <c r="AB35">
        <v>14</v>
      </c>
      <c r="AC35">
        <v>8</v>
      </c>
      <c r="AD35">
        <v>63.64</v>
      </c>
      <c r="AE35">
        <v>13</v>
      </c>
      <c r="AF35">
        <v>9</v>
      </c>
      <c r="AG35">
        <v>4</v>
      </c>
      <c r="AH35">
        <v>9</v>
      </c>
    </row>
    <row r="36" spans="1:34">
      <c r="A36" s="214">
        <v>37</v>
      </c>
      <c r="B36">
        <v>5401</v>
      </c>
      <c r="C36" t="s">
        <v>169</v>
      </c>
      <c r="D36" t="s">
        <v>134</v>
      </c>
      <c r="E36">
        <v>1504</v>
      </c>
      <c r="F36">
        <v>1504.5</v>
      </c>
      <c r="G36">
        <v>700</v>
      </c>
      <c r="H36" t="s">
        <v>89</v>
      </c>
      <c r="I36">
        <v>9404</v>
      </c>
      <c r="J36" t="s">
        <v>142</v>
      </c>
      <c r="K36" t="s">
        <v>117</v>
      </c>
      <c r="L36">
        <v>1389</v>
      </c>
      <c r="M36">
        <v>1396</v>
      </c>
      <c r="N36">
        <v>800</v>
      </c>
      <c r="O36" t="s">
        <v>91</v>
      </c>
      <c r="P36">
        <v>0.95226557135553302</v>
      </c>
      <c r="Q36">
        <v>0.94998317805805599</v>
      </c>
      <c r="R36">
        <v>0.21014598010159799</v>
      </c>
      <c r="S36">
        <v>2.3590781574305601E-2</v>
      </c>
      <c r="T36">
        <v>-0.20434174634330199</v>
      </c>
      <c r="U36">
        <v>0.20434174634330199</v>
      </c>
      <c r="V36">
        <v>-0.62</v>
      </c>
      <c r="W36">
        <v>6.04</v>
      </c>
      <c r="X36">
        <v>293779</v>
      </c>
      <c r="Y36">
        <v>17281</v>
      </c>
      <c r="Z36">
        <v>0.84</v>
      </c>
      <c r="AA36">
        <v>17</v>
      </c>
      <c r="AB36">
        <v>11</v>
      </c>
      <c r="AC36">
        <v>6</v>
      </c>
      <c r="AD36">
        <v>64.709999999999994</v>
      </c>
      <c r="AE36">
        <v>12</v>
      </c>
      <c r="AF36">
        <v>8</v>
      </c>
      <c r="AG36">
        <v>3</v>
      </c>
      <c r="AH36">
        <v>6</v>
      </c>
    </row>
    <row r="37" spans="1:34">
      <c r="A37" s="214">
        <v>137</v>
      </c>
      <c r="B37">
        <v>4401</v>
      </c>
      <c r="C37" t="s">
        <v>60</v>
      </c>
      <c r="D37" t="s">
        <v>90</v>
      </c>
      <c r="E37">
        <v>1416</v>
      </c>
      <c r="F37">
        <v>1417</v>
      </c>
      <c r="G37">
        <v>700</v>
      </c>
      <c r="H37" t="s">
        <v>91</v>
      </c>
      <c r="I37">
        <v>9404</v>
      </c>
      <c r="J37" t="s">
        <v>142</v>
      </c>
      <c r="K37" t="s">
        <v>117</v>
      </c>
      <c r="L37">
        <v>1389</v>
      </c>
      <c r="M37">
        <v>1396</v>
      </c>
      <c r="N37">
        <v>700</v>
      </c>
      <c r="O37" t="s">
        <v>89</v>
      </c>
      <c r="P37">
        <v>0.90476432523047801</v>
      </c>
      <c r="Q37">
        <v>0.92499712478804597</v>
      </c>
      <c r="R37">
        <v>0.208782789254606</v>
      </c>
      <c r="S37">
        <v>9.1552450090507595E-3</v>
      </c>
      <c r="T37">
        <v>1.29624823015532</v>
      </c>
      <c r="U37">
        <v>1.29624823015532</v>
      </c>
      <c r="V37">
        <v>4.6399999999999997</v>
      </c>
      <c r="W37">
        <v>1.48</v>
      </c>
      <c r="X37">
        <v>289996</v>
      </c>
      <c r="Y37">
        <v>19333</v>
      </c>
      <c r="Z37">
        <v>0.97</v>
      </c>
      <c r="AA37">
        <v>15</v>
      </c>
      <c r="AB37">
        <v>10</v>
      </c>
      <c r="AC37">
        <v>5</v>
      </c>
      <c r="AD37">
        <v>66.67</v>
      </c>
      <c r="AE37">
        <v>16</v>
      </c>
      <c r="AF37">
        <v>6</v>
      </c>
      <c r="AG37">
        <v>0</v>
      </c>
      <c r="AH37">
        <v>9</v>
      </c>
    </row>
    <row r="38" spans="1:34">
      <c r="A38" s="214">
        <v>133</v>
      </c>
      <c r="B38">
        <v>6371</v>
      </c>
      <c r="C38" t="s">
        <v>156</v>
      </c>
      <c r="D38" t="s">
        <v>144</v>
      </c>
      <c r="E38">
        <v>3445</v>
      </c>
      <c r="F38">
        <v>3460</v>
      </c>
      <c r="G38">
        <v>300</v>
      </c>
      <c r="H38" t="s">
        <v>89</v>
      </c>
      <c r="I38">
        <v>7762</v>
      </c>
      <c r="J38" t="s">
        <v>155</v>
      </c>
      <c r="K38" t="s">
        <v>136</v>
      </c>
      <c r="L38">
        <v>539</v>
      </c>
      <c r="M38">
        <v>546</v>
      </c>
      <c r="N38">
        <v>1900</v>
      </c>
      <c r="O38" t="s">
        <v>91</v>
      </c>
      <c r="P38">
        <v>0.93231116307651996</v>
      </c>
      <c r="Q38">
        <v>0.92572456399431002</v>
      </c>
      <c r="R38">
        <v>7.1399621952702502E-3</v>
      </c>
      <c r="S38">
        <v>0.26073132968165802</v>
      </c>
      <c r="T38">
        <v>-0.69651738327944401</v>
      </c>
      <c r="U38">
        <v>0.69651738327944401</v>
      </c>
      <c r="V38">
        <v>-1.37</v>
      </c>
      <c r="W38">
        <v>0.06</v>
      </c>
      <c r="X38">
        <v>276294</v>
      </c>
      <c r="Y38">
        <v>14542</v>
      </c>
      <c r="Z38">
        <v>0.78</v>
      </c>
      <c r="AA38">
        <v>19</v>
      </c>
      <c r="AB38">
        <v>13</v>
      </c>
      <c r="AC38">
        <v>6</v>
      </c>
      <c r="AD38">
        <v>68.42</v>
      </c>
      <c r="AE38">
        <v>13</v>
      </c>
      <c r="AF38">
        <v>7</v>
      </c>
      <c r="AG38">
        <v>4</v>
      </c>
      <c r="AH38">
        <v>8</v>
      </c>
    </row>
    <row r="39" spans="1:34">
      <c r="A39" s="214">
        <v>126</v>
      </c>
      <c r="B39">
        <v>7205</v>
      </c>
      <c r="C39" t="s">
        <v>170</v>
      </c>
      <c r="D39" t="s">
        <v>123</v>
      </c>
      <c r="E39">
        <v>891</v>
      </c>
      <c r="F39">
        <v>896</v>
      </c>
      <c r="G39">
        <v>1200</v>
      </c>
      <c r="H39" t="s">
        <v>89</v>
      </c>
      <c r="I39">
        <v>8601</v>
      </c>
      <c r="J39" t="s">
        <v>53</v>
      </c>
      <c r="K39" t="s">
        <v>171</v>
      </c>
      <c r="L39">
        <v>491.7</v>
      </c>
      <c r="M39">
        <v>494.2</v>
      </c>
      <c r="N39">
        <v>2200</v>
      </c>
      <c r="O39" t="s">
        <v>91</v>
      </c>
      <c r="P39">
        <v>0.93829309672558403</v>
      </c>
      <c r="Q39">
        <v>0.92694043743620502</v>
      </c>
      <c r="R39">
        <v>5.5213029631755797E-2</v>
      </c>
      <c r="S39">
        <v>0.124743112928362</v>
      </c>
      <c r="T39">
        <v>-0.50611487213353001</v>
      </c>
      <c r="U39">
        <v>0.50611487213353001</v>
      </c>
      <c r="V39">
        <v>-1</v>
      </c>
      <c r="W39">
        <v>1.1200000000000001</v>
      </c>
      <c r="X39">
        <v>275928</v>
      </c>
      <c r="Y39">
        <v>18395</v>
      </c>
      <c r="Z39">
        <v>0.88</v>
      </c>
      <c r="AA39">
        <v>15</v>
      </c>
      <c r="AB39">
        <v>12</v>
      </c>
      <c r="AC39">
        <v>3</v>
      </c>
      <c r="AD39">
        <v>80</v>
      </c>
      <c r="AE39">
        <v>14</v>
      </c>
      <c r="AF39">
        <v>6</v>
      </c>
      <c r="AG39">
        <v>1</v>
      </c>
      <c r="AH39">
        <v>8</v>
      </c>
    </row>
    <row r="40" spans="1:34">
      <c r="A40" s="214">
        <v>226</v>
      </c>
      <c r="B40">
        <v>4005</v>
      </c>
      <c r="C40" t="s">
        <v>172</v>
      </c>
      <c r="D40" t="s">
        <v>90</v>
      </c>
      <c r="E40">
        <v>498</v>
      </c>
      <c r="F40">
        <v>504</v>
      </c>
      <c r="G40">
        <v>1700</v>
      </c>
      <c r="H40" t="s">
        <v>89</v>
      </c>
      <c r="I40">
        <v>7267</v>
      </c>
      <c r="J40" t="s">
        <v>173</v>
      </c>
      <c r="K40" t="s">
        <v>123</v>
      </c>
      <c r="L40">
        <v>2800</v>
      </c>
      <c r="M40">
        <v>2828.5</v>
      </c>
      <c r="N40">
        <v>300</v>
      </c>
      <c r="O40" t="s">
        <v>91</v>
      </c>
      <c r="P40">
        <v>0.94935875561328298</v>
      </c>
      <c r="Q40">
        <v>0.90827779418730903</v>
      </c>
      <c r="R40">
        <v>7.9716969587624099E-4</v>
      </c>
      <c r="S40">
        <v>0.38234404870994299</v>
      </c>
      <c r="T40">
        <v>-0.154679105243543</v>
      </c>
      <c r="U40">
        <v>0.154679105243543</v>
      </c>
      <c r="V40">
        <v>-0.41</v>
      </c>
      <c r="W40">
        <v>0.97</v>
      </c>
      <c r="X40">
        <v>269666</v>
      </c>
      <c r="Y40">
        <v>14193</v>
      </c>
      <c r="Z40">
        <v>0.7</v>
      </c>
      <c r="AA40">
        <v>19</v>
      </c>
      <c r="AB40">
        <v>13</v>
      </c>
      <c r="AC40">
        <v>6</v>
      </c>
      <c r="AD40">
        <v>68.42</v>
      </c>
      <c r="AE40">
        <v>14</v>
      </c>
      <c r="AF40">
        <v>5</v>
      </c>
      <c r="AG40">
        <v>1</v>
      </c>
      <c r="AH40">
        <v>13</v>
      </c>
    </row>
    <row r="41" spans="1:34">
      <c r="A41" s="214">
        <v>121</v>
      </c>
      <c r="B41">
        <v>7259</v>
      </c>
      <c r="C41" t="s">
        <v>55</v>
      </c>
      <c r="D41" t="s">
        <v>123</v>
      </c>
      <c r="E41">
        <v>3445</v>
      </c>
      <c r="F41">
        <v>3510</v>
      </c>
      <c r="G41">
        <v>300</v>
      </c>
      <c r="H41" t="s">
        <v>91</v>
      </c>
      <c r="I41">
        <v>7278</v>
      </c>
      <c r="J41" t="s">
        <v>122</v>
      </c>
      <c r="K41" t="s">
        <v>123</v>
      </c>
      <c r="L41">
        <v>2120</v>
      </c>
      <c r="M41">
        <v>2132</v>
      </c>
      <c r="N41">
        <v>500</v>
      </c>
      <c r="O41" t="s">
        <v>89</v>
      </c>
      <c r="P41">
        <v>0.935410809834613</v>
      </c>
      <c r="Q41">
        <v>0.92930078483246403</v>
      </c>
      <c r="R41">
        <v>0.27967862977990798</v>
      </c>
      <c r="S41">
        <v>0.23608633026383299</v>
      </c>
      <c r="T41">
        <v>0.74818878840877601</v>
      </c>
      <c r="U41">
        <v>0.74818878840877601</v>
      </c>
      <c r="V41">
        <v>1.94</v>
      </c>
      <c r="W41">
        <v>1.23</v>
      </c>
      <c r="X41">
        <v>265669</v>
      </c>
      <c r="Y41">
        <v>24152</v>
      </c>
      <c r="Z41">
        <v>1.6</v>
      </c>
      <c r="AA41">
        <v>11</v>
      </c>
      <c r="AB41">
        <v>9</v>
      </c>
      <c r="AC41">
        <v>2</v>
      </c>
      <c r="AD41">
        <v>81.819999999999993</v>
      </c>
      <c r="AE41">
        <v>14</v>
      </c>
      <c r="AF41">
        <v>3</v>
      </c>
      <c r="AG41">
        <v>1</v>
      </c>
      <c r="AH41">
        <v>7</v>
      </c>
    </row>
    <row r="42" spans="1:34">
      <c r="A42" s="214">
        <v>108</v>
      </c>
      <c r="B42">
        <v>8359</v>
      </c>
      <c r="C42" t="s">
        <v>174</v>
      </c>
      <c r="D42" t="s">
        <v>121</v>
      </c>
      <c r="E42">
        <v>447</v>
      </c>
      <c r="F42">
        <v>451</v>
      </c>
      <c r="G42">
        <v>2400</v>
      </c>
      <c r="H42" t="s">
        <v>91</v>
      </c>
      <c r="I42">
        <v>8385</v>
      </c>
      <c r="J42" t="s">
        <v>175</v>
      </c>
      <c r="K42" t="s">
        <v>121</v>
      </c>
      <c r="L42">
        <v>555</v>
      </c>
      <c r="M42">
        <v>558</v>
      </c>
      <c r="N42">
        <v>1900</v>
      </c>
      <c r="O42" t="s">
        <v>89</v>
      </c>
      <c r="P42">
        <v>0.94887868229018701</v>
      </c>
      <c r="Q42">
        <v>0.93144736072484602</v>
      </c>
      <c r="R42">
        <v>0.107622180390662</v>
      </c>
      <c r="S42">
        <v>3.1678568408003399E-2</v>
      </c>
      <c r="T42">
        <v>1.5784128598034299</v>
      </c>
      <c r="U42">
        <v>1.5784128598034299</v>
      </c>
      <c r="V42">
        <v>3.48</v>
      </c>
      <c r="W42">
        <v>2.09</v>
      </c>
      <c r="X42">
        <v>262660</v>
      </c>
      <c r="Y42">
        <v>16416</v>
      </c>
      <c r="Z42">
        <v>0.76</v>
      </c>
      <c r="AA42">
        <v>16</v>
      </c>
      <c r="AB42">
        <v>10</v>
      </c>
      <c r="AC42">
        <v>6</v>
      </c>
      <c r="AD42">
        <v>62.5</v>
      </c>
      <c r="AE42">
        <v>14</v>
      </c>
      <c r="AF42">
        <v>5</v>
      </c>
      <c r="AG42">
        <v>1</v>
      </c>
      <c r="AH42">
        <v>10</v>
      </c>
    </row>
    <row r="43" spans="1:34">
      <c r="A43" s="214">
        <v>83</v>
      </c>
      <c r="B43">
        <v>7186</v>
      </c>
      <c r="C43" t="s">
        <v>51</v>
      </c>
      <c r="D43" t="s">
        <v>121</v>
      </c>
      <c r="E43">
        <v>410</v>
      </c>
      <c r="F43">
        <v>410</v>
      </c>
      <c r="G43">
        <v>2600</v>
      </c>
      <c r="H43" t="s">
        <v>91</v>
      </c>
      <c r="I43">
        <v>8308</v>
      </c>
      <c r="J43" t="s">
        <v>148</v>
      </c>
      <c r="K43" t="s">
        <v>121</v>
      </c>
      <c r="L43">
        <v>447</v>
      </c>
      <c r="M43">
        <v>448.8</v>
      </c>
      <c r="N43">
        <v>2400</v>
      </c>
      <c r="O43" t="s">
        <v>89</v>
      </c>
      <c r="P43">
        <v>0.95572133307949703</v>
      </c>
      <c r="Q43">
        <v>0.93595467688783496</v>
      </c>
      <c r="R43">
        <v>0.261811692705882</v>
      </c>
      <c r="S43">
        <v>0.337282807693074</v>
      </c>
      <c r="T43">
        <v>1.3071237830970901</v>
      </c>
      <c r="U43">
        <v>1.3071237830970901</v>
      </c>
      <c r="V43">
        <v>2.92</v>
      </c>
      <c r="W43">
        <v>1.03</v>
      </c>
      <c r="X43">
        <v>261570</v>
      </c>
      <c r="Y43">
        <v>15386</v>
      </c>
      <c r="Z43">
        <v>0.73</v>
      </c>
      <c r="AA43">
        <v>17</v>
      </c>
      <c r="AB43">
        <v>10</v>
      </c>
      <c r="AC43">
        <v>7</v>
      </c>
      <c r="AD43">
        <v>58.82</v>
      </c>
      <c r="AE43">
        <v>15</v>
      </c>
      <c r="AF43">
        <v>7</v>
      </c>
      <c r="AG43">
        <v>1</v>
      </c>
      <c r="AH43">
        <v>9</v>
      </c>
    </row>
    <row r="44" spans="1:34">
      <c r="A44" s="214">
        <v>179</v>
      </c>
      <c r="B44">
        <v>3191</v>
      </c>
      <c r="C44" t="s">
        <v>176</v>
      </c>
      <c r="D44" t="s">
        <v>138</v>
      </c>
      <c r="E44">
        <v>1395</v>
      </c>
      <c r="F44">
        <v>1394</v>
      </c>
      <c r="G44">
        <v>700</v>
      </c>
      <c r="H44" t="s">
        <v>91</v>
      </c>
      <c r="I44">
        <v>9024</v>
      </c>
      <c r="J44" t="s">
        <v>177</v>
      </c>
      <c r="K44" t="s">
        <v>178</v>
      </c>
      <c r="L44">
        <v>1926</v>
      </c>
      <c r="M44">
        <v>1919</v>
      </c>
      <c r="N44">
        <v>500</v>
      </c>
      <c r="O44" t="s">
        <v>89</v>
      </c>
      <c r="P44">
        <v>0.90780897906534996</v>
      </c>
      <c r="Q44">
        <v>0.91670782157048303</v>
      </c>
      <c r="R44">
        <v>0.156212934599014</v>
      </c>
      <c r="S44">
        <v>4.0426037706422599E-2</v>
      </c>
      <c r="T44">
        <v>0.28077666018369102</v>
      </c>
      <c r="U44">
        <v>0.28077666018369102</v>
      </c>
      <c r="V44">
        <v>0.79</v>
      </c>
      <c r="W44">
        <v>1.7</v>
      </c>
      <c r="X44">
        <v>260476</v>
      </c>
      <c r="Y44">
        <v>12404</v>
      </c>
      <c r="Z44">
        <v>0.59</v>
      </c>
      <c r="AA44">
        <v>21</v>
      </c>
      <c r="AB44">
        <v>13</v>
      </c>
      <c r="AC44">
        <v>8</v>
      </c>
      <c r="AD44">
        <v>61.9</v>
      </c>
      <c r="AE44">
        <v>14</v>
      </c>
      <c r="AF44">
        <v>8</v>
      </c>
      <c r="AG44">
        <v>4</v>
      </c>
      <c r="AH44">
        <v>9</v>
      </c>
    </row>
    <row r="45" spans="1:34">
      <c r="A45" s="214">
        <v>21</v>
      </c>
      <c r="B45">
        <v>8273</v>
      </c>
      <c r="C45" t="s">
        <v>145</v>
      </c>
      <c r="D45" t="s">
        <v>138</v>
      </c>
      <c r="E45">
        <v>4165</v>
      </c>
      <c r="F45">
        <v>4160</v>
      </c>
      <c r="G45">
        <v>200</v>
      </c>
      <c r="H45" t="s">
        <v>89</v>
      </c>
      <c r="I45">
        <v>8308</v>
      </c>
      <c r="J45" t="s">
        <v>148</v>
      </c>
      <c r="K45" t="s">
        <v>121</v>
      </c>
      <c r="L45">
        <v>447</v>
      </c>
      <c r="M45">
        <v>448.8</v>
      </c>
      <c r="N45">
        <v>1900</v>
      </c>
      <c r="O45" t="s">
        <v>91</v>
      </c>
      <c r="P45">
        <v>0.91843379049293095</v>
      </c>
      <c r="Q45">
        <v>0.95645632778259104</v>
      </c>
      <c r="R45">
        <v>2.08533815954083E-2</v>
      </c>
      <c r="S45">
        <v>2.68250263308869E-2</v>
      </c>
      <c r="T45">
        <v>-0.534016573029793</v>
      </c>
      <c r="U45">
        <v>0.534016573029793</v>
      </c>
      <c r="V45">
        <v>-1.61</v>
      </c>
      <c r="W45">
        <v>2.4900000000000002</v>
      </c>
      <c r="X45">
        <v>259770</v>
      </c>
      <c r="Y45">
        <v>15281</v>
      </c>
      <c r="Z45">
        <v>0.92</v>
      </c>
      <c r="AA45">
        <v>17</v>
      </c>
      <c r="AB45">
        <v>11</v>
      </c>
      <c r="AC45">
        <v>6</v>
      </c>
      <c r="AD45">
        <v>64.709999999999994</v>
      </c>
      <c r="AE45">
        <v>12</v>
      </c>
      <c r="AF45">
        <v>7</v>
      </c>
      <c r="AG45">
        <v>4</v>
      </c>
      <c r="AH45">
        <v>6</v>
      </c>
    </row>
    <row r="46" spans="1:34">
      <c r="A46" s="214">
        <v>85</v>
      </c>
      <c r="B46">
        <v>6178</v>
      </c>
      <c r="C46" t="s">
        <v>179</v>
      </c>
      <c r="D46" t="s">
        <v>180</v>
      </c>
      <c r="E46">
        <v>981</v>
      </c>
      <c r="F46">
        <v>981</v>
      </c>
      <c r="G46">
        <v>1000</v>
      </c>
      <c r="H46" t="s">
        <v>89</v>
      </c>
      <c r="I46">
        <v>9404</v>
      </c>
      <c r="J46" t="s">
        <v>142</v>
      </c>
      <c r="K46" t="s">
        <v>117</v>
      </c>
      <c r="L46">
        <v>1389</v>
      </c>
      <c r="M46">
        <v>1396</v>
      </c>
      <c r="N46">
        <v>700</v>
      </c>
      <c r="O46" t="s">
        <v>91</v>
      </c>
      <c r="P46">
        <v>0.92139714322924504</v>
      </c>
      <c r="Q46">
        <v>0.93580856688935499</v>
      </c>
      <c r="R46">
        <v>0.16228351788696499</v>
      </c>
      <c r="S46">
        <v>0.12416353165382001</v>
      </c>
      <c r="T46">
        <v>-0.347718870439017</v>
      </c>
      <c r="U46">
        <v>0.347718870439017</v>
      </c>
      <c r="V46">
        <v>-1.23</v>
      </c>
      <c r="W46">
        <v>0.39</v>
      </c>
      <c r="X46">
        <v>259622</v>
      </c>
      <c r="Y46">
        <v>14423</v>
      </c>
      <c r="Z46">
        <v>0.71</v>
      </c>
      <c r="AA46">
        <v>18</v>
      </c>
      <c r="AB46">
        <v>12</v>
      </c>
      <c r="AC46">
        <v>6</v>
      </c>
      <c r="AD46">
        <v>66.67</v>
      </c>
      <c r="AE46">
        <v>15</v>
      </c>
      <c r="AF46">
        <v>4</v>
      </c>
      <c r="AG46">
        <v>2</v>
      </c>
      <c r="AH46">
        <v>12</v>
      </c>
    </row>
    <row r="47" spans="1:34">
      <c r="A47" s="214">
        <v>47</v>
      </c>
      <c r="B47">
        <v>7211</v>
      </c>
      <c r="C47" t="s">
        <v>56</v>
      </c>
      <c r="D47" t="s">
        <v>123</v>
      </c>
      <c r="E47">
        <v>468</v>
      </c>
      <c r="F47">
        <v>473</v>
      </c>
      <c r="G47">
        <v>2300</v>
      </c>
      <c r="H47" t="s">
        <v>89</v>
      </c>
      <c r="I47">
        <v>8242</v>
      </c>
      <c r="J47" t="s">
        <v>181</v>
      </c>
      <c r="K47" t="s">
        <v>138</v>
      </c>
      <c r="L47">
        <v>1222</v>
      </c>
      <c r="M47">
        <v>1216</v>
      </c>
      <c r="N47">
        <v>900</v>
      </c>
      <c r="O47" t="s">
        <v>91</v>
      </c>
      <c r="P47">
        <v>0.94586014286928699</v>
      </c>
      <c r="Q47">
        <v>0.94780607038654097</v>
      </c>
      <c r="R47">
        <v>5.7832322497480201E-2</v>
      </c>
      <c r="S47">
        <v>0.10914250193003</v>
      </c>
      <c r="T47">
        <v>-0.87126361040036204</v>
      </c>
      <c r="U47">
        <v>0.87126361040036204</v>
      </c>
      <c r="V47">
        <v>-2.11</v>
      </c>
      <c r="W47">
        <v>0.59</v>
      </c>
      <c r="X47">
        <v>258024</v>
      </c>
      <c r="Y47">
        <v>16126</v>
      </c>
      <c r="Z47">
        <v>0.82</v>
      </c>
      <c r="AA47">
        <v>16</v>
      </c>
      <c r="AB47">
        <v>9</v>
      </c>
      <c r="AC47">
        <v>7</v>
      </c>
      <c r="AD47">
        <v>56.25</v>
      </c>
      <c r="AE47">
        <v>11</v>
      </c>
      <c r="AF47">
        <v>6</v>
      </c>
      <c r="AG47">
        <v>4</v>
      </c>
      <c r="AH47">
        <v>6</v>
      </c>
    </row>
    <row r="48" spans="1:34">
      <c r="A48" s="214">
        <v>19</v>
      </c>
      <c r="B48">
        <v>8411</v>
      </c>
      <c r="C48" t="s">
        <v>182</v>
      </c>
      <c r="D48" t="s">
        <v>121</v>
      </c>
      <c r="E48">
        <v>162</v>
      </c>
      <c r="F48">
        <v>162.1</v>
      </c>
      <c r="G48">
        <v>6700</v>
      </c>
      <c r="H48" t="s">
        <v>89</v>
      </c>
      <c r="I48">
        <v>8601</v>
      </c>
      <c r="J48" t="s">
        <v>53</v>
      </c>
      <c r="K48" t="s">
        <v>171</v>
      </c>
      <c r="L48">
        <v>491.7</v>
      </c>
      <c r="M48">
        <v>494.2</v>
      </c>
      <c r="N48">
        <v>2200</v>
      </c>
      <c r="O48" t="s">
        <v>91</v>
      </c>
      <c r="P48">
        <v>0.91917107428869604</v>
      </c>
      <c r="Q48">
        <v>0.95879105794854602</v>
      </c>
      <c r="R48">
        <v>0.15431959737312301</v>
      </c>
      <c r="S48">
        <v>0.178862624187864</v>
      </c>
      <c r="T48">
        <v>-0.96931873318646899</v>
      </c>
      <c r="U48">
        <v>0.96931873318646899</v>
      </c>
      <c r="V48">
        <v>-2.29</v>
      </c>
      <c r="W48">
        <v>0.11</v>
      </c>
      <c r="X48">
        <v>254740</v>
      </c>
      <c r="Y48">
        <v>16983</v>
      </c>
      <c r="Z48">
        <v>0.8</v>
      </c>
      <c r="AA48">
        <v>15</v>
      </c>
      <c r="AB48">
        <v>10</v>
      </c>
      <c r="AC48">
        <v>5</v>
      </c>
      <c r="AD48">
        <v>66.67</v>
      </c>
      <c r="AE48">
        <v>15</v>
      </c>
      <c r="AF48">
        <v>2</v>
      </c>
      <c r="AG48">
        <v>0</v>
      </c>
      <c r="AH48">
        <v>13</v>
      </c>
    </row>
    <row r="49" spans="1:34">
      <c r="A49" s="214">
        <v>120</v>
      </c>
      <c r="B49">
        <v>1820</v>
      </c>
      <c r="C49" t="s">
        <v>183</v>
      </c>
      <c r="D49" t="s">
        <v>115</v>
      </c>
      <c r="E49">
        <v>2025</v>
      </c>
      <c r="F49">
        <v>2050</v>
      </c>
      <c r="G49">
        <v>500</v>
      </c>
      <c r="H49" t="s">
        <v>91</v>
      </c>
      <c r="I49">
        <v>7278</v>
      </c>
      <c r="J49" t="s">
        <v>122</v>
      </c>
      <c r="K49" t="s">
        <v>123</v>
      </c>
      <c r="L49">
        <v>2120</v>
      </c>
      <c r="M49">
        <v>2132</v>
      </c>
      <c r="N49">
        <v>500</v>
      </c>
      <c r="O49" t="s">
        <v>89</v>
      </c>
      <c r="P49">
        <v>0.92659381612574598</v>
      </c>
      <c r="Q49">
        <v>0.92933255339333498</v>
      </c>
      <c r="R49">
        <v>7.2414753628403994E-2</v>
      </c>
      <c r="S49">
        <v>7.8191063250464807E-2</v>
      </c>
      <c r="T49">
        <v>1.21585294705463</v>
      </c>
      <c r="U49">
        <v>1.21585294705463</v>
      </c>
      <c r="V49">
        <v>2.5</v>
      </c>
      <c r="W49">
        <v>3.85</v>
      </c>
      <c r="X49">
        <v>254640</v>
      </c>
      <c r="Y49">
        <v>18189</v>
      </c>
      <c r="Z49">
        <v>0.91</v>
      </c>
      <c r="AA49">
        <v>14</v>
      </c>
      <c r="AB49">
        <v>9</v>
      </c>
      <c r="AC49">
        <v>5</v>
      </c>
      <c r="AD49">
        <v>64.290000000000006</v>
      </c>
      <c r="AE49">
        <v>12</v>
      </c>
      <c r="AF49">
        <v>7</v>
      </c>
      <c r="AG49">
        <v>2</v>
      </c>
      <c r="AH49">
        <v>5</v>
      </c>
    </row>
    <row r="50" spans="1:34">
      <c r="A50" s="214">
        <v>207</v>
      </c>
      <c r="B50">
        <v>4061</v>
      </c>
      <c r="C50" t="s">
        <v>184</v>
      </c>
      <c r="D50" t="s">
        <v>90</v>
      </c>
      <c r="E50">
        <v>2950</v>
      </c>
      <c r="F50">
        <v>3015</v>
      </c>
      <c r="G50">
        <v>300</v>
      </c>
      <c r="H50" t="s">
        <v>91</v>
      </c>
      <c r="I50">
        <v>6752</v>
      </c>
      <c r="J50" t="s">
        <v>152</v>
      </c>
      <c r="K50" t="s">
        <v>126</v>
      </c>
      <c r="L50">
        <v>874.4</v>
      </c>
      <c r="M50">
        <v>877.9</v>
      </c>
      <c r="N50">
        <v>1000</v>
      </c>
      <c r="O50" t="s">
        <v>89</v>
      </c>
      <c r="P50">
        <v>0.919222566326655</v>
      </c>
      <c r="Q50">
        <v>0.91332477964269498</v>
      </c>
      <c r="R50">
        <v>0.26957380686938198</v>
      </c>
      <c r="S50">
        <v>7.3314736017161805E-2</v>
      </c>
      <c r="T50">
        <v>0.240718877015795</v>
      </c>
      <c r="U50">
        <v>0.240718877015795</v>
      </c>
      <c r="V50">
        <v>0.57999999999999996</v>
      </c>
      <c r="W50">
        <v>2.94</v>
      </c>
      <c r="X50">
        <v>252708</v>
      </c>
      <c r="Y50">
        <v>14039</v>
      </c>
      <c r="Z50">
        <v>0.78</v>
      </c>
      <c r="AA50">
        <v>18</v>
      </c>
      <c r="AB50">
        <v>12</v>
      </c>
      <c r="AC50">
        <v>6</v>
      </c>
      <c r="AD50">
        <v>66.67</v>
      </c>
      <c r="AE50">
        <v>13</v>
      </c>
      <c r="AF50">
        <v>7</v>
      </c>
      <c r="AG50">
        <v>3</v>
      </c>
      <c r="AH50">
        <v>8</v>
      </c>
    </row>
    <row r="51" spans="1:34">
      <c r="A51" s="214">
        <v>92</v>
      </c>
      <c r="B51">
        <v>4062</v>
      </c>
      <c r="C51" t="s">
        <v>185</v>
      </c>
      <c r="D51" t="s">
        <v>126</v>
      </c>
      <c r="E51">
        <v>2300</v>
      </c>
      <c r="F51">
        <v>2322</v>
      </c>
      <c r="G51">
        <v>400</v>
      </c>
      <c r="H51" t="s">
        <v>89</v>
      </c>
      <c r="I51">
        <v>6857</v>
      </c>
      <c r="J51" t="s">
        <v>186</v>
      </c>
      <c r="K51" t="s">
        <v>126</v>
      </c>
      <c r="L51">
        <v>5080</v>
      </c>
      <c r="M51">
        <v>5010</v>
      </c>
      <c r="N51">
        <v>200</v>
      </c>
      <c r="O51" t="s">
        <v>91</v>
      </c>
      <c r="P51">
        <v>0.90180536701131697</v>
      </c>
      <c r="Q51">
        <v>0.93472463193130095</v>
      </c>
      <c r="R51">
        <v>3.8627599483365802E-3</v>
      </c>
      <c r="S51">
        <v>1.2667978529864799E-2</v>
      </c>
      <c r="T51">
        <v>-0.73966388378039205</v>
      </c>
      <c r="U51">
        <v>0.73966388378039205</v>
      </c>
      <c r="V51">
        <v>-10.210000000000001</v>
      </c>
      <c r="W51">
        <v>7.31</v>
      </c>
      <c r="X51">
        <v>251473</v>
      </c>
      <c r="Y51">
        <v>16765</v>
      </c>
      <c r="Z51">
        <v>0.73</v>
      </c>
      <c r="AA51">
        <v>15</v>
      </c>
      <c r="AB51">
        <v>10</v>
      </c>
      <c r="AC51">
        <v>5</v>
      </c>
      <c r="AD51">
        <v>66.67</v>
      </c>
      <c r="AE51">
        <v>10</v>
      </c>
      <c r="AF51">
        <v>8</v>
      </c>
      <c r="AG51">
        <v>5</v>
      </c>
      <c r="AH51">
        <v>2</v>
      </c>
    </row>
    <row r="52" spans="1:34">
      <c r="A52" s="214">
        <v>238</v>
      </c>
      <c r="B52">
        <v>6506</v>
      </c>
      <c r="C52" t="s">
        <v>187</v>
      </c>
      <c r="D52" t="s">
        <v>126</v>
      </c>
      <c r="E52">
        <v>3810</v>
      </c>
      <c r="F52">
        <v>3810</v>
      </c>
      <c r="G52">
        <v>200</v>
      </c>
      <c r="H52" t="s">
        <v>89</v>
      </c>
      <c r="I52">
        <v>6645</v>
      </c>
      <c r="J52" t="s">
        <v>188</v>
      </c>
      <c r="K52" t="s">
        <v>126</v>
      </c>
      <c r="L52">
        <v>5980</v>
      </c>
      <c r="M52">
        <v>5930</v>
      </c>
      <c r="N52">
        <v>100</v>
      </c>
      <c r="O52" t="s">
        <v>91</v>
      </c>
      <c r="P52">
        <v>0.96612571248253998</v>
      </c>
      <c r="Q52">
        <v>0.90665249466813402</v>
      </c>
      <c r="R52">
        <v>2.4499578463044601E-3</v>
      </c>
      <c r="S52">
        <v>2.6858444484790599E-2</v>
      </c>
      <c r="T52">
        <v>-1.6939477319352201</v>
      </c>
      <c r="U52">
        <v>1.6939477319352201</v>
      </c>
      <c r="V52">
        <v>-3.88</v>
      </c>
      <c r="W52">
        <v>28.5</v>
      </c>
      <c r="X52">
        <v>249448</v>
      </c>
      <c r="Y52">
        <v>19188</v>
      </c>
      <c r="Z52">
        <v>0.86</v>
      </c>
      <c r="AA52">
        <v>13</v>
      </c>
      <c r="AB52">
        <v>8</v>
      </c>
      <c r="AC52">
        <v>5</v>
      </c>
      <c r="AD52">
        <v>61.54</v>
      </c>
      <c r="AE52">
        <v>13</v>
      </c>
      <c r="AF52">
        <v>5</v>
      </c>
      <c r="AG52">
        <v>3</v>
      </c>
      <c r="AH52">
        <v>5</v>
      </c>
    </row>
    <row r="53" spans="1:34">
      <c r="A53" s="214">
        <v>189</v>
      </c>
      <c r="B53">
        <v>7189</v>
      </c>
      <c r="C53" t="s">
        <v>120</v>
      </c>
      <c r="D53" t="s">
        <v>121</v>
      </c>
      <c r="E53">
        <v>751</v>
      </c>
      <c r="F53">
        <v>762</v>
      </c>
      <c r="G53">
        <v>1100</v>
      </c>
      <c r="H53" t="s">
        <v>91</v>
      </c>
      <c r="I53">
        <v>7846</v>
      </c>
      <c r="J53" t="s">
        <v>189</v>
      </c>
      <c r="K53" t="s">
        <v>129</v>
      </c>
      <c r="L53">
        <v>4000</v>
      </c>
      <c r="M53">
        <v>4015</v>
      </c>
      <c r="N53">
        <v>200</v>
      </c>
      <c r="O53" t="s">
        <v>89</v>
      </c>
      <c r="P53">
        <v>0.93780658395827099</v>
      </c>
      <c r="Q53">
        <v>0.91518222790211601</v>
      </c>
      <c r="R53" s="20">
        <v>9.9802902356470602E-2</v>
      </c>
      <c r="S53">
        <v>0.21549197164053699</v>
      </c>
      <c r="T53">
        <v>0.64082374364918504</v>
      </c>
      <c r="U53">
        <v>0.64082374364918504</v>
      </c>
      <c r="V53">
        <v>1.73</v>
      </c>
      <c r="W53">
        <v>4.38</v>
      </c>
      <c r="X53">
        <v>249335</v>
      </c>
      <c r="Y53">
        <v>16622</v>
      </c>
      <c r="Z53">
        <v>1.21</v>
      </c>
      <c r="AA53">
        <v>15</v>
      </c>
      <c r="AB53">
        <v>10</v>
      </c>
      <c r="AC53">
        <v>5</v>
      </c>
      <c r="AD53">
        <v>66.67</v>
      </c>
      <c r="AE53">
        <v>13</v>
      </c>
      <c r="AF53">
        <v>7</v>
      </c>
      <c r="AG53">
        <v>3</v>
      </c>
      <c r="AH53">
        <v>5</v>
      </c>
    </row>
    <row r="54" spans="1:34">
      <c r="A54" s="214">
        <v>59</v>
      </c>
      <c r="B54">
        <v>3405</v>
      </c>
      <c r="C54" t="s">
        <v>190</v>
      </c>
      <c r="D54" t="s">
        <v>90</v>
      </c>
      <c r="E54">
        <v>1301</v>
      </c>
      <c r="F54">
        <v>1312</v>
      </c>
      <c r="G54">
        <v>800</v>
      </c>
      <c r="H54" t="s">
        <v>89</v>
      </c>
      <c r="I54">
        <v>7205</v>
      </c>
      <c r="J54" t="s">
        <v>170</v>
      </c>
      <c r="K54" t="s">
        <v>123</v>
      </c>
      <c r="L54">
        <v>891</v>
      </c>
      <c r="M54">
        <v>896</v>
      </c>
      <c r="N54">
        <v>1200</v>
      </c>
      <c r="O54" t="s">
        <v>91</v>
      </c>
      <c r="P54">
        <v>0.903427898212108</v>
      </c>
      <c r="Q54">
        <v>0.94176355484589602</v>
      </c>
      <c r="R54">
        <v>1.1048205227523301E-2</v>
      </c>
      <c r="S54">
        <v>0.15749569913565301</v>
      </c>
      <c r="T54">
        <v>-0.16570181269873899</v>
      </c>
      <c r="U54">
        <v>0.16570181269873899</v>
      </c>
      <c r="V54">
        <v>-0.35</v>
      </c>
      <c r="W54">
        <v>2.44</v>
      </c>
      <c r="X54">
        <v>242999</v>
      </c>
      <c r="Y54">
        <v>20250</v>
      </c>
      <c r="Z54">
        <v>1</v>
      </c>
      <c r="AA54">
        <v>12</v>
      </c>
      <c r="AB54">
        <v>10</v>
      </c>
      <c r="AC54">
        <v>2</v>
      </c>
      <c r="AD54">
        <v>83.33</v>
      </c>
      <c r="AE54">
        <v>13</v>
      </c>
      <c r="AF54">
        <v>5</v>
      </c>
      <c r="AG54">
        <v>2</v>
      </c>
      <c r="AH54">
        <v>5</v>
      </c>
    </row>
    <row r="55" spans="1:34">
      <c r="A55" s="214">
        <v>222</v>
      </c>
      <c r="B55">
        <v>6134</v>
      </c>
      <c r="C55" t="s">
        <v>191</v>
      </c>
      <c r="D55" t="s">
        <v>144</v>
      </c>
      <c r="E55">
        <v>1653</v>
      </c>
      <c r="F55">
        <v>1674</v>
      </c>
      <c r="G55">
        <v>600</v>
      </c>
      <c r="H55" t="s">
        <v>91</v>
      </c>
      <c r="I55">
        <v>6762</v>
      </c>
      <c r="J55" t="s">
        <v>192</v>
      </c>
      <c r="K55" t="s">
        <v>126</v>
      </c>
      <c r="L55">
        <v>9990</v>
      </c>
      <c r="M55">
        <v>10060</v>
      </c>
      <c r="N55">
        <v>100</v>
      </c>
      <c r="O55" t="s">
        <v>89</v>
      </c>
      <c r="P55">
        <v>0.92056632227493496</v>
      </c>
      <c r="Q55">
        <v>0.90973792300246303</v>
      </c>
      <c r="R55">
        <v>7.7554774220767606E-2</v>
      </c>
      <c r="S55">
        <v>6.5403118451740098E-3</v>
      </c>
      <c r="T55">
        <v>0.33394800286197002</v>
      </c>
      <c r="U55">
        <v>0.33394800286197002</v>
      </c>
      <c r="V55">
        <v>0.97</v>
      </c>
      <c r="W55">
        <v>0.16</v>
      </c>
      <c r="X55">
        <v>237363</v>
      </c>
      <c r="Y55">
        <v>18259</v>
      </c>
      <c r="Z55">
        <v>1.02</v>
      </c>
      <c r="AA55">
        <v>13</v>
      </c>
      <c r="AB55">
        <v>9</v>
      </c>
      <c r="AC55">
        <v>4</v>
      </c>
      <c r="AD55">
        <v>69.23</v>
      </c>
      <c r="AE55">
        <v>13</v>
      </c>
      <c r="AF55">
        <v>5</v>
      </c>
      <c r="AG55">
        <v>1</v>
      </c>
      <c r="AH55">
        <v>7</v>
      </c>
    </row>
    <row r="56" spans="1:34">
      <c r="A56" s="214">
        <v>270</v>
      </c>
      <c r="B56">
        <v>8341</v>
      </c>
      <c r="C56" t="s">
        <v>193</v>
      </c>
      <c r="D56" t="s">
        <v>121</v>
      </c>
      <c r="E56">
        <v>1590</v>
      </c>
      <c r="F56">
        <v>1601</v>
      </c>
      <c r="G56">
        <v>600</v>
      </c>
      <c r="H56" t="s">
        <v>91</v>
      </c>
      <c r="I56">
        <v>9505</v>
      </c>
      <c r="J56" t="s">
        <v>194</v>
      </c>
      <c r="K56" t="s">
        <v>195</v>
      </c>
      <c r="L56">
        <v>727</v>
      </c>
      <c r="M56">
        <v>731</v>
      </c>
      <c r="N56">
        <v>1300</v>
      </c>
      <c r="O56" t="s">
        <v>89</v>
      </c>
      <c r="P56">
        <v>0.91685600361195696</v>
      </c>
      <c r="Q56">
        <v>0.90263460298654496</v>
      </c>
      <c r="R56">
        <v>8.4765844386147302E-2</v>
      </c>
      <c r="S56">
        <v>0.36407008334689001</v>
      </c>
      <c r="T56">
        <v>0.99084656867689103</v>
      </c>
      <c r="U56">
        <v>0.99084656867689103</v>
      </c>
      <c r="V56">
        <v>3.57</v>
      </c>
      <c r="W56">
        <v>1.07</v>
      </c>
      <c r="X56">
        <v>232235</v>
      </c>
      <c r="Y56">
        <v>12223</v>
      </c>
      <c r="Z56">
        <v>0.67</v>
      </c>
      <c r="AA56">
        <v>19</v>
      </c>
      <c r="AB56">
        <v>11</v>
      </c>
      <c r="AC56">
        <v>8</v>
      </c>
      <c r="AD56">
        <v>57.89</v>
      </c>
      <c r="AE56">
        <v>13</v>
      </c>
      <c r="AF56">
        <v>8</v>
      </c>
      <c r="AG56">
        <v>2</v>
      </c>
      <c r="AH56">
        <v>9</v>
      </c>
    </row>
    <row r="57" spans="1:34">
      <c r="A57" s="214">
        <v>5</v>
      </c>
      <c r="B57">
        <v>3116</v>
      </c>
      <c r="C57" t="s">
        <v>196</v>
      </c>
      <c r="D57" t="s">
        <v>123</v>
      </c>
      <c r="E57">
        <v>1477</v>
      </c>
      <c r="F57">
        <v>1493</v>
      </c>
      <c r="G57">
        <v>700</v>
      </c>
      <c r="H57" t="s">
        <v>89</v>
      </c>
      <c r="I57">
        <v>7251</v>
      </c>
      <c r="J57" t="s">
        <v>197</v>
      </c>
      <c r="K57" t="s">
        <v>123</v>
      </c>
      <c r="L57">
        <v>1643</v>
      </c>
      <c r="M57">
        <v>1651</v>
      </c>
      <c r="N57">
        <v>600</v>
      </c>
      <c r="O57" t="s">
        <v>91</v>
      </c>
      <c r="P57">
        <v>0.90525888528517795</v>
      </c>
      <c r="Q57">
        <v>0.968773474735799</v>
      </c>
      <c r="R57">
        <v>6.3867488001129305E-2</v>
      </c>
      <c r="S57">
        <v>2.7665364376474402E-2</v>
      </c>
      <c r="T57">
        <v>-1.3456034767119001</v>
      </c>
      <c r="U57">
        <v>1.3456034767119001</v>
      </c>
      <c r="V57">
        <v>-6.11</v>
      </c>
      <c r="W57">
        <v>5.5</v>
      </c>
      <c r="X57">
        <v>231706</v>
      </c>
      <c r="Y57">
        <v>13630</v>
      </c>
      <c r="Z57">
        <v>0.71</v>
      </c>
      <c r="AA57">
        <v>17</v>
      </c>
      <c r="AB57">
        <v>10</v>
      </c>
      <c r="AC57">
        <v>7</v>
      </c>
      <c r="AD57">
        <v>58.82</v>
      </c>
      <c r="AE57">
        <v>13</v>
      </c>
      <c r="AF57">
        <v>7</v>
      </c>
      <c r="AG57">
        <v>3</v>
      </c>
      <c r="AH57">
        <v>7</v>
      </c>
    </row>
    <row r="58" spans="1:34">
      <c r="A58" s="214">
        <v>213</v>
      </c>
      <c r="B58">
        <v>2531</v>
      </c>
      <c r="C58" t="s">
        <v>198</v>
      </c>
      <c r="D58" t="s">
        <v>140</v>
      </c>
      <c r="E58">
        <v>1080</v>
      </c>
      <c r="F58">
        <v>1068</v>
      </c>
      <c r="G58">
        <v>1000</v>
      </c>
      <c r="H58" t="s">
        <v>89</v>
      </c>
      <c r="I58">
        <v>5020</v>
      </c>
      <c r="J58" t="s">
        <v>199</v>
      </c>
      <c r="K58" t="s">
        <v>200</v>
      </c>
      <c r="L58">
        <v>493.5</v>
      </c>
      <c r="M58">
        <v>494.8</v>
      </c>
      <c r="N58">
        <v>2200</v>
      </c>
      <c r="O58" t="s">
        <v>91</v>
      </c>
      <c r="P58">
        <v>0.91774144777241395</v>
      </c>
      <c r="Q58">
        <v>0.91172761425817594</v>
      </c>
      <c r="R58">
        <v>3.0451462344651001E-2</v>
      </c>
      <c r="S58">
        <v>3.3031976147169802E-2</v>
      </c>
      <c r="T58">
        <v>-0.68910630253619098</v>
      </c>
      <c r="U58">
        <v>0.68910630253619098</v>
      </c>
      <c r="V58">
        <v>-2.34</v>
      </c>
      <c r="W58">
        <v>1.93</v>
      </c>
      <c r="X58">
        <v>228521</v>
      </c>
      <c r="Y58">
        <v>15235</v>
      </c>
      <c r="Z58">
        <v>0.78</v>
      </c>
      <c r="AA58">
        <v>15</v>
      </c>
      <c r="AB58">
        <v>10</v>
      </c>
      <c r="AC58">
        <v>5</v>
      </c>
      <c r="AD58">
        <v>66.67</v>
      </c>
      <c r="AE58">
        <v>10</v>
      </c>
      <c r="AF58">
        <v>9</v>
      </c>
      <c r="AG58">
        <v>4</v>
      </c>
      <c r="AH58">
        <v>2</v>
      </c>
    </row>
    <row r="59" spans="1:34">
      <c r="A59" s="214">
        <v>99</v>
      </c>
      <c r="B59">
        <v>9072</v>
      </c>
      <c r="C59" t="s">
        <v>201</v>
      </c>
      <c r="D59" t="s">
        <v>178</v>
      </c>
      <c r="E59">
        <v>2500</v>
      </c>
      <c r="F59">
        <v>2504</v>
      </c>
      <c r="G59">
        <v>300</v>
      </c>
      <c r="H59" t="s">
        <v>89</v>
      </c>
      <c r="I59">
        <v>9810</v>
      </c>
      <c r="J59" t="s">
        <v>202</v>
      </c>
      <c r="K59" t="s">
        <v>147</v>
      </c>
      <c r="L59">
        <v>4375</v>
      </c>
      <c r="M59">
        <v>4365</v>
      </c>
      <c r="N59">
        <v>200</v>
      </c>
      <c r="O59" t="s">
        <v>91</v>
      </c>
      <c r="P59">
        <v>0.92011751748645798</v>
      </c>
      <c r="Q59">
        <v>0.93364605606796902</v>
      </c>
      <c r="R59">
        <v>7.5093649955768997E-3</v>
      </c>
      <c r="S59">
        <v>2.2340129123438399E-3</v>
      </c>
      <c r="T59">
        <v>-0.51253819538439904</v>
      </c>
      <c r="U59">
        <v>0.51253819538439904</v>
      </c>
      <c r="V59">
        <v>-0.82</v>
      </c>
      <c r="W59">
        <v>13.95</v>
      </c>
      <c r="X59">
        <v>225014</v>
      </c>
      <c r="Y59">
        <v>15001</v>
      </c>
      <c r="Z59">
        <v>0.93</v>
      </c>
      <c r="AA59">
        <v>15</v>
      </c>
      <c r="AB59">
        <v>10</v>
      </c>
      <c r="AC59">
        <v>5</v>
      </c>
      <c r="AD59">
        <v>66.67</v>
      </c>
      <c r="AE59">
        <v>14</v>
      </c>
      <c r="AF59">
        <v>7</v>
      </c>
      <c r="AG59">
        <v>1</v>
      </c>
      <c r="AH59">
        <v>7</v>
      </c>
    </row>
    <row r="60" spans="1:34">
      <c r="A60" s="214">
        <v>43</v>
      </c>
      <c r="B60">
        <v>6770</v>
      </c>
      <c r="C60" t="s">
        <v>50</v>
      </c>
      <c r="D60" t="s">
        <v>126</v>
      </c>
      <c r="E60">
        <v>2097</v>
      </c>
      <c r="F60">
        <v>2110</v>
      </c>
      <c r="G60">
        <v>400</v>
      </c>
      <c r="H60" t="s">
        <v>91</v>
      </c>
      <c r="I60">
        <v>6923</v>
      </c>
      <c r="J60" t="s">
        <v>164</v>
      </c>
      <c r="K60" t="s">
        <v>126</v>
      </c>
      <c r="L60">
        <v>2871</v>
      </c>
      <c r="M60">
        <v>2908</v>
      </c>
      <c r="N60">
        <v>300</v>
      </c>
      <c r="O60" t="s">
        <v>89</v>
      </c>
      <c r="P60">
        <v>0.93545314884523501</v>
      </c>
      <c r="Q60">
        <v>0.94860424508188501</v>
      </c>
      <c r="R60">
        <v>0.173013202053896</v>
      </c>
      <c r="S60">
        <v>5.4184481994961498E-3</v>
      </c>
      <c r="T60">
        <v>1.1001506957003999</v>
      </c>
      <c r="U60">
        <v>1.1001506957003999</v>
      </c>
      <c r="V60">
        <v>2.85</v>
      </c>
      <c r="W60">
        <v>3.26</v>
      </c>
      <c r="X60">
        <v>221055</v>
      </c>
      <c r="Y60">
        <v>17004</v>
      </c>
      <c r="Z60">
        <v>0.92</v>
      </c>
      <c r="AA60">
        <v>13</v>
      </c>
      <c r="AB60">
        <v>9</v>
      </c>
      <c r="AC60">
        <v>4</v>
      </c>
      <c r="AD60">
        <v>69.23</v>
      </c>
      <c r="AE60">
        <v>12</v>
      </c>
      <c r="AF60">
        <v>6</v>
      </c>
      <c r="AG60">
        <v>2</v>
      </c>
      <c r="AH60">
        <v>5</v>
      </c>
    </row>
    <row r="61" spans="1:34">
      <c r="A61" s="214">
        <v>236</v>
      </c>
      <c r="B61">
        <v>5991</v>
      </c>
      <c r="C61" t="s">
        <v>167</v>
      </c>
      <c r="D61" t="s">
        <v>168</v>
      </c>
      <c r="E61">
        <v>822</v>
      </c>
      <c r="F61">
        <v>825</v>
      </c>
      <c r="G61">
        <v>1300</v>
      </c>
      <c r="H61" t="s">
        <v>91</v>
      </c>
      <c r="I61">
        <v>7211</v>
      </c>
      <c r="J61" t="s">
        <v>56</v>
      </c>
      <c r="K61" t="s">
        <v>123</v>
      </c>
      <c r="L61">
        <v>468</v>
      </c>
      <c r="M61">
        <v>473</v>
      </c>
      <c r="N61">
        <v>2300</v>
      </c>
      <c r="O61" t="s">
        <v>89</v>
      </c>
      <c r="P61">
        <v>0.92011487598289199</v>
      </c>
      <c r="Q61">
        <v>0.90702184213641401</v>
      </c>
      <c r="R61">
        <v>0.33167991752077502</v>
      </c>
      <c r="S61">
        <v>0.33783731313566601</v>
      </c>
      <c r="T61">
        <v>0.91580995455162395</v>
      </c>
      <c r="U61">
        <v>0.91580995455162395</v>
      </c>
      <c r="V61">
        <v>2.7</v>
      </c>
      <c r="W61">
        <v>1.44</v>
      </c>
      <c r="X61">
        <v>216897</v>
      </c>
      <c r="Y61">
        <v>13556</v>
      </c>
      <c r="Z61">
        <v>0.61</v>
      </c>
      <c r="AA61">
        <v>16</v>
      </c>
      <c r="AB61">
        <v>9</v>
      </c>
      <c r="AC61">
        <v>7</v>
      </c>
      <c r="AD61">
        <v>56.25</v>
      </c>
      <c r="AE61">
        <v>11</v>
      </c>
      <c r="AF61">
        <v>8</v>
      </c>
      <c r="AG61">
        <v>4</v>
      </c>
      <c r="AH61">
        <v>4</v>
      </c>
    </row>
    <row r="62" spans="1:34">
      <c r="A62" s="214">
        <v>199</v>
      </c>
      <c r="B62">
        <v>5110</v>
      </c>
      <c r="C62" t="s">
        <v>203</v>
      </c>
      <c r="D62" t="s">
        <v>204</v>
      </c>
      <c r="E62">
        <v>1299</v>
      </c>
      <c r="F62">
        <v>1310</v>
      </c>
      <c r="G62">
        <v>800</v>
      </c>
      <c r="H62" t="s">
        <v>91</v>
      </c>
      <c r="I62">
        <v>9513</v>
      </c>
      <c r="J62" t="s">
        <v>205</v>
      </c>
      <c r="K62" t="s">
        <v>195</v>
      </c>
      <c r="L62">
        <v>2552</v>
      </c>
      <c r="M62">
        <v>2565</v>
      </c>
      <c r="N62">
        <v>400</v>
      </c>
      <c r="O62" t="s">
        <v>89</v>
      </c>
      <c r="P62">
        <v>0.90385525294098301</v>
      </c>
      <c r="Q62">
        <v>0.91407843873538297</v>
      </c>
      <c r="R62">
        <v>2.2428772872521499E-2</v>
      </c>
      <c r="S62">
        <v>3.2226392067350399E-3</v>
      </c>
      <c r="T62">
        <v>1.09826381654816</v>
      </c>
      <c r="U62">
        <v>1.09826381654816</v>
      </c>
      <c r="V62">
        <v>2.23</v>
      </c>
      <c r="W62">
        <v>2.14</v>
      </c>
      <c r="X62">
        <v>216123</v>
      </c>
      <c r="Y62">
        <v>16625</v>
      </c>
      <c r="Z62">
        <v>0.87</v>
      </c>
      <c r="AA62">
        <v>13</v>
      </c>
      <c r="AB62">
        <v>9</v>
      </c>
      <c r="AC62">
        <v>4</v>
      </c>
      <c r="AD62">
        <v>69.23</v>
      </c>
      <c r="AE62">
        <v>13</v>
      </c>
      <c r="AF62">
        <v>6</v>
      </c>
      <c r="AG62">
        <v>1</v>
      </c>
      <c r="AH62">
        <v>6</v>
      </c>
    </row>
    <row r="63" spans="1:34">
      <c r="A63" s="214">
        <v>142</v>
      </c>
      <c r="B63">
        <v>5201</v>
      </c>
      <c r="C63" t="s">
        <v>206</v>
      </c>
      <c r="D63" t="s">
        <v>154</v>
      </c>
      <c r="E63">
        <v>3370</v>
      </c>
      <c r="F63">
        <v>3405</v>
      </c>
      <c r="G63">
        <v>300</v>
      </c>
      <c r="H63" t="s">
        <v>91</v>
      </c>
      <c r="I63">
        <v>5214</v>
      </c>
      <c r="J63" t="s">
        <v>207</v>
      </c>
      <c r="K63" t="s">
        <v>154</v>
      </c>
      <c r="L63">
        <v>2380</v>
      </c>
      <c r="M63">
        <v>2403</v>
      </c>
      <c r="N63">
        <v>400</v>
      </c>
      <c r="O63" t="s">
        <v>89</v>
      </c>
      <c r="P63">
        <v>0.97462968491017399</v>
      </c>
      <c r="Q63">
        <v>0.923918473048846</v>
      </c>
      <c r="R63">
        <v>4.3676748699829201E-3</v>
      </c>
      <c r="S63">
        <v>4.2097277627909803E-2</v>
      </c>
      <c r="T63">
        <v>2.0390293624726299</v>
      </c>
      <c r="U63">
        <v>2.0390293624726299</v>
      </c>
      <c r="V63">
        <v>3.26</v>
      </c>
      <c r="W63">
        <v>5.9</v>
      </c>
      <c r="X63">
        <v>215362</v>
      </c>
      <c r="Y63">
        <v>26920</v>
      </c>
      <c r="Z63">
        <v>1.34</v>
      </c>
      <c r="AA63">
        <v>8</v>
      </c>
      <c r="AB63">
        <v>4</v>
      </c>
      <c r="AC63">
        <v>4</v>
      </c>
      <c r="AD63">
        <v>50</v>
      </c>
      <c r="AE63">
        <v>15</v>
      </c>
      <c r="AF63">
        <v>4</v>
      </c>
      <c r="AG63">
        <v>1</v>
      </c>
      <c r="AH63">
        <v>3</v>
      </c>
    </row>
    <row r="64" spans="1:34">
      <c r="A64" s="214">
        <v>10</v>
      </c>
      <c r="B64">
        <v>7013</v>
      </c>
      <c r="C64" t="s">
        <v>143</v>
      </c>
      <c r="D64" t="s">
        <v>144</v>
      </c>
      <c r="E64">
        <v>2400</v>
      </c>
      <c r="F64">
        <v>2431</v>
      </c>
      <c r="G64">
        <v>300</v>
      </c>
      <c r="H64" t="s">
        <v>91</v>
      </c>
      <c r="I64">
        <v>7846</v>
      </c>
      <c r="J64" t="s">
        <v>189</v>
      </c>
      <c r="K64" t="s">
        <v>129</v>
      </c>
      <c r="L64">
        <v>4000</v>
      </c>
      <c r="M64">
        <v>4015</v>
      </c>
      <c r="N64">
        <v>200</v>
      </c>
      <c r="O64" t="s">
        <v>89</v>
      </c>
      <c r="P64">
        <v>0.911713872865348</v>
      </c>
      <c r="Q64">
        <v>0.96521391839666404</v>
      </c>
      <c r="R64">
        <v>1.86254664630685E-2</v>
      </c>
      <c r="S64" s="20">
        <v>6.6130225377706894E-2</v>
      </c>
      <c r="T64">
        <v>0.22556163369181201</v>
      </c>
      <c r="U64">
        <v>0.22556163369181201</v>
      </c>
      <c r="V64">
        <v>1.02</v>
      </c>
      <c r="W64">
        <v>9.18</v>
      </c>
      <c r="X64">
        <v>212602</v>
      </c>
      <c r="Y64">
        <v>23622</v>
      </c>
      <c r="Z64">
        <v>1.45</v>
      </c>
      <c r="AA64">
        <v>9</v>
      </c>
      <c r="AB64">
        <v>7</v>
      </c>
      <c r="AC64">
        <v>2</v>
      </c>
      <c r="AD64">
        <v>77.78</v>
      </c>
      <c r="AE64">
        <v>9</v>
      </c>
      <c r="AF64">
        <v>6</v>
      </c>
      <c r="AG64">
        <v>1</v>
      </c>
      <c r="AH64">
        <v>2</v>
      </c>
    </row>
    <row r="65" spans="1:34">
      <c r="A65" s="214">
        <v>173</v>
      </c>
      <c r="B65">
        <v>5991</v>
      </c>
      <c r="C65" t="s">
        <v>167</v>
      </c>
      <c r="D65" t="s">
        <v>168</v>
      </c>
      <c r="E65">
        <v>822</v>
      </c>
      <c r="F65">
        <v>825</v>
      </c>
      <c r="G65">
        <v>1300</v>
      </c>
      <c r="H65" t="s">
        <v>91</v>
      </c>
      <c r="I65">
        <v>6371</v>
      </c>
      <c r="J65" t="s">
        <v>156</v>
      </c>
      <c r="K65" t="s">
        <v>144</v>
      </c>
      <c r="L65">
        <v>3445</v>
      </c>
      <c r="M65">
        <v>3460</v>
      </c>
      <c r="N65">
        <v>300</v>
      </c>
      <c r="O65" t="s">
        <v>89</v>
      </c>
      <c r="P65">
        <v>0.91660053483519899</v>
      </c>
      <c r="Q65">
        <v>0.91821744370265701</v>
      </c>
      <c r="R65">
        <v>0.14315140494669801</v>
      </c>
      <c r="S65">
        <v>0.223177667590542</v>
      </c>
      <c r="T65">
        <v>0.216210306236818</v>
      </c>
      <c r="U65">
        <v>0.216210306236818</v>
      </c>
      <c r="V65">
        <v>0.56999999999999995</v>
      </c>
      <c r="W65">
        <v>3.32</v>
      </c>
      <c r="X65">
        <v>206398</v>
      </c>
      <c r="Y65">
        <v>10863</v>
      </c>
      <c r="Z65">
        <v>0.48</v>
      </c>
      <c r="AA65">
        <v>19</v>
      </c>
      <c r="AB65">
        <v>10</v>
      </c>
      <c r="AC65">
        <v>9</v>
      </c>
      <c r="AD65">
        <v>52.63</v>
      </c>
      <c r="AE65">
        <v>13</v>
      </c>
      <c r="AF65">
        <v>7</v>
      </c>
      <c r="AG65">
        <v>2</v>
      </c>
      <c r="AH65">
        <v>10</v>
      </c>
    </row>
    <row r="66" spans="1:34">
      <c r="A66" s="214">
        <v>164</v>
      </c>
      <c r="B66">
        <v>8273</v>
      </c>
      <c r="C66" t="s">
        <v>145</v>
      </c>
      <c r="D66" t="s">
        <v>138</v>
      </c>
      <c r="E66">
        <v>4165</v>
      </c>
      <c r="F66">
        <v>4160</v>
      </c>
      <c r="G66">
        <v>200</v>
      </c>
      <c r="H66" t="s">
        <v>89</v>
      </c>
      <c r="I66">
        <v>9412</v>
      </c>
      <c r="J66" t="s">
        <v>116</v>
      </c>
      <c r="K66" t="s">
        <v>117</v>
      </c>
      <c r="L66">
        <v>447</v>
      </c>
      <c r="M66">
        <v>442</v>
      </c>
      <c r="N66">
        <v>1900</v>
      </c>
      <c r="O66" t="s">
        <v>91</v>
      </c>
      <c r="P66">
        <v>0.90186465879278699</v>
      </c>
      <c r="Q66">
        <v>0.92040036069564701</v>
      </c>
      <c r="R66">
        <v>4.3362751504104798E-3</v>
      </c>
      <c r="S66">
        <v>5.3090074140346E-2</v>
      </c>
      <c r="T66">
        <v>-0.99167466694676598</v>
      </c>
      <c r="U66">
        <v>0.99167466694676598</v>
      </c>
      <c r="V66">
        <v>-3.02</v>
      </c>
      <c r="W66">
        <v>0.94</v>
      </c>
      <c r="X66">
        <v>205440</v>
      </c>
      <c r="Y66">
        <v>10813</v>
      </c>
      <c r="Z66">
        <v>0.45</v>
      </c>
      <c r="AA66">
        <v>19</v>
      </c>
      <c r="AB66">
        <v>11</v>
      </c>
      <c r="AC66">
        <v>8</v>
      </c>
      <c r="AD66">
        <v>57.89</v>
      </c>
      <c r="AE66">
        <v>13</v>
      </c>
      <c r="AF66">
        <v>8</v>
      </c>
      <c r="AG66">
        <v>4</v>
      </c>
      <c r="AH66">
        <v>7</v>
      </c>
    </row>
    <row r="67" spans="1:34">
      <c r="A67" s="214">
        <v>91</v>
      </c>
      <c r="B67">
        <v>4118</v>
      </c>
      <c r="C67" t="s">
        <v>93</v>
      </c>
      <c r="D67" t="s">
        <v>90</v>
      </c>
      <c r="E67">
        <v>3440</v>
      </c>
      <c r="F67">
        <v>3465</v>
      </c>
      <c r="G67">
        <v>300</v>
      </c>
      <c r="H67" t="s">
        <v>91</v>
      </c>
      <c r="I67">
        <v>5406</v>
      </c>
      <c r="J67" t="s">
        <v>159</v>
      </c>
      <c r="K67" t="s">
        <v>134</v>
      </c>
      <c r="L67">
        <v>565</v>
      </c>
      <c r="M67">
        <v>570</v>
      </c>
      <c r="N67">
        <v>1800</v>
      </c>
      <c r="O67" t="s">
        <v>89</v>
      </c>
      <c r="P67">
        <v>0.92749434475842596</v>
      </c>
      <c r="Q67">
        <v>0.93494119349224003</v>
      </c>
      <c r="R67">
        <v>9.46985831476405E-2</v>
      </c>
      <c r="S67">
        <v>0.110380523299611</v>
      </c>
      <c r="T67">
        <v>1.0992436119703499</v>
      </c>
      <c r="U67">
        <v>1.0992436119703499</v>
      </c>
      <c r="V67">
        <v>3.74</v>
      </c>
      <c r="W67">
        <v>1.3</v>
      </c>
      <c r="X67">
        <v>204492</v>
      </c>
      <c r="Y67">
        <v>12029</v>
      </c>
      <c r="Z67">
        <v>0.56999999999999995</v>
      </c>
      <c r="AA67">
        <v>17</v>
      </c>
      <c r="AB67">
        <v>10</v>
      </c>
      <c r="AC67">
        <v>7</v>
      </c>
      <c r="AD67">
        <v>58.82</v>
      </c>
      <c r="AE67">
        <v>11</v>
      </c>
      <c r="AF67">
        <v>8</v>
      </c>
      <c r="AG67">
        <v>4</v>
      </c>
      <c r="AH67">
        <v>5</v>
      </c>
    </row>
    <row r="68" spans="1:34">
      <c r="A68" s="214">
        <v>132</v>
      </c>
      <c r="B68">
        <v>1963</v>
      </c>
      <c r="C68" t="s">
        <v>208</v>
      </c>
      <c r="D68" t="s">
        <v>115</v>
      </c>
      <c r="E68">
        <v>1411</v>
      </c>
      <c r="F68">
        <v>1438</v>
      </c>
      <c r="G68">
        <v>700</v>
      </c>
      <c r="H68" t="s">
        <v>91</v>
      </c>
      <c r="I68">
        <v>5020</v>
      </c>
      <c r="J68" t="s">
        <v>199</v>
      </c>
      <c r="K68" t="s">
        <v>200</v>
      </c>
      <c r="L68">
        <v>493.5</v>
      </c>
      <c r="M68">
        <v>494.8</v>
      </c>
      <c r="N68">
        <v>2000</v>
      </c>
      <c r="O68" t="s">
        <v>89</v>
      </c>
      <c r="P68">
        <v>0.90378447399141304</v>
      </c>
      <c r="Q68">
        <v>0.925985638135708</v>
      </c>
      <c r="R68">
        <v>0.254962602827215</v>
      </c>
      <c r="S68">
        <v>0.16756542804907301</v>
      </c>
      <c r="T68">
        <v>1.23126703126891</v>
      </c>
      <c r="U68">
        <v>1.23126703126891</v>
      </c>
      <c r="V68">
        <v>3.27</v>
      </c>
      <c r="W68">
        <v>1.69</v>
      </c>
      <c r="X68">
        <v>200640</v>
      </c>
      <c r="Y68">
        <v>10560</v>
      </c>
      <c r="Z68">
        <v>0.5</v>
      </c>
      <c r="AA68">
        <v>19</v>
      </c>
      <c r="AB68">
        <v>10</v>
      </c>
      <c r="AC68">
        <v>9</v>
      </c>
      <c r="AD68">
        <v>52.63</v>
      </c>
      <c r="AE68">
        <v>12</v>
      </c>
      <c r="AF68">
        <v>8</v>
      </c>
      <c r="AG68">
        <v>5</v>
      </c>
      <c r="AH68">
        <v>6</v>
      </c>
    </row>
    <row r="69" spans="1:34">
      <c r="A69" s="214">
        <v>153</v>
      </c>
      <c r="B69">
        <v>3116</v>
      </c>
      <c r="C69" t="s">
        <v>196</v>
      </c>
      <c r="D69" t="s">
        <v>123</v>
      </c>
      <c r="E69">
        <v>1477</v>
      </c>
      <c r="F69">
        <v>1493</v>
      </c>
      <c r="G69">
        <v>700</v>
      </c>
      <c r="H69" t="s">
        <v>89</v>
      </c>
      <c r="I69">
        <v>8601</v>
      </c>
      <c r="J69" t="s">
        <v>53</v>
      </c>
      <c r="K69" t="s">
        <v>171</v>
      </c>
      <c r="L69">
        <v>491.7</v>
      </c>
      <c r="M69">
        <v>494.2</v>
      </c>
      <c r="N69">
        <v>2100</v>
      </c>
      <c r="O69" t="s">
        <v>91</v>
      </c>
      <c r="P69">
        <v>0.92465268892278796</v>
      </c>
      <c r="Q69">
        <v>0.92232827153475905</v>
      </c>
      <c r="R69">
        <v>7.21489569530109E-3</v>
      </c>
      <c r="S69">
        <v>0.21653773547813801</v>
      </c>
      <c r="T69">
        <v>-0.53597818826570998</v>
      </c>
      <c r="U69">
        <v>0.53597818826570998</v>
      </c>
      <c r="V69">
        <v>-1.19</v>
      </c>
      <c r="W69">
        <v>0.7</v>
      </c>
      <c r="X69">
        <v>200214</v>
      </c>
      <c r="Y69">
        <v>15401</v>
      </c>
      <c r="Z69">
        <v>0.71</v>
      </c>
      <c r="AA69">
        <v>13</v>
      </c>
      <c r="AB69">
        <v>9</v>
      </c>
      <c r="AC69">
        <v>4</v>
      </c>
      <c r="AD69">
        <v>69.23</v>
      </c>
      <c r="AE69">
        <v>13</v>
      </c>
      <c r="AF69">
        <v>5</v>
      </c>
      <c r="AG69">
        <v>3</v>
      </c>
      <c r="AH69">
        <v>5</v>
      </c>
    </row>
    <row r="70" spans="1:34">
      <c r="A70" s="214">
        <v>150</v>
      </c>
      <c r="B70">
        <v>7211</v>
      </c>
      <c r="C70" t="s">
        <v>56</v>
      </c>
      <c r="D70" t="s">
        <v>123</v>
      </c>
      <c r="E70">
        <v>468</v>
      </c>
      <c r="F70">
        <v>473</v>
      </c>
      <c r="G70">
        <v>2200</v>
      </c>
      <c r="H70" t="s">
        <v>89</v>
      </c>
      <c r="I70">
        <v>7259</v>
      </c>
      <c r="J70" t="s">
        <v>55</v>
      </c>
      <c r="K70" t="s">
        <v>123</v>
      </c>
      <c r="L70">
        <v>3445</v>
      </c>
      <c r="M70">
        <v>3510</v>
      </c>
      <c r="N70">
        <v>300</v>
      </c>
      <c r="O70" t="s">
        <v>91</v>
      </c>
      <c r="P70">
        <v>0.96533866501850796</v>
      </c>
      <c r="Q70">
        <v>0.92284920843213702</v>
      </c>
      <c r="R70">
        <v>8.5466934534927499E-2</v>
      </c>
      <c r="S70">
        <v>0.218842909435948</v>
      </c>
      <c r="T70">
        <v>-1.8167450509155401</v>
      </c>
      <c r="U70">
        <v>1.8167450509155401</v>
      </c>
      <c r="V70">
        <v>-3.37</v>
      </c>
      <c r="W70">
        <v>1.18</v>
      </c>
      <c r="X70">
        <v>198687</v>
      </c>
      <c r="Y70">
        <v>11038</v>
      </c>
      <c r="Z70">
        <v>0.56000000000000005</v>
      </c>
      <c r="AA70">
        <v>18</v>
      </c>
      <c r="AB70">
        <v>10</v>
      </c>
      <c r="AC70">
        <v>8</v>
      </c>
      <c r="AD70">
        <v>55.56</v>
      </c>
      <c r="AE70">
        <v>12</v>
      </c>
      <c r="AF70">
        <v>7</v>
      </c>
      <c r="AG70">
        <v>5</v>
      </c>
      <c r="AH70">
        <v>6</v>
      </c>
    </row>
    <row r="71" spans="1:34">
      <c r="A71" s="214">
        <v>191</v>
      </c>
      <c r="B71">
        <v>7278</v>
      </c>
      <c r="C71" t="s">
        <v>122</v>
      </c>
      <c r="D71" t="s">
        <v>123</v>
      </c>
      <c r="E71">
        <v>2120</v>
      </c>
      <c r="F71">
        <v>2132</v>
      </c>
      <c r="G71">
        <v>500</v>
      </c>
      <c r="H71" t="s">
        <v>89</v>
      </c>
      <c r="I71">
        <v>9505</v>
      </c>
      <c r="J71" t="s">
        <v>194</v>
      </c>
      <c r="K71" t="s">
        <v>195</v>
      </c>
      <c r="L71">
        <v>727</v>
      </c>
      <c r="M71">
        <v>731</v>
      </c>
      <c r="N71">
        <v>1500</v>
      </c>
      <c r="O71" t="s">
        <v>91</v>
      </c>
      <c r="P71">
        <v>0.90302490497004295</v>
      </c>
      <c r="Q71">
        <v>0.91500070728040495</v>
      </c>
      <c r="R71">
        <v>0.388791421087754</v>
      </c>
      <c r="S71">
        <v>1.81234343422246E-2</v>
      </c>
      <c r="T71">
        <v>-0.36300087609877801</v>
      </c>
      <c r="U71">
        <v>0.36300087609877801</v>
      </c>
      <c r="V71">
        <v>-1.06</v>
      </c>
      <c r="W71">
        <v>2.86</v>
      </c>
      <c r="X71">
        <v>197759</v>
      </c>
      <c r="Y71">
        <v>8989</v>
      </c>
      <c r="Z71">
        <v>0.52</v>
      </c>
      <c r="AA71">
        <v>22</v>
      </c>
      <c r="AB71">
        <v>14</v>
      </c>
      <c r="AC71">
        <v>8</v>
      </c>
      <c r="AD71">
        <v>63.64</v>
      </c>
      <c r="AE71">
        <v>12</v>
      </c>
      <c r="AF71">
        <v>8</v>
      </c>
      <c r="AG71">
        <v>6</v>
      </c>
      <c r="AH71">
        <v>8</v>
      </c>
    </row>
    <row r="72" spans="1:34">
      <c r="A72" s="214">
        <v>241</v>
      </c>
      <c r="B72">
        <v>1963</v>
      </c>
      <c r="C72" t="s">
        <v>208</v>
      </c>
      <c r="D72" t="s">
        <v>115</v>
      </c>
      <c r="E72">
        <v>1411</v>
      </c>
      <c r="F72">
        <v>1438</v>
      </c>
      <c r="G72">
        <v>700</v>
      </c>
      <c r="H72" t="s">
        <v>89</v>
      </c>
      <c r="I72">
        <v>8750</v>
      </c>
      <c r="J72" t="s">
        <v>58</v>
      </c>
      <c r="K72" t="s">
        <v>158</v>
      </c>
      <c r="L72">
        <v>1645.5</v>
      </c>
      <c r="M72">
        <v>1665</v>
      </c>
      <c r="N72">
        <v>600</v>
      </c>
      <c r="O72" t="s">
        <v>91</v>
      </c>
      <c r="P72">
        <v>0.93599996455656498</v>
      </c>
      <c r="Q72">
        <v>0.90620438265624803</v>
      </c>
      <c r="R72">
        <v>7.0573688436081305E-2</v>
      </c>
      <c r="S72">
        <v>0.13275435827757601</v>
      </c>
      <c r="T72">
        <v>-0.634997000114218</v>
      </c>
      <c r="U72">
        <v>0.634997000114218</v>
      </c>
      <c r="V72">
        <v>-1.86</v>
      </c>
      <c r="W72">
        <v>0.76</v>
      </c>
      <c r="X72">
        <v>196685</v>
      </c>
      <c r="Y72">
        <v>11570</v>
      </c>
      <c r="Z72">
        <v>0.43</v>
      </c>
      <c r="AA72">
        <v>17</v>
      </c>
      <c r="AB72">
        <v>9</v>
      </c>
      <c r="AC72">
        <v>8</v>
      </c>
      <c r="AD72">
        <v>52.94</v>
      </c>
      <c r="AE72">
        <v>10</v>
      </c>
      <c r="AF72">
        <v>8</v>
      </c>
      <c r="AG72">
        <v>4</v>
      </c>
      <c r="AH72">
        <v>5</v>
      </c>
    </row>
    <row r="73" spans="1:34">
      <c r="A73" s="214">
        <v>254</v>
      </c>
      <c r="B73">
        <v>4005</v>
      </c>
      <c r="C73" t="s">
        <v>172</v>
      </c>
      <c r="D73" t="s">
        <v>90</v>
      </c>
      <c r="E73">
        <v>498</v>
      </c>
      <c r="F73">
        <v>504</v>
      </c>
      <c r="G73">
        <v>2200</v>
      </c>
      <c r="H73" t="s">
        <v>91</v>
      </c>
      <c r="I73">
        <v>5301</v>
      </c>
      <c r="J73" t="s">
        <v>209</v>
      </c>
      <c r="K73" t="s">
        <v>154</v>
      </c>
      <c r="L73">
        <v>1085</v>
      </c>
      <c r="M73">
        <v>1090</v>
      </c>
      <c r="N73">
        <v>1000</v>
      </c>
      <c r="O73" t="s">
        <v>89</v>
      </c>
      <c r="P73">
        <v>0.91908396734425302</v>
      </c>
      <c r="Q73">
        <v>0.904975447083885</v>
      </c>
      <c r="R73">
        <v>1.1746789356015501E-2</v>
      </c>
      <c r="S73">
        <v>0.15691681711404101</v>
      </c>
      <c r="T73">
        <v>0.445630657732135</v>
      </c>
      <c r="U73">
        <v>0.445630657732135</v>
      </c>
      <c r="V73">
        <v>1.05</v>
      </c>
      <c r="W73">
        <v>1.72</v>
      </c>
      <c r="X73">
        <v>195678</v>
      </c>
      <c r="Y73">
        <v>8508</v>
      </c>
      <c r="Z73">
        <v>0.42</v>
      </c>
      <c r="AA73">
        <v>23</v>
      </c>
      <c r="AB73">
        <v>14</v>
      </c>
      <c r="AC73">
        <v>9</v>
      </c>
      <c r="AD73">
        <v>60.87</v>
      </c>
      <c r="AE73">
        <v>9</v>
      </c>
      <c r="AF73">
        <v>13</v>
      </c>
      <c r="AG73">
        <v>7</v>
      </c>
      <c r="AH73">
        <v>3</v>
      </c>
    </row>
    <row r="74" spans="1:34">
      <c r="A74" s="214">
        <v>28</v>
      </c>
      <c r="B74">
        <v>5301</v>
      </c>
      <c r="C74" t="s">
        <v>209</v>
      </c>
      <c r="D74" t="s">
        <v>154</v>
      </c>
      <c r="E74">
        <v>1085</v>
      </c>
      <c r="F74">
        <v>1090</v>
      </c>
      <c r="G74">
        <v>900</v>
      </c>
      <c r="H74" t="s">
        <v>89</v>
      </c>
      <c r="I74">
        <v>7251</v>
      </c>
      <c r="J74" t="s">
        <v>197</v>
      </c>
      <c r="K74" t="s">
        <v>123</v>
      </c>
      <c r="L74">
        <v>1643</v>
      </c>
      <c r="M74">
        <v>1651</v>
      </c>
      <c r="N74">
        <v>600</v>
      </c>
      <c r="O74" t="s">
        <v>91</v>
      </c>
      <c r="P74">
        <v>0.90192926054515399</v>
      </c>
      <c r="Q74">
        <v>0.95363916182455399</v>
      </c>
      <c r="R74">
        <v>3.0961066456640499E-2</v>
      </c>
      <c r="S74">
        <v>5.0943013969854305E-4</v>
      </c>
      <c r="T74">
        <v>-1.8204722244660301</v>
      </c>
      <c r="U74">
        <v>1.8204722244660301</v>
      </c>
      <c r="V74">
        <v>-6.43</v>
      </c>
      <c r="W74">
        <v>0.97</v>
      </c>
      <c r="X74">
        <v>195079</v>
      </c>
      <c r="Y74">
        <v>6967</v>
      </c>
      <c r="Z74">
        <v>0.47</v>
      </c>
      <c r="AA74">
        <v>28</v>
      </c>
      <c r="AB74">
        <v>15</v>
      </c>
      <c r="AC74">
        <v>13</v>
      </c>
      <c r="AD74">
        <v>53.57</v>
      </c>
      <c r="AE74">
        <v>8</v>
      </c>
      <c r="AF74">
        <v>13</v>
      </c>
      <c r="AG74">
        <v>13</v>
      </c>
      <c r="AH74">
        <v>2</v>
      </c>
    </row>
    <row r="75" spans="1:34">
      <c r="A75" s="214">
        <v>252</v>
      </c>
      <c r="B75">
        <v>5393</v>
      </c>
      <c r="C75" t="s">
        <v>153</v>
      </c>
      <c r="D75" t="s">
        <v>154</v>
      </c>
      <c r="E75">
        <v>1892</v>
      </c>
      <c r="F75">
        <v>1934</v>
      </c>
      <c r="G75">
        <v>500</v>
      </c>
      <c r="H75" t="s">
        <v>91</v>
      </c>
      <c r="I75">
        <v>6305</v>
      </c>
      <c r="J75" t="s">
        <v>59</v>
      </c>
      <c r="K75" t="s">
        <v>144</v>
      </c>
      <c r="L75">
        <v>2528</v>
      </c>
      <c r="M75">
        <v>2533</v>
      </c>
      <c r="N75">
        <v>400</v>
      </c>
      <c r="O75" t="s">
        <v>89</v>
      </c>
      <c r="P75">
        <v>0.93445995851799002</v>
      </c>
      <c r="Q75">
        <v>0.90503815951585498</v>
      </c>
      <c r="R75">
        <v>3.9738677800491999E-2</v>
      </c>
      <c r="S75" s="20">
        <v>5.7743492169271098E-3</v>
      </c>
      <c r="T75">
        <v>1.1374562417498</v>
      </c>
      <c r="U75">
        <v>1.1374562417498</v>
      </c>
      <c r="V75">
        <v>3.81</v>
      </c>
      <c r="W75">
        <v>4.5599999999999996</v>
      </c>
      <c r="X75">
        <v>190915</v>
      </c>
      <c r="Y75">
        <v>14686</v>
      </c>
      <c r="Z75">
        <v>0.71</v>
      </c>
      <c r="AA75">
        <v>13</v>
      </c>
      <c r="AB75">
        <v>8</v>
      </c>
      <c r="AC75">
        <v>5</v>
      </c>
      <c r="AD75">
        <v>61.54</v>
      </c>
      <c r="AE75">
        <v>9</v>
      </c>
      <c r="AF75">
        <v>6</v>
      </c>
      <c r="AG75">
        <v>4</v>
      </c>
      <c r="AH75">
        <v>3</v>
      </c>
    </row>
    <row r="76" spans="1:34">
      <c r="A76" s="214">
        <v>200</v>
      </c>
      <c r="B76">
        <v>8309</v>
      </c>
      <c r="C76" t="s">
        <v>52</v>
      </c>
      <c r="D76" t="s">
        <v>121</v>
      </c>
      <c r="E76">
        <v>3719</v>
      </c>
      <c r="F76">
        <v>3741</v>
      </c>
      <c r="G76">
        <v>200</v>
      </c>
      <c r="H76" t="s">
        <v>89</v>
      </c>
      <c r="I76">
        <v>8341</v>
      </c>
      <c r="J76" t="s">
        <v>193</v>
      </c>
      <c r="K76" t="s">
        <v>121</v>
      </c>
      <c r="L76">
        <v>1590</v>
      </c>
      <c r="M76">
        <v>1601</v>
      </c>
      <c r="N76">
        <v>500</v>
      </c>
      <c r="O76" t="s">
        <v>91</v>
      </c>
      <c r="P76">
        <v>0.96322992361865201</v>
      </c>
      <c r="Q76">
        <v>0.91392962098214303</v>
      </c>
      <c r="R76">
        <v>0.22864272584781201</v>
      </c>
      <c r="S76">
        <v>0.39434357400345399</v>
      </c>
      <c r="T76">
        <v>-1.94509068730723</v>
      </c>
      <c r="U76">
        <v>1.94509068730723</v>
      </c>
      <c r="V76">
        <v>-5.85</v>
      </c>
      <c r="W76">
        <v>6.99</v>
      </c>
      <c r="X76">
        <v>189642</v>
      </c>
      <c r="Y76">
        <v>9482</v>
      </c>
      <c r="Z76">
        <v>0.65</v>
      </c>
      <c r="AA76">
        <v>20</v>
      </c>
      <c r="AB76">
        <v>13</v>
      </c>
      <c r="AC76">
        <v>7</v>
      </c>
      <c r="AD76">
        <v>65</v>
      </c>
      <c r="AE76">
        <v>14</v>
      </c>
      <c r="AF76">
        <v>6</v>
      </c>
      <c r="AG76">
        <v>3</v>
      </c>
      <c r="AH76">
        <v>11</v>
      </c>
    </row>
    <row r="77" spans="1:34">
      <c r="A77" s="214">
        <v>84</v>
      </c>
      <c r="B77">
        <v>3291</v>
      </c>
      <c r="C77" t="s">
        <v>165</v>
      </c>
      <c r="D77" t="s">
        <v>166</v>
      </c>
      <c r="E77">
        <v>1710</v>
      </c>
      <c r="F77">
        <v>1726</v>
      </c>
      <c r="G77">
        <v>600</v>
      </c>
      <c r="H77" t="s">
        <v>89</v>
      </c>
      <c r="I77">
        <v>5802</v>
      </c>
      <c r="J77" t="s">
        <v>210</v>
      </c>
      <c r="K77" t="s">
        <v>211</v>
      </c>
      <c r="L77">
        <v>1372</v>
      </c>
      <c r="M77">
        <v>1385</v>
      </c>
      <c r="N77">
        <v>700</v>
      </c>
      <c r="O77" t="s">
        <v>91</v>
      </c>
      <c r="P77">
        <v>0.91369221230957398</v>
      </c>
      <c r="Q77">
        <v>0.93582250577670301</v>
      </c>
      <c r="R77">
        <v>0.106866220058702</v>
      </c>
      <c r="S77">
        <v>2.0450809199882101E-2</v>
      </c>
      <c r="T77">
        <v>-1.5388602810095</v>
      </c>
      <c r="U77">
        <v>1.5388602810095</v>
      </c>
      <c r="V77">
        <v>-4.24</v>
      </c>
      <c r="W77">
        <v>6.38</v>
      </c>
      <c r="X77">
        <v>189515</v>
      </c>
      <c r="Y77">
        <v>9476</v>
      </c>
      <c r="Z77">
        <v>0.48</v>
      </c>
      <c r="AA77">
        <v>20</v>
      </c>
      <c r="AB77">
        <v>13</v>
      </c>
      <c r="AC77">
        <v>7</v>
      </c>
      <c r="AD77">
        <v>65</v>
      </c>
      <c r="AE77">
        <v>15</v>
      </c>
      <c r="AF77">
        <v>6</v>
      </c>
      <c r="AG77">
        <v>2</v>
      </c>
      <c r="AH77">
        <v>12</v>
      </c>
    </row>
    <row r="78" spans="1:34">
      <c r="A78" s="214">
        <v>212</v>
      </c>
      <c r="B78">
        <v>1963</v>
      </c>
      <c r="C78" t="s">
        <v>208</v>
      </c>
      <c r="D78" t="s">
        <v>115</v>
      </c>
      <c r="E78">
        <v>1411</v>
      </c>
      <c r="F78">
        <v>1438</v>
      </c>
      <c r="G78">
        <v>600</v>
      </c>
      <c r="H78" t="s">
        <v>91</v>
      </c>
      <c r="I78">
        <v>5021</v>
      </c>
      <c r="J78" t="s">
        <v>212</v>
      </c>
      <c r="K78" t="s">
        <v>200</v>
      </c>
      <c r="L78">
        <v>2260</v>
      </c>
      <c r="M78">
        <v>2258</v>
      </c>
      <c r="N78">
        <v>400</v>
      </c>
      <c r="O78" t="s">
        <v>89</v>
      </c>
      <c r="P78">
        <v>0.94758645168421896</v>
      </c>
      <c r="Q78">
        <v>0.91224402062384502</v>
      </c>
      <c r="R78">
        <v>1.52569461990824E-2</v>
      </c>
      <c r="S78">
        <v>8.3709858978065002E-3</v>
      </c>
      <c r="T78">
        <v>5.4717289392704802E-2</v>
      </c>
      <c r="U78">
        <v>5.4717289392704802E-2</v>
      </c>
      <c r="V78">
        <v>0.19</v>
      </c>
      <c r="W78">
        <v>4.47</v>
      </c>
      <c r="X78">
        <v>188639</v>
      </c>
      <c r="Y78">
        <v>11096</v>
      </c>
      <c r="Z78">
        <v>0.59</v>
      </c>
      <c r="AA78">
        <v>17</v>
      </c>
      <c r="AB78">
        <v>8</v>
      </c>
      <c r="AC78">
        <v>9</v>
      </c>
      <c r="AD78">
        <v>47.06</v>
      </c>
      <c r="AE78">
        <v>9</v>
      </c>
      <c r="AF78">
        <v>8</v>
      </c>
      <c r="AG78">
        <v>5</v>
      </c>
      <c r="AH78">
        <v>4</v>
      </c>
    </row>
    <row r="79" spans="1:34">
      <c r="A79" s="214">
        <v>41</v>
      </c>
      <c r="B79">
        <v>8002</v>
      </c>
      <c r="C79" t="s">
        <v>57</v>
      </c>
      <c r="D79" t="s">
        <v>147</v>
      </c>
      <c r="E79">
        <v>727.3</v>
      </c>
      <c r="F79">
        <v>734.5</v>
      </c>
      <c r="G79">
        <v>1400</v>
      </c>
      <c r="H79" t="s">
        <v>89</v>
      </c>
      <c r="I79">
        <v>8601</v>
      </c>
      <c r="J79" t="s">
        <v>53</v>
      </c>
      <c r="K79" t="s">
        <v>171</v>
      </c>
      <c r="L79">
        <v>491.7</v>
      </c>
      <c r="M79">
        <v>494.2</v>
      </c>
      <c r="N79">
        <v>2100</v>
      </c>
      <c r="O79" t="s">
        <v>91</v>
      </c>
      <c r="P79">
        <v>0.93286774935561201</v>
      </c>
      <c r="Q79">
        <v>0.94894087852542197</v>
      </c>
      <c r="R79">
        <v>0.29511349253895303</v>
      </c>
      <c r="S79">
        <v>6.6746470066244998E-2</v>
      </c>
      <c r="T79">
        <v>-0.18697544264212099</v>
      </c>
      <c r="U79">
        <v>0.18697544264212099</v>
      </c>
      <c r="V79">
        <v>-0.36</v>
      </c>
      <c r="W79">
        <v>0.93</v>
      </c>
      <c r="X79">
        <v>184862</v>
      </c>
      <c r="Y79">
        <v>11554</v>
      </c>
      <c r="Z79">
        <v>0.55000000000000004</v>
      </c>
      <c r="AA79">
        <v>16</v>
      </c>
      <c r="AB79">
        <v>10</v>
      </c>
      <c r="AC79">
        <v>6</v>
      </c>
      <c r="AD79">
        <v>62.5</v>
      </c>
      <c r="AE79">
        <v>14</v>
      </c>
      <c r="AF79">
        <v>6</v>
      </c>
      <c r="AG79">
        <v>3</v>
      </c>
      <c r="AH79">
        <v>7</v>
      </c>
    </row>
    <row r="80" spans="1:34">
      <c r="A80" s="214">
        <v>63</v>
      </c>
      <c r="B80">
        <v>7278</v>
      </c>
      <c r="C80" t="s">
        <v>122</v>
      </c>
      <c r="D80" t="s">
        <v>123</v>
      </c>
      <c r="E80">
        <v>2120</v>
      </c>
      <c r="F80">
        <v>2132</v>
      </c>
      <c r="G80">
        <v>400</v>
      </c>
      <c r="H80" t="s">
        <v>89</v>
      </c>
      <c r="I80">
        <v>7846</v>
      </c>
      <c r="J80" t="s">
        <v>189</v>
      </c>
      <c r="K80" t="s">
        <v>129</v>
      </c>
      <c r="L80">
        <v>4000</v>
      </c>
      <c r="M80">
        <v>4015</v>
      </c>
      <c r="N80">
        <v>200</v>
      </c>
      <c r="O80" t="s">
        <v>91</v>
      </c>
      <c r="P80">
        <v>0.95057416179916199</v>
      </c>
      <c r="Q80">
        <v>0.94077741792409297</v>
      </c>
      <c r="R80">
        <v>3.35885408295429E-2</v>
      </c>
      <c r="S80">
        <v>3.1053854547070801E-2</v>
      </c>
      <c r="T80">
        <v>-0.99084107825942602</v>
      </c>
      <c r="U80">
        <v>0.99084107825942602</v>
      </c>
      <c r="V80">
        <v>-1.86</v>
      </c>
      <c r="W80">
        <v>6.2</v>
      </c>
      <c r="X80">
        <v>180727</v>
      </c>
      <c r="Y80">
        <v>20081</v>
      </c>
      <c r="Z80">
        <v>1.01</v>
      </c>
      <c r="AA80">
        <v>9</v>
      </c>
      <c r="AB80">
        <v>6</v>
      </c>
      <c r="AC80">
        <v>3</v>
      </c>
      <c r="AD80">
        <v>66.67</v>
      </c>
      <c r="AE80">
        <v>11</v>
      </c>
      <c r="AF80">
        <v>5</v>
      </c>
      <c r="AG80">
        <v>2</v>
      </c>
      <c r="AH80">
        <v>2</v>
      </c>
    </row>
    <row r="81" spans="1:34">
      <c r="A81" s="214">
        <v>13</v>
      </c>
      <c r="B81">
        <v>6752</v>
      </c>
      <c r="C81" t="s">
        <v>152</v>
      </c>
      <c r="D81" t="s">
        <v>126</v>
      </c>
      <c r="E81">
        <v>874.4</v>
      </c>
      <c r="F81">
        <v>877.9</v>
      </c>
      <c r="G81">
        <v>1200</v>
      </c>
      <c r="H81" t="s">
        <v>89</v>
      </c>
      <c r="I81">
        <v>7278</v>
      </c>
      <c r="J81" t="s">
        <v>122</v>
      </c>
      <c r="K81" t="s">
        <v>123</v>
      </c>
      <c r="L81">
        <v>2120</v>
      </c>
      <c r="M81">
        <v>2132</v>
      </c>
      <c r="N81">
        <v>500</v>
      </c>
      <c r="O81" t="s">
        <v>91</v>
      </c>
      <c r="P81">
        <v>0.96079357225192297</v>
      </c>
      <c r="Q81">
        <v>0.96331824202309901</v>
      </c>
      <c r="R81">
        <v>2.6892412210970398E-2</v>
      </c>
      <c r="S81">
        <v>4.9176227231249601E-3</v>
      </c>
      <c r="T81">
        <v>-0.40235272644665498</v>
      </c>
      <c r="U81">
        <v>0.40235272644665498</v>
      </c>
      <c r="V81">
        <v>-0.74</v>
      </c>
      <c r="W81">
        <v>1.17</v>
      </c>
      <c r="X81">
        <v>178895</v>
      </c>
      <c r="Y81">
        <v>10523</v>
      </c>
      <c r="Z81">
        <v>0.53</v>
      </c>
      <c r="AA81">
        <v>17</v>
      </c>
      <c r="AB81">
        <v>9</v>
      </c>
      <c r="AC81">
        <v>8</v>
      </c>
      <c r="AD81">
        <v>52.94</v>
      </c>
      <c r="AE81">
        <v>12</v>
      </c>
      <c r="AF81">
        <v>6</v>
      </c>
      <c r="AG81">
        <v>2</v>
      </c>
      <c r="AH81">
        <v>9</v>
      </c>
    </row>
    <row r="82" spans="1:34">
      <c r="A82" s="214">
        <v>175</v>
      </c>
      <c r="B82">
        <v>6417</v>
      </c>
      <c r="C82" t="s">
        <v>213</v>
      </c>
      <c r="D82" t="s">
        <v>144</v>
      </c>
      <c r="E82">
        <v>3745</v>
      </c>
      <c r="F82">
        <v>3745</v>
      </c>
      <c r="G82">
        <v>200</v>
      </c>
      <c r="H82" t="s">
        <v>89</v>
      </c>
      <c r="I82">
        <v>9627</v>
      </c>
      <c r="J82" t="s">
        <v>214</v>
      </c>
      <c r="K82" t="s">
        <v>138</v>
      </c>
      <c r="L82">
        <v>6030</v>
      </c>
      <c r="M82">
        <v>6090</v>
      </c>
      <c r="N82">
        <v>100</v>
      </c>
      <c r="O82" t="s">
        <v>91</v>
      </c>
      <c r="P82">
        <v>0.92279805261317405</v>
      </c>
      <c r="Q82">
        <v>0.91792040423860599</v>
      </c>
      <c r="R82">
        <v>2.4551228280381599E-3</v>
      </c>
      <c r="S82">
        <v>3.3261631791689202E-3</v>
      </c>
      <c r="T82">
        <v>-0.52301418717563997</v>
      </c>
      <c r="U82">
        <v>0.52301418717563997</v>
      </c>
      <c r="V82">
        <v>-1.61</v>
      </c>
      <c r="W82">
        <v>22.99</v>
      </c>
      <c r="X82">
        <v>176932</v>
      </c>
      <c r="Y82">
        <v>14744</v>
      </c>
      <c r="Z82">
        <v>0.85</v>
      </c>
      <c r="AA82">
        <v>12</v>
      </c>
      <c r="AB82">
        <v>9</v>
      </c>
      <c r="AC82">
        <v>3</v>
      </c>
      <c r="AD82">
        <v>75</v>
      </c>
      <c r="AE82">
        <v>12</v>
      </c>
      <c r="AF82">
        <v>6</v>
      </c>
      <c r="AG82">
        <v>2</v>
      </c>
      <c r="AH82">
        <v>4</v>
      </c>
    </row>
    <row r="83" spans="1:34">
      <c r="A83" s="214">
        <v>106</v>
      </c>
      <c r="B83">
        <v>3635</v>
      </c>
      <c r="C83" t="s">
        <v>124</v>
      </c>
      <c r="D83" t="s">
        <v>117</v>
      </c>
      <c r="E83">
        <v>2362</v>
      </c>
      <c r="F83">
        <v>2350</v>
      </c>
      <c r="G83">
        <v>300</v>
      </c>
      <c r="H83" t="s">
        <v>89</v>
      </c>
      <c r="I83">
        <v>4612</v>
      </c>
      <c r="J83" t="s">
        <v>215</v>
      </c>
      <c r="K83" t="s">
        <v>90</v>
      </c>
      <c r="L83">
        <v>6040</v>
      </c>
      <c r="M83">
        <v>6000</v>
      </c>
      <c r="N83">
        <v>100</v>
      </c>
      <c r="O83" t="s">
        <v>91</v>
      </c>
      <c r="P83">
        <v>0.93501956610803205</v>
      </c>
      <c r="Q83">
        <v>0.93200807918527695</v>
      </c>
      <c r="R83">
        <v>0.102046309668685</v>
      </c>
      <c r="S83">
        <v>1.2047359852147899E-3</v>
      </c>
      <c r="T83">
        <v>-2.0247096360265102</v>
      </c>
      <c r="U83">
        <v>2.0247096360265102</v>
      </c>
      <c r="V83">
        <v>-12.53</v>
      </c>
      <c r="W83">
        <v>17.5</v>
      </c>
      <c r="X83">
        <v>175106</v>
      </c>
      <c r="Y83">
        <v>11674</v>
      </c>
      <c r="Z83">
        <v>0.46</v>
      </c>
      <c r="AA83">
        <v>15</v>
      </c>
      <c r="AB83">
        <v>9</v>
      </c>
      <c r="AC83">
        <v>6</v>
      </c>
      <c r="AD83">
        <v>60</v>
      </c>
      <c r="AE83">
        <v>10</v>
      </c>
      <c r="AF83">
        <v>8</v>
      </c>
      <c r="AG83">
        <v>5</v>
      </c>
      <c r="AH83">
        <v>2</v>
      </c>
    </row>
    <row r="84" spans="1:34">
      <c r="A84" s="214">
        <v>86</v>
      </c>
      <c r="B84">
        <v>7251</v>
      </c>
      <c r="C84" t="s">
        <v>197</v>
      </c>
      <c r="D84" t="s">
        <v>123</v>
      </c>
      <c r="E84">
        <v>1643</v>
      </c>
      <c r="F84">
        <v>1651</v>
      </c>
      <c r="G84">
        <v>600</v>
      </c>
      <c r="H84" t="s">
        <v>91</v>
      </c>
      <c r="I84">
        <v>8601</v>
      </c>
      <c r="J84" t="s">
        <v>53</v>
      </c>
      <c r="K84" t="s">
        <v>171</v>
      </c>
      <c r="L84">
        <v>491.7</v>
      </c>
      <c r="M84">
        <v>494.2</v>
      </c>
      <c r="N84">
        <v>2000</v>
      </c>
      <c r="O84" t="s">
        <v>89</v>
      </c>
      <c r="P84">
        <v>0.94432250301382703</v>
      </c>
      <c r="Q84">
        <v>0.93575739524785495</v>
      </c>
      <c r="R84">
        <v>3.5201490740680803E-2</v>
      </c>
      <c r="S84">
        <v>0.13535924796424401</v>
      </c>
      <c r="T84">
        <v>1.62152475292535</v>
      </c>
      <c r="U84">
        <v>1.62152475292535</v>
      </c>
      <c r="V84">
        <v>4.53</v>
      </c>
      <c r="W84">
        <v>0.22</v>
      </c>
      <c r="X84">
        <v>174349</v>
      </c>
      <c r="Y84">
        <v>10897</v>
      </c>
      <c r="Z84">
        <v>0.56999999999999995</v>
      </c>
      <c r="AA84">
        <v>16</v>
      </c>
      <c r="AB84">
        <v>10</v>
      </c>
      <c r="AC84">
        <v>6</v>
      </c>
      <c r="AD84">
        <v>62.5</v>
      </c>
      <c r="AE84">
        <v>14</v>
      </c>
      <c r="AF84">
        <v>6</v>
      </c>
      <c r="AG84">
        <v>1</v>
      </c>
      <c r="AH84">
        <v>9</v>
      </c>
    </row>
    <row r="85" spans="1:34">
      <c r="A85" s="214">
        <v>268</v>
      </c>
      <c r="B85">
        <v>6473</v>
      </c>
      <c r="C85" t="s">
        <v>216</v>
      </c>
      <c r="D85" t="s">
        <v>144</v>
      </c>
      <c r="E85">
        <v>1245</v>
      </c>
      <c r="F85">
        <v>1260</v>
      </c>
      <c r="G85">
        <v>800</v>
      </c>
      <c r="H85" t="s">
        <v>89</v>
      </c>
      <c r="I85">
        <v>7259</v>
      </c>
      <c r="J85" t="s">
        <v>55</v>
      </c>
      <c r="K85" t="s">
        <v>123</v>
      </c>
      <c r="L85">
        <v>3445</v>
      </c>
      <c r="M85">
        <v>3510</v>
      </c>
      <c r="N85">
        <v>300</v>
      </c>
      <c r="O85" t="s">
        <v>91</v>
      </c>
      <c r="P85">
        <v>0.96699275337355906</v>
      </c>
      <c r="Q85">
        <v>0.90277208022800204</v>
      </c>
      <c r="R85">
        <v>0.12844559623798099</v>
      </c>
      <c r="S85">
        <v>0.21016938268413199</v>
      </c>
      <c r="T85">
        <v>-0.53231583083370304</v>
      </c>
      <c r="U85">
        <v>0.53231583083370304</v>
      </c>
      <c r="V85">
        <v>-1.17</v>
      </c>
      <c r="W85">
        <v>4.2699999999999996</v>
      </c>
      <c r="X85">
        <v>174145</v>
      </c>
      <c r="Y85">
        <v>12439</v>
      </c>
      <c r="Z85">
        <v>0.72</v>
      </c>
      <c r="AA85">
        <v>14</v>
      </c>
      <c r="AB85">
        <v>7</v>
      </c>
      <c r="AC85">
        <v>7</v>
      </c>
      <c r="AD85">
        <v>50</v>
      </c>
      <c r="AE85">
        <v>11</v>
      </c>
      <c r="AF85">
        <v>6</v>
      </c>
      <c r="AG85">
        <v>1</v>
      </c>
      <c r="AH85">
        <v>7</v>
      </c>
    </row>
    <row r="86" spans="1:34">
      <c r="A86" s="214">
        <v>31</v>
      </c>
      <c r="B86">
        <v>3099</v>
      </c>
      <c r="C86" t="s">
        <v>92</v>
      </c>
      <c r="D86" t="s">
        <v>138</v>
      </c>
      <c r="E86">
        <v>879</v>
      </c>
      <c r="F86">
        <v>861</v>
      </c>
      <c r="G86">
        <v>1200</v>
      </c>
      <c r="H86" t="s">
        <v>91</v>
      </c>
      <c r="I86">
        <v>7211</v>
      </c>
      <c r="J86" t="s">
        <v>56</v>
      </c>
      <c r="K86" t="s">
        <v>123</v>
      </c>
      <c r="L86">
        <v>468</v>
      </c>
      <c r="M86">
        <v>473</v>
      </c>
      <c r="N86">
        <v>2200</v>
      </c>
      <c r="O86" t="s">
        <v>89</v>
      </c>
      <c r="P86">
        <v>0.93430628819355199</v>
      </c>
      <c r="Q86">
        <v>0.95205432348845598</v>
      </c>
      <c r="R86">
        <v>6.3325278543003793E-2</v>
      </c>
      <c r="S86">
        <v>6.7591826651822895E-2</v>
      </c>
      <c r="T86">
        <v>0.97443641223655997</v>
      </c>
      <c r="U86">
        <v>0.97443641223655997</v>
      </c>
      <c r="V86">
        <v>2.2400000000000002</v>
      </c>
      <c r="W86">
        <v>0.72</v>
      </c>
      <c r="X86">
        <v>171445</v>
      </c>
      <c r="Y86">
        <v>10715</v>
      </c>
      <c r="Z86">
        <v>0.51</v>
      </c>
      <c r="AA86">
        <v>16</v>
      </c>
      <c r="AB86">
        <v>9</v>
      </c>
      <c r="AC86">
        <v>7</v>
      </c>
      <c r="AD86">
        <v>56.25</v>
      </c>
      <c r="AE86">
        <v>13</v>
      </c>
      <c r="AF86">
        <v>8</v>
      </c>
      <c r="AG86">
        <v>2</v>
      </c>
      <c r="AH86">
        <v>6</v>
      </c>
    </row>
    <row r="87" spans="1:34">
      <c r="A87" s="214">
        <v>8</v>
      </c>
      <c r="B87">
        <v>6923</v>
      </c>
      <c r="C87" t="s">
        <v>164</v>
      </c>
      <c r="D87" t="s">
        <v>126</v>
      </c>
      <c r="E87">
        <v>2871</v>
      </c>
      <c r="F87">
        <v>2908</v>
      </c>
      <c r="G87">
        <v>300</v>
      </c>
      <c r="H87" t="s">
        <v>89</v>
      </c>
      <c r="I87">
        <v>7251</v>
      </c>
      <c r="J87" t="s">
        <v>197</v>
      </c>
      <c r="K87" t="s">
        <v>123</v>
      </c>
      <c r="L87">
        <v>1643</v>
      </c>
      <c r="M87">
        <v>1651</v>
      </c>
      <c r="N87">
        <v>500</v>
      </c>
      <c r="O87" t="s">
        <v>91</v>
      </c>
      <c r="P87">
        <v>0.91738724332891197</v>
      </c>
      <c r="Q87">
        <v>0.96691521713788797</v>
      </c>
      <c r="R87">
        <v>4.28571898795235E-2</v>
      </c>
      <c r="S87">
        <v>7.5521502516427903E-4</v>
      </c>
      <c r="T87">
        <v>-0.318548158233944</v>
      </c>
      <c r="U87">
        <v>0.318548158233944</v>
      </c>
      <c r="V87">
        <v>-1.1399999999999999</v>
      </c>
      <c r="W87">
        <v>5.38</v>
      </c>
      <c r="X87">
        <v>166143</v>
      </c>
      <c r="Y87">
        <v>9773</v>
      </c>
      <c r="Z87">
        <v>0.6</v>
      </c>
      <c r="AA87">
        <v>17</v>
      </c>
      <c r="AB87">
        <v>11</v>
      </c>
      <c r="AC87">
        <v>6</v>
      </c>
      <c r="AD87">
        <v>64.709999999999994</v>
      </c>
      <c r="AE87">
        <v>12</v>
      </c>
      <c r="AF87">
        <v>8</v>
      </c>
      <c r="AG87">
        <v>3</v>
      </c>
      <c r="AH87">
        <v>6</v>
      </c>
    </row>
    <row r="88" spans="1:34">
      <c r="A88" s="214">
        <v>141</v>
      </c>
      <c r="B88">
        <v>1944</v>
      </c>
      <c r="C88" t="s">
        <v>217</v>
      </c>
      <c r="D88" t="s">
        <v>115</v>
      </c>
      <c r="E88">
        <v>1590</v>
      </c>
      <c r="F88">
        <v>1593</v>
      </c>
      <c r="G88">
        <v>600</v>
      </c>
      <c r="H88" t="s">
        <v>89</v>
      </c>
      <c r="I88">
        <v>9072</v>
      </c>
      <c r="J88" t="s">
        <v>201</v>
      </c>
      <c r="K88" t="s">
        <v>178</v>
      </c>
      <c r="L88">
        <v>2500</v>
      </c>
      <c r="M88">
        <v>2504</v>
      </c>
      <c r="N88">
        <v>400</v>
      </c>
      <c r="O88" t="s">
        <v>91</v>
      </c>
      <c r="P88">
        <v>0.92168069370489003</v>
      </c>
      <c r="Q88">
        <v>0.92448422434595001</v>
      </c>
      <c r="R88">
        <v>0.102463868878662</v>
      </c>
      <c r="S88">
        <v>3.37513693466839E-2</v>
      </c>
      <c r="T88">
        <v>-1.4140679971651</v>
      </c>
      <c r="U88">
        <v>1.4140679971651</v>
      </c>
      <c r="V88">
        <v>-2.0699999999999998</v>
      </c>
      <c r="W88">
        <v>4.57</v>
      </c>
      <c r="X88">
        <v>165359</v>
      </c>
      <c r="Y88">
        <v>11811</v>
      </c>
      <c r="Z88">
        <v>0.63</v>
      </c>
      <c r="AA88">
        <v>14</v>
      </c>
      <c r="AB88">
        <v>7</v>
      </c>
      <c r="AC88">
        <v>7</v>
      </c>
      <c r="AD88">
        <v>50</v>
      </c>
      <c r="AE88">
        <v>14</v>
      </c>
      <c r="AF88">
        <v>3</v>
      </c>
      <c r="AG88">
        <v>2</v>
      </c>
      <c r="AH88">
        <v>9</v>
      </c>
    </row>
    <row r="89" spans="1:34">
      <c r="A89" s="214">
        <v>97</v>
      </c>
      <c r="B89">
        <v>7182</v>
      </c>
      <c r="C89" t="s">
        <v>218</v>
      </c>
      <c r="D89" t="s">
        <v>121</v>
      </c>
      <c r="E89">
        <v>1032</v>
      </c>
      <c r="F89">
        <v>1036</v>
      </c>
      <c r="G89">
        <v>1000</v>
      </c>
      <c r="H89" t="s">
        <v>89</v>
      </c>
      <c r="I89">
        <v>7278</v>
      </c>
      <c r="J89" t="s">
        <v>122</v>
      </c>
      <c r="K89" t="s">
        <v>123</v>
      </c>
      <c r="L89">
        <v>2120</v>
      </c>
      <c r="M89">
        <v>2132</v>
      </c>
      <c r="N89">
        <v>500</v>
      </c>
      <c r="O89" t="s">
        <v>91</v>
      </c>
      <c r="P89">
        <v>0.91357766438325405</v>
      </c>
      <c r="Q89">
        <v>0.933948439654533</v>
      </c>
      <c r="R89">
        <v>0.28028167489508998</v>
      </c>
      <c r="S89">
        <v>0.15692299993025299</v>
      </c>
      <c r="T89">
        <v>-0.68476064119333402</v>
      </c>
      <c r="U89">
        <v>0.68476064119333402</v>
      </c>
      <c r="V89">
        <v>-1.71</v>
      </c>
      <c r="W89">
        <v>2.81</v>
      </c>
      <c r="X89">
        <v>164980</v>
      </c>
      <c r="Y89">
        <v>9705</v>
      </c>
      <c r="Z89">
        <v>0.49</v>
      </c>
      <c r="AA89">
        <v>17</v>
      </c>
      <c r="AB89">
        <v>10</v>
      </c>
      <c r="AC89">
        <v>7</v>
      </c>
      <c r="AD89">
        <v>58.82</v>
      </c>
      <c r="AE89">
        <v>13</v>
      </c>
      <c r="AF89">
        <v>7</v>
      </c>
      <c r="AG89">
        <v>2</v>
      </c>
      <c r="AH89">
        <v>8</v>
      </c>
    </row>
    <row r="90" spans="1:34">
      <c r="A90" s="214">
        <v>14</v>
      </c>
      <c r="B90">
        <v>7182</v>
      </c>
      <c r="C90" t="s">
        <v>218</v>
      </c>
      <c r="D90" t="s">
        <v>121</v>
      </c>
      <c r="E90">
        <v>1032</v>
      </c>
      <c r="F90">
        <v>1036</v>
      </c>
      <c r="G90">
        <v>1000</v>
      </c>
      <c r="H90" t="s">
        <v>89</v>
      </c>
      <c r="I90">
        <v>7211</v>
      </c>
      <c r="J90" t="s">
        <v>56</v>
      </c>
      <c r="K90" t="s">
        <v>123</v>
      </c>
      <c r="L90">
        <v>468</v>
      </c>
      <c r="M90">
        <v>473</v>
      </c>
      <c r="N90">
        <v>2200</v>
      </c>
      <c r="O90" t="s">
        <v>91</v>
      </c>
      <c r="P90">
        <v>0.93131314983681401</v>
      </c>
      <c r="Q90">
        <v>0.96246836248717105</v>
      </c>
      <c r="R90">
        <v>0.20184916451410201</v>
      </c>
      <c r="S90">
        <v>6.7949028755788501E-3</v>
      </c>
      <c r="T90">
        <v>-0.14284961759398601</v>
      </c>
      <c r="U90">
        <v>0.14284961759398601</v>
      </c>
      <c r="V90">
        <v>-0.4</v>
      </c>
      <c r="W90">
        <v>0.44</v>
      </c>
      <c r="X90">
        <v>160408</v>
      </c>
      <c r="Y90">
        <v>10694</v>
      </c>
      <c r="Z90">
        <v>0.5</v>
      </c>
      <c r="AA90">
        <v>15</v>
      </c>
      <c r="AB90">
        <v>8</v>
      </c>
      <c r="AC90">
        <v>7</v>
      </c>
      <c r="AD90">
        <v>53.33</v>
      </c>
      <c r="AE90">
        <v>16</v>
      </c>
      <c r="AF90">
        <v>3</v>
      </c>
      <c r="AG90">
        <v>1</v>
      </c>
      <c r="AH90">
        <v>11</v>
      </c>
    </row>
    <row r="91" spans="1:34">
      <c r="A91" s="214">
        <v>35</v>
      </c>
      <c r="B91">
        <v>2768</v>
      </c>
      <c r="C91" t="s">
        <v>219</v>
      </c>
      <c r="D91" t="s">
        <v>147</v>
      </c>
      <c r="E91">
        <v>329</v>
      </c>
      <c r="F91">
        <v>330</v>
      </c>
      <c r="G91">
        <v>3200</v>
      </c>
      <c r="H91" t="s">
        <v>89</v>
      </c>
      <c r="I91">
        <v>7202</v>
      </c>
      <c r="J91" t="s">
        <v>220</v>
      </c>
      <c r="K91" t="s">
        <v>123</v>
      </c>
      <c r="L91">
        <v>1180</v>
      </c>
      <c r="M91">
        <v>1191.5</v>
      </c>
      <c r="N91">
        <v>900</v>
      </c>
      <c r="O91" t="s">
        <v>91</v>
      </c>
      <c r="P91">
        <v>0.91386616939589405</v>
      </c>
      <c r="Q91">
        <v>0.95007551761250997</v>
      </c>
      <c r="R91">
        <v>4.1707130489905299E-2</v>
      </c>
      <c r="S91">
        <v>1.5519932301642799E-2</v>
      </c>
      <c r="T91">
        <v>-1.4176254130056201</v>
      </c>
      <c r="U91">
        <v>1.4176254130056201</v>
      </c>
      <c r="V91">
        <v>-3.02</v>
      </c>
      <c r="W91">
        <v>1.52</v>
      </c>
      <c r="X91">
        <v>159888</v>
      </c>
      <c r="Y91">
        <v>8883</v>
      </c>
      <c r="Z91">
        <v>0.4</v>
      </c>
      <c r="AA91">
        <v>18</v>
      </c>
      <c r="AB91">
        <v>12</v>
      </c>
      <c r="AC91">
        <v>6</v>
      </c>
      <c r="AD91">
        <v>66.67</v>
      </c>
      <c r="AE91">
        <v>13</v>
      </c>
      <c r="AF91">
        <v>5</v>
      </c>
      <c r="AG91">
        <v>3</v>
      </c>
      <c r="AH91">
        <v>10</v>
      </c>
    </row>
    <row r="92" spans="1:34">
      <c r="A92" s="214">
        <v>280</v>
      </c>
      <c r="B92">
        <v>4631</v>
      </c>
      <c r="C92" t="s">
        <v>221</v>
      </c>
      <c r="D92" t="s">
        <v>90</v>
      </c>
      <c r="E92">
        <v>3015</v>
      </c>
      <c r="F92">
        <v>3050</v>
      </c>
      <c r="G92">
        <v>300</v>
      </c>
      <c r="H92" t="s">
        <v>89</v>
      </c>
      <c r="I92">
        <v>7251</v>
      </c>
      <c r="J92" t="s">
        <v>197</v>
      </c>
      <c r="K92" t="s">
        <v>123</v>
      </c>
      <c r="L92">
        <v>1643</v>
      </c>
      <c r="M92">
        <v>1651</v>
      </c>
      <c r="N92">
        <v>600</v>
      </c>
      <c r="O92" t="s">
        <v>91</v>
      </c>
      <c r="P92">
        <v>0.93403762495026799</v>
      </c>
      <c r="Q92">
        <v>0.90080289784002598</v>
      </c>
      <c r="R92">
        <v>0.31814739232794798</v>
      </c>
      <c r="S92">
        <v>0.38414997546038199</v>
      </c>
      <c r="T92">
        <v>-0.78329020460394105</v>
      </c>
      <c r="U92">
        <v>0.78329020460394105</v>
      </c>
      <c r="V92">
        <v>-2.5</v>
      </c>
      <c r="W92">
        <v>8.26</v>
      </c>
      <c r="X92">
        <v>155312</v>
      </c>
      <c r="Y92">
        <v>9707</v>
      </c>
      <c r="Z92">
        <v>0.37</v>
      </c>
      <c r="AA92">
        <v>16</v>
      </c>
      <c r="AB92">
        <v>10</v>
      </c>
      <c r="AC92">
        <v>6</v>
      </c>
      <c r="AD92">
        <v>62.5</v>
      </c>
      <c r="AE92">
        <v>13</v>
      </c>
      <c r="AF92">
        <v>4</v>
      </c>
      <c r="AG92">
        <v>3</v>
      </c>
      <c r="AH92">
        <v>9</v>
      </c>
    </row>
    <row r="93" spans="1:34">
      <c r="A93" s="214">
        <v>277</v>
      </c>
      <c r="B93">
        <v>5393</v>
      </c>
      <c r="C93" t="s">
        <v>153</v>
      </c>
      <c r="D93" t="s">
        <v>154</v>
      </c>
      <c r="E93">
        <v>1892</v>
      </c>
      <c r="F93">
        <v>1934</v>
      </c>
      <c r="G93">
        <v>500</v>
      </c>
      <c r="H93" t="s">
        <v>89</v>
      </c>
      <c r="I93">
        <v>6472</v>
      </c>
      <c r="J93" t="s">
        <v>222</v>
      </c>
      <c r="K93" t="s">
        <v>144</v>
      </c>
      <c r="L93">
        <v>317</v>
      </c>
      <c r="M93">
        <v>322</v>
      </c>
      <c r="N93">
        <v>3000</v>
      </c>
      <c r="O93" t="s">
        <v>91</v>
      </c>
      <c r="P93">
        <v>0.946572235980921</v>
      </c>
      <c r="Q93">
        <v>0.90123696119372099</v>
      </c>
      <c r="R93">
        <v>9.1843224018187605E-2</v>
      </c>
      <c r="S93">
        <v>9.87798212438942E-2</v>
      </c>
      <c r="T93">
        <v>-0.74178204950673199</v>
      </c>
      <c r="U93">
        <v>0.74178204950673199</v>
      </c>
      <c r="V93">
        <v>-1.88</v>
      </c>
      <c r="W93">
        <v>0.1</v>
      </c>
      <c r="X93">
        <v>153978</v>
      </c>
      <c r="Y93">
        <v>9058</v>
      </c>
      <c r="Z93">
        <v>0.49</v>
      </c>
      <c r="AA93">
        <v>17</v>
      </c>
      <c r="AB93">
        <v>9</v>
      </c>
      <c r="AC93">
        <v>8</v>
      </c>
      <c r="AD93">
        <v>52.94</v>
      </c>
      <c r="AE93">
        <v>11</v>
      </c>
      <c r="AF93">
        <v>8</v>
      </c>
      <c r="AG93">
        <v>4</v>
      </c>
      <c r="AH93">
        <v>5</v>
      </c>
    </row>
    <row r="94" spans="1:34">
      <c r="A94" s="214">
        <v>3</v>
      </c>
      <c r="B94">
        <v>3099</v>
      </c>
      <c r="C94" t="s">
        <v>92</v>
      </c>
      <c r="D94" t="s">
        <v>138</v>
      </c>
      <c r="E94">
        <v>879</v>
      </c>
      <c r="F94">
        <v>861</v>
      </c>
      <c r="G94">
        <v>1300</v>
      </c>
      <c r="H94" t="s">
        <v>91</v>
      </c>
      <c r="I94">
        <v>8242</v>
      </c>
      <c r="J94" t="s">
        <v>181</v>
      </c>
      <c r="K94" t="s">
        <v>138</v>
      </c>
      <c r="L94">
        <v>1222</v>
      </c>
      <c r="M94">
        <v>1216</v>
      </c>
      <c r="N94">
        <v>900</v>
      </c>
      <c r="O94" t="s">
        <v>89</v>
      </c>
      <c r="P94">
        <v>0.95616079561511302</v>
      </c>
      <c r="Q94">
        <v>0.97430934760566101</v>
      </c>
      <c r="R94">
        <v>3.4482298843376002E-2</v>
      </c>
      <c r="S94">
        <v>6.6584306606734902E-4</v>
      </c>
      <c r="T94">
        <v>0.13930726336920299</v>
      </c>
      <c r="U94">
        <v>0.13930726336920299</v>
      </c>
      <c r="V94">
        <v>0.22</v>
      </c>
      <c r="W94">
        <v>2.2799999999999998</v>
      </c>
      <c r="X94">
        <v>153254</v>
      </c>
      <c r="Y94">
        <v>11789</v>
      </c>
      <c r="Z94">
        <v>0.63</v>
      </c>
      <c r="AA94">
        <v>13</v>
      </c>
      <c r="AB94">
        <v>9</v>
      </c>
      <c r="AC94">
        <v>4</v>
      </c>
      <c r="AD94">
        <v>69.23</v>
      </c>
      <c r="AE94">
        <v>11</v>
      </c>
      <c r="AF94">
        <v>7</v>
      </c>
      <c r="AG94">
        <v>3</v>
      </c>
      <c r="AH94">
        <v>3</v>
      </c>
    </row>
    <row r="95" spans="1:34">
      <c r="A95" s="214">
        <v>129</v>
      </c>
      <c r="B95">
        <v>3116</v>
      </c>
      <c r="C95" t="s">
        <v>196</v>
      </c>
      <c r="D95" t="s">
        <v>123</v>
      </c>
      <c r="E95">
        <v>1477</v>
      </c>
      <c r="F95">
        <v>1493</v>
      </c>
      <c r="G95">
        <v>600</v>
      </c>
      <c r="H95" t="s">
        <v>89</v>
      </c>
      <c r="I95">
        <v>6995</v>
      </c>
      <c r="J95" t="s">
        <v>132</v>
      </c>
      <c r="K95" t="s">
        <v>123</v>
      </c>
      <c r="L95">
        <v>1852</v>
      </c>
      <c r="M95">
        <v>1861</v>
      </c>
      <c r="N95">
        <v>500</v>
      </c>
      <c r="O95" t="s">
        <v>91</v>
      </c>
      <c r="P95">
        <v>0.91250293225755597</v>
      </c>
      <c r="Q95">
        <v>0.92638294988757097</v>
      </c>
      <c r="R95">
        <v>0.30205191188775399</v>
      </c>
      <c r="S95">
        <v>6.8793043875882004E-2</v>
      </c>
      <c r="T95">
        <v>-0.74351777858212198</v>
      </c>
      <c r="U95">
        <v>0.74351777858212198</v>
      </c>
      <c r="V95">
        <v>-2.59</v>
      </c>
      <c r="W95">
        <v>3.73</v>
      </c>
      <c r="X95">
        <v>151613</v>
      </c>
      <c r="Y95">
        <v>9476</v>
      </c>
      <c r="Z95">
        <v>0.5</v>
      </c>
      <c r="AA95">
        <v>16</v>
      </c>
      <c r="AB95">
        <v>9</v>
      </c>
      <c r="AC95">
        <v>7</v>
      </c>
      <c r="AD95">
        <v>56.25</v>
      </c>
      <c r="AE95">
        <v>14</v>
      </c>
      <c r="AF95">
        <v>4</v>
      </c>
      <c r="AG95">
        <v>2</v>
      </c>
      <c r="AH95">
        <v>10</v>
      </c>
    </row>
    <row r="96" spans="1:34">
      <c r="A96" s="214">
        <v>180</v>
      </c>
      <c r="B96">
        <v>3105</v>
      </c>
      <c r="C96" t="s">
        <v>131</v>
      </c>
      <c r="D96" t="s">
        <v>126</v>
      </c>
      <c r="E96">
        <v>839</v>
      </c>
      <c r="F96">
        <v>845</v>
      </c>
      <c r="G96">
        <v>1100</v>
      </c>
      <c r="H96" t="s">
        <v>91</v>
      </c>
      <c r="I96">
        <v>8078</v>
      </c>
      <c r="J96" t="s">
        <v>223</v>
      </c>
      <c r="K96" t="s">
        <v>147</v>
      </c>
      <c r="L96">
        <v>2950</v>
      </c>
      <c r="M96">
        <v>2972</v>
      </c>
      <c r="N96">
        <v>300</v>
      </c>
      <c r="O96" t="s">
        <v>89</v>
      </c>
      <c r="P96">
        <v>0.901954008684273</v>
      </c>
      <c r="Q96">
        <v>0.91670092879729703</v>
      </c>
      <c r="R96">
        <v>0.33112020822932697</v>
      </c>
      <c r="S96">
        <v>2.8390971993252599E-2</v>
      </c>
      <c r="T96">
        <v>3.9310667688865798E-2</v>
      </c>
      <c r="U96">
        <v>3.9310667688865798E-2</v>
      </c>
      <c r="V96">
        <v>0.08</v>
      </c>
      <c r="W96">
        <v>4.25</v>
      </c>
      <c r="X96">
        <v>150170</v>
      </c>
      <c r="Y96">
        <v>11552</v>
      </c>
      <c r="Z96">
        <v>0.67</v>
      </c>
      <c r="AA96">
        <v>13</v>
      </c>
      <c r="AB96">
        <v>8</v>
      </c>
      <c r="AC96">
        <v>5</v>
      </c>
      <c r="AD96">
        <v>61.54</v>
      </c>
      <c r="AE96">
        <v>13</v>
      </c>
      <c r="AF96">
        <v>3</v>
      </c>
      <c r="AG96">
        <v>3</v>
      </c>
      <c r="AH96">
        <v>7</v>
      </c>
    </row>
    <row r="97" spans="1:34">
      <c r="A97" s="214">
        <v>182</v>
      </c>
      <c r="B97">
        <v>8273</v>
      </c>
      <c r="C97" t="s">
        <v>145</v>
      </c>
      <c r="D97" t="s">
        <v>138</v>
      </c>
      <c r="E97">
        <v>4165</v>
      </c>
      <c r="F97">
        <v>4160</v>
      </c>
      <c r="G97">
        <v>200</v>
      </c>
      <c r="H97" t="s">
        <v>89</v>
      </c>
      <c r="I97">
        <v>8385</v>
      </c>
      <c r="J97" t="s">
        <v>175</v>
      </c>
      <c r="K97" t="s">
        <v>121</v>
      </c>
      <c r="L97">
        <v>555</v>
      </c>
      <c r="M97">
        <v>558</v>
      </c>
      <c r="N97">
        <v>1500</v>
      </c>
      <c r="O97" t="s">
        <v>91</v>
      </c>
      <c r="P97">
        <v>0.93620580107731599</v>
      </c>
      <c r="Q97">
        <v>0.91604473609240999</v>
      </c>
      <c r="R97">
        <v>0.28365791958106401</v>
      </c>
      <c r="S97">
        <v>5.9409820157263198E-2</v>
      </c>
      <c r="T97">
        <v>-1.48513824560105</v>
      </c>
      <c r="U97">
        <v>1.48513824560105</v>
      </c>
      <c r="V97">
        <v>-3.99</v>
      </c>
      <c r="W97">
        <v>0.6</v>
      </c>
      <c r="X97">
        <v>148328</v>
      </c>
      <c r="Y97">
        <v>9889</v>
      </c>
      <c r="Z97">
        <v>0.77</v>
      </c>
      <c r="AA97">
        <v>15</v>
      </c>
      <c r="AB97">
        <v>8</v>
      </c>
      <c r="AC97">
        <v>7</v>
      </c>
      <c r="AD97">
        <v>53.33</v>
      </c>
      <c r="AE97">
        <v>14</v>
      </c>
      <c r="AF97">
        <v>6</v>
      </c>
      <c r="AG97">
        <v>3</v>
      </c>
      <c r="AH97">
        <v>6</v>
      </c>
    </row>
    <row r="98" spans="1:34">
      <c r="A98" s="214">
        <v>74</v>
      </c>
      <c r="B98">
        <v>4612</v>
      </c>
      <c r="C98" t="s">
        <v>215</v>
      </c>
      <c r="D98" t="s">
        <v>90</v>
      </c>
      <c r="E98">
        <v>6040</v>
      </c>
      <c r="F98">
        <v>6000</v>
      </c>
      <c r="G98">
        <v>100</v>
      </c>
      <c r="H98" t="s">
        <v>89</v>
      </c>
      <c r="I98">
        <v>6920</v>
      </c>
      <c r="J98" t="s">
        <v>125</v>
      </c>
      <c r="K98" t="s">
        <v>126</v>
      </c>
      <c r="L98">
        <v>7570</v>
      </c>
      <c r="M98">
        <v>7730</v>
      </c>
      <c r="N98">
        <v>100</v>
      </c>
      <c r="O98" t="s">
        <v>91</v>
      </c>
      <c r="P98">
        <v>0.92125398081000398</v>
      </c>
      <c r="Q98">
        <v>0.93826468320630596</v>
      </c>
      <c r="R98">
        <v>0.23527821513167499</v>
      </c>
      <c r="S98">
        <v>2.5929935039875601E-2</v>
      </c>
      <c r="T98">
        <v>-1.1645850709194201</v>
      </c>
      <c r="U98">
        <v>1.1645850709194201</v>
      </c>
      <c r="V98">
        <v>-12.13</v>
      </c>
      <c r="W98">
        <v>22.38</v>
      </c>
      <c r="X98">
        <v>145152</v>
      </c>
      <c r="Y98">
        <v>11166</v>
      </c>
      <c r="Z98">
        <v>0.51</v>
      </c>
      <c r="AA98">
        <v>13</v>
      </c>
      <c r="AB98">
        <v>7</v>
      </c>
      <c r="AC98">
        <v>6</v>
      </c>
      <c r="AD98">
        <v>53.85</v>
      </c>
      <c r="AE98">
        <v>10</v>
      </c>
      <c r="AF98">
        <v>6</v>
      </c>
      <c r="AG98">
        <v>5</v>
      </c>
      <c r="AH98">
        <v>2</v>
      </c>
    </row>
    <row r="99" spans="1:34">
      <c r="A99" s="214">
        <v>235</v>
      </c>
      <c r="B99">
        <v>5214</v>
      </c>
      <c r="C99" t="s">
        <v>207</v>
      </c>
      <c r="D99" t="s">
        <v>154</v>
      </c>
      <c r="E99">
        <v>2380</v>
      </c>
      <c r="F99">
        <v>2403</v>
      </c>
      <c r="G99">
        <v>400</v>
      </c>
      <c r="H99" t="s">
        <v>91</v>
      </c>
      <c r="I99">
        <v>5411</v>
      </c>
      <c r="J99" t="s">
        <v>133</v>
      </c>
      <c r="K99" t="s">
        <v>134</v>
      </c>
      <c r="L99">
        <v>1313.5</v>
      </c>
      <c r="M99">
        <v>1325</v>
      </c>
      <c r="N99">
        <v>700</v>
      </c>
      <c r="O99" t="s">
        <v>89</v>
      </c>
      <c r="P99">
        <v>0.95145457221235497</v>
      </c>
      <c r="Q99">
        <v>0.90709487156292201</v>
      </c>
      <c r="R99">
        <v>7.3104598286805704E-3</v>
      </c>
      <c r="S99">
        <v>8.9793966381281995E-2</v>
      </c>
      <c r="T99">
        <v>0.50865653328417304</v>
      </c>
      <c r="U99">
        <v>0.50865653328417304</v>
      </c>
      <c r="V99">
        <v>1.21</v>
      </c>
      <c r="W99">
        <v>3.51</v>
      </c>
      <c r="X99">
        <v>145032</v>
      </c>
      <c r="Y99">
        <v>9064</v>
      </c>
      <c r="Z99">
        <v>0.55000000000000004</v>
      </c>
      <c r="AA99">
        <v>16</v>
      </c>
      <c r="AB99">
        <v>8</v>
      </c>
      <c r="AC99">
        <v>8</v>
      </c>
      <c r="AD99">
        <v>50</v>
      </c>
      <c r="AE99">
        <v>13</v>
      </c>
      <c r="AF99">
        <v>6</v>
      </c>
      <c r="AG99">
        <v>4</v>
      </c>
      <c r="AH99">
        <v>6</v>
      </c>
    </row>
    <row r="100" spans="1:34">
      <c r="A100" s="214">
        <v>272</v>
      </c>
      <c r="B100">
        <v>4061</v>
      </c>
      <c r="C100" t="s">
        <v>184</v>
      </c>
      <c r="D100" t="s">
        <v>90</v>
      </c>
      <c r="E100">
        <v>2950</v>
      </c>
      <c r="F100">
        <v>3015</v>
      </c>
      <c r="G100">
        <v>300</v>
      </c>
      <c r="H100" t="s">
        <v>91</v>
      </c>
      <c r="I100">
        <v>5411</v>
      </c>
      <c r="J100" t="s">
        <v>133</v>
      </c>
      <c r="K100" t="s">
        <v>134</v>
      </c>
      <c r="L100">
        <v>1313.5</v>
      </c>
      <c r="M100">
        <v>1325</v>
      </c>
      <c r="N100">
        <v>700</v>
      </c>
      <c r="O100" t="s">
        <v>89</v>
      </c>
      <c r="P100">
        <v>0.91283779525969999</v>
      </c>
      <c r="Q100">
        <v>0.90261897283378001</v>
      </c>
      <c r="R100">
        <v>0.152224850582829</v>
      </c>
      <c r="S100">
        <v>3.2719260164647199E-3</v>
      </c>
      <c r="T100">
        <v>0.84923436290620602</v>
      </c>
      <c r="U100">
        <v>0.84923436290620602</v>
      </c>
      <c r="V100">
        <v>3.61</v>
      </c>
      <c r="W100">
        <v>2.54</v>
      </c>
      <c r="X100">
        <v>144743</v>
      </c>
      <c r="Y100">
        <v>9650</v>
      </c>
      <c r="Z100">
        <v>0.42</v>
      </c>
      <c r="AA100">
        <v>15</v>
      </c>
      <c r="AB100">
        <v>10</v>
      </c>
      <c r="AC100">
        <v>5</v>
      </c>
      <c r="AD100">
        <v>66.67</v>
      </c>
      <c r="AE100">
        <v>12</v>
      </c>
      <c r="AF100">
        <v>5</v>
      </c>
      <c r="AG100">
        <v>4</v>
      </c>
      <c r="AH100">
        <v>6</v>
      </c>
    </row>
    <row r="101" spans="1:34">
      <c r="A101" s="214">
        <v>255</v>
      </c>
      <c r="B101">
        <v>5991</v>
      </c>
      <c r="C101" t="s">
        <v>167</v>
      </c>
      <c r="D101" t="s">
        <v>168</v>
      </c>
      <c r="E101">
        <v>822</v>
      </c>
      <c r="F101">
        <v>825</v>
      </c>
      <c r="G101">
        <v>1300</v>
      </c>
      <c r="H101" t="s">
        <v>91</v>
      </c>
      <c r="I101">
        <v>7182</v>
      </c>
      <c r="J101" t="s">
        <v>218</v>
      </c>
      <c r="K101" t="s">
        <v>121</v>
      </c>
      <c r="L101">
        <v>1032</v>
      </c>
      <c r="M101">
        <v>1036</v>
      </c>
      <c r="N101">
        <v>1000</v>
      </c>
      <c r="O101" t="s">
        <v>89</v>
      </c>
      <c r="P101">
        <v>0.90809436494943796</v>
      </c>
      <c r="Q101">
        <v>0.904942745886956</v>
      </c>
      <c r="R101">
        <v>5.6142224443369798E-3</v>
      </c>
      <c r="S101">
        <v>0.16700828460909201</v>
      </c>
      <c r="T101">
        <v>1.0225083518709801</v>
      </c>
      <c r="U101">
        <v>1.0225083518709801</v>
      </c>
      <c r="V101">
        <v>3.05</v>
      </c>
      <c r="W101">
        <v>3.52</v>
      </c>
      <c r="X101">
        <v>141623</v>
      </c>
      <c r="Y101">
        <v>9442</v>
      </c>
      <c r="Z101">
        <v>0.46</v>
      </c>
      <c r="AA101">
        <v>15</v>
      </c>
      <c r="AB101">
        <v>8</v>
      </c>
      <c r="AC101">
        <v>7</v>
      </c>
      <c r="AD101">
        <v>53.33</v>
      </c>
      <c r="AE101">
        <v>14</v>
      </c>
      <c r="AF101">
        <v>4</v>
      </c>
      <c r="AG101">
        <v>2</v>
      </c>
      <c r="AH101">
        <v>9</v>
      </c>
    </row>
    <row r="102" spans="1:34">
      <c r="A102" s="214">
        <v>245</v>
      </c>
      <c r="B102">
        <v>5471</v>
      </c>
      <c r="C102" t="s">
        <v>224</v>
      </c>
      <c r="D102" t="s">
        <v>134</v>
      </c>
      <c r="E102">
        <v>4520</v>
      </c>
      <c r="F102">
        <v>4520</v>
      </c>
      <c r="G102">
        <v>200</v>
      </c>
      <c r="H102" t="s">
        <v>91</v>
      </c>
      <c r="I102">
        <v>7251</v>
      </c>
      <c r="J102" t="s">
        <v>197</v>
      </c>
      <c r="K102" t="s">
        <v>123</v>
      </c>
      <c r="L102">
        <v>1643</v>
      </c>
      <c r="M102">
        <v>1651</v>
      </c>
      <c r="N102">
        <v>500</v>
      </c>
      <c r="O102" t="s">
        <v>89</v>
      </c>
      <c r="P102">
        <v>0.93055359137513605</v>
      </c>
      <c r="Q102">
        <v>0.90592630929234597</v>
      </c>
      <c r="R102">
        <v>3.8961763073619301E-3</v>
      </c>
      <c r="S102">
        <v>5.9577017228240896E-4</v>
      </c>
      <c r="T102">
        <v>0.65715073654489398</v>
      </c>
      <c r="U102">
        <v>0.65715073654489398</v>
      </c>
      <c r="V102">
        <v>1.88</v>
      </c>
      <c r="W102">
        <v>8.68</v>
      </c>
      <c r="X102">
        <v>141001</v>
      </c>
      <c r="Y102">
        <v>9400</v>
      </c>
      <c r="Z102">
        <v>0.46</v>
      </c>
      <c r="AA102">
        <v>15</v>
      </c>
      <c r="AB102">
        <v>10</v>
      </c>
      <c r="AC102">
        <v>5</v>
      </c>
      <c r="AD102">
        <v>66.67</v>
      </c>
      <c r="AE102">
        <v>14</v>
      </c>
      <c r="AF102">
        <v>5</v>
      </c>
      <c r="AG102">
        <v>2</v>
      </c>
      <c r="AH102">
        <v>8</v>
      </c>
    </row>
    <row r="103" spans="1:34">
      <c r="A103" s="214">
        <v>119</v>
      </c>
      <c r="B103">
        <v>3076</v>
      </c>
      <c r="C103" t="s">
        <v>225</v>
      </c>
      <c r="D103" t="s">
        <v>147</v>
      </c>
      <c r="E103">
        <v>1830</v>
      </c>
      <c r="F103">
        <v>1825</v>
      </c>
      <c r="G103">
        <v>600</v>
      </c>
      <c r="H103" t="s">
        <v>91</v>
      </c>
      <c r="I103">
        <v>9513</v>
      </c>
      <c r="J103" t="s">
        <v>205</v>
      </c>
      <c r="K103" t="s">
        <v>195</v>
      </c>
      <c r="L103">
        <v>2552</v>
      </c>
      <c r="M103">
        <v>2565</v>
      </c>
      <c r="N103">
        <v>400</v>
      </c>
      <c r="O103" t="s">
        <v>89</v>
      </c>
      <c r="P103">
        <v>0.90485270078840796</v>
      </c>
      <c r="Q103">
        <v>0.92951871314030698</v>
      </c>
      <c r="R103">
        <v>1.8736284862015399E-2</v>
      </c>
      <c r="S103">
        <v>1.9632020503261601E-4</v>
      </c>
      <c r="T103">
        <v>0.28703362049547199</v>
      </c>
      <c r="U103">
        <v>0.28703362049547199</v>
      </c>
      <c r="V103">
        <v>0.7</v>
      </c>
      <c r="W103">
        <v>6.73</v>
      </c>
      <c r="X103">
        <v>140189</v>
      </c>
      <c r="Y103">
        <v>10014</v>
      </c>
      <c r="Z103">
        <v>0.51</v>
      </c>
      <c r="AA103">
        <v>14</v>
      </c>
      <c r="AB103">
        <v>9</v>
      </c>
      <c r="AC103">
        <v>5</v>
      </c>
      <c r="AD103">
        <v>64.290000000000006</v>
      </c>
      <c r="AE103">
        <v>11</v>
      </c>
      <c r="AF103">
        <v>6</v>
      </c>
      <c r="AG103">
        <v>3</v>
      </c>
      <c r="AH103">
        <v>5</v>
      </c>
    </row>
    <row r="104" spans="1:34">
      <c r="A104" s="214">
        <v>253</v>
      </c>
      <c r="B104">
        <v>3099</v>
      </c>
      <c r="C104" t="s">
        <v>92</v>
      </c>
      <c r="D104" t="s">
        <v>138</v>
      </c>
      <c r="E104">
        <v>879</v>
      </c>
      <c r="F104">
        <v>861</v>
      </c>
      <c r="G104">
        <v>1200</v>
      </c>
      <c r="H104" t="s">
        <v>89</v>
      </c>
      <c r="I104">
        <v>4182</v>
      </c>
      <c r="J104" t="s">
        <v>127</v>
      </c>
      <c r="K104" t="s">
        <v>90</v>
      </c>
      <c r="L104">
        <v>1489</v>
      </c>
      <c r="M104">
        <v>1498</v>
      </c>
      <c r="N104">
        <v>700</v>
      </c>
      <c r="O104" t="s">
        <v>91</v>
      </c>
      <c r="P104">
        <v>0.95246188259987397</v>
      </c>
      <c r="Q104">
        <v>0.90500720687897895</v>
      </c>
      <c r="R104">
        <v>2.3385379182769599E-2</v>
      </c>
      <c r="S104">
        <v>0.106419761016758</v>
      </c>
      <c r="T104">
        <v>-2.6650511695814898</v>
      </c>
      <c r="U104">
        <v>2.6650511695814898</v>
      </c>
      <c r="V104">
        <v>-7.43</v>
      </c>
      <c r="W104">
        <v>1.47</v>
      </c>
      <c r="X104">
        <v>136657</v>
      </c>
      <c r="Y104">
        <v>7192</v>
      </c>
      <c r="Z104">
        <v>0.3</v>
      </c>
      <c r="AA104">
        <v>19</v>
      </c>
      <c r="AB104">
        <v>13</v>
      </c>
      <c r="AC104">
        <v>6</v>
      </c>
      <c r="AD104">
        <v>68.42</v>
      </c>
      <c r="AE104">
        <v>12</v>
      </c>
      <c r="AF104">
        <v>8</v>
      </c>
      <c r="AG104">
        <v>5</v>
      </c>
      <c r="AH104">
        <v>6</v>
      </c>
    </row>
    <row r="105" spans="1:34">
      <c r="A105" s="214">
        <v>257</v>
      </c>
      <c r="B105">
        <v>4188</v>
      </c>
      <c r="C105" t="s">
        <v>226</v>
      </c>
      <c r="D105" t="s">
        <v>90</v>
      </c>
      <c r="E105">
        <v>790</v>
      </c>
      <c r="F105">
        <v>812.5</v>
      </c>
      <c r="G105">
        <v>1300</v>
      </c>
      <c r="H105" t="s">
        <v>91</v>
      </c>
      <c r="I105">
        <v>8601</v>
      </c>
      <c r="J105" t="s">
        <v>53</v>
      </c>
      <c r="K105" t="s">
        <v>171</v>
      </c>
      <c r="L105">
        <v>491.7</v>
      </c>
      <c r="M105">
        <v>494.2</v>
      </c>
      <c r="N105">
        <v>2100</v>
      </c>
      <c r="O105" t="s">
        <v>89</v>
      </c>
      <c r="P105">
        <v>0.92720506836947003</v>
      </c>
      <c r="Q105">
        <v>0.90473893907133895</v>
      </c>
      <c r="R105">
        <v>2.0711573624014601E-2</v>
      </c>
      <c r="S105" s="20">
        <v>6.9717232851221602E-3</v>
      </c>
      <c r="T105">
        <v>1.7815992104723</v>
      </c>
      <c r="U105">
        <v>1.7815992104723</v>
      </c>
      <c r="V105">
        <v>2.99</v>
      </c>
      <c r="W105">
        <v>1.74</v>
      </c>
      <c r="X105">
        <v>135863</v>
      </c>
      <c r="Y105">
        <v>7151</v>
      </c>
      <c r="Z105">
        <v>0.37</v>
      </c>
      <c r="AA105">
        <v>19</v>
      </c>
      <c r="AB105">
        <v>11</v>
      </c>
      <c r="AC105">
        <v>8</v>
      </c>
      <c r="AD105">
        <v>57.89</v>
      </c>
      <c r="AE105">
        <v>13</v>
      </c>
      <c r="AF105">
        <v>6</v>
      </c>
      <c r="AG105">
        <v>4</v>
      </c>
      <c r="AH105">
        <v>9</v>
      </c>
    </row>
    <row r="106" spans="1:34">
      <c r="A106" s="214">
        <v>15</v>
      </c>
      <c r="B106">
        <v>7013</v>
      </c>
      <c r="C106" t="s">
        <v>143</v>
      </c>
      <c r="D106" t="s">
        <v>144</v>
      </c>
      <c r="E106">
        <v>2400</v>
      </c>
      <c r="F106">
        <v>2431</v>
      </c>
      <c r="G106">
        <v>400</v>
      </c>
      <c r="H106" t="s">
        <v>91</v>
      </c>
      <c r="I106">
        <v>8795</v>
      </c>
      <c r="J106" t="s">
        <v>227</v>
      </c>
      <c r="K106" t="s">
        <v>158</v>
      </c>
      <c r="L106">
        <v>1150.5</v>
      </c>
      <c r="M106">
        <v>1165</v>
      </c>
      <c r="N106">
        <v>800</v>
      </c>
      <c r="O106" t="s">
        <v>89</v>
      </c>
      <c r="P106">
        <v>0.94680177749099803</v>
      </c>
      <c r="Q106">
        <v>0.96190058728908601</v>
      </c>
      <c r="R106">
        <v>2.55237394443566E-2</v>
      </c>
      <c r="S106">
        <v>8.8727922859686503E-2</v>
      </c>
      <c r="T106">
        <v>0.22663615788050601</v>
      </c>
      <c r="U106">
        <v>0.22663615788050601</v>
      </c>
      <c r="V106">
        <v>0.84</v>
      </c>
      <c r="W106">
        <v>4.1500000000000004</v>
      </c>
      <c r="X106">
        <v>133543</v>
      </c>
      <c r="Y106">
        <v>7029</v>
      </c>
      <c r="Z106">
        <v>0.47</v>
      </c>
      <c r="AA106">
        <v>19</v>
      </c>
      <c r="AB106">
        <v>11</v>
      </c>
      <c r="AC106">
        <v>8</v>
      </c>
      <c r="AD106">
        <v>57.89</v>
      </c>
      <c r="AE106">
        <v>10</v>
      </c>
      <c r="AF106">
        <v>9</v>
      </c>
      <c r="AG106">
        <v>7</v>
      </c>
      <c r="AH106">
        <v>3</v>
      </c>
    </row>
    <row r="107" spans="1:34">
      <c r="A107" s="214">
        <v>147</v>
      </c>
      <c r="B107">
        <v>4061</v>
      </c>
      <c r="C107" t="s">
        <v>184</v>
      </c>
      <c r="D107" t="s">
        <v>90</v>
      </c>
      <c r="E107">
        <v>2950</v>
      </c>
      <c r="F107">
        <v>3015</v>
      </c>
      <c r="G107">
        <v>400</v>
      </c>
      <c r="H107" t="s">
        <v>91</v>
      </c>
      <c r="I107">
        <v>8316</v>
      </c>
      <c r="J107" t="s">
        <v>228</v>
      </c>
      <c r="K107" t="s">
        <v>121</v>
      </c>
      <c r="L107">
        <v>3657</v>
      </c>
      <c r="M107">
        <v>3651</v>
      </c>
      <c r="N107">
        <v>300</v>
      </c>
      <c r="O107" t="s">
        <v>89</v>
      </c>
      <c r="P107">
        <v>0.94931406670974305</v>
      </c>
      <c r="Q107">
        <v>0.923350992525236</v>
      </c>
      <c r="R107">
        <v>3.4637792827043899E-2</v>
      </c>
      <c r="S107">
        <v>1.64751234857093E-2</v>
      </c>
      <c r="T107">
        <v>0.68799930805374498</v>
      </c>
      <c r="U107">
        <v>0.68799930805374498</v>
      </c>
      <c r="V107">
        <v>1.71</v>
      </c>
      <c r="W107">
        <v>10.11</v>
      </c>
      <c r="X107">
        <v>133292</v>
      </c>
      <c r="Y107">
        <v>16662</v>
      </c>
      <c r="Z107">
        <v>0.99</v>
      </c>
      <c r="AA107">
        <v>8</v>
      </c>
      <c r="AB107">
        <v>6</v>
      </c>
      <c r="AC107">
        <v>2</v>
      </c>
      <c r="AD107">
        <v>75</v>
      </c>
      <c r="AE107">
        <v>14</v>
      </c>
      <c r="AF107">
        <v>2</v>
      </c>
      <c r="AG107">
        <v>0</v>
      </c>
      <c r="AH107">
        <v>6</v>
      </c>
    </row>
    <row r="108" spans="1:34">
      <c r="A108" s="214">
        <v>40</v>
      </c>
      <c r="B108">
        <v>3148</v>
      </c>
      <c r="C108" t="s">
        <v>229</v>
      </c>
      <c r="D108" t="s">
        <v>138</v>
      </c>
      <c r="E108">
        <v>2605</v>
      </c>
      <c r="F108">
        <v>2647</v>
      </c>
      <c r="G108">
        <v>400</v>
      </c>
      <c r="H108" t="s">
        <v>91</v>
      </c>
      <c r="I108">
        <v>9412</v>
      </c>
      <c r="J108" t="s">
        <v>116</v>
      </c>
      <c r="K108" t="s">
        <v>117</v>
      </c>
      <c r="L108">
        <v>447</v>
      </c>
      <c r="M108">
        <v>442</v>
      </c>
      <c r="N108">
        <v>2400</v>
      </c>
      <c r="O108" t="s">
        <v>89</v>
      </c>
      <c r="P108">
        <v>0.90044611112744199</v>
      </c>
      <c r="Q108">
        <v>0.94902371107557904</v>
      </c>
      <c r="R108">
        <v>1.2053225977048099E-2</v>
      </c>
      <c r="S108">
        <v>4.8017204048051999E-4</v>
      </c>
      <c r="T108">
        <v>2.26473341572486</v>
      </c>
      <c r="U108">
        <v>2.26473341572486</v>
      </c>
      <c r="V108">
        <v>4.82</v>
      </c>
      <c r="W108">
        <v>0.19</v>
      </c>
      <c r="X108">
        <v>130313</v>
      </c>
      <c r="Y108">
        <v>8688</v>
      </c>
      <c r="Z108">
        <v>0.52</v>
      </c>
      <c r="AA108">
        <v>15</v>
      </c>
      <c r="AB108">
        <v>9</v>
      </c>
      <c r="AC108">
        <v>6</v>
      </c>
      <c r="AD108">
        <v>60</v>
      </c>
      <c r="AE108">
        <v>12</v>
      </c>
      <c r="AF108">
        <v>7</v>
      </c>
      <c r="AG108">
        <v>4</v>
      </c>
      <c r="AH108">
        <v>4</v>
      </c>
    </row>
    <row r="109" spans="1:34">
      <c r="A109" s="214">
        <v>188</v>
      </c>
      <c r="B109">
        <v>4118</v>
      </c>
      <c r="C109" t="s">
        <v>93</v>
      </c>
      <c r="D109" t="s">
        <v>90</v>
      </c>
      <c r="E109">
        <v>3440</v>
      </c>
      <c r="F109">
        <v>3465</v>
      </c>
      <c r="G109">
        <v>300</v>
      </c>
      <c r="H109" t="s">
        <v>89</v>
      </c>
      <c r="I109">
        <v>7751</v>
      </c>
      <c r="J109" t="s">
        <v>230</v>
      </c>
      <c r="K109" t="s">
        <v>126</v>
      </c>
      <c r="L109">
        <v>2853</v>
      </c>
      <c r="M109">
        <v>2864.5</v>
      </c>
      <c r="N109">
        <v>400</v>
      </c>
      <c r="O109" t="s">
        <v>91</v>
      </c>
      <c r="P109">
        <v>0.91418625685621002</v>
      </c>
      <c r="Q109">
        <v>0.91518759997509702</v>
      </c>
      <c r="R109">
        <v>0.25447660273856398</v>
      </c>
      <c r="S109">
        <v>1.5022645528148901E-2</v>
      </c>
      <c r="T109">
        <v>-0.16246935613014599</v>
      </c>
      <c r="U109">
        <v>0.16246935613014599</v>
      </c>
      <c r="V109">
        <v>-0.9</v>
      </c>
      <c r="W109">
        <v>10.23</v>
      </c>
      <c r="X109">
        <v>129977</v>
      </c>
      <c r="Y109">
        <v>43326</v>
      </c>
      <c r="Z109">
        <v>1.93</v>
      </c>
      <c r="AA109">
        <v>3</v>
      </c>
      <c r="AB109">
        <v>3</v>
      </c>
      <c r="AC109">
        <v>0</v>
      </c>
      <c r="AD109">
        <v>100</v>
      </c>
      <c r="AE109">
        <v>11</v>
      </c>
      <c r="AF109">
        <v>2</v>
      </c>
      <c r="AG109">
        <v>0</v>
      </c>
      <c r="AH109">
        <v>1</v>
      </c>
    </row>
    <row r="110" spans="1:34">
      <c r="A110" s="214">
        <v>190</v>
      </c>
      <c r="B110">
        <v>8273</v>
      </c>
      <c r="C110" t="s">
        <v>145</v>
      </c>
      <c r="D110" t="s">
        <v>138</v>
      </c>
      <c r="E110">
        <v>4165</v>
      </c>
      <c r="F110">
        <v>4160</v>
      </c>
      <c r="G110">
        <v>200</v>
      </c>
      <c r="H110" t="s">
        <v>89</v>
      </c>
      <c r="I110">
        <v>8309</v>
      </c>
      <c r="J110" t="s">
        <v>52</v>
      </c>
      <c r="K110" t="s">
        <v>121</v>
      </c>
      <c r="L110">
        <v>3719</v>
      </c>
      <c r="M110">
        <v>3741</v>
      </c>
      <c r="N110">
        <v>200</v>
      </c>
      <c r="O110" t="s">
        <v>91</v>
      </c>
      <c r="P110">
        <v>0.93535216620495998</v>
      </c>
      <c r="Q110">
        <v>0.91510440707963803</v>
      </c>
      <c r="R110">
        <v>0.15877781646634601</v>
      </c>
      <c r="S110">
        <v>0.15752310373675901</v>
      </c>
      <c r="T110">
        <v>-7.5931770573666804E-2</v>
      </c>
      <c r="U110">
        <v>7.5931770573666804E-2</v>
      </c>
      <c r="V110">
        <v>-0.18</v>
      </c>
      <c r="W110">
        <v>10.07</v>
      </c>
      <c r="X110">
        <v>129319</v>
      </c>
      <c r="Y110">
        <v>64660</v>
      </c>
      <c r="Z110">
        <v>3.55</v>
      </c>
      <c r="AA110">
        <v>2</v>
      </c>
      <c r="AB110">
        <v>2</v>
      </c>
      <c r="AC110">
        <v>0</v>
      </c>
      <c r="AD110">
        <v>100</v>
      </c>
      <c r="AE110">
        <v>12</v>
      </c>
      <c r="AF110">
        <v>2</v>
      </c>
      <c r="AG110">
        <v>0</v>
      </c>
      <c r="AH110">
        <v>0</v>
      </c>
    </row>
    <row r="111" spans="1:34">
      <c r="A111" s="214">
        <v>198</v>
      </c>
      <c r="B111">
        <v>1911</v>
      </c>
      <c r="C111" t="s">
        <v>149</v>
      </c>
      <c r="D111" t="s">
        <v>115</v>
      </c>
      <c r="E111">
        <v>1473</v>
      </c>
      <c r="F111">
        <v>1479</v>
      </c>
      <c r="G111">
        <v>600</v>
      </c>
      <c r="H111" t="s">
        <v>91</v>
      </c>
      <c r="I111">
        <v>6923</v>
      </c>
      <c r="J111" t="s">
        <v>164</v>
      </c>
      <c r="K111" t="s">
        <v>126</v>
      </c>
      <c r="L111">
        <v>2871</v>
      </c>
      <c r="M111">
        <v>2908</v>
      </c>
      <c r="N111">
        <v>300</v>
      </c>
      <c r="O111" t="s">
        <v>89</v>
      </c>
      <c r="P111">
        <v>0.94512704984003104</v>
      </c>
      <c r="Q111">
        <v>0.91420001403849704</v>
      </c>
      <c r="R111">
        <v>1.5852372099744399E-3</v>
      </c>
      <c r="S111">
        <v>9.0747058350502202E-2</v>
      </c>
      <c r="T111">
        <v>1.02194485365409</v>
      </c>
      <c r="U111">
        <v>1.02194485365409</v>
      </c>
      <c r="V111">
        <v>2.04</v>
      </c>
      <c r="W111">
        <v>1.72</v>
      </c>
      <c r="X111">
        <v>128570</v>
      </c>
      <c r="Y111">
        <v>7143</v>
      </c>
      <c r="Z111">
        <v>0.5</v>
      </c>
      <c r="AA111">
        <v>18</v>
      </c>
      <c r="AB111">
        <v>9</v>
      </c>
      <c r="AC111">
        <v>9</v>
      </c>
      <c r="AD111">
        <v>50</v>
      </c>
      <c r="AE111">
        <v>13</v>
      </c>
      <c r="AF111">
        <v>5</v>
      </c>
      <c r="AG111">
        <v>2</v>
      </c>
      <c r="AH111">
        <v>11</v>
      </c>
    </row>
    <row r="112" spans="1:34">
      <c r="A112" s="214">
        <v>24</v>
      </c>
      <c r="B112">
        <v>6752</v>
      </c>
      <c r="C112" t="s">
        <v>152</v>
      </c>
      <c r="D112" t="s">
        <v>126</v>
      </c>
      <c r="E112">
        <v>874.4</v>
      </c>
      <c r="F112">
        <v>877.9</v>
      </c>
      <c r="G112">
        <v>900</v>
      </c>
      <c r="H112" t="s">
        <v>89</v>
      </c>
      <c r="I112">
        <v>7846</v>
      </c>
      <c r="J112" t="s">
        <v>189</v>
      </c>
      <c r="K112" t="s">
        <v>129</v>
      </c>
      <c r="L112">
        <v>4000</v>
      </c>
      <c r="M112">
        <v>4015</v>
      </c>
      <c r="N112">
        <v>200</v>
      </c>
      <c r="O112" t="s">
        <v>91</v>
      </c>
      <c r="P112">
        <v>0.93329824366881098</v>
      </c>
      <c r="Q112">
        <v>0.95471598492218701</v>
      </c>
      <c r="R112">
        <v>3.2485481982676603E-2</v>
      </c>
      <c r="S112">
        <v>0.12962122469557899</v>
      </c>
      <c r="T112">
        <v>-1.15927443588446</v>
      </c>
      <c r="U112">
        <v>1.15927443588446</v>
      </c>
      <c r="V112">
        <v>-2.6</v>
      </c>
      <c r="W112">
        <v>1.61</v>
      </c>
      <c r="X112">
        <v>128492</v>
      </c>
      <c r="Y112">
        <v>8031</v>
      </c>
      <c r="Z112">
        <v>0.28999999999999998</v>
      </c>
      <c r="AA112">
        <v>16</v>
      </c>
      <c r="AB112">
        <v>7</v>
      </c>
      <c r="AC112">
        <v>9</v>
      </c>
      <c r="AD112">
        <v>43.75</v>
      </c>
      <c r="AE112">
        <v>13</v>
      </c>
      <c r="AF112">
        <v>6</v>
      </c>
      <c r="AG112">
        <v>2</v>
      </c>
      <c r="AH112">
        <v>8</v>
      </c>
    </row>
    <row r="113" spans="1:34">
      <c r="A113" s="214">
        <v>7</v>
      </c>
      <c r="B113">
        <v>4581</v>
      </c>
      <c r="C113" t="s">
        <v>231</v>
      </c>
      <c r="D113" t="s">
        <v>232</v>
      </c>
      <c r="E113">
        <v>7580</v>
      </c>
      <c r="F113">
        <v>7630</v>
      </c>
      <c r="G113">
        <v>100</v>
      </c>
      <c r="H113" t="s">
        <v>91</v>
      </c>
      <c r="I113">
        <v>7181</v>
      </c>
      <c r="J113" t="s">
        <v>233</v>
      </c>
      <c r="K113" t="s">
        <v>158</v>
      </c>
      <c r="L113">
        <v>1607</v>
      </c>
      <c r="M113">
        <v>1637</v>
      </c>
      <c r="N113">
        <v>500</v>
      </c>
      <c r="O113" t="s">
        <v>89</v>
      </c>
      <c r="P113">
        <v>0.90928140697151005</v>
      </c>
      <c r="Q113">
        <v>0.96781317500581099</v>
      </c>
      <c r="R113">
        <v>3.84750889656299E-2</v>
      </c>
      <c r="S113">
        <v>7.9127225360469705E-2</v>
      </c>
      <c r="T113">
        <v>7.6047287098783597E-2</v>
      </c>
      <c r="U113">
        <v>7.6047287098783597E-2</v>
      </c>
      <c r="V113">
        <v>0.37</v>
      </c>
      <c r="W113">
        <v>7.27</v>
      </c>
      <c r="X113">
        <v>127968</v>
      </c>
      <c r="Y113">
        <v>12797</v>
      </c>
      <c r="Z113">
        <v>0.84</v>
      </c>
      <c r="AA113">
        <v>10</v>
      </c>
      <c r="AB113">
        <v>6</v>
      </c>
      <c r="AC113">
        <v>4</v>
      </c>
      <c r="AD113">
        <v>60</v>
      </c>
      <c r="AE113">
        <v>12</v>
      </c>
      <c r="AF113">
        <v>4</v>
      </c>
      <c r="AG113">
        <v>2</v>
      </c>
      <c r="AH113">
        <v>4</v>
      </c>
    </row>
    <row r="114" spans="1:34">
      <c r="A114" s="214">
        <v>203</v>
      </c>
      <c r="B114">
        <v>5401</v>
      </c>
      <c r="C114" t="s">
        <v>169</v>
      </c>
      <c r="D114" t="s">
        <v>134</v>
      </c>
      <c r="E114">
        <v>1504</v>
      </c>
      <c r="F114">
        <v>1504.5</v>
      </c>
      <c r="G114">
        <v>700</v>
      </c>
      <c r="H114" t="s">
        <v>89</v>
      </c>
      <c r="I114">
        <v>6586</v>
      </c>
      <c r="J114" t="s">
        <v>160</v>
      </c>
      <c r="K114" t="s">
        <v>144</v>
      </c>
      <c r="L114">
        <v>3170</v>
      </c>
      <c r="M114">
        <v>3270</v>
      </c>
      <c r="N114">
        <v>300</v>
      </c>
      <c r="O114" t="s">
        <v>91</v>
      </c>
      <c r="P114">
        <v>0.94321323958433101</v>
      </c>
      <c r="Q114">
        <v>0.91368271155624603</v>
      </c>
      <c r="R114">
        <v>0.236047790344904</v>
      </c>
      <c r="S114">
        <v>0.27116571943500201</v>
      </c>
      <c r="T114">
        <v>-1.16289911805905</v>
      </c>
      <c r="U114">
        <v>1.16289911805905</v>
      </c>
      <c r="V114">
        <v>-4.04</v>
      </c>
      <c r="W114">
        <v>7.35</v>
      </c>
      <c r="X114">
        <v>127686</v>
      </c>
      <c r="Y114">
        <v>10640</v>
      </c>
      <c r="Z114">
        <v>0.63</v>
      </c>
      <c r="AA114">
        <v>12</v>
      </c>
      <c r="AB114">
        <v>7</v>
      </c>
      <c r="AC114">
        <v>5</v>
      </c>
      <c r="AD114">
        <v>58.33</v>
      </c>
      <c r="AE114">
        <v>14</v>
      </c>
      <c r="AF114">
        <v>4</v>
      </c>
      <c r="AG114">
        <v>1</v>
      </c>
      <c r="AH114">
        <v>7</v>
      </c>
    </row>
    <row r="115" spans="1:34">
      <c r="A115" s="214">
        <v>185</v>
      </c>
      <c r="B115">
        <v>4208</v>
      </c>
      <c r="C115" t="s">
        <v>141</v>
      </c>
      <c r="D115" t="s">
        <v>90</v>
      </c>
      <c r="E115">
        <v>2220</v>
      </c>
      <c r="F115">
        <v>2233</v>
      </c>
      <c r="G115">
        <v>400</v>
      </c>
      <c r="H115" t="s">
        <v>91</v>
      </c>
      <c r="I115">
        <v>9072</v>
      </c>
      <c r="J115" t="s">
        <v>201</v>
      </c>
      <c r="K115" t="s">
        <v>178</v>
      </c>
      <c r="L115">
        <v>2500</v>
      </c>
      <c r="M115">
        <v>2504</v>
      </c>
      <c r="N115">
        <v>400</v>
      </c>
      <c r="O115" t="s">
        <v>89</v>
      </c>
      <c r="P115">
        <v>0.93484088136615995</v>
      </c>
      <c r="Q115">
        <v>0.91555875574891998</v>
      </c>
      <c r="R115">
        <v>1.09152169503661E-2</v>
      </c>
      <c r="S115">
        <v>3.5081103597539201E-2</v>
      </c>
      <c r="T115">
        <v>1.3589266240083799</v>
      </c>
      <c r="U115">
        <v>1.3589266240083799</v>
      </c>
      <c r="V115">
        <v>2.54</v>
      </c>
      <c r="W115">
        <v>10.82</v>
      </c>
      <c r="X115">
        <v>126426</v>
      </c>
      <c r="Y115">
        <v>11493</v>
      </c>
      <c r="Z115">
        <v>0.65</v>
      </c>
      <c r="AA115">
        <v>11</v>
      </c>
      <c r="AB115">
        <v>7</v>
      </c>
      <c r="AC115">
        <v>4</v>
      </c>
      <c r="AD115">
        <v>63.64</v>
      </c>
      <c r="AE115">
        <v>14</v>
      </c>
      <c r="AF115">
        <v>5</v>
      </c>
      <c r="AG115">
        <v>1</v>
      </c>
      <c r="AH115">
        <v>5</v>
      </c>
    </row>
    <row r="116" spans="1:34">
      <c r="A116" s="214">
        <v>151</v>
      </c>
      <c r="B116">
        <v>3861</v>
      </c>
      <c r="C116" t="s">
        <v>94</v>
      </c>
      <c r="D116" t="s">
        <v>118</v>
      </c>
      <c r="E116">
        <v>530</v>
      </c>
      <c r="F116">
        <v>543</v>
      </c>
      <c r="G116">
        <v>1900</v>
      </c>
      <c r="H116" t="s">
        <v>91</v>
      </c>
      <c r="I116">
        <v>5401</v>
      </c>
      <c r="J116" t="s">
        <v>169</v>
      </c>
      <c r="K116" t="s">
        <v>134</v>
      </c>
      <c r="L116">
        <v>1504</v>
      </c>
      <c r="M116">
        <v>1504.5</v>
      </c>
      <c r="N116">
        <v>700</v>
      </c>
      <c r="O116" t="s">
        <v>89</v>
      </c>
      <c r="P116">
        <v>0.94214060194022398</v>
      </c>
      <c r="Q116">
        <v>0.922451990375599</v>
      </c>
      <c r="R116">
        <v>0.20323669034700501</v>
      </c>
      <c r="S116">
        <v>0.310430094035616</v>
      </c>
      <c r="T116">
        <v>3.53453204441238</v>
      </c>
      <c r="U116">
        <v>3.53453204441238</v>
      </c>
      <c r="V116">
        <v>7.61</v>
      </c>
      <c r="W116">
        <v>2.04</v>
      </c>
      <c r="X116">
        <v>125278</v>
      </c>
      <c r="Y116">
        <v>7369</v>
      </c>
      <c r="Z116">
        <v>0.32</v>
      </c>
      <c r="AA116">
        <v>17</v>
      </c>
      <c r="AB116">
        <v>6</v>
      </c>
      <c r="AC116">
        <v>11</v>
      </c>
      <c r="AD116">
        <v>35.29</v>
      </c>
      <c r="AE116">
        <v>15</v>
      </c>
      <c r="AF116">
        <v>5</v>
      </c>
      <c r="AG116">
        <v>3</v>
      </c>
      <c r="AH116">
        <v>9</v>
      </c>
    </row>
    <row r="117" spans="1:34">
      <c r="A117" s="214">
        <v>125</v>
      </c>
      <c r="B117">
        <v>6770</v>
      </c>
      <c r="C117" t="s">
        <v>50</v>
      </c>
      <c r="D117" t="s">
        <v>126</v>
      </c>
      <c r="E117">
        <v>2097</v>
      </c>
      <c r="F117">
        <v>2110</v>
      </c>
      <c r="G117">
        <v>500</v>
      </c>
      <c r="H117" t="s">
        <v>91</v>
      </c>
      <c r="I117">
        <v>8601</v>
      </c>
      <c r="J117" t="s">
        <v>53</v>
      </c>
      <c r="K117" t="s">
        <v>171</v>
      </c>
      <c r="L117">
        <v>491.7</v>
      </c>
      <c r="M117">
        <v>494.2</v>
      </c>
      <c r="N117">
        <v>2100</v>
      </c>
      <c r="O117" t="s">
        <v>89</v>
      </c>
      <c r="P117">
        <v>0.90607206447934097</v>
      </c>
      <c r="Q117">
        <v>0.92776572373873001</v>
      </c>
      <c r="R117">
        <v>0.105993420148773</v>
      </c>
      <c r="S117">
        <v>0.14553520388515101</v>
      </c>
      <c r="T117">
        <v>2.1093437317848398</v>
      </c>
      <c r="U117">
        <v>2.1093437317848398</v>
      </c>
      <c r="V117">
        <v>6.28</v>
      </c>
      <c r="W117">
        <v>1.63</v>
      </c>
      <c r="X117">
        <v>123816</v>
      </c>
      <c r="Y117">
        <v>6517</v>
      </c>
      <c r="Z117">
        <v>0.45</v>
      </c>
      <c r="AA117">
        <v>19</v>
      </c>
      <c r="AB117">
        <v>11</v>
      </c>
      <c r="AC117">
        <v>8</v>
      </c>
      <c r="AD117">
        <v>57.89</v>
      </c>
      <c r="AE117">
        <v>12</v>
      </c>
      <c r="AF117">
        <v>6</v>
      </c>
      <c r="AG117">
        <v>4</v>
      </c>
      <c r="AH117">
        <v>9</v>
      </c>
    </row>
    <row r="118" spans="1:34">
      <c r="A118" s="214">
        <v>230</v>
      </c>
      <c r="B118">
        <v>4208</v>
      </c>
      <c r="C118" t="s">
        <v>141</v>
      </c>
      <c r="D118" t="s">
        <v>90</v>
      </c>
      <c r="E118">
        <v>2220</v>
      </c>
      <c r="F118">
        <v>2233</v>
      </c>
      <c r="G118">
        <v>400</v>
      </c>
      <c r="H118" t="s">
        <v>91</v>
      </c>
      <c r="I118">
        <v>5991</v>
      </c>
      <c r="J118" t="s">
        <v>167</v>
      </c>
      <c r="K118" t="s">
        <v>168</v>
      </c>
      <c r="L118">
        <v>822</v>
      </c>
      <c r="M118">
        <v>825</v>
      </c>
      <c r="N118">
        <v>1100</v>
      </c>
      <c r="O118" t="s">
        <v>89</v>
      </c>
      <c r="P118">
        <v>0.94140802478681895</v>
      </c>
      <c r="Q118">
        <v>0.90773277577744804</v>
      </c>
      <c r="R118">
        <v>2.1909333516017399E-2</v>
      </c>
      <c r="S118">
        <v>5.0865391416899698E-2</v>
      </c>
      <c r="T118">
        <v>0.60166605208021495</v>
      </c>
      <c r="U118">
        <v>0.60166605208021495</v>
      </c>
      <c r="V118">
        <v>1.46</v>
      </c>
      <c r="W118">
        <v>1.6</v>
      </c>
      <c r="X118">
        <v>118186</v>
      </c>
      <c r="Y118">
        <v>7879</v>
      </c>
      <c r="Z118">
        <v>0.34</v>
      </c>
      <c r="AA118">
        <v>15</v>
      </c>
      <c r="AB118">
        <v>9</v>
      </c>
      <c r="AC118">
        <v>6</v>
      </c>
      <c r="AD118">
        <v>60</v>
      </c>
      <c r="AE118">
        <v>11</v>
      </c>
      <c r="AF118">
        <v>7</v>
      </c>
      <c r="AG118">
        <v>4</v>
      </c>
      <c r="AH118">
        <v>4</v>
      </c>
    </row>
    <row r="119" spans="1:34">
      <c r="A119" s="214">
        <v>172</v>
      </c>
      <c r="B119">
        <v>1893</v>
      </c>
      <c r="C119" t="s">
        <v>161</v>
      </c>
      <c r="D119" t="s">
        <v>115</v>
      </c>
      <c r="E119">
        <v>586</v>
      </c>
      <c r="F119">
        <v>595</v>
      </c>
      <c r="G119">
        <v>1700</v>
      </c>
      <c r="H119" t="s">
        <v>91</v>
      </c>
      <c r="I119">
        <v>2229</v>
      </c>
      <c r="J119" t="s">
        <v>234</v>
      </c>
      <c r="K119" t="s">
        <v>140</v>
      </c>
      <c r="L119">
        <v>3325</v>
      </c>
      <c r="M119">
        <v>3325</v>
      </c>
      <c r="N119">
        <v>300</v>
      </c>
      <c r="O119" t="s">
        <v>89</v>
      </c>
      <c r="P119">
        <v>0.906359026702941</v>
      </c>
      <c r="Q119">
        <v>0.91850168234368801</v>
      </c>
      <c r="R119">
        <v>0.24010300362112399</v>
      </c>
      <c r="S119">
        <v>7.9164450083252305E-3</v>
      </c>
      <c r="T119">
        <v>1.1072928329910701</v>
      </c>
      <c r="U119">
        <v>1.1072928329910701</v>
      </c>
      <c r="V119">
        <v>3.03</v>
      </c>
      <c r="W119">
        <v>1.4</v>
      </c>
      <c r="X119">
        <v>116482</v>
      </c>
      <c r="Y119">
        <v>5547</v>
      </c>
      <c r="Z119">
        <v>0.19</v>
      </c>
      <c r="AA119">
        <v>21</v>
      </c>
      <c r="AB119">
        <v>11</v>
      </c>
      <c r="AC119">
        <v>10</v>
      </c>
      <c r="AD119">
        <v>52.38</v>
      </c>
      <c r="AE119">
        <v>12</v>
      </c>
      <c r="AF119">
        <v>6</v>
      </c>
      <c r="AG119">
        <v>6</v>
      </c>
      <c r="AH119">
        <v>9</v>
      </c>
    </row>
    <row r="120" spans="1:34">
      <c r="A120" s="214">
        <v>128</v>
      </c>
      <c r="B120">
        <v>6586</v>
      </c>
      <c r="C120" t="s">
        <v>160</v>
      </c>
      <c r="D120" t="s">
        <v>144</v>
      </c>
      <c r="E120">
        <v>3170</v>
      </c>
      <c r="F120">
        <v>3270</v>
      </c>
      <c r="G120">
        <v>300</v>
      </c>
      <c r="H120" t="s">
        <v>89</v>
      </c>
      <c r="I120">
        <v>8377</v>
      </c>
      <c r="J120" t="s">
        <v>137</v>
      </c>
      <c r="K120" t="s">
        <v>121</v>
      </c>
      <c r="L120">
        <v>1032</v>
      </c>
      <c r="M120">
        <v>1036</v>
      </c>
      <c r="N120">
        <v>900</v>
      </c>
      <c r="O120" t="s">
        <v>91</v>
      </c>
      <c r="P120">
        <v>0.90892831618774605</v>
      </c>
      <c r="Q120">
        <v>0.92658544389706399</v>
      </c>
      <c r="R120">
        <v>0.14409051061240999</v>
      </c>
      <c r="S120">
        <v>1.39350638418824E-2</v>
      </c>
      <c r="T120">
        <v>-0.44472179483164698</v>
      </c>
      <c r="U120">
        <v>0.44472179483164698</v>
      </c>
      <c r="V120">
        <v>-1.17</v>
      </c>
      <c r="W120">
        <v>4.95</v>
      </c>
      <c r="X120">
        <v>116244</v>
      </c>
      <c r="Y120">
        <v>8303</v>
      </c>
      <c r="Z120">
        <v>0.27</v>
      </c>
      <c r="AA120">
        <v>14</v>
      </c>
      <c r="AB120">
        <v>7</v>
      </c>
      <c r="AC120">
        <v>7</v>
      </c>
      <c r="AD120">
        <v>50</v>
      </c>
      <c r="AE120">
        <v>12</v>
      </c>
      <c r="AF120">
        <v>5</v>
      </c>
      <c r="AG120">
        <v>4</v>
      </c>
      <c r="AH120">
        <v>5</v>
      </c>
    </row>
    <row r="121" spans="1:34">
      <c r="A121" s="214">
        <v>154</v>
      </c>
      <c r="B121">
        <v>4208</v>
      </c>
      <c r="C121" t="s">
        <v>141</v>
      </c>
      <c r="D121" t="s">
        <v>90</v>
      </c>
      <c r="E121">
        <v>2220</v>
      </c>
      <c r="F121">
        <v>2233</v>
      </c>
      <c r="G121">
        <v>500</v>
      </c>
      <c r="H121" t="s">
        <v>91</v>
      </c>
      <c r="I121">
        <v>7259</v>
      </c>
      <c r="J121" t="s">
        <v>55</v>
      </c>
      <c r="K121" t="s">
        <v>123</v>
      </c>
      <c r="L121">
        <v>3445</v>
      </c>
      <c r="M121">
        <v>3510</v>
      </c>
      <c r="N121">
        <v>300</v>
      </c>
      <c r="O121" t="s">
        <v>89</v>
      </c>
      <c r="P121">
        <v>0.950365538064042</v>
      </c>
      <c r="Q121">
        <v>0.92226230499065498</v>
      </c>
      <c r="R121">
        <v>6.3739233501993495E-2</v>
      </c>
      <c r="S121">
        <v>7.0453603248463196E-3</v>
      </c>
      <c r="T121">
        <v>0.26683755374212198</v>
      </c>
      <c r="U121">
        <v>0.26683755374212198</v>
      </c>
      <c r="V121">
        <v>0.93</v>
      </c>
      <c r="W121">
        <v>6.03</v>
      </c>
      <c r="X121">
        <v>114827</v>
      </c>
      <c r="Y121">
        <v>9569</v>
      </c>
      <c r="Z121">
        <v>0.74</v>
      </c>
      <c r="AA121">
        <v>12</v>
      </c>
      <c r="AB121">
        <v>7</v>
      </c>
      <c r="AC121">
        <v>5</v>
      </c>
      <c r="AD121">
        <v>58.33</v>
      </c>
      <c r="AE121">
        <v>13</v>
      </c>
      <c r="AF121">
        <v>6</v>
      </c>
      <c r="AG121">
        <v>2</v>
      </c>
      <c r="AH121">
        <v>4</v>
      </c>
    </row>
    <row r="122" spans="1:34">
      <c r="A122" s="214">
        <v>170</v>
      </c>
      <c r="B122">
        <v>6471</v>
      </c>
      <c r="C122" t="s">
        <v>235</v>
      </c>
      <c r="D122" t="s">
        <v>144</v>
      </c>
      <c r="E122">
        <v>941</v>
      </c>
      <c r="F122">
        <v>950</v>
      </c>
      <c r="G122">
        <v>1100</v>
      </c>
      <c r="H122" t="s">
        <v>91</v>
      </c>
      <c r="I122">
        <v>7259</v>
      </c>
      <c r="J122" t="s">
        <v>55</v>
      </c>
      <c r="K122" t="s">
        <v>123</v>
      </c>
      <c r="L122">
        <v>3445</v>
      </c>
      <c r="M122">
        <v>3510</v>
      </c>
      <c r="N122">
        <v>300</v>
      </c>
      <c r="O122" t="s">
        <v>89</v>
      </c>
      <c r="P122">
        <v>0.95606624293078701</v>
      </c>
      <c r="Q122">
        <v>0.91885323465509094</v>
      </c>
      <c r="R122" s="20">
        <v>1.32590371245235E-2</v>
      </c>
      <c r="S122">
        <v>0.11177931001543399</v>
      </c>
      <c r="T122">
        <v>0.47044812525614899</v>
      </c>
      <c r="U122">
        <v>0.47044812525614899</v>
      </c>
      <c r="V122">
        <v>1.22</v>
      </c>
      <c r="W122">
        <v>0.76</v>
      </c>
      <c r="X122">
        <v>114507</v>
      </c>
      <c r="Y122">
        <v>5725</v>
      </c>
      <c r="Z122">
        <v>0.39</v>
      </c>
      <c r="AA122">
        <v>20</v>
      </c>
      <c r="AB122">
        <v>12</v>
      </c>
      <c r="AC122">
        <v>8</v>
      </c>
      <c r="AD122">
        <v>60</v>
      </c>
      <c r="AE122">
        <v>12</v>
      </c>
      <c r="AF122">
        <v>7</v>
      </c>
      <c r="AG122">
        <v>4</v>
      </c>
      <c r="AH122">
        <v>9</v>
      </c>
    </row>
    <row r="123" spans="1:34">
      <c r="A123" s="214">
        <v>130</v>
      </c>
      <c r="B123">
        <v>6178</v>
      </c>
      <c r="C123" t="s">
        <v>179</v>
      </c>
      <c r="D123" t="s">
        <v>180</v>
      </c>
      <c r="E123">
        <v>981</v>
      </c>
      <c r="F123">
        <v>981</v>
      </c>
      <c r="G123">
        <v>1100</v>
      </c>
      <c r="H123" t="s">
        <v>89</v>
      </c>
      <c r="I123">
        <v>7201</v>
      </c>
      <c r="J123" t="s">
        <v>151</v>
      </c>
      <c r="K123" t="s">
        <v>123</v>
      </c>
      <c r="L123">
        <v>662</v>
      </c>
      <c r="M123">
        <v>668.7</v>
      </c>
      <c r="N123">
        <v>1600</v>
      </c>
      <c r="O123" t="s">
        <v>91</v>
      </c>
      <c r="P123">
        <v>0.92950867703551299</v>
      </c>
      <c r="Q123">
        <v>0.92611433439537505</v>
      </c>
      <c r="R123">
        <v>0.25514464361684203</v>
      </c>
      <c r="S123">
        <v>0.38747316946870403</v>
      </c>
      <c r="T123">
        <v>-0.48939423842125901</v>
      </c>
      <c r="U123">
        <v>0.48939423842125901</v>
      </c>
      <c r="V123">
        <v>-1.66</v>
      </c>
      <c r="W123">
        <v>0.85</v>
      </c>
      <c r="X123">
        <v>113717</v>
      </c>
      <c r="Y123">
        <v>5985</v>
      </c>
      <c r="Z123">
        <v>0.27</v>
      </c>
      <c r="AA123">
        <v>19</v>
      </c>
      <c r="AB123">
        <v>10</v>
      </c>
      <c r="AC123">
        <v>9</v>
      </c>
      <c r="AD123">
        <v>52.63</v>
      </c>
      <c r="AE123">
        <v>14</v>
      </c>
      <c r="AF123">
        <v>4</v>
      </c>
      <c r="AG123">
        <v>2</v>
      </c>
      <c r="AH123">
        <v>13</v>
      </c>
    </row>
    <row r="124" spans="1:34">
      <c r="A124" s="214">
        <v>70</v>
      </c>
      <c r="B124">
        <v>6472</v>
      </c>
      <c r="C124" t="s">
        <v>222</v>
      </c>
      <c r="D124" t="s">
        <v>144</v>
      </c>
      <c r="E124">
        <v>317</v>
      </c>
      <c r="F124">
        <v>322</v>
      </c>
      <c r="G124">
        <v>3400</v>
      </c>
      <c r="H124" t="s">
        <v>91</v>
      </c>
      <c r="I124">
        <v>6988</v>
      </c>
      <c r="J124" t="s">
        <v>236</v>
      </c>
      <c r="K124" t="s">
        <v>90</v>
      </c>
      <c r="L124">
        <v>5358</v>
      </c>
      <c r="M124">
        <v>5415</v>
      </c>
      <c r="N124">
        <v>200</v>
      </c>
      <c r="O124" t="s">
        <v>89</v>
      </c>
      <c r="P124">
        <v>0.92597165753417898</v>
      </c>
      <c r="Q124">
        <v>0.93914558630567102</v>
      </c>
      <c r="R124">
        <v>0.25439313764545302</v>
      </c>
      <c r="S124">
        <v>0.12658622646832199</v>
      </c>
      <c r="T124">
        <v>0.34153914624394999</v>
      </c>
      <c r="U124">
        <v>0.34153914624394999</v>
      </c>
      <c r="V124">
        <v>1.29</v>
      </c>
      <c r="W124">
        <v>1.0900000000000001</v>
      </c>
      <c r="X124">
        <v>111707</v>
      </c>
      <c r="Y124">
        <v>7447</v>
      </c>
      <c r="Z124">
        <v>0.46</v>
      </c>
      <c r="AA124">
        <v>15</v>
      </c>
      <c r="AB124">
        <v>7</v>
      </c>
      <c r="AC124">
        <v>8</v>
      </c>
      <c r="AD124">
        <v>46.67</v>
      </c>
      <c r="AE124">
        <v>14</v>
      </c>
      <c r="AF124">
        <v>6</v>
      </c>
      <c r="AG124">
        <v>2</v>
      </c>
      <c r="AH124">
        <v>7</v>
      </c>
    </row>
    <row r="125" spans="1:34">
      <c r="A125" s="214">
        <v>264</v>
      </c>
      <c r="B125">
        <v>4634</v>
      </c>
      <c r="C125" t="s">
        <v>237</v>
      </c>
      <c r="D125" t="s">
        <v>90</v>
      </c>
      <c r="E125">
        <v>2515</v>
      </c>
      <c r="F125">
        <v>2524</v>
      </c>
      <c r="G125">
        <v>400</v>
      </c>
      <c r="H125" t="s">
        <v>89</v>
      </c>
      <c r="I125">
        <v>6770</v>
      </c>
      <c r="J125" t="s">
        <v>50</v>
      </c>
      <c r="K125" t="s">
        <v>126</v>
      </c>
      <c r="L125">
        <v>2097</v>
      </c>
      <c r="M125">
        <v>2110</v>
      </c>
      <c r="N125">
        <v>500</v>
      </c>
      <c r="O125" t="s">
        <v>91</v>
      </c>
      <c r="P125">
        <v>0.95183021037208704</v>
      </c>
      <c r="Q125">
        <v>0.90348431000014295</v>
      </c>
      <c r="R125">
        <v>0.35618782441079599</v>
      </c>
      <c r="S125">
        <v>8.8310376876115492E-3</v>
      </c>
      <c r="T125">
        <v>-0.827230765531765</v>
      </c>
      <c r="U125">
        <v>0.827230765531765</v>
      </c>
      <c r="V125">
        <v>-2.19</v>
      </c>
      <c r="W125">
        <v>4.5</v>
      </c>
      <c r="X125">
        <v>108948</v>
      </c>
      <c r="Y125">
        <v>5447</v>
      </c>
      <c r="Z125">
        <v>0.15</v>
      </c>
      <c r="AA125">
        <v>20</v>
      </c>
      <c r="AB125">
        <v>12</v>
      </c>
      <c r="AC125">
        <v>8</v>
      </c>
      <c r="AD125">
        <v>60</v>
      </c>
      <c r="AE125">
        <v>11</v>
      </c>
      <c r="AF125">
        <v>7</v>
      </c>
      <c r="AG125">
        <v>5</v>
      </c>
      <c r="AH125">
        <v>8</v>
      </c>
    </row>
    <row r="126" spans="1:34">
      <c r="A126" s="214">
        <v>32</v>
      </c>
      <c r="B126">
        <v>4005</v>
      </c>
      <c r="C126" t="s">
        <v>172</v>
      </c>
      <c r="D126" t="s">
        <v>90</v>
      </c>
      <c r="E126">
        <v>498</v>
      </c>
      <c r="F126">
        <v>504</v>
      </c>
      <c r="G126">
        <v>2100</v>
      </c>
      <c r="H126" t="s">
        <v>91</v>
      </c>
      <c r="I126">
        <v>7211</v>
      </c>
      <c r="J126" t="s">
        <v>56</v>
      </c>
      <c r="K126" t="s">
        <v>123</v>
      </c>
      <c r="L126">
        <v>468</v>
      </c>
      <c r="M126">
        <v>473</v>
      </c>
      <c r="N126">
        <v>2200</v>
      </c>
      <c r="O126" t="s">
        <v>89</v>
      </c>
      <c r="P126">
        <v>0.90689714042311698</v>
      </c>
      <c r="Q126">
        <v>0.95190159999479496</v>
      </c>
      <c r="R126">
        <v>0.15035376300846001</v>
      </c>
      <c r="S126">
        <v>8.9658349338413298E-4</v>
      </c>
      <c r="T126">
        <v>1.05139464578482</v>
      </c>
      <c r="U126">
        <v>1.05139464578482</v>
      </c>
      <c r="V126">
        <v>3.95</v>
      </c>
      <c r="W126">
        <v>1.68</v>
      </c>
      <c r="X126">
        <v>108463</v>
      </c>
      <c r="Y126">
        <v>6026</v>
      </c>
      <c r="Z126">
        <v>0.31</v>
      </c>
      <c r="AA126">
        <v>18</v>
      </c>
      <c r="AB126">
        <v>9</v>
      </c>
      <c r="AC126">
        <v>9</v>
      </c>
      <c r="AD126">
        <v>50</v>
      </c>
      <c r="AE126">
        <v>12</v>
      </c>
      <c r="AF126">
        <v>6</v>
      </c>
      <c r="AG126">
        <v>4</v>
      </c>
      <c r="AH126">
        <v>8</v>
      </c>
    </row>
    <row r="127" spans="1:34">
      <c r="A127" s="214">
        <v>20</v>
      </c>
      <c r="B127">
        <v>6752</v>
      </c>
      <c r="C127" t="s">
        <v>152</v>
      </c>
      <c r="D127" t="s">
        <v>126</v>
      </c>
      <c r="E127">
        <v>874.4</v>
      </c>
      <c r="F127">
        <v>877.9</v>
      </c>
      <c r="G127">
        <v>1200</v>
      </c>
      <c r="H127" t="s">
        <v>89</v>
      </c>
      <c r="I127">
        <v>7167</v>
      </c>
      <c r="J127" t="s">
        <v>146</v>
      </c>
      <c r="K127" t="s">
        <v>121</v>
      </c>
      <c r="L127">
        <v>259</v>
      </c>
      <c r="M127">
        <v>263</v>
      </c>
      <c r="N127">
        <v>4000</v>
      </c>
      <c r="O127" t="s">
        <v>91</v>
      </c>
      <c r="P127">
        <v>0.96552613791810504</v>
      </c>
      <c r="Q127">
        <v>0.95775040893702601</v>
      </c>
      <c r="R127">
        <v>9.8498168748965206E-2</v>
      </c>
      <c r="S127">
        <v>5.32933405006977E-2</v>
      </c>
      <c r="T127">
        <v>-0.36497113419794103</v>
      </c>
      <c r="U127">
        <v>0.36497113419794103</v>
      </c>
      <c r="V127">
        <v>-0.94</v>
      </c>
      <c r="W127">
        <v>0.14000000000000001</v>
      </c>
      <c r="X127">
        <v>107959</v>
      </c>
      <c r="Y127">
        <v>5998</v>
      </c>
      <c r="Z127">
        <v>0.3</v>
      </c>
      <c r="AA127">
        <v>18</v>
      </c>
      <c r="AB127">
        <v>9</v>
      </c>
      <c r="AC127">
        <v>9</v>
      </c>
      <c r="AD127">
        <v>50</v>
      </c>
      <c r="AE127">
        <v>13</v>
      </c>
      <c r="AF127">
        <v>6</v>
      </c>
      <c r="AG127">
        <v>3</v>
      </c>
      <c r="AH127">
        <v>9</v>
      </c>
    </row>
    <row r="128" spans="1:34">
      <c r="A128" s="214">
        <v>145</v>
      </c>
      <c r="B128">
        <v>1333</v>
      </c>
      <c r="C128" t="s">
        <v>238</v>
      </c>
      <c r="D128" t="s">
        <v>239</v>
      </c>
      <c r="E128">
        <v>2751</v>
      </c>
      <c r="F128">
        <v>2755</v>
      </c>
      <c r="G128">
        <v>300</v>
      </c>
      <c r="H128" t="s">
        <v>91</v>
      </c>
      <c r="I128">
        <v>9404</v>
      </c>
      <c r="J128" t="s">
        <v>142</v>
      </c>
      <c r="K128" t="s">
        <v>117</v>
      </c>
      <c r="L128">
        <v>1389</v>
      </c>
      <c r="M128">
        <v>1396</v>
      </c>
      <c r="N128">
        <v>600</v>
      </c>
      <c r="O128" t="s">
        <v>89</v>
      </c>
      <c r="P128">
        <v>0.90918143189478695</v>
      </c>
      <c r="Q128">
        <v>0.923613816439256</v>
      </c>
      <c r="R128">
        <v>2.9878898916690301E-2</v>
      </c>
      <c r="S128">
        <v>5.1161639397838798E-2</v>
      </c>
      <c r="T128">
        <v>0.174699537679645</v>
      </c>
      <c r="U128">
        <v>0.174699537679645</v>
      </c>
      <c r="V128">
        <v>0.45</v>
      </c>
      <c r="W128">
        <v>1.34</v>
      </c>
      <c r="X128">
        <v>107843</v>
      </c>
      <c r="Y128">
        <v>7190</v>
      </c>
      <c r="Z128">
        <v>0.43</v>
      </c>
      <c r="AA128">
        <v>15</v>
      </c>
      <c r="AB128">
        <v>10</v>
      </c>
      <c r="AC128">
        <v>5</v>
      </c>
      <c r="AD128">
        <v>66.67</v>
      </c>
      <c r="AE128">
        <v>14</v>
      </c>
      <c r="AF128">
        <v>6</v>
      </c>
      <c r="AG128">
        <v>2</v>
      </c>
      <c r="AH128">
        <v>7</v>
      </c>
    </row>
    <row r="129" spans="1:34">
      <c r="A129" s="214">
        <v>1</v>
      </c>
      <c r="B129">
        <v>4530</v>
      </c>
      <c r="C129" t="s">
        <v>240</v>
      </c>
      <c r="D129" t="s">
        <v>232</v>
      </c>
      <c r="E129">
        <v>4720</v>
      </c>
      <c r="F129">
        <v>4785</v>
      </c>
      <c r="G129">
        <v>200</v>
      </c>
      <c r="H129" t="s">
        <v>91</v>
      </c>
      <c r="I129">
        <v>8276</v>
      </c>
      <c r="J129" t="s">
        <v>241</v>
      </c>
      <c r="K129" t="s">
        <v>138</v>
      </c>
      <c r="L129">
        <v>2050</v>
      </c>
      <c r="M129">
        <v>2053</v>
      </c>
      <c r="N129">
        <v>500</v>
      </c>
      <c r="O129" t="s">
        <v>89</v>
      </c>
      <c r="P129">
        <v>0.91746193528353304</v>
      </c>
      <c r="Q129">
        <v>0.97853868028742297</v>
      </c>
      <c r="R129">
        <v>7.3547176861068903E-2</v>
      </c>
      <c r="S129">
        <v>4.5610801647800901E-3</v>
      </c>
      <c r="T129">
        <v>1.79603288868292</v>
      </c>
      <c r="U129">
        <v>1.79603288868292</v>
      </c>
      <c r="V129">
        <v>4.95</v>
      </c>
      <c r="W129">
        <v>7.26</v>
      </c>
      <c r="X129">
        <v>107616</v>
      </c>
      <c r="Y129">
        <v>8278</v>
      </c>
      <c r="Z129">
        <v>0.49</v>
      </c>
      <c r="AA129">
        <v>13</v>
      </c>
      <c r="AB129">
        <v>7</v>
      </c>
      <c r="AC129">
        <v>6</v>
      </c>
      <c r="AD129">
        <v>53.85</v>
      </c>
      <c r="AE129">
        <v>14</v>
      </c>
      <c r="AF129">
        <v>5</v>
      </c>
      <c r="AG129">
        <v>1</v>
      </c>
      <c r="AH129">
        <v>7</v>
      </c>
    </row>
    <row r="130" spans="1:34">
      <c r="A130" s="214">
        <v>101</v>
      </c>
      <c r="B130">
        <v>4005</v>
      </c>
      <c r="C130" t="s">
        <v>172</v>
      </c>
      <c r="D130" t="s">
        <v>90</v>
      </c>
      <c r="E130">
        <v>498</v>
      </c>
      <c r="F130">
        <v>504</v>
      </c>
      <c r="G130">
        <v>1900</v>
      </c>
      <c r="H130" t="s">
        <v>89</v>
      </c>
      <c r="I130">
        <v>5802</v>
      </c>
      <c r="J130" t="s">
        <v>210</v>
      </c>
      <c r="K130" t="s">
        <v>211</v>
      </c>
      <c r="L130">
        <v>1372</v>
      </c>
      <c r="M130">
        <v>1385</v>
      </c>
      <c r="N130">
        <v>700</v>
      </c>
      <c r="O130" t="s">
        <v>91</v>
      </c>
      <c r="P130">
        <v>0.93790730825076896</v>
      </c>
      <c r="Q130">
        <v>0.93324394637780606</v>
      </c>
      <c r="R130">
        <v>2.3742264544259001E-2</v>
      </c>
      <c r="S130">
        <v>0.205802748972995</v>
      </c>
      <c r="T130">
        <v>-6.0428701414496098E-2</v>
      </c>
      <c r="U130">
        <v>6.0428701414496098E-2</v>
      </c>
      <c r="V130">
        <v>-0.18</v>
      </c>
      <c r="W130">
        <v>1.23</v>
      </c>
      <c r="X130">
        <v>106941</v>
      </c>
      <c r="Y130">
        <v>6684</v>
      </c>
      <c r="Z130">
        <v>0.35</v>
      </c>
      <c r="AA130">
        <v>16</v>
      </c>
      <c r="AB130">
        <v>9</v>
      </c>
      <c r="AC130">
        <v>7</v>
      </c>
      <c r="AD130">
        <v>56.25</v>
      </c>
      <c r="AE130">
        <v>14</v>
      </c>
      <c r="AF130">
        <v>6</v>
      </c>
      <c r="AG130">
        <v>1</v>
      </c>
      <c r="AH130">
        <v>9</v>
      </c>
    </row>
    <row r="131" spans="1:34">
      <c r="A131" s="214">
        <v>139</v>
      </c>
      <c r="B131">
        <v>5411</v>
      </c>
      <c r="C131" t="s">
        <v>133</v>
      </c>
      <c r="D131" t="s">
        <v>134</v>
      </c>
      <c r="E131">
        <v>1313.5</v>
      </c>
      <c r="F131">
        <v>1325</v>
      </c>
      <c r="G131">
        <v>700</v>
      </c>
      <c r="H131" t="s">
        <v>89</v>
      </c>
      <c r="I131">
        <v>6586</v>
      </c>
      <c r="J131" t="s">
        <v>160</v>
      </c>
      <c r="K131" t="s">
        <v>144</v>
      </c>
      <c r="L131">
        <v>3170</v>
      </c>
      <c r="M131">
        <v>3270</v>
      </c>
      <c r="N131">
        <v>300</v>
      </c>
      <c r="O131" t="s">
        <v>91</v>
      </c>
      <c r="P131">
        <v>0.95097686710597995</v>
      </c>
      <c r="Q131">
        <v>0.924851336960541</v>
      </c>
      <c r="R131">
        <v>3.0155135555291999E-2</v>
      </c>
      <c r="S131">
        <v>6.0790172685769299E-2</v>
      </c>
      <c r="T131">
        <v>-0.212685730984466</v>
      </c>
      <c r="U131">
        <v>0.212685730984466</v>
      </c>
      <c r="V131">
        <v>-0.71</v>
      </c>
      <c r="W131">
        <v>5.45</v>
      </c>
      <c r="X131">
        <v>105655</v>
      </c>
      <c r="Y131">
        <v>10566</v>
      </c>
      <c r="Z131">
        <v>0.68</v>
      </c>
      <c r="AA131">
        <v>10</v>
      </c>
      <c r="AB131">
        <v>7</v>
      </c>
      <c r="AC131">
        <v>3</v>
      </c>
      <c r="AD131">
        <v>70</v>
      </c>
      <c r="AE131">
        <v>10</v>
      </c>
      <c r="AF131">
        <v>5</v>
      </c>
      <c r="AG131">
        <v>2</v>
      </c>
      <c r="AH131">
        <v>3</v>
      </c>
    </row>
    <row r="132" spans="1:34">
      <c r="A132" s="214">
        <v>76</v>
      </c>
      <c r="B132">
        <v>4202</v>
      </c>
      <c r="C132" t="s">
        <v>130</v>
      </c>
      <c r="D132" t="s">
        <v>90</v>
      </c>
      <c r="E132">
        <v>935</v>
      </c>
      <c r="F132">
        <v>930</v>
      </c>
      <c r="G132">
        <v>1100</v>
      </c>
      <c r="H132" t="s">
        <v>91</v>
      </c>
      <c r="I132">
        <v>7182</v>
      </c>
      <c r="J132" t="s">
        <v>218</v>
      </c>
      <c r="K132" t="s">
        <v>121</v>
      </c>
      <c r="L132">
        <v>1032</v>
      </c>
      <c r="M132">
        <v>1036</v>
      </c>
      <c r="N132">
        <v>1000</v>
      </c>
      <c r="O132" t="s">
        <v>89</v>
      </c>
      <c r="P132">
        <v>0.908378198862825</v>
      </c>
      <c r="Q132">
        <v>0.93793399901235297</v>
      </c>
      <c r="R132">
        <v>4.6640707871658103E-2</v>
      </c>
      <c r="S132">
        <v>2.3651866411125901E-2</v>
      </c>
      <c r="T132">
        <v>1.9136872557405999</v>
      </c>
      <c r="U132">
        <v>1.9136872557405999</v>
      </c>
      <c r="V132">
        <v>4.84</v>
      </c>
      <c r="W132">
        <v>1.25</v>
      </c>
      <c r="X132">
        <v>105475</v>
      </c>
      <c r="Y132">
        <v>7032</v>
      </c>
      <c r="Z132">
        <v>0.38</v>
      </c>
      <c r="AA132">
        <v>15</v>
      </c>
      <c r="AB132">
        <v>7</v>
      </c>
      <c r="AC132">
        <v>8</v>
      </c>
      <c r="AD132">
        <v>46.67</v>
      </c>
      <c r="AE132">
        <v>15</v>
      </c>
      <c r="AF132">
        <v>4</v>
      </c>
      <c r="AG132">
        <v>1</v>
      </c>
      <c r="AH132">
        <v>10</v>
      </c>
    </row>
    <row r="133" spans="1:34">
      <c r="A133" s="214">
        <v>58</v>
      </c>
      <c r="B133">
        <v>7167</v>
      </c>
      <c r="C133" t="s">
        <v>146</v>
      </c>
      <c r="D133" t="s">
        <v>121</v>
      </c>
      <c r="E133">
        <v>259</v>
      </c>
      <c r="F133">
        <v>263</v>
      </c>
      <c r="G133">
        <v>4000</v>
      </c>
      <c r="H133" t="s">
        <v>89</v>
      </c>
      <c r="I133">
        <v>8795</v>
      </c>
      <c r="J133" t="s">
        <v>227</v>
      </c>
      <c r="K133" t="s">
        <v>158</v>
      </c>
      <c r="L133">
        <v>1150.5</v>
      </c>
      <c r="M133">
        <v>1165</v>
      </c>
      <c r="N133">
        <v>900</v>
      </c>
      <c r="O133" t="s">
        <v>91</v>
      </c>
      <c r="P133">
        <v>0.94354878700553602</v>
      </c>
      <c r="Q133">
        <v>0.94223209590450696</v>
      </c>
      <c r="R133">
        <v>0.17086210820431499</v>
      </c>
      <c r="S133">
        <v>0.27909398718669098</v>
      </c>
      <c r="T133">
        <v>-0.68233838986593398</v>
      </c>
      <c r="U133">
        <v>0.68233838986593398</v>
      </c>
      <c r="V133">
        <v>-1.91</v>
      </c>
      <c r="W133">
        <v>0.33</v>
      </c>
      <c r="X133">
        <v>101523</v>
      </c>
      <c r="Y133">
        <v>6345</v>
      </c>
      <c r="Z133">
        <v>0.27</v>
      </c>
      <c r="AA133">
        <v>16</v>
      </c>
      <c r="AB133">
        <v>9</v>
      </c>
      <c r="AC133">
        <v>7</v>
      </c>
      <c r="AD133">
        <v>56.25</v>
      </c>
      <c r="AE133">
        <v>15</v>
      </c>
      <c r="AF133">
        <v>3</v>
      </c>
      <c r="AG133">
        <v>1</v>
      </c>
      <c r="AH133">
        <v>12</v>
      </c>
    </row>
    <row r="134" spans="1:34">
      <c r="A134" s="214">
        <v>81</v>
      </c>
      <c r="B134">
        <v>5991</v>
      </c>
      <c r="C134" t="s">
        <v>167</v>
      </c>
      <c r="D134" t="s">
        <v>168</v>
      </c>
      <c r="E134">
        <v>822</v>
      </c>
      <c r="F134">
        <v>825</v>
      </c>
      <c r="G134">
        <v>1300</v>
      </c>
      <c r="H134" t="s">
        <v>89</v>
      </c>
      <c r="I134">
        <v>7259</v>
      </c>
      <c r="J134" t="s">
        <v>55</v>
      </c>
      <c r="K134" t="s">
        <v>123</v>
      </c>
      <c r="L134">
        <v>3445</v>
      </c>
      <c r="M134">
        <v>3510</v>
      </c>
      <c r="N134">
        <v>300</v>
      </c>
      <c r="O134" t="s">
        <v>91</v>
      </c>
      <c r="P134">
        <v>0.92742033534934798</v>
      </c>
      <c r="Q134">
        <v>0.936331490222157</v>
      </c>
      <c r="R134">
        <v>0.202715645268672</v>
      </c>
      <c r="S134">
        <v>3.02335059467536E-2</v>
      </c>
      <c r="T134">
        <v>-0.17971533375530899</v>
      </c>
      <c r="U134">
        <v>0.17971533375530899</v>
      </c>
      <c r="V134">
        <v>-0.56000000000000005</v>
      </c>
      <c r="W134">
        <v>1.85</v>
      </c>
      <c r="X134">
        <v>101097</v>
      </c>
      <c r="Y134">
        <v>6319</v>
      </c>
      <c r="Z134">
        <v>0.49</v>
      </c>
      <c r="AA134">
        <v>16</v>
      </c>
      <c r="AB134">
        <v>8</v>
      </c>
      <c r="AC134">
        <v>8</v>
      </c>
      <c r="AD134">
        <v>50</v>
      </c>
      <c r="AE134">
        <v>12</v>
      </c>
      <c r="AF134">
        <v>7</v>
      </c>
      <c r="AG134">
        <v>3</v>
      </c>
      <c r="AH134">
        <v>6</v>
      </c>
    </row>
    <row r="135" spans="1:34">
      <c r="A135" s="214">
        <v>69</v>
      </c>
      <c r="B135">
        <v>1860</v>
      </c>
      <c r="C135" t="s">
        <v>163</v>
      </c>
      <c r="D135" t="s">
        <v>115</v>
      </c>
      <c r="E135">
        <v>624</v>
      </c>
      <c r="F135">
        <v>625</v>
      </c>
      <c r="G135">
        <v>1700</v>
      </c>
      <c r="H135" t="s">
        <v>89</v>
      </c>
      <c r="I135">
        <v>5110</v>
      </c>
      <c r="J135" t="s">
        <v>203</v>
      </c>
      <c r="K135" t="s">
        <v>204</v>
      </c>
      <c r="L135">
        <v>1299</v>
      </c>
      <c r="M135">
        <v>1310</v>
      </c>
      <c r="N135">
        <v>800</v>
      </c>
      <c r="O135" t="s">
        <v>91</v>
      </c>
      <c r="P135">
        <v>0.94675133106448495</v>
      </c>
      <c r="Q135">
        <v>0.93944813904952595</v>
      </c>
      <c r="R135">
        <v>1.99874608435191E-2</v>
      </c>
      <c r="S135">
        <v>2.7912518512509901E-3</v>
      </c>
      <c r="T135">
        <v>-1.0325987200792299</v>
      </c>
      <c r="U135">
        <v>1.0325987200792299</v>
      </c>
      <c r="V135">
        <v>-2.1800000000000002</v>
      </c>
      <c r="W135">
        <v>1.38</v>
      </c>
      <c r="X135">
        <v>98838</v>
      </c>
      <c r="Y135">
        <v>5814</v>
      </c>
      <c r="Z135">
        <v>0.24</v>
      </c>
      <c r="AA135">
        <v>17</v>
      </c>
      <c r="AB135">
        <v>10</v>
      </c>
      <c r="AC135">
        <v>7</v>
      </c>
      <c r="AD135">
        <v>58.82</v>
      </c>
      <c r="AE135">
        <v>14</v>
      </c>
      <c r="AF135">
        <v>5</v>
      </c>
      <c r="AG135">
        <v>4</v>
      </c>
      <c r="AH135">
        <v>8</v>
      </c>
    </row>
    <row r="136" spans="1:34">
      <c r="A136" s="214">
        <v>143</v>
      </c>
      <c r="B136">
        <v>6995</v>
      </c>
      <c r="C136" t="s">
        <v>132</v>
      </c>
      <c r="D136" t="s">
        <v>123</v>
      </c>
      <c r="E136">
        <v>1852</v>
      </c>
      <c r="F136">
        <v>1861</v>
      </c>
      <c r="G136">
        <v>500</v>
      </c>
      <c r="H136" t="s">
        <v>91</v>
      </c>
      <c r="I136">
        <v>8002</v>
      </c>
      <c r="J136" t="s">
        <v>57</v>
      </c>
      <c r="K136" t="s">
        <v>147</v>
      </c>
      <c r="L136">
        <v>727.3</v>
      </c>
      <c r="M136">
        <v>734.5</v>
      </c>
      <c r="N136">
        <v>1300</v>
      </c>
      <c r="O136" t="s">
        <v>89</v>
      </c>
      <c r="P136">
        <v>0.95136622248119895</v>
      </c>
      <c r="Q136">
        <v>0.923829812055869</v>
      </c>
      <c r="R136">
        <v>0.15166516194812499</v>
      </c>
      <c r="S136">
        <v>1.46318276751683E-2</v>
      </c>
      <c r="T136">
        <v>0.78094147167948802</v>
      </c>
      <c r="U136">
        <v>0.78094147167948802</v>
      </c>
      <c r="V136">
        <v>1.64</v>
      </c>
      <c r="W136">
        <v>2.62</v>
      </c>
      <c r="X136">
        <v>96806</v>
      </c>
      <c r="Y136">
        <v>6454</v>
      </c>
      <c r="Z136">
        <v>0.28000000000000003</v>
      </c>
      <c r="AA136">
        <v>15</v>
      </c>
      <c r="AB136">
        <v>9</v>
      </c>
      <c r="AC136">
        <v>6</v>
      </c>
      <c r="AD136">
        <v>60</v>
      </c>
      <c r="AE136">
        <v>13</v>
      </c>
      <c r="AF136">
        <v>5</v>
      </c>
      <c r="AG136">
        <v>2</v>
      </c>
      <c r="AH136">
        <v>8</v>
      </c>
    </row>
    <row r="137" spans="1:34">
      <c r="A137" s="214">
        <v>177</v>
      </c>
      <c r="B137">
        <v>7167</v>
      </c>
      <c r="C137" t="s">
        <v>146</v>
      </c>
      <c r="D137" t="s">
        <v>121</v>
      </c>
      <c r="E137">
        <v>259</v>
      </c>
      <c r="F137">
        <v>263</v>
      </c>
      <c r="G137">
        <v>4100</v>
      </c>
      <c r="H137" t="s">
        <v>89</v>
      </c>
      <c r="I137">
        <v>7984</v>
      </c>
      <c r="J137" t="s">
        <v>128</v>
      </c>
      <c r="K137" t="s">
        <v>129</v>
      </c>
      <c r="L137">
        <v>1520</v>
      </c>
      <c r="M137">
        <v>1522</v>
      </c>
      <c r="N137">
        <v>700</v>
      </c>
      <c r="O137" t="s">
        <v>91</v>
      </c>
      <c r="P137">
        <v>0.91248107026248004</v>
      </c>
      <c r="Q137">
        <v>0.91767429599211503</v>
      </c>
      <c r="R137">
        <v>9.4008859007967197E-3</v>
      </c>
      <c r="S137">
        <v>1.06780099760449E-2</v>
      </c>
      <c r="T137">
        <v>-0.73465294913689805</v>
      </c>
      <c r="U137">
        <v>0.73465294913689805</v>
      </c>
      <c r="V137">
        <v>-3.16</v>
      </c>
      <c r="W137">
        <v>1.21</v>
      </c>
      <c r="X137">
        <v>94733</v>
      </c>
      <c r="Y137">
        <v>5263</v>
      </c>
      <c r="Z137">
        <v>0.3</v>
      </c>
      <c r="AA137">
        <v>18</v>
      </c>
      <c r="AB137">
        <v>9</v>
      </c>
      <c r="AC137">
        <v>9</v>
      </c>
      <c r="AD137">
        <v>50</v>
      </c>
      <c r="AE137">
        <v>12</v>
      </c>
      <c r="AF137">
        <v>7</v>
      </c>
      <c r="AG137">
        <v>4</v>
      </c>
      <c r="AH137">
        <v>7</v>
      </c>
    </row>
    <row r="138" spans="1:34">
      <c r="A138" s="214">
        <v>124</v>
      </c>
      <c r="B138">
        <v>7189</v>
      </c>
      <c r="C138" t="s">
        <v>120</v>
      </c>
      <c r="D138" t="s">
        <v>121</v>
      </c>
      <c r="E138">
        <v>751</v>
      </c>
      <c r="F138">
        <v>762</v>
      </c>
      <c r="G138">
        <v>1400</v>
      </c>
      <c r="H138" t="s">
        <v>91</v>
      </c>
      <c r="I138">
        <v>7327</v>
      </c>
      <c r="J138" t="s">
        <v>242</v>
      </c>
      <c r="K138" t="s">
        <v>121</v>
      </c>
      <c r="L138">
        <v>2650</v>
      </c>
      <c r="M138">
        <v>2668</v>
      </c>
      <c r="N138">
        <v>400</v>
      </c>
      <c r="O138" t="s">
        <v>89</v>
      </c>
      <c r="P138">
        <v>0.93525005252233095</v>
      </c>
      <c r="Q138">
        <v>0.92798894362566797</v>
      </c>
      <c r="R138">
        <v>0.24336192469305001</v>
      </c>
      <c r="S138">
        <v>0.38812447411319501</v>
      </c>
      <c r="T138">
        <v>1.6647857871524201</v>
      </c>
      <c r="U138">
        <v>1.6647857871524201</v>
      </c>
      <c r="V138">
        <v>4.4000000000000004</v>
      </c>
      <c r="W138">
        <v>0.04</v>
      </c>
      <c r="X138">
        <v>94421</v>
      </c>
      <c r="Y138">
        <v>31474</v>
      </c>
      <c r="Z138">
        <v>1.86</v>
      </c>
      <c r="AA138">
        <v>3</v>
      </c>
      <c r="AB138">
        <v>2</v>
      </c>
      <c r="AC138">
        <v>1</v>
      </c>
      <c r="AD138">
        <v>66.67</v>
      </c>
      <c r="AE138">
        <v>9</v>
      </c>
      <c r="AF138">
        <v>2</v>
      </c>
      <c r="AG138">
        <v>0</v>
      </c>
      <c r="AH138">
        <v>1</v>
      </c>
    </row>
    <row r="139" spans="1:34">
      <c r="A139" s="214">
        <v>29</v>
      </c>
      <c r="B139">
        <v>6752</v>
      </c>
      <c r="C139" t="s">
        <v>152</v>
      </c>
      <c r="D139" t="s">
        <v>126</v>
      </c>
      <c r="E139">
        <v>874.4</v>
      </c>
      <c r="F139">
        <v>877.9</v>
      </c>
      <c r="G139">
        <v>1100</v>
      </c>
      <c r="H139" t="s">
        <v>89</v>
      </c>
      <c r="I139">
        <v>7013</v>
      </c>
      <c r="J139" t="s">
        <v>143</v>
      </c>
      <c r="K139" t="s">
        <v>144</v>
      </c>
      <c r="L139">
        <v>2400</v>
      </c>
      <c r="M139">
        <v>2431</v>
      </c>
      <c r="N139">
        <v>400</v>
      </c>
      <c r="O139" t="s">
        <v>91</v>
      </c>
      <c r="P139">
        <v>0.917793376821461</v>
      </c>
      <c r="Q139">
        <v>0.95275956938135098</v>
      </c>
      <c r="R139">
        <v>0.101268407221274</v>
      </c>
      <c r="S139">
        <v>2.7984468474345499E-2</v>
      </c>
      <c r="T139">
        <v>-0.70813500939891505</v>
      </c>
      <c r="U139">
        <v>0.70813500939891505</v>
      </c>
      <c r="V139">
        <v>-3.89</v>
      </c>
      <c r="W139">
        <v>0.69</v>
      </c>
      <c r="X139">
        <v>93627</v>
      </c>
      <c r="Y139">
        <v>4458</v>
      </c>
      <c r="Z139">
        <v>0.13</v>
      </c>
      <c r="AA139">
        <v>21</v>
      </c>
      <c r="AB139">
        <v>12</v>
      </c>
      <c r="AC139">
        <v>9</v>
      </c>
      <c r="AD139">
        <v>57.14</v>
      </c>
      <c r="AE139">
        <v>13</v>
      </c>
      <c r="AF139">
        <v>7</v>
      </c>
      <c r="AG139">
        <v>6</v>
      </c>
      <c r="AH139">
        <v>8</v>
      </c>
    </row>
    <row r="140" spans="1:34">
      <c r="A140" s="214">
        <v>102</v>
      </c>
      <c r="B140">
        <v>6371</v>
      </c>
      <c r="C140" t="s">
        <v>156</v>
      </c>
      <c r="D140" t="s">
        <v>144</v>
      </c>
      <c r="E140">
        <v>3445</v>
      </c>
      <c r="F140">
        <v>3460</v>
      </c>
      <c r="G140">
        <v>300</v>
      </c>
      <c r="H140" t="s">
        <v>91</v>
      </c>
      <c r="I140">
        <v>7327</v>
      </c>
      <c r="J140" t="s">
        <v>242</v>
      </c>
      <c r="K140" t="s">
        <v>121</v>
      </c>
      <c r="L140">
        <v>2650</v>
      </c>
      <c r="M140">
        <v>2668</v>
      </c>
      <c r="N140">
        <v>400</v>
      </c>
      <c r="O140" t="s">
        <v>89</v>
      </c>
      <c r="P140">
        <v>0.90499656843577803</v>
      </c>
      <c r="Q140">
        <v>0.93324022597445599</v>
      </c>
      <c r="R140">
        <v>7.5201822782974395E-2</v>
      </c>
      <c r="S140">
        <v>2.0507447191573599E-2</v>
      </c>
      <c r="T140">
        <v>0.82219660533599404</v>
      </c>
      <c r="U140">
        <v>0.82219660533599404</v>
      </c>
      <c r="V140">
        <v>1.77</v>
      </c>
      <c r="W140">
        <v>2.81</v>
      </c>
      <c r="X140">
        <v>92235</v>
      </c>
      <c r="Y140">
        <v>46118</v>
      </c>
      <c r="Z140">
        <v>2.1</v>
      </c>
      <c r="AA140">
        <v>2</v>
      </c>
      <c r="AB140">
        <v>2</v>
      </c>
      <c r="AC140">
        <v>0</v>
      </c>
      <c r="AD140">
        <v>100</v>
      </c>
      <c r="AE140">
        <v>11</v>
      </c>
      <c r="AF140">
        <v>2</v>
      </c>
      <c r="AG140">
        <v>0</v>
      </c>
      <c r="AH140">
        <v>0</v>
      </c>
    </row>
    <row r="141" spans="1:34">
      <c r="A141" s="214">
        <v>216</v>
      </c>
      <c r="B141">
        <v>1860</v>
      </c>
      <c r="C141" t="s">
        <v>163</v>
      </c>
      <c r="D141" t="s">
        <v>115</v>
      </c>
      <c r="E141">
        <v>624</v>
      </c>
      <c r="F141">
        <v>625</v>
      </c>
      <c r="G141">
        <v>1600</v>
      </c>
      <c r="H141" t="s">
        <v>91</v>
      </c>
      <c r="I141">
        <v>9513</v>
      </c>
      <c r="J141" t="s">
        <v>205</v>
      </c>
      <c r="K141" t="s">
        <v>195</v>
      </c>
      <c r="L141">
        <v>2552</v>
      </c>
      <c r="M141">
        <v>2565</v>
      </c>
      <c r="N141">
        <v>400</v>
      </c>
      <c r="O141" t="s">
        <v>89</v>
      </c>
      <c r="P141">
        <v>0.91027076235148296</v>
      </c>
      <c r="Q141">
        <v>0.91102679699826306</v>
      </c>
      <c r="R141">
        <v>6.7602234326505098E-2</v>
      </c>
      <c r="S141">
        <v>2.9592824938537701E-3</v>
      </c>
      <c r="T141">
        <v>5.0410141192478997E-2</v>
      </c>
      <c r="U141">
        <v>5.0410141192478997E-2</v>
      </c>
      <c r="V141">
        <v>0.11</v>
      </c>
      <c r="W141">
        <v>2.5299999999999998</v>
      </c>
      <c r="X141">
        <v>91602</v>
      </c>
      <c r="Y141">
        <v>4362</v>
      </c>
      <c r="Z141">
        <v>0.28000000000000003</v>
      </c>
      <c r="AA141">
        <v>21</v>
      </c>
      <c r="AB141">
        <v>11</v>
      </c>
      <c r="AC141">
        <v>10</v>
      </c>
      <c r="AD141">
        <v>52.38</v>
      </c>
      <c r="AE141">
        <v>12</v>
      </c>
      <c r="AF141">
        <v>9</v>
      </c>
      <c r="AG141">
        <v>5</v>
      </c>
      <c r="AH141">
        <v>7</v>
      </c>
    </row>
    <row r="142" spans="1:34">
      <c r="A142" s="214">
        <v>88</v>
      </c>
      <c r="B142">
        <v>5901</v>
      </c>
      <c r="C142" t="s">
        <v>243</v>
      </c>
      <c r="D142" t="s">
        <v>168</v>
      </c>
      <c r="E142">
        <v>1704</v>
      </c>
      <c r="F142">
        <v>1703</v>
      </c>
      <c r="G142">
        <v>600</v>
      </c>
      <c r="H142" t="s">
        <v>91</v>
      </c>
      <c r="I142">
        <v>6178</v>
      </c>
      <c r="J142" t="s">
        <v>179</v>
      </c>
      <c r="K142" t="s">
        <v>180</v>
      </c>
      <c r="L142">
        <v>981</v>
      </c>
      <c r="M142">
        <v>981</v>
      </c>
      <c r="N142">
        <v>1000</v>
      </c>
      <c r="O142" t="s">
        <v>89</v>
      </c>
      <c r="P142">
        <v>0.92540419710762201</v>
      </c>
      <c r="Q142">
        <v>0.93510974242231704</v>
      </c>
      <c r="R142">
        <v>2.7578221563106801E-2</v>
      </c>
      <c r="S142">
        <v>0.12880091470354199</v>
      </c>
      <c r="T142">
        <v>0.80241484582280498</v>
      </c>
      <c r="U142">
        <v>0.80241484582280498</v>
      </c>
      <c r="V142">
        <v>3.2</v>
      </c>
      <c r="W142">
        <v>3.99</v>
      </c>
      <c r="X142">
        <v>90618</v>
      </c>
      <c r="Y142">
        <v>4119</v>
      </c>
      <c r="Z142">
        <v>0.19</v>
      </c>
      <c r="AA142">
        <v>22</v>
      </c>
      <c r="AB142">
        <v>13</v>
      </c>
      <c r="AC142">
        <v>9</v>
      </c>
      <c r="AD142">
        <v>59.09</v>
      </c>
      <c r="AE142">
        <v>15</v>
      </c>
      <c r="AF142">
        <v>8</v>
      </c>
      <c r="AG142">
        <v>4</v>
      </c>
      <c r="AH142">
        <v>10</v>
      </c>
    </row>
    <row r="143" spans="1:34">
      <c r="A143" s="214">
        <v>68</v>
      </c>
      <c r="B143">
        <v>4208</v>
      </c>
      <c r="C143" t="s">
        <v>141</v>
      </c>
      <c r="D143" t="s">
        <v>90</v>
      </c>
      <c r="E143">
        <v>2220</v>
      </c>
      <c r="F143">
        <v>2233</v>
      </c>
      <c r="G143">
        <v>400</v>
      </c>
      <c r="H143" t="s">
        <v>91</v>
      </c>
      <c r="I143">
        <v>5802</v>
      </c>
      <c r="J143" t="s">
        <v>210</v>
      </c>
      <c r="K143" t="s">
        <v>211</v>
      </c>
      <c r="L143">
        <v>1372</v>
      </c>
      <c r="M143">
        <v>1385</v>
      </c>
      <c r="N143">
        <v>600</v>
      </c>
      <c r="O143" t="s">
        <v>89</v>
      </c>
      <c r="P143">
        <v>0.94995619503376605</v>
      </c>
      <c r="Q143">
        <v>0.93984118053782395</v>
      </c>
      <c r="R143">
        <v>0.15745639705932801</v>
      </c>
      <c r="S143">
        <v>9.2053480015078903E-2</v>
      </c>
      <c r="T143">
        <v>1.4004417898573001E-2</v>
      </c>
      <c r="U143">
        <v>1.4004417898573001E-2</v>
      </c>
      <c r="V143">
        <v>0.03</v>
      </c>
      <c r="W143">
        <v>6.96</v>
      </c>
      <c r="X143">
        <v>89209</v>
      </c>
      <c r="Y143">
        <v>6862</v>
      </c>
      <c r="Z143">
        <v>0.28000000000000003</v>
      </c>
      <c r="AA143">
        <v>13</v>
      </c>
      <c r="AB143">
        <v>7</v>
      </c>
      <c r="AC143">
        <v>6</v>
      </c>
      <c r="AD143">
        <v>53.85</v>
      </c>
      <c r="AE143">
        <v>13</v>
      </c>
      <c r="AF143">
        <v>5</v>
      </c>
      <c r="AG143">
        <v>3</v>
      </c>
      <c r="AH143">
        <v>5</v>
      </c>
    </row>
    <row r="144" spans="1:34">
      <c r="A144" s="214">
        <v>209</v>
      </c>
      <c r="B144">
        <v>7202</v>
      </c>
      <c r="C144" t="s">
        <v>220</v>
      </c>
      <c r="D144" t="s">
        <v>123</v>
      </c>
      <c r="E144">
        <v>1180</v>
      </c>
      <c r="F144">
        <v>1191.5</v>
      </c>
      <c r="G144">
        <v>700</v>
      </c>
      <c r="H144" t="s">
        <v>89</v>
      </c>
      <c r="I144">
        <v>7267</v>
      </c>
      <c r="J144" t="s">
        <v>173</v>
      </c>
      <c r="K144" t="s">
        <v>123</v>
      </c>
      <c r="L144">
        <v>2800</v>
      </c>
      <c r="M144">
        <v>2828.5</v>
      </c>
      <c r="N144">
        <v>300</v>
      </c>
      <c r="O144" t="s">
        <v>91</v>
      </c>
      <c r="P144">
        <v>0.93492479076075097</v>
      </c>
      <c r="Q144">
        <v>0.91267922882448804</v>
      </c>
      <c r="R144">
        <v>0.13154155009273499</v>
      </c>
      <c r="S144">
        <v>4.8719456006672601E-2</v>
      </c>
      <c r="T144">
        <v>-1.60363151130875</v>
      </c>
      <c r="U144">
        <v>1.60363151130875</v>
      </c>
      <c r="V144">
        <v>-3.46</v>
      </c>
      <c r="W144">
        <v>1.71</v>
      </c>
      <c r="X144">
        <v>88797</v>
      </c>
      <c r="Y144">
        <v>5550</v>
      </c>
      <c r="Z144">
        <v>0.27</v>
      </c>
      <c r="AA144">
        <v>16</v>
      </c>
      <c r="AB144">
        <v>10</v>
      </c>
      <c r="AC144">
        <v>6</v>
      </c>
      <c r="AD144">
        <v>62.5</v>
      </c>
      <c r="AE144">
        <v>15</v>
      </c>
      <c r="AF144">
        <v>2</v>
      </c>
      <c r="AG144">
        <v>2</v>
      </c>
      <c r="AH144">
        <v>12</v>
      </c>
    </row>
    <row r="145" spans="1:34">
      <c r="A145" s="214">
        <v>187</v>
      </c>
      <c r="B145">
        <v>6752</v>
      </c>
      <c r="C145" t="s">
        <v>152</v>
      </c>
      <c r="D145" t="s">
        <v>126</v>
      </c>
      <c r="E145">
        <v>874.4</v>
      </c>
      <c r="F145">
        <v>877.9</v>
      </c>
      <c r="G145">
        <v>1200</v>
      </c>
      <c r="H145" t="s">
        <v>89</v>
      </c>
      <c r="I145">
        <v>8242</v>
      </c>
      <c r="J145" t="s">
        <v>181</v>
      </c>
      <c r="K145" t="s">
        <v>138</v>
      </c>
      <c r="L145">
        <v>1222</v>
      </c>
      <c r="M145">
        <v>1216</v>
      </c>
      <c r="N145">
        <v>900</v>
      </c>
      <c r="O145" t="s">
        <v>91</v>
      </c>
      <c r="P145">
        <v>0.96100565248664904</v>
      </c>
      <c r="Q145">
        <v>0.91525662238871897</v>
      </c>
      <c r="R145" s="20">
        <v>3.6508090975655798E-5</v>
      </c>
      <c r="S145">
        <v>3.6394388680709898E-2</v>
      </c>
      <c r="T145">
        <v>-0.93894975473667097</v>
      </c>
      <c r="U145">
        <v>0.93894975473667097</v>
      </c>
      <c r="V145">
        <v>-1.5</v>
      </c>
      <c r="W145">
        <v>3.74</v>
      </c>
      <c r="X145">
        <v>88150</v>
      </c>
      <c r="Y145">
        <v>4408</v>
      </c>
      <c r="Z145">
        <v>0.2</v>
      </c>
      <c r="AA145">
        <v>20</v>
      </c>
      <c r="AB145">
        <v>12</v>
      </c>
      <c r="AC145">
        <v>8</v>
      </c>
      <c r="AD145">
        <v>60</v>
      </c>
      <c r="AE145">
        <v>14</v>
      </c>
      <c r="AF145">
        <v>8</v>
      </c>
      <c r="AG145">
        <v>5</v>
      </c>
      <c r="AH145">
        <v>7</v>
      </c>
    </row>
    <row r="146" spans="1:34">
      <c r="A146" s="214">
        <v>34</v>
      </c>
      <c r="B146">
        <v>7186</v>
      </c>
      <c r="C146" t="s">
        <v>51</v>
      </c>
      <c r="D146" t="s">
        <v>121</v>
      </c>
      <c r="E146">
        <v>410</v>
      </c>
      <c r="F146">
        <v>410</v>
      </c>
      <c r="G146">
        <v>1800</v>
      </c>
      <c r="H146" t="s">
        <v>91</v>
      </c>
      <c r="I146">
        <v>8309</v>
      </c>
      <c r="J146" t="s">
        <v>52</v>
      </c>
      <c r="K146" t="s">
        <v>121</v>
      </c>
      <c r="L146">
        <v>3719</v>
      </c>
      <c r="M146">
        <v>3741</v>
      </c>
      <c r="N146">
        <v>200</v>
      </c>
      <c r="O146" t="s">
        <v>89</v>
      </c>
      <c r="P146">
        <v>0.95245026425786194</v>
      </c>
      <c r="Q146">
        <v>0.95062235333323497</v>
      </c>
      <c r="R146">
        <v>0.220496847700141</v>
      </c>
      <c r="S146">
        <v>0.34670733565552703</v>
      </c>
      <c r="T146">
        <v>2.14911014276039</v>
      </c>
      <c r="U146">
        <v>2.14911014276039</v>
      </c>
      <c r="V146">
        <v>4.28</v>
      </c>
      <c r="W146">
        <v>1.36</v>
      </c>
      <c r="X146">
        <v>80736</v>
      </c>
      <c r="Y146">
        <v>4749</v>
      </c>
      <c r="Z146">
        <v>0.26</v>
      </c>
      <c r="AA146">
        <v>17</v>
      </c>
      <c r="AB146">
        <v>9</v>
      </c>
      <c r="AC146">
        <v>8</v>
      </c>
      <c r="AD146">
        <v>52.94</v>
      </c>
      <c r="AE146">
        <v>13</v>
      </c>
      <c r="AF146">
        <v>4</v>
      </c>
      <c r="AG146">
        <v>4</v>
      </c>
      <c r="AH146">
        <v>9</v>
      </c>
    </row>
    <row r="147" spans="1:34">
      <c r="A147" s="214">
        <v>49</v>
      </c>
      <c r="B147">
        <v>4182</v>
      </c>
      <c r="C147" t="s">
        <v>127</v>
      </c>
      <c r="D147" t="s">
        <v>90</v>
      </c>
      <c r="E147">
        <v>1489</v>
      </c>
      <c r="F147">
        <v>1498</v>
      </c>
      <c r="G147">
        <v>700</v>
      </c>
      <c r="H147" t="s">
        <v>91</v>
      </c>
      <c r="I147">
        <v>6752</v>
      </c>
      <c r="J147" t="s">
        <v>152</v>
      </c>
      <c r="K147" t="s">
        <v>126</v>
      </c>
      <c r="L147">
        <v>874.4</v>
      </c>
      <c r="M147">
        <v>877.9</v>
      </c>
      <c r="N147">
        <v>1200</v>
      </c>
      <c r="O147" t="s">
        <v>89</v>
      </c>
      <c r="P147">
        <v>0.911540251672323</v>
      </c>
      <c r="Q147">
        <v>0.94715390113208298</v>
      </c>
      <c r="R147">
        <v>0.10851109719752</v>
      </c>
      <c r="S147">
        <v>2.38301238779999E-2</v>
      </c>
      <c r="T147">
        <v>2.66637290543758</v>
      </c>
      <c r="U147">
        <v>2.66637290543758</v>
      </c>
      <c r="V147">
        <v>8.41</v>
      </c>
      <c r="W147">
        <v>0.47</v>
      </c>
      <c r="X147">
        <v>79924</v>
      </c>
      <c r="Y147">
        <v>4207</v>
      </c>
      <c r="Z147">
        <v>0.18</v>
      </c>
      <c r="AA147">
        <v>19</v>
      </c>
      <c r="AB147">
        <v>11</v>
      </c>
      <c r="AC147">
        <v>8</v>
      </c>
      <c r="AD147">
        <v>57.89</v>
      </c>
      <c r="AE147">
        <v>13</v>
      </c>
      <c r="AF147">
        <v>7</v>
      </c>
      <c r="AG147">
        <v>5</v>
      </c>
      <c r="AH147">
        <v>7</v>
      </c>
    </row>
    <row r="148" spans="1:34">
      <c r="A148" s="214">
        <v>33</v>
      </c>
      <c r="B148">
        <v>7846</v>
      </c>
      <c r="C148" t="s">
        <v>189</v>
      </c>
      <c r="D148" t="s">
        <v>129</v>
      </c>
      <c r="E148">
        <v>4000</v>
      </c>
      <c r="F148">
        <v>4015</v>
      </c>
      <c r="G148">
        <v>200</v>
      </c>
      <c r="H148" t="s">
        <v>91</v>
      </c>
      <c r="I148">
        <v>9505</v>
      </c>
      <c r="J148" t="s">
        <v>194</v>
      </c>
      <c r="K148" t="s">
        <v>195</v>
      </c>
      <c r="L148">
        <v>727</v>
      </c>
      <c r="M148">
        <v>731</v>
      </c>
      <c r="N148">
        <v>1100</v>
      </c>
      <c r="O148" t="s">
        <v>89</v>
      </c>
      <c r="P148">
        <v>0.93092242183825002</v>
      </c>
      <c r="Q148">
        <v>0.951021786941327</v>
      </c>
      <c r="R148">
        <v>5.18254884649215E-4</v>
      </c>
      <c r="S148">
        <v>4.6298802848014797E-2</v>
      </c>
      <c r="T148">
        <v>0.31024025601238903</v>
      </c>
      <c r="U148">
        <v>0.31024025601238903</v>
      </c>
      <c r="V148">
        <v>0.78</v>
      </c>
      <c r="W148">
        <v>0.14000000000000001</v>
      </c>
      <c r="X148">
        <v>77444</v>
      </c>
      <c r="Y148">
        <v>3520</v>
      </c>
      <c r="Z148">
        <v>0.21</v>
      </c>
      <c r="AA148">
        <v>22</v>
      </c>
      <c r="AB148">
        <v>10</v>
      </c>
      <c r="AC148">
        <v>12</v>
      </c>
      <c r="AD148">
        <v>45.45</v>
      </c>
      <c r="AE148">
        <v>12</v>
      </c>
      <c r="AF148">
        <v>7</v>
      </c>
      <c r="AG148">
        <v>4</v>
      </c>
      <c r="AH148">
        <v>11</v>
      </c>
    </row>
    <row r="149" spans="1:34">
      <c r="A149" s="214">
        <v>215</v>
      </c>
      <c r="B149">
        <v>4061</v>
      </c>
      <c r="C149" t="s">
        <v>184</v>
      </c>
      <c r="D149" t="s">
        <v>90</v>
      </c>
      <c r="E149">
        <v>2950</v>
      </c>
      <c r="F149">
        <v>3015</v>
      </c>
      <c r="G149">
        <v>300</v>
      </c>
      <c r="H149" t="s">
        <v>91</v>
      </c>
      <c r="I149">
        <v>7327</v>
      </c>
      <c r="J149" t="s">
        <v>242</v>
      </c>
      <c r="K149" t="s">
        <v>121</v>
      </c>
      <c r="L149">
        <v>2650</v>
      </c>
      <c r="M149">
        <v>2668</v>
      </c>
      <c r="N149">
        <v>300</v>
      </c>
      <c r="O149" t="s">
        <v>89</v>
      </c>
      <c r="P149">
        <v>0.94513347151570204</v>
      </c>
      <c r="Q149">
        <v>0.91116989862830999</v>
      </c>
      <c r="R149">
        <v>2.4369772469783401E-2</v>
      </c>
      <c r="S149">
        <v>2.8190129336392099E-2</v>
      </c>
      <c r="T149">
        <v>0.39475817239559202</v>
      </c>
      <c r="U149">
        <v>0.39475817239559202</v>
      </c>
      <c r="V149">
        <v>0.79</v>
      </c>
      <c r="W149">
        <v>11.51</v>
      </c>
      <c r="X149">
        <v>77039</v>
      </c>
      <c r="Y149">
        <v>77039</v>
      </c>
      <c r="Z149">
        <v>3.92</v>
      </c>
      <c r="AA149">
        <v>1</v>
      </c>
      <c r="AB149">
        <v>1</v>
      </c>
      <c r="AC149">
        <v>0</v>
      </c>
      <c r="AD149">
        <v>100</v>
      </c>
      <c r="AE149">
        <v>15</v>
      </c>
      <c r="AF149">
        <v>1</v>
      </c>
      <c r="AG149">
        <v>0</v>
      </c>
      <c r="AH149">
        <v>0</v>
      </c>
    </row>
    <row r="150" spans="1:34">
      <c r="A150" s="214">
        <v>233</v>
      </c>
      <c r="B150">
        <v>4401</v>
      </c>
      <c r="C150" t="s">
        <v>60</v>
      </c>
      <c r="D150" t="s">
        <v>90</v>
      </c>
      <c r="E150">
        <v>1416</v>
      </c>
      <c r="F150">
        <v>1417</v>
      </c>
      <c r="G150">
        <v>700</v>
      </c>
      <c r="H150" t="s">
        <v>91</v>
      </c>
      <c r="I150">
        <v>6178</v>
      </c>
      <c r="J150" t="s">
        <v>179</v>
      </c>
      <c r="K150" t="s">
        <v>180</v>
      </c>
      <c r="L150">
        <v>981</v>
      </c>
      <c r="M150">
        <v>981</v>
      </c>
      <c r="N150">
        <v>1000</v>
      </c>
      <c r="O150" t="s">
        <v>89</v>
      </c>
      <c r="P150">
        <v>0.92034427232900495</v>
      </c>
      <c r="Q150">
        <v>0.90761195860783805</v>
      </c>
      <c r="R150">
        <v>7.1196383032900599E-3</v>
      </c>
      <c r="S150">
        <v>8.4199301142789604E-2</v>
      </c>
      <c r="T150">
        <v>1.4213275478254499</v>
      </c>
      <c r="U150">
        <v>1.4213275478254499</v>
      </c>
      <c r="V150">
        <v>5.73</v>
      </c>
      <c r="W150">
        <v>1.1000000000000001</v>
      </c>
      <c r="X150">
        <v>76490</v>
      </c>
      <c r="Y150">
        <v>4249</v>
      </c>
      <c r="Z150">
        <v>0.21</v>
      </c>
      <c r="AA150">
        <v>18</v>
      </c>
      <c r="AB150">
        <v>10</v>
      </c>
      <c r="AC150">
        <v>8</v>
      </c>
      <c r="AD150">
        <v>55.56</v>
      </c>
      <c r="AE150">
        <v>12</v>
      </c>
      <c r="AF150">
        <v>4</v>
      </c>
      <c r="AG150">
        <v>4</v>
      </c>
      <c r="AH150">
        <v>10</v>
      </c>
    </row>
    <row r="151" spans="1:34">
      <c r="A151" s="214">
        <v>249</v>
      </c>
      <c r="B151">
        <v>4061</v>
      </c>
      <c r="C151" t="s">
        <v>184</v>
      </c>
      <c r="D151" t="s">
        <v>90</v>
      </c>
      <c r="E151">
        <v>2950</v>
      </c>
      <c r="F151">
        <v>3015</v>
      </c>
      <c r="G151">
        <v>300</v>
      </c>
      <c r="H151" t="s">
        <v>89</v>
      </c>
      <c r="I151">
        <v>7278</v>
      </c>
      <c r="J151" t="s">
        <v>122</v>
      </c>
      <c r="K151" t="s">
        <v>123</v>
      </c>
      <c r="L151">
        <v>2120</v>
      </c>
      <c r="M151">
        <v>2132</v>
      </c>
      <c r="N151">
        <v>400</v>
      </c>
      <c r="O151" t="s">
        <v>91</v>
      </c>
      <c r="P151">
        <v>0.93407861321709695</v>
      </c>
      <c r="Q151">
        <v>0.90546434023469002</v>
      </c>
      <c r="R151">
        <v>0.13837587316539901</v>
      </c>
      <c r="S151">
        <v>1.32072406200783E-2</v>
      </c>
      <c r="T151">
        <v>-5.9623988338659402E-2</v>
      </c>
      <c r="U151">
        <v>5.9623988338659402E-2</v>
      </c>
      <c r="V151">
        <v>-0.14000000000000001</v>
      </c>
      <c r="W151">
        <v>5.72</v>
      </c>
      <c r="X151">
        <v>74431</v>
      </c>
      <c r="Y151">
        <v>6766</v>
      </c>
      <c r="Z151">
        <v>0.28000000000000003</v>
      </c>
      <c r="AA151">
        <v>11</v>
      </c>
      <c r="AB151">
        <v>6</v>
      </c>
      <c r="AC151">
        <v>5</v>
      </c>
      <c r="AD151">
        <v>54.55</v>
      </c>
      <c r="AE151">
        <v>11</v>
      </c>
      <c r="AF151">
        <v>5</v>
      </c>
      <c r="AG151">
        <v>3</v>
      </c>
      <c r="AH151">
        <v>3</v>
      </c>
    </row>
    <row r="152" spans="1:34">
      <c r="A152" s="214">
        <v>67</v>
      </c>
      <c r="B152">
        <v>4208</v>
      </c>
      <c r="C152" t="s">
        <v>141</v>
      </c>
      <c r="D152" t="s">
        <v>90</v>
      </c>
      <c r="E152">
        <v>2220</v>
      </c>
      <c r="F152">
        <v>2233</v>
      </c>
      <c r="G152">
        <v>500</v>
      </c>
      <c r="H152" t="s">
        <v>91</v>
      </c>
      <c r="I152">
        <v>6371</v>
      </c>
      <c r="J152" t="s">
        <v>156</v>
      </c>
      <c r="K152" t="s">
        <v>144</v>
      </c>
      <c r="L152">
        <v>3445</v>
      </c>
      <c r="M152">
        <v>3460</v>
      </c>
      <c r="N152">
        <v>300</v>
      </c>
      <c r="O152" t="s">
        <v>89</v>
      </c>
      <c r="P152">
        <v>0.95716289389803899</v>
      </c>
      <c r="Q152">
        <v>0.94000773246262403</v>
      </c>
      <c r="R152">
        <v>0.217676980152225</v>
      </c>
      <c r="S152">
        <v>3.7802284181005798E-3</v>
      </c>
      <c r="T152">
        <v>1.59490083492694</v>
      </c>
      <c r="U152">
        <v>1.59490083492694</v>
      </c>
      <c r="V152">
        <v>2.08</v>
      </c>
      <c r="W152">
        <v>7.56</v>
      </c>
      <c r="X152">
        <v>73866</v>
      </c>
      <c r="Y152">
        <v>5682</v>
      </c>
      <c r="Z152">
        <v>0.23</v>
      </c>
      <c r="AA152">
        <v>13</v>
      </c>
      <c r="AB152">
        <v>8</v>
      </c>
      <c r="AC152">
        <v>5</v>
      </c>
      <c r="AD152">
        <v>61.54</v>
      </c>
      <c r="AE152">
        <v>13</v>
      </c>
      <c r="AF152">
        <v>4</v>
      </c>
      <c r="AG152">
        <v>4</v>
      </c>
      <c r="AH152">
        <v>5</v>
      </c>
    </row>
    <row r="153" spans="1:34">
      <c r="A153" s="214">
        <v>195</v>
      </c>
      <c r="B153">
        <v>5703</v>
      </c>
      <c r="C153" t="s">
        <v>244</v>
      </c>
      <c r="D153" t="s">
        <v>211</v>
      </c>
      <c r="E153">
        <v>201</v>
      </c>
      <c r="F153">
        <v>201</v>
      </c>
      <c r="G153">
        <v>5300</v>
      </c>
      <c r="H153" t="s">
        <v>91</v>
      </c>
      <c r="I153">
        <v>7261</v>
      </c>
      <c r="J153" t="s">
        <v>245</v>
      </c>
      <c r="K153" t="s">
        <v>123</v>
      </c>
      <c r="L153">
        <v>953</v>
      </c>
      <c r="M153">
        <v>966.1</v>
      </c>
      <c r="N153">
        <v>1100</v>
      </c>
      <c r="O153" t="s">
        <v>89</v>
      </c>
      <c r="P153">
        <v>0.91273290441280797</v>
      </c>
      <c r="Q153">
        <v>0.91471066556812297</v>
      </c>
      <c r="R153">
        <v>0.28385778222920099</v>
      </c>
      <c r="S153">
        <v>3.5124854550147397E-2</v>
      </c>
      <c r="T153">
        <v>0.69162657895406399</v>
      </c>
      <c r="U153">
        <v>0.69162657895406399</v>
      </c>
      <c r="V153">
        <v>2.0299999999999998</v>
      </c>
      <c r="W153">
        <v>0.24</v>
      </c>
      <c r="X153">
        <v>73461</v>
      </c>
      <c r="Y153">
        <v>5247</v>
      </c>
      <c r="Z153">
        <v>0.3</v>
      </c>
      <c r="AA153">
        <v>14</v>
      </c>
      <c r="AB153">
        <v>9</v>
      </c>
      <c r="AC153">
        <v>5</v>
      </c>
      <c r="AD153">
        <v>64.290000000000006</v>
      </c>
      <c r="AE153">
        <v>14</v>
      </c>
      <c r="AF153">
        <v>4</v>
      </c>
      <c r="AG153">
        <v>4</v>
      </c>
      <c r="AH153">
        <v>6</v>
      </c>
    </row>
    <row r="154" spans="1:34">
      <c r="A154" s="214">
        <v>6</v>
      </c>
      <c r="B154">
        <v>5401</v>
      </c>
      <c r="C154" t="s">
        <v>169</v>
      </c>
      <c r="D154" t="s">
        <v>134</v>
      </c>
      <c r="E154">
        <v>1504</v>
      </c>
      <c r="F154">
        <v>1504.5</v>
      </c>
      <c r="G154">
        <v>700</v>
      </c>
      <c r="H154" t="s">
        <v>91</v>
      </c>
      <c r="I154">
        <v>5406</v>
      </c>
      <c r="J154" t="s">
        <v>159</v>
      </c>
      <c r="K154" t="s">
        <v>134</v>
      </c>
      <c r="L154">
        <v>565</v>
      </c>
      <c r="M154">
        <v>570</v>
      </c>
      <c r="N154">
        <v>1800</v>
      </c>
      <c r="O154" t="s">
        <v>89</v>
      </c>
      <c r="P154">
        <v>0.95430049365144298</v>
      </c>
      <c r="Q154">
        <v>0.96860588778565504</v>
      </c>
      <c r="R154">
        <v>9.9804089179684904E-2</v>
      </c>
      <c r="S154">
        <v>0.35510829060211202</v>
      </c>
      <c r="T154">
        <v>0.25838536783897698</v>
      </c>
      <c r="U154">
        <v>0.25838536783897698</v>
      </c>
      <c r="V154">
        <v>0.78</v>
      </c>
      <c r="W154">
        <v>2.58</v>
      </c>
      <c r="X154">
        <v>71967</v>
      </c>
      <c r="Y154">
        <v>5536</v>
      </c>
      <c r="Z154">
        <v>0.27</v>
      </c>
      <c r="AA154">
        <v>13</v>
      </c>
      <c r="AB154">
        <v>8</v>
      </c>
      <c r="AC154">
        <v>5</v>
      </c>
      <c r="AD154">
        <v>61.54</v>
      </c>
      <c r="AE154">
        <v>12</v>
      </c>
      <c r="AF154">
        <v>4</v>
      </c>
      <c r="AG154">
        <v>3</v>
      </c>
      <c r="AH154">
        <v>6</v>
      </c>
    </row>
    <row r="155" spans="1:34">
      <c r="A155" s="214">
        <v>107</v>
      </c>
      <c r="B155">
        <v>4005</v>
      </c>
      <c r="C155" t="s">
        <v>172</v>
      </c>
      <c r="D155" t="s">
        <v>90</v>
      </c>
      <c r="E155">
        <v>498</v>
      </c>
      <c r="F155">
        <v>504</v>
      </c>
      <c r="G155">
        <v>2100</v>
      </c>
      <c r="H155" t="s">
        <v>89</v>
      </c>
      <c r="I155">
        <v>4182</v>
      </c>
      <c r="J155" t="s">
        <v>127</v>
      </c>
      <c r="K155" t="s">
        <v>90</v>
      </c>
      <c r="L155">
        <v>1489</v>
      </c>
      <c r="M155">
        <v>1498</v>
      </c>
      <c r="N155">
        <v>700</v>
      </c>
      <c r="O155" t="s">
        <v>91</v>
      </c>
      <c r="P155">
        <v>0.92638504395450305</v>
      </c>
      <c r="Q155">
        <v>0.93175845389791401</v>
      </c>
      <c r="R155">
        <v>5.2287070044763198E-2</v>
      </c>
      <c r="S155">
        <v>0.102844655174172</v>
      </c>
      <c r="T155">
        <v>-1.26610872231285</v>
      </c>
      <c r="U155">
        <v>1.26610872231285</v>
      </c>
      <c r="V155">
        <v>-5.55</v>
      </c>
      <c r="W155">
        <v>0.93</v>
      </c>
      <c r="X155">
        <v>71264</v>
      </c>
      <c r="Y155">
        <v>4454</v>
      </c>
      <c r="Z155">
        <v>0.26</v>
      </c>
      <c r="AA155">
        <v>16</v>
      </c>
      <c r="AB155">
        <v>11</v>
      </c>
      <c r="AC155">
        <v>5</v>
      </c>
      <c r="AD155">
        <v>68.75</v>
      </c>
      <c r="AE155">
        <v>14</v>
      </c>
      <c r="AF155">
        <v>6</v>
      </c>
      <c r="AG155">
        <v>4</v>
      </c>
      <c r="AH155">
        <v>6</v>
      </c>
    </row>
    <row r="156" spans="1:34">
      <c r="A156" s="214">
        <v>16</v>
      </c>
      <c r="B156">
        <v>3105</v>
      </c>
      <c r="C156" t="s">
        <v>131</v>
      </c>
      <c r="D156" t="s">
        <v>126</v>
      </c>
      <c r="E156">
        <v>839</v>
      </c>
      <c r="F156">
        <v>845</v>
      </c>
      <c r="G156">
        <v>1300</v>
      </c>
      <c r="H156" t="s">
        <v>89</v>
      </c>
      <c r="I156">
        <v>6988</v>
      </c>
      <c r="J156" t="s">
        <v>236</v>
      </c>
      <c r="K156" t="s">
        <v>90</v>
      </c>
      <c r="L156">
        <v>5358</v>
      </c>
      <c r="M156">
        <v>5415</v>
      </c>
      <c r="N156">
        <v>200</v>
      </c>
      <c r="O156" t="s">
        <v>91</v>
      </c>
      <c r="P156">
        <v>0.90941616334655295</v>
      </c>
      <c r="Q156">
        <v>0.96112685301716105</v>
      </c>
      <c r="R156">
        <v>6.76372909887899E-2</v>
      </c>
      <c r="S156">
        <v>7.0531792570117699E-2</v>
      </c>
      <c r="T156">
        <v>-1.0568282113576699</v>
      </c>
      <c r="U156">
        <v>1.0568282113576699</v>
      </c>
      <c r="V156">
        <v>-2.13</v>
      </c>
      <c r="W156">
        <v>1.43</v>
      </c>
      <c r="X156">
        <v>67968</v>
      </c>
      <c r="Y156">
        <v>3776</v>
      </c>
      <c r="Z156">
        <v>0.02</v>
      </c>
      <c r="AA156">
        <v>18</v>
      </c>
      <c r="AB156">
        <v>10</v>
      </c>
      <c r="AC156">
        <v>8</v>
      </c>
      <c r="AD156">
        <v>55.56</v>
      </c>
      <c r="AE156">
        <v>12</v>
      </c>
      <c r="AF156">
        <v>6</v>
      </c>
      <c r="AG156">
        <v>5</v>
      </c>
      <c r="AH156">
        <v>7</v>
      </c>
    </row>
    <row r="157" spans="1:34">
      <c r="A157" s="214">
        <v>239</v>
      </c>
      <c r="B157">
        <v>3105</v>
      </c>
      <c r="C157" t="s">
        <v>131</v>
      </c>
      <c r="D157" t="s">
        <v>126</v>
      </c>
      <c r="E157">
        <v>839</v>
      </c>
      <c r="F157">
        <v>845</v>
      </c>
      <c r="G157">
        <v>1200</v>
      </c>
      <c r="H157" t="s">
        <v>89</v>
      </c>
      <c r="I157">
        <v>5334</v>
      </c>
      <c r="J157" t="s">
        <v>246</v>
      </c>
      <c r="K157" t="s">
        <v>154</v>
      </c>
      <c r="L157">
        <v>2033</v>
      </c>
      <c r="M157">
        <v>2041</v>
      </c>
      <c r="N157">
        <v>500</v>
      </c>
      <c r="O157" t="s">
        <v>91</v>
      </c>
      <c r="P157">
        <v>0.90570665409274298</v>
      </c>
      <c r="Q157">
        <v>0.90642456023828399</v>
      </c>
      <c r="R157">
        <v>5.1226838184069298E-2</v>
      </c>
      <c r="S157">
        <v>6.2986178496364897E-2</v>
      </c>
      <c r="T157">
        <v>-0.55181885462746305</v>
      </c>
      <c r="U157">
        <v>0.55181885462746305</v>
      </c>
      <c r="V157">
        <v>-1.46</v>
      </c>
      <c r="W157">
        <v>0.64</v>
      </c>
      <c r="X157">
        <v>65459</v>
      </c>
      <c r="Y157">
        <v>3851</v>
      </c>
      <c r="Z157">
        <v>7.0000000000000007E-2</v>
      </c>
      <c r="AA157">
        <v>17</v>
      </c>
      <c r="AB157">
        <v>8</v>
      </c>
      <c r="AC157">
        <v>9</v>
      </c>
      <c r="AD157">
        <v>47.06</v>
      </c>
      <c r="AE157">
        <v>11</v>
      </c>
      <c r="AF157">
        <v>5</v>
      </c>
      <c r="AG157">
        <v>7</v>
      </c>
      <c r="AH157">
        <v>5</v>
      </c>
    </row>
    <row r="158" spans="1:34">
      <c r="A158" s="214">
        <v>30</v>
      </c>
      <c r="B158">
        <v>5802</v>
      </c>
      <c r="C158" t="s">
        <v>210</v>
      </c>
      <c r="D158" t="s">
        <v>211</v>
      </c>
      <c r="E158">
        <v>1372</v>
      </c>
      <c r="F158">
        <v>1385</v>
      </c>
      <c r="G158">
        <v>600</v>
      </c>
      <c r="H158" t="s">
        <v>89</v>
      </c>
      <c r="I158">
        <v>7267</v>
      </c>
      <c r="J158" t="s">
        <v>173</v>
      </c>
      <c r="K158" t="s">
        <v>123</v>
      </c>
      <c r="L158">
        <v>2800</v>
      </c>
      <c r="M158">
        <v>2828.5</v>
      </c>
      <c r="N158">
        <v>300</v>
      </c>
      <c r="O158" t="s">
        <v>91</v>
      </c>
      <c r="P158">
        <v>0.98229315346891199</v>
      </c>
      <c r="Q158">
        <v>0.95231765047203798</v>
      </c>
      <c r="R158">
        <v>0.101705308907255</v>
      </c>
      <c r="S158">
        <v>6.9225150606665495E-2</v>
      </c>
      <c r="T158">
        <v>-0.15575500443979101</v>
      </c>
      <c r="U158">
        <v>0.15575500443979101</v>
      </c>
      <c r="V158">
        <v>-0.26</v>
      </c>
      <c r="W158">
        <v>2.0699999999999998</v>
      </c>
      <c r="X158">
        <v>64390</v>
      </c>
      <c r="Y158">
        <v>3788</v>
      </c>
      <c r="Z158">
        <v>0.2</v>
      </c>
      <c r="AA158">
        <v>17</v>
      </c>
      <c r="AB158">
        <v>11</v>
      </c>
      <c r="AC158">
        <v>6</v>
      </c>
      <c r="AD158">
        <v>64.709999999999994</v>
      </c>
      <c r="AE158">
        <v>16</v>
      </c>
      <c r="AF158">
        <v>1</v>
      </c>
      <c r="AG158">
        <v>0</v>
      </c>
      <c r="AH158">
        <v>16</v>
      </c>
    </row>
    <row r="159" spans="1:34">
      <c r="A159" s="214">
        <v>52</v>
      </c>
      <c r="B159">
        <v>7167</v>
      </c>
      <c r="C159" t="s">
        <v>146</v>
      </c>
      <c r="D159" t="s">
        <v>121</v>
      </c>
      <c r="E159">
        <v>259</v>
      </c>
      <c r="F159">
        <v>263</v>
      </c>
      <c r="G159">
        <v>4100</v>
      </c>
      <c r="H159" t="s">
        <v>91</v>
      </c>
      <c r="I159">
        <v>7327</v>
      </c>
      <c r="J159" t="s">
        <v>242</v>
      </c>
      <c r="K159" t="s">
        <v>121</v>
      </c>
      <c r="L159">
        <v>2650</v>
      </c>
      <c r="M159">
        <v>2668</v>
      </c>
      <c r="N159">
        <v>400</v>
      </c>
      <c r="O159" t="s">
        <v>89</v>
      </c>
      <c r="P159">
        <v>0.93024733485705502</v>
      </c>
      <c r="Q159">
        <v>0.94451739853430605</v>
      </c>
      <c r="R159">
        <v>0.34764859998284398</v>
      </c>
      <c r="S159">
        <v>0.29756486973483298</v>
      </c>
      <c r="T159">
        <v>0.45253666922482899</v>
      </c>
      <c r="U159">
        <v>0.45253666922482899</v>
      </c>
      <c r="V159">
        <v>1.08</v>
      </c>
      <c r="W159">
        <v>1.04</v>
      </c>
      <c r="X159">
        <v>64321</v>
      </c>
      <c r="Y159">
        <v>32160</v>
      </c>
      <c r="Z159">
        <v>2.1</v>
      </c>
      <c r="AA159">
        <v>2</v>
      </c>
      <c r="AB159">
        <v>2</v>
      </c>
      <c r="AC159">
        <v>0</v>
      </c>
      <c r="AD159">
        <v>100</v>
      </c>
      <c r="AE159">
        <v>10</v>
      </c>
      <c r="AF159">
        <v>1</v>
      </c>
      <c r="AG159">
        <v>0</v>
      </c>
      <c r="AH159">
        <v>1</v>
      </c>
    </row>
    <row r="160" spans="1:34">
      <c r="A160" s="214">
        <v>165</v>
      </c>
      <c r="B160">
        <v>7180</v>
      </c>
      <c r="C160" t="s">
        <v>247</v>
      </c>
      <c r="D160" t="s">
        <v>121</v>
      </c>
      <c r="E160">
        <v>432</v>
      </c>
      <c r="F160">
        <v>435</v>
      </c>
      <c r="G160">
        <v>2500</v>
      </c>
      <c r="H160" t="s">
        <v>89</v>
      </c>
      <c r="I160">
        <v>7186</v>
      </c>
      <c r="J160" t="s">
        <v>51</v>
      </c>
      <c r="K160" t="s">
        <v>121</v>
      </c>
      <c r="L160">
        <v>410</v>
      </c>
      <c r="M160">
        <v>410</v>
      </c>
      <c r="N160">
        <v>2700</v>
      </c>
      <c r="O160" t="s">
        <v>91</v>
      </c>
      <c r="P160">
        <v>0.93972233287914197</v>
      </c>
      <c r="Q160">
        <v>0.92026300239367897</v>
      </c>
      <c r="R160">
        <v>9.3832867373789902E-2</v>
      </c>
      <c r="S160">
        <v>3.2274636439756699E-2</v>
      </c>
      <c r="T160">
        <v>-0.42975126647385697</v>
      </c>
      <c r="U160">
        <v>0.42975126647385697</v>
      </c>
      <c r="V160">
        <v>-1.25</v>
      </c>
      <c r="W160">
        <v>1.79</v>
      </c>
      <c r="X160">
        <v>63577</v>
      </c>
      <c r="Y160">
        <v>3179</v>
      </c>
      <c r="Z160">
        <v>0.16</v>
      </c>
      <c r="AA160">
        <v>20</v>
      </c>
      <c r="AB160">
        <v>10</v>
      </c>
      <c r="AC160">
        <v>10</v>
      </c>
      <c r="AD160">
        <v>50</v>
      </c>
      <c r="AE160">
        <v>14</v>
      </c>
      <c r="AF160">
        <v>6</v>
      </c>
      <c r="AG160">
        <v>4</v>
      </c>
      <c r="AH160">
        <v>10</v>
      </c>
    </row>
    <row r="161" spans="1:34">
      <c r="A161" s="214">
        <v>53</v>
      </c>
      <c r="B161">
        <v>6752</v>
      </c>
      <c r="C161" t="s">
        <v>152</v>
      </c>
      <c r="D161" t="s">
        <v>126</v>
      </c>
      <c r="E161">
        <v>874.4</v>
      </c>
      <c r="F161">
        <v>877.9</v>
      </c>
      <c r="G161">
        <v>1200</v>
      </c>
      <c r="H161" t="s">
        <v>91</v>
      </c>
      <c r="I161">
        <v>7327</v>
      </c>
      <c r="J161" t="s">
        <v>242</v>
      </c>
      <c r="K161" t="s">
        <v>121</v>
      </c>
      <c r="L161">
        <v>2650</v>
      </c>
      <c r="M161">
        <v>2668</v>
      </c>
      <c r="N161">
        <v>400</v>
      </c>
      <c r="O161" t="s">
        <v>89</v>
      </c>
      <c r="P161">
        <v>0.91815322725769699</v>
      </c>
      <c r="Q161">
        <v>0.94442227301302795</v>
      </c>
      <c r="R161">
        <v>0.26140855346983799</v>
      </c>
      <c r="S161">
        <v>0.20921872375824899</v>
      </c>
      <c r="T161">
        <v>9.7017991286332303E-2</v>
      </c>
      <c r="U161">
        <v>9.7017991286332303E-2</v>
      </c>
      <c r="V161">
        <v>0.19</v>
      </c>
      <c r="W161">
        <v>1.29</v>
      </c>
      <c r="X161">
        <v>61534</v>
      </c>
      <c r="Y161">
        <v>61534</v>
      </c>
      <c r="Z161">
        <v>3.06</v>
      </c>
      <c r="AA161">
        <v>1</v>
      </c>
      <c r="AB161">
        <v>1</v>
      </c>
      <c r="AC161">
        <v>0</v>
      </c>
      <c r="AD161">
        <v>100</v>
      </c>
      <c r="AE161">
        <v>16</v>
      </c>
      <c r="AF161">
        <v>1</v>
      </c>
      <c r="AG161">
        <v>0</v>
      </c>
      <c r="AH161">
        <v>0</v>
      </c>
    </row>
    <row r="162" spans="1:34">
      <c r="A162" s="214">
        <v>93</v>
      </c>
      <c r="B162">
        <v>5802</v>
      </c>
      <c r="C162" t="s">
        <v>210</v>
      </c>
      <c r="D162" t="s">
        <v>211</v>
      </c>
      <c r="E162">
        <v>1372</v>
      </c>
      <c r="F162">
        <v>1385</v>
      </c>
      <c r="G162">
        <v>700</v>
      </c>
      <c r="H162" t="s">
        <v>91</v>
      </c>
      <c r="I162">
        <v>7211</v>
      </c>
      <c r="J162" t="s">
        <v>56</v>
      </c>
      <c r="K162" t="s">
        <v>123</v>
      </c>
      <c r="L162">
        <v>468</v>
      </c>
      <c r="M162">
        <v>473</v>
      </c>
      <c r="N162">
        <v>2000</v>
      </c>
      <c r="O162" t="s">
        <v>89</v>
      </c>
      <c r="P162">
        <v>0.96148215359936795</v>
      </c>
      <c r="Q162">
        <v>0.93452873252110602</v>
      </c>
      <c r="R162">
        <v>3.4226503305550701E-2</v>
      </c>
      <c r="S162">
        <v>2.3903999467275401E-2</v>
      </c>
      <c r="T162">
        <v>2.2714494099906402</v>
      </c>
      <c r="U162">
        <v>2.2714494099906402</v>
      </c>
      <c r="V162">
        <v>4.13</v>
      </c>
      <c r="W162">
        <v>2.42</v>
      </c>
      <c r="X162">
        <v>60840</v>
      </c>
      <c r="Y162">
        <v>3579</v>
      </c>
      <c r="Z162">
        <v>0.19</v>
      </c>
      <c r="AA162">
        <v>17</v>
      </c>
      <c r="AB162">
        <v>10</v>
      </c>
      <c r="AC162">
        <v>7</v>
      </c>
      <c r="AD162">
        <v>58.82</v>
      </c>
      <c r="AE162">
        <v>14</v>
      </c>
      <c r="AF162">
        <v>3</v>
      </c>
      <c r="AG162">
        <v>2</v>
      </c>
      <c r="AH162">
        <v>12</v>
      </c>
    </row>
    <row r="163" spans="1:34">
      <c r="A163" s="214">
        <v>279</v>
      </c>
      <c r="B163">
        <v>3291</v>
      </c>
      <c r="C163" t="s">
        <v>165</v>
      </c>
      <c r="D163" t="s">
        <v>166</v>
      </c>
      <c r="E163">
        <v>1710</v>
      </c>
      <c r="F163">
        <v>1726</v>
      </c>
      <c r="G163">
        <v>600</v>
      </c>
      <c r="H163" t="s">
        <v>91</v>
      </c>
      <c r="I163">
        <v>7211</v>
      </c>
      <c r="J163" t="s">
        <v>56</v>
      </c>
      <c r="K163" t="s">
        <v>123</v>
      </c>
      <c r="L163">
        <v>468</v>
      </c>
      <c r="M163">
        <v>473</v>
      </c>
      <c r="N163">
        <v>2200</v>
      </c>
      <c r="O163" t="s">
        <v>89</v>
      </c>
      <c r="P163">
        <v>0.94015295092005702</v>
      </c>
      <c r="Q163">
        <v>0.90089680849413201</v>
      </c>
      <c r="R163">
        <v>0.12505699931157199</v>
      </c>
      <c r="S163">
        <v>0.22965341798602701</v>
      </c>
      <c r="T163">
        <v>2.04641049523153E-2</v>
      </c>
      <c r="U163">
        <v>2.04641049523153E-2</v>
      </c>
      <c r="V163">
        <v>7.0000000000000007E-2</v>
      </c>
      <c r="W163">
        <v>0.48</v>
      </c>
      <c r="X163">
        <v>59266</v>
      </c>
      <c r="Y163">
        <v>3293</v>
      </c>
      <c r="Z163">
        <v>0.13</v>
      </c>
      <c r="AA163">
        <v>18</v>
      </c>
      <c r="AB163">
        <v>8</v>
      </c>
      <c r="AC163">
        <v>10</v>
      </c>
      <c r="AD163">
        <v>44.44</v>
      </c>
      <c r="AE163">
        <v>10</v>
      </c>
      <c r="AF163">
        <v>7</v>
      </c>
      <c r="AG163">
        <v>5</v>
      </c>
      <c r="AH163">
        <v>6</v>
      </c>
    </row>
    <row r="164" spans="1:34">
      <c r="A164" s="214">
        <v>234</v>
      </c>
      <c r="B164">
        <v>5471</v>
      </c>
      <c r="C164" t="s">
        <v>224</v>
      </c>
      <c r="D164" t="s">
        <v>134</v>
      </c>
      <c r="E164">
        <v>4520</v>
      </c>
      <c r="F164">
        <v>4520</v>
      </c>
      <c r="G164">
        <v>200</v>
      </c>
      <c r="H164" t="s">
        <v>91</v>
      </c>
      <c r="I164">
        <v>6923</v>
      </c>
      <c r="J164" t="s">
        <v>164</v>
      </c>
      <c r="K164" t="s">
        <v>126</v>
      </c>
      <c r="L164">
        <v>2871</v>
      </c>
      <c r="M164">
        <v>2908</v>
      </c>
      <c r="N164">
        <v>300</v>
      </c>
      <c r="O164" t="s">
        <v>89</v>
      </c>
      <c r="P164">
        <v>0.90847531552962701</v>
      </c>
      <c r="Q164">
        <v>0.90755749600862601</v>
      </c>
      <c r="R164">
        <v>3.4197675985886702E-2</v>
      </c>
      <c r="S164">
        <v>2.98225358743797E-3</v>
      </c>
      <c r="T164">
        <v>1.37766789699228</v>
      </c>
      <c r="U164">
        <v>1.37766789699228</v>
      </c>
      <c r="V164">
        <v>2.95</v>
      </c>
      <c r="W164">
        <v>3.5</v>
      </c>
      <c r="X164">
        <v>57851</v>
      </c>
      <c r="Y164">
        <v>8264</v>
      </c>
      <c r="Z164">
        <v>0.43</v>
      </c>
      <c r="AA164">
        <v>7</v>
      </c>
      <c r="AB164">
        <v>3</v>
      </c>
      <c r="AC164">
        <v>4</v>
      </c>
      <c r="AD164">
        <v>42.86</v>
      </c>
      <c r="AE164">
        <v>17</v>
      </c>
      <c r="AF164">
        <v>1</v>
      </c>
      <c r="AG164">
        <v>0</v>
      </c>
      <c r="AH164">
        <v>6</v>
      </c>
    </row>
    <row r="165" spans="1:34">
      <c r="A165" s="214">
        <v>205</v>
      </c>
      <c r="B165">
        <v>4507</v>
      </c>
      <c r="C165" t="s">
        <v>248</v>
      </c>
      <c r="D165" t="s">
        <v>232</v>
      </c>
      <c r="E165">
        <v>5940</v>
      </c>
      <c r="F165">
        <v>5884</v>
      </c>
      <c r="G165">
        <v>100</v>
      </c>
      <c r="H165" t="s">
        <v>89</v>
      </c>
      <c r="I165">
        <v>8377</v>
      </c>
      <c r="J165" t="s">
        <v>137</v>
      </c>
      <c r="K165" t="s">
        <v>121</v>
      </c>
      <c r="L165">
        <v>1032</v>
      </c>
      <c r="M165">
        <v>1036</v>
      </c>
      <c r="N165">
        <v>600</v>
      </c>
      <c r="O165" t="s">
        <v>91</v>
      </c>
      <c r="P165">
        <v>0.91861172876721897</v>
      </c>
      <c r="Q165">
        <v>0.91354299072189105</v>
      </c>
      <c r="R165">
        <v>6.0424663144881801E-3</v>
      </c>
      <c r="S165">
        <v>9.47421207673378E-3</v>
      </c>
      <c r="T165">
        <v>-4.7177187488472799E-2</v>
      </c>
      <c r="U165">
        <v>4.7177187488472799E-2</v>
      </c>
      <c r="V165">
        <v>-0.19</v>
      </c>
      <c r="W165">
        <v>5.64</v>
      </c>
      <c r="X165">
        <v>56732</v>
      </c>
      <c r="Y165">
        <v>3337</v>
      </c>
      <c r="Z165">
        <v>0</v>
      </c>
      <c r="AA165">
        <v>17</v>
      </c>
      <c r="AB165">
        <v>9</v>
      </c>
      <c r="AC165">
        <v>8</v>
      </c>
      <c r="AD165">
        <v>52.94</v>
      </c>
      <c r="AE165">
        <v>11</v>
      </c>
      <c r="AF165">
        <v>5</v>
      </c>
      <c r="AG165">
        <v>7</v>
      </c>
      <c r="AH165">
        <v>5</v>
      </c>
    </row>
    <row r="166" spans="1:34">
      <c r="A166" s="214">
        <v>193</v>
      </c>
      <c r="B166">
        <v>8242</v>
      </c>
      <c r="C166" t="s">
        <v>181</v>
      </c>
      <c r="D166" t="s">
        <v>138</v>
      </c>
      <c r="E166">
        <v>1222</v>
      </c>
      <c r="F166">
        <v>1216</v>
      </c>
      <c r="G166">
        <v>700</v>
      </c>
      <c r="H166" t="s">
        <v>89</v>
      </c>
      <c r="I166">
        <v>9810</v>
      </c>
      <c r="J166" t="s">
        <v>202</v>
      </c>
      <c r="K166" t="s">
        <v>147</v>
      </c>
      <c r="L166">
        <v>4375</v>
      </c>
      <c r="M166">
        <v>4365</v>
      </c>
      <c r="N166">
        <v>200</v>
      </c>
      <c r="O166" t="s">
        <v>91</v>
      </c>
      <c r="P166">
        <v>0.95143955377878398</v>
      </c>
      <c r="Q166">
        <v>0.91495918733916104</v>
      </c>
      <c r="R166">
        <v>3.4692039232415602E-3</v>
      </c>
      <c r="S166">
        <v>8.0776277285158404E-2</v>
      </c>
      <c r="T166">
        <v>-0.21114494041878601</v>
      </c>
      <c r="U166">
        <v>0.21114494041878601</v>
      </c>
      <c r="V166">
        <v>-0.48</v>
      </c>
      <c r="W166">
        <v>2.5</v>
      </c>
      <c r="X166">
        <v>56182</v>
      </c>
      <c r="Y166">
        <v>3511</v>
      </c>
      <c r="Z166">
        <v>0.13</v>
      </c>
      <c r="AA166">
        <v>16</v>
      </c>
      <c r="AB166">
        <v>7</v>
      </c>
      <c r="AC166">
        <v>9</v>
      </c>
      <c r="AD166">
        <v>43.75</v>
      </c>
      <c r="AE166">
        <v>14</v>
      </c>
      <c r="AF166">
        <v>4</v>
      </c>
      <c r="AG166">
        <v>1</v>
      </c>
      <c r="AH166">
        <v>11</v>
      </c>
    </row>
    <row r="167" spans="1:34">
      <c r="A167" s="214">
        <v>78</v>
      </c>
      <c r="B167">
        <v>4182</v>
      </c>
      <c r="C167" t="s">
        <v>127</v>
      </c>
      <c r="D167" t="s">
        <v>90</v>
      </c>
      <c r="E167">
        <v>1489</v>
      </c>
      <c r="F167">
        <v>1498</v>
      </c>
      <c r="G167">
        <v>700</v>
      </c>
      <c r="H167" t="s">
        <v>91</v>
      </c>
      <c r="I167">
        <v>6472</v>
      </c>
      <c r="J167" t="s">
        <v>222</v>
      </c>
      <c r="K167" t="s">
        <v>144</v>
      </c>
      <c r="L167">
        <v>317</v>
      </c>
      <c r="M167">
        <v>322</v>
      </c>
      <c r="N167">
        <v>3300</v>
      </c>
      <c r="O167" t="s">
        <v>89</v>
      </c>
      <c r="P167">
        <v>0.95626131567259498</v>
      </c>
      <c r="Q167">
        <v>0.93756082672028995</v>
      </c>
      <c r="R167">
        <v>6.7455439782986099E-2</v>
      </c>
      <c r="S167">
        <v>0.149330501840853</v>
      </c>
      <c r="T167">
        <v>1.4666601039799101</v>
      </c>
      <c r="U167">
        <v>1.4666601039799101</v>
      </c>
      <c r="V167">
        <v>2.82</v>
      </c>
      <c r="W167">
        <v>1.34</v>
      </c>
      <c r="X167">
        <v>54769</v>
      </c>
      <c r="Y167">
        <v>3222</v>
      </c>
      <c r="Z167">
        <v>0.16</v>
      </c>
      <c r="AA167">
        <v>17</v>
      </c>
      <c r="AB167">
        <v>9</v>
      </c>
      <c r="AC167">
        <v>8</v>
      </c>
      <c r="AD167">
        <v>52.94</v>
      </c>
      <c r="AE167">
        <v>13</v>
      </c>
      <c r="AF167">
        <v>6</v>
      </c>
      <c r="AG167">
        <v>4</v>
      </c>
      <c r="AH167">
        <v>7</v>
      </c>
    </row>
    <row r="168" spans="1:34">
      <c r="A168" s="214">
        <v>262</v>
      </c>
      <c r="B168">
        <v>1860</v>
      </c>
      <c r="C168" t="s">
        <v>163</v>
      </c>
      <c r="D168" t="s">
        <v>115</v>
      </c>
      <c r="E168">
        <v>624</v>
      </c>
      <c r="F168">
        <v>625</v>
      </c>
      <c r="G168">
        <v>1500</v>
      </c>
      <c r="H168" t="s">
        <v>89</v>
      </c>
      <c r="I168">
        <v>6995</v>
      </c>
      <c r="J168" t="s">
        <v>132</v>
      </c>
      <c r="K168" t="s">
        <v>123</v>
      </c>
      <c r="L168">
        <v>1852</v>
      </c>
      <c r="M168">
        <v>1861</v>
      </c>
      <c r="N168">
        <v>500</v>
      </c>
      <c r="O168" t="s">
        <v>91</v>
      </c>
      <c r="P168">
        <v>0.91606539702745604</v>
      </c>
      <c r="Q168">
        <v>0.904199045201175</v>
      </c>
      <c r="R168">
        <v>0.245110700356061</v>
      </c>
      <c r="S168">
        <v>2.0629501464805401E-2</v>
      </c>
      <c r="T168">
        <v>-0.32463581784156798</v>
      </c>
      <c r="U168">
        <v>0.32463581784156798</v>
      </c>
      <c r="V168">
        <v>-0.8</v>
      </c>
      <c r="W168">
        <v>0.75</v>
      </c>
      <c r="X168">
        <v>54744</v>
      </c>
      <c r="Y168">
        <v>2737</v>
      </c>
      <c r="Z168">
        <v>0.11</v>
      </c>
      <c r="AA168">
        <v>20</v>
      </c>
      <c r="AB168">
        <v>12</v>
      </c>
      <c r="AC168">
        <v>8</v>
      </c>
      <c r="AD168">
        <v>60</v>
      </c>
      <c r="AE168">
        <v>14</v>
      </c>
      <c r="AF168">
        <v>6</v>
      </c>
      <c r="AG168">
        <v>5</v>
      </c>
      <c r="AH168">
        <v>9</v>
      </c>
    </row>
    <row r="169" spans="1:34">
      <c r="A169" s="214">
        <v>55</v>
      </c>
      <c r="B169">
        <v>5201</v>
      </c>
      <c r="C169" t="s">
        <v>206</v>
      </c>
      <c r="D169" t="s">
        <v>154</v>
      </c>
      <c r="E169">
        <v>3370</v>
      </c>
      <c r="F169">
        <v>3405</v>
      </c>
      <c r="G169">
        <v>300</v>
      </c>
      <c r="H169" t="s">
        <v>89</v>
      </c>
      <c r="I169">
        <v>7012</v>
      </c>
      <c r="J169" t="s">
        <v>249</v>
      </c>
      <c r="K169" t="s">
        <v>123</v>
      </c>
      <c r="L169">
        <v>2438</v>
      </c>
      <c r="M169">
        <v>2447</v>
      </c>
      <c r="N169">
        <v>400</v>
      </c>
      <c r="O169" t="s">
        <v>91</v>
      </c>
      <c r="P169">
        <v>0.96044655091870701</v>
      </c>
      <c r="Q169">
        <v>0.94394944419788795</v>
      </c>
      <c r="R169">
        <v>0.18944935368733901</v>
      </c>
      <c r="S169">
        <v>3.5427874208554702E-3</v>
      </c>
      <c r="T169">
        <v>-1.52611604911906</v>
      </c>
      <c r="U169">
        <v>1.52611604911906</v>
      </c>
      <c r="V169">
        <v>-3.84</v>
      </c>
      <c r="W169">
        <v>4.18</v>
      </c>
      <c r="X169">
        <v>54740</v>
      </c>
      <c r="Y169">
        <v>5474</v>
      </c>
      <c r="Z169">
        <v>0.28999999999999998</v>
      </c>
      <c r="AA169">
        <v>10</v>
      </c>
      <c r="AB169">
        <v>5</v>
      </c>
      <c r="AC169">
        <v>5</v>
      </c>
      <c r="AD169">
        <v>50</v>
      </c>
      <c r="AE169">
        <v>15</v>
      </c>
      <c r="AF169">
        <v>2</v>
      </c>
      <c r="AG169">
        <v>0</v>
      </c>
      <c r="AH169">
        <v>8</v>
      </c>
    </row>
    <row r="170" spans="1:34">
      <c r="A170" s="214">
        <v>204</v>
      </c>
      <c r="B170">
        <v>4902</v>
      </c>
      <c r="C170" t="s">
        <v>250</v>
      </c>
      <c r="D170" t="s">
        <v>126</v>
      </c>
      <c r="E170">
        <v>751</v>
      </c>
      <c r="F170">
        <v>755</v>
      </c>
      <c r="G170">
        <v>1400</v>
      </c>
      <c r="H170" t="s">
        <v>89</v>
      </c>
      <c r="I170">
        <v>5401</v>
      </c>
      <c r="J170" t="s">
        <v>169</v>
      </c>
      <c r="K170" t="s">
        <v>134</v>
      </c>
      <c r="L170">
        <v>1504</v>
      </c>
      <c r="M170">
        <v>1504.5</v>
      </c>
      <c r="N170">
        <v>700</v>
      </c>
      <c r="O170" t="s">
        <v>91</v>
      </c>
      <c r="P170">
        <v>0.97227100064092697</v>
      </c>
      <c r="Q170">
        <v>0.91354615594854705</v>
      </c>
      <c r="R170">
        <v>0.11569295381799601</v>
      </c>
      <c r="S170">
        <v>0.335762445827751</v>
      </c>
      <c r="T170">
        <v>-0.84717494634007295</v>
      </c>
      <c r="U170">
        <v>0.84717494634007295</v>
      </c>
      <c r="V170">
        <v>-6.27</v>
      </c>
      <c r="W170">
        <v>0.37</v>
      </c>
      <c r="X170">
        <v>52928</v>
      </c>
      <c r="Y170">
        <v>2786</v>
      </c>
      <c r="Z170">
        <v>0.15</v>
      </c>
      <c r="AA170">
        <v>19</v>
      </c>
      <c r="AB170">
        <v>11</v>
      </c>
      <c r="AC170">
        <v>8</v>
      </c>
      <c r="AD170">
        <v>57.89</v>
      </c>
      <c r="AE170">
        <v>13</v>
      </c>
      <c r="AF170">
        <v>5</v>
      </c>
      <c r="AG170">
        <v>6</v>
      </c>
      <c r="AH170">
        <v>8</v>
      </c>
    </row>
    <row r="171" spans="1:34">
      <c r="A171" s="214">
        <v>225</v>
      </c>
      <c r="B171">
        <v>5802</v>
      </c>
      <c r="C171" t="s">
        <v>210</v>
      </c>
      <c r="D171" t="s">
        <v>211</v>
      </c>
      <c r="E171">
        <v>1372</v>
      </c>
      <c r="F171">
        <v>1385</v>
      </c>
      <c r="G171">
        <v>700</v>
      </c>
      <c r="H171" t="s">
        <v>91</v>
      </c>
      <c r="I171">
        <v>7202</v>
      </c>
      <c r="J171" t="s">
        <v>220</v>
      </c>
      <c r="K171" t="s">
        <v>123</v>
      </c>
      <c r="L171">
        <v>1180</v>
      </c>
      <c r="M171">
        <v>1191.5</v>
      </c>
      <c r="N171">
        <v>800</v>
      </c>
      <c r="O171" t="s">
        <v>89</v>
      </c>
      <c r="P171">
        <v>0.92821595645511301</v>
      </c>
      <c r="Q171">
        <v>0.90845232681324695</v>
      </c>
      <c r="R171">
        <v>0.31794769260161099</v>
      </c>
      <c r="S171">
        <v>7.7207159113387894E-2</v>
      </c>
      <c r="T171">
        <v>1.39071963383511</v>
      </c>
      <c r="U171">
        <v>1.39071963383511</v>
      </c>
      <c r="V171">
        <v>3.06</v>
      </c>
      <c r="W171">
        <v>1.68</v>
      </c>
      <c r="X171">
        <v>50699</v>
      </c>
      <c r="Y171">
        <v>3900</v>
      </c>
      <c r="Z171">
        <v>0.2</v>
      </c>
      <c r="AA171">
        <v>13</v>
      </c>
      <c r="AB171">
        <v>8</v>
      </c>
      <c r="AC171">
        <v>5</v>
      </c>
      <c r="AD171">
        <v>61.54</v>
      </c>
      <c r="AE171">
        <v>15</v>
      </c>
      <c r="AF171">
        <v>3</v>
      </c>
      <c r="AG171">
        <v>1</v>
      </c>
      <c r="AH171">
        <v>9</v>
      </c>
    </row>
    <row r="172" spans="1:34">
      <c r="A172" s="214">
        <v>282</v>
      </c>
      <c r="B172">
        <v>5802</v>
      </c>
      <c r="C172" t="s">
        <v>210</v>
      </c>
      <c r="D172" t="s">
        <v>211</v>
      </c>
      <c r="E172">
        <v>1372</v>
      </c>
      <c r="F172">
        <v>1385</v>
      </c>
      <c r="G172">
        <v>500</v>
      </c>
      <c r="H172" t="s">
        <v>91</v>
      </c>
      <c r="I172">
        <v>8309</v>
      </c>
      <c r="J172" t="s">
        <v>52</v>
      </c>
      <c r="K172" t="s">
        <v>121</v>
      </c>
      <c r="L172">
        <v>3719</v>
      </c>
      <c r="M172">
        <v>3741</v>
      </c>
      <c r="N172">
        <v>200</v>
      </c>
      <c r="O172" t="s">
        <v>89</v>
      </c>
      <c r="P172">
        <v>0.97234950482066096</v>
      </c>
      <c r="Q172">
        <v>0.90002159947613503</v>
      </c>
      <c r="R172">
        <v>2.9765024339302002E-3</v>
      </c>
      <c r="S172">
        <v>0.33122626843018399</v>
      </c>
      <c r="T172">
        <v>2.9270842190036799</v>
      </c>
      <c r="U172">
        <v>2.9270842190036799</v>
      </c>
      <c r="V172">
        <v>3.79</v>
      </c>
      <c r="W172">
        <v>7.44</v>
      </c>
      <c r="X172">
        <v>44582</v>
      </c>
      <c r="Y172">
        <v>2972</v>
      </c>
      <c r="Z172">
        <v>0.21</v>
      </c>
      <c r="AA172">
        <v>15</v>
      </c>
      <c r="AB172">
        <v>8</v>
      </c>
      <c r="AC172">
        <v>7</v>
      </c>
      <c r="AD172">
        <v>53.33</v>
      </c>
      <c r="AE172">
        <v>16</v>
      </c>
      <c r="AF172">
        <v>3</v>
      </c>
      <c r="AG172">
        <v>3</v>
      </c>
      <c r="AH172">
        <v>9</v>
      </c>
    </row>
    <row r="173" spans="1:34">
      <c r="A173" s="214">
        <v>109</v>
      </c>
      <c r="B173">
        <v>5020</v>
      </c>
      <c r="C173" t="s">
        <v>199</v>
      </c>
      <c r="D173" t="s">
        <v>200</v>
      </c>
      <c r="E173">
        <v>493.5</v>
      </c>
      <c r="F173">
        <v>494.8</v>
      </c>
      <c r="G173">
        <v>2100</v>
      </c>
      <c r="H173" t="s">
        <v>91</v>
      </c>
      <c r="I173">
        <v>6752</v>
      </c>
      <c r="J173" t="s">
        <v>152</v>
      </c>
      <c r="K173" t="s">
        <v>126</v>
      </c>
      <c r="L173">
        <v>874.4</v>
      </c>
      <c r="M173">
        <v>877.9</v>
      </c>
      <c r="N173">
        <v>1200</v>
      </c>
      <c r="O173" t="s">
        <v>89</v>
      </c>
      <c r="P173">
        <v>0.94274402081379505</v>
      </c>
      <c r="Q173">
        <v>0.93135140854190901</v>
      </c>
      <c r="R173">
        <v>4.2362831704074302E-2</v>
      </c>
      <c r="S173">
        <v>0.15723159289581901</v>
      </c>
      <c r="T173">
        <v>0.35249191930381801</v>
      </c>
      <c r="U173">
        <v>0.35249191930381801</v>
      </c>
      <c r="V173">
        <v>1.24</v>
      </c>
      <c r="W173">
        <v>1.37</v>
      </c>
      <c r="X173">
        <v>43339</v>
      </c>
      <c r="Y173">
        <v>2167</v>
      </c>
      <c r="Z173">
        <v>0.08</v>
      </c>
      <c r="AA173">
        <v>20</v>
      </c>
      <c r="AB173">
        <v>9</v>
      </c>
      <c r="AC173">
        <v>11</v>
      </c>
      <c r="AD173">
        <v>45</v>
      </c>
      <c r="AE173">
        <v>12</v>
      </c>
      <c r="AF173">
        <v>7</v>
      </c>
      <c r="AG173">
        <v>5</v>
      </c>
      <c r="AH173">
        <v>8</v>
      </c>
    </row>
    <row r="174" spans="1:34">
      <c r="A174" s="214">
        <v>77</v>
      </c>
      <c r="B174">
        <v>1333</v>
      </c>
      <c r="C174" t="s">
        <v>238</v>
      </c>
      <c r="D174" t="s">
        <v>239</v>
      </c>
      <c r="E174">
        <v>2751</v>
      </c>
      <c r="F174">
        <v>2755</v>
      </c>
      <c r="G174">
        <v>300</v>
      </c>
      <c r="H174" t="s">
        <v>91</v>
      </c>
      <c r="I174">
        <v>5401</v>
      </c>
      <c r="J174" t="s">
        <v>169</v>
      </c>
      <c r="K174" t="s">
        <v>134</v>
      </c>
      <c r="L174">
        <v>1504</v>
      </c>
      <c r="M174">
        <v>1504.5</v>
      </c>
      <c r="N174">
        <v>500</v>
      </c>
      <c r="O174" t="s">
        <v>89</v>
      </c>
      <c r="P174">
        <v>0.942306086693111</v>
      </c>
      <c r="Q174">
        <v>0.93756659747677695</v>
      </c>
      <c r="R174">
        <v>4.0012241830232102E-2</v>
      </c>
      <c r="S174">
        <v>7.9723200088770999E-2</v>
      </c>
      <c r="T174">
        <v>0.33825969284069901</v>
      </c>
      <c r="U174">
        <v>0.33825969284069901</v>
      </c>
      <c r="V174">
        <v>1.01</v>
      </c>
      <c r="W174">
        <v>8.98</v>
      </c>
      <c r="X174">
        <v>42346</v>
      </c>
      <c r="Y174">
        <v>2823</v>
      </c>
      <c r="Z174">
        <v>0.22</v>
      </c>
      <c r="AA174">
        <v>15</v>
      </c>
      <c r="AB174">
        <v>7</v>
      </c>
      <c r="AC174">
        <v>8</v>
      </c>
      <c r="AD174">
        <v>46.67</v>
      </c>
      <c r="AE174">
        <v>12</v>
      </c>
      <c r="AF174">
        <v>4</v>
      </c>
      <c r="AG174">
        <v>4</v>
      </c>
      <c r="AH174">
        <v>7</v>
      </c>
    </row>
    <row r="175" spans="1:34">
      <c r="A175" s="214">
        <v>228</v>
      </c>
      <c r="B175">
        <v>4182</v>
      </c>
      <c r="C175" t="s">
        <v>127</v>
      </c>
      <c r="D175" t="s">
        <v>90</v>
      </c>
      <c r="E175">
        <v>1489</v>
      </c>
      <c r="F175">
        <v>1498</v>
      </c>
      <c r="G175">
        <v>600</v>
      </c>
      <c r="H175" t="s">
        <v>91</v>
      </c>
      <c r="I175">
        <v>5019</v>
      </c>
      <c r="J175" t="s">
        <v>251</v>
      </c>
      <c r="K175" t="s">
        <v>200</v>
      </c>
      <c r="L175">
        <v>3130</v>
      </c>
      <c r="M175">
        <v>3120</v>
      </c>
      <c r="N175">
        <v>300</v>
      </c>
      <c r="O175" t="s">
        <v>89</v>
      </c>
      <c r="P175">
        <v>0.94145351355492002</v>
      </c>
      <c r="Q175">
        <v>0.90799794465072203</v>
      </c>
      <c r="R175">
        <v>3.30083354751501E-2</v>
      </c>
      <c r="S175">
        <v>0.13849508899226401</v>
      </c>
      <c r="T175">
        <v>2.13714650753563</v>
      </c>
      <c r="U175">
        <v>2.13714650753563</v>
      </c>
      <c r="V175">
        <v>5.25</v>
      </c>
      <c r="W175">
        <v>3.97</v>
      </c>
      <c r="X175">
        <v>42210</v>
      </c>
      <c r="Y175">
        <v>3518</v>
      </c>
      <c r="Z175">
        <v>0.28999999999999998</v>
      </c>
      <c r="AA175">
        <v>12</v>
      </c>
      <c r="AB175">
        <v>7</v>
      </c>
      <c r="AC175">
        <v>5</v>
      </c>
      <c r="AD175">
        <v>58.33</v>
      </c>
      <c r="AE175">
        <v>11</v>
      </c>
      <c r="AF175">
        <v>6</v>
      </c>
      <c r="AG175">
        <v>4</v>
      </c>
      <c r="AH175">
        <v>2</v>
      </c>
    </row>
    <row r="176" spans="1:34">
      <c r="A176" s="214">
        <v>210</v>
      </c>
      <c r="B176">
        <v>1963</v>
      </c>
      <c r="C176" t="s">
        <v>208</v>
      </c>
      <c r="D176" t="s">
        <v>115</v>
      </c>
      <c r="E176">
        <v>1411</v>
      </c>
      <c r="F176">
        <v>1438</v>
      </c>
      <c r="G176">
        <v>700</v>
      </c>
      <c r="H176" t="s">
        <v>89</v>
      </c>
      <c r="I176">
        <v>6472</v>
      </c>
      <c r="J176" t="s">
        <v>222</v>
      </c>
      <c r="K176" t="s">
        <v>144</v>
      </c>
      <c r="L176">
        <v>317</v>
      </c>
      <c r="M176">
        <v>322</v>
      </c>
      <c r="N176">
        <v>3100</v>
      </c>
      <c r="O176" t="s">
        <v>91</v>
      </c>
      <c r="P176">
        <v>0.93981992295883598</v>
      </c>
      <c r="Q176">
        <v>0.912652893732673</v>
      </c>
      <c r="R176">
        <v>5.5147466041657399E-2</v>
      </c>
      <c r="S176">
        <v>0.121490230028165</v>
      </c>
      <c r="T176">
        <v>-0.47068564527637102</v>
      </c>
      <c r="U176">
        <v>0.47068564527637102</v>
      </c>
      <c r="V176">
        <v>-1.32</v>
      </c>
      <c r="W176">
        <v>0.83</v>
      </c>
      <c r="X176">
        <v>39025</v>
      </c>
      <c r="Y176">
        <v>2054</v>
      </c>
      <c r="Z176">
        <v>0.09</v>
      </c>
      <c r="AA176">
        <v>19</v>
      </c>
      <c r="AB176">
        <v>10</v>
      </c>
      <c r="AC176">
        <v>9</v>
      </c>
      <c r="AD176">
        <v>52.63</v>
      </c>
      <c r="AE176">
        <v>11</v>
      </c>
      <c r="AF176">
        <v>7</v>
      </c>
      <c r="AG176">
        <v>7</v>
      </c>
      <c r="AH176">
        <v>5</v>
      </c>
    </row>
    <row r="177" spans="1:34">
      <c r="A177" s="214">
        <v>214</v>
      </c>
      <c r="B177">
        <v>7201</v>
      </c>
      <c r="C177" t="s">
        <v>151</v>
      </c>
      <c r="D177" t="s">
        <v>123</v>
      </c>
      <c r="E177">
        <v>662</v>
      </c>
      <c r="F177">
        <v>668.7</v>
      </c>
      <c r="G177">
        <v>1600</v>
      </c>
      <c r="H177" t="s">
        <v>89</v>
      </c>
      <c r="I177">
        <v>8058</v>
      </c>
      <c r="J177" t="s">
        <v>252</v>
      </c>
      <c r="K177" t="s">
        <v>147</v>
      </c>
      <c r="L177">
        <v>2665</v>
      </c>
      <c r="M177">
        <v>2681</v>
      </c>
      <c r="N177">
        <v>400</v>
      </c>
      <c r="O177" t="s">
        <v>91</v>
      </c>
      <c r="P177">
        <v>0.93251766909240597</v>
      </c>
      <c r="Q177">
        <v>0.911604176389611</v>
      </c>
      <c r="R177">
        <v>5.6072501335353499E-2</v>
      </c>
      <c r="S177">
        <v>0.14999013409239201</v>
      </c>
      <c r="T177">
        <v>-1.00981898591999</v>
      </c>
      <c r="U177">
        <v>1.00981898591999</v>
      </c>
      <c r="V177">
        <v>-2.7</v>
      </c>
      <c r="W177">
        <v>0.23</v>
      </c>
      <c r="X177">
        <v>32501</v>
      </c>
      <c r="Y177">
        <v>2955</v>
      </c>
      <c r="Z177">
        <v>0.15</v>
      </c>
      <c r="AA177">
        <v>11</v>
      </c>
      <c r="AB177">
        <v>7</v>
      </c>
      <c r="AC177">
        <v>4</v>
      </c>
      <c r="AD177">
        <v>63.64</v>
      </c>
      <c r="AE177">
        <v>16</v>
      </c>
      <c r="AF177">
        <v>1</v>
      </c>
      <c r="AG177">
        <v>1</v>
      </c>
      <c r="AH177">
        <v>9</v>
      </c>
    </row>
    <row r="178" spans="1:34">
      <c r="A178" s="214">
        <v>103</v>
      </c>
      <c r="B178">
        <v>6371</v>
      </c>
      <c r="C178" t="s">
        <v>156</v>
      </c>
      <c r="D178" t="s">
        <v>144</v>
      </c>
      <c r="E178">
        <v>3445</v>
      </c>
      <c r="F178">
        <v>3460</v>
      </c>
      <c r="G178">
        <v>300</v>
      </c>
      <c r="H178" t="s">
        <v>91</v>
      </c>
      <c r="I178">
        <v>6752</v>
      </c>
      <c r="J178" t="s">
        <v>152</v>
      </c>
      <c r="K178" t="s">
        <v>126</v>
      </c>
      <c r="L178">
        <v>874.4</v>
      </c>
      <c r="M178">
        <v>877.9</v>
      </c>
      <c r="N178">
        <v>1200</v>
      </c>
      <c r="O178" t="s">
        <v>89</v>
      </c>
      <c r="P178">
        <v>0.936975930617158</v>
      </c>
      <c r="Q178">
        <v>0.93318331490339701</v>
      </c>
      <c r="R178">
        <v>7.3689870739020204E-3</v>
      </c>
      <c r="S178">
        <v>0.1023721754506</v>
      </c>
      <c r="T178">
        <v>0.93463277485947904</v>
      </c>
      <c r="U178">
        <v>0.93463277485947904</v>
      </c>
      <c r="V178">
        <v>1.58</v>
      </c>
      <c r="W178">
        <v>1.49</v>
      </c>
      <c r="X178">
        <v>31718</v>
      </c>
      <c r="Y178">
        <v>1586</v>
      </c>
      <c r="Z178">
        <v>0.08</v>
      </c>
      <c r="AA178">
        <v>20</v>
      </c>
      <c r="AB178">
        <v>9</v>
      </c>
      <c r="AC178">
        <v>11</v>
      </c>
      <c r="AD178">
        <v>45</v>
      </c>
      <c r="AE178">
        <v>14</v>
      </c>
      <c r="AF178">
        <v>4</v>
      </c>
      <c r="AG178">
        <v>3</v>
      </c>
      <c r="AH178">
        <v>13</v>
      </c>
    </row>
    <row r="179" spans="1:34">
      <c r="A179" s="214">
        <v>256</v>
      </c>
      <c r="B179">
        <v>8242</v>
      </c>
      <c r="C179" t="s">
        <v>181</v>
      </c>
      <c r="D179" t="s">
        <v>138</v>
      </c>
      <c r="E179">
        <v>1222</v>
      </c>
      <c r="F179">
        <v>1216</v>
      </c>
      <c r="G179">
        <v>800</v>
      </c>
      <c r="H179" t="s">
        <v>91</v>
      </c>
      <c r="I179">
        <v>9072</v>
      </c>
      <c r="J179" t="s">
        <v>201</v>
      </c>
      <c r="K179" t="s">
        <v>178</v>
      </c>
      <c r="L179">
        <v>2500</v>
      </c>
      <c r="M179">
        <v>2504</v>
      </c>
      <c r="N179">
        <v>400</v>
      </c>
      <c r="O179" t="s">
        <v>89</v>
      </c>
      <c r="P179">
        <v>0.94201034483248502</v>
      </c>
      <c r="Q179">
        <v>0.90491554159171705</v>
      </c>
      <c r="R179">
        <v>1.6603913083388998E-2</v>
      </c>
      <c r="S179">
        <v>5.4220016063022403E-2</v>
      </c>
      <c r="T179">
        <v>0.124748050169425</v>
      </c>
      <c r="U179">
        <v>0.124748050169425</v>
      </c>
      <c r="V179">
        <v>0.32</v>
      </c>
      <c r="W179">
        <v>2.88</v>
      </c>
      <c r="X179">
        <v>31160</v>
      </c>
      <c r="Y179">
        <v>1948</v>
      </c>
      <c r="Z179">
        <v>0.13</v>
      </c>
      <c r="AA179">
        <v>16</v>
      </c>
      <c r="AB179">
        <v>9</v>
      </c>
      <c r="AC179">
        <v>7</v>
      </c>
      <c r="AD179">
        <v>56.25</v>
      </c>
      <c r="AE179">
        <v>14</v>
      </c>
      <c r="AF179">
        <v>5</v>
      </c>
      <c r="AG179">
        <v>3</v>
      </c>
      <c r="AH179">
        <v>8</v>
      </c>
    </row>
    <row r="180" spans="1:34">
      <c r="A180" s="214">
        <v>251</v>
      </c>
      <c r="B180">
        <v>4061</v>
      </c>
      <c r="C180" t="s">
        <v>184</v>
      </c>
      <c r="D180" t="s">
        <v>90</v>
      </c>
      <c r="E180">
        <v>2950</v>
      </c>
      <c r="F180">
        <v>3015</v>
      </c>
      <c r="G180">
        <v>300</v>
      </c>
      <c r="H180" t="s">
        <v>91</v>
      </c>
      <c r="I180">
        <v>6586</v>
      </c>
      <c r="J180" t="s">
        <v>160</v>
      </c>
      <c r="K180" t="s">
        <v>144</v>
      </c>
      <c r="L180">
        <v>3170</v>
      </c>
      <c r="M180">
        <v>3270</v>
      </c>
      <c r="N180">
        <v>300</v>
      </c>
      <c r="O180" t="s">
        <v>89</v>
      </c>
      <c r="P180">
        <v>0.90810818828876205</v>
      </c>
      <c r="Q180">
        <v>0.90509606311143598</v>
      </c>
      <c r="R180">
        <v>0.12252643416720201</v>
      </c>
      <c r="S180">
        <v>4.2173951677180397E-4</v>
      </c>
      <c r="T180">
        <v>1.02809903195592</v>
      </c>
      <c r="U180">
        <v>1.02809903195592</v>
      </c>
      <c r="V180">
        <v>3.03</v>
      </c>
      <c r="W180">
        <v>7.8</v>
      </c>
      <c r="X180">
        <v>30386</v>
      </c>
      <c r="Y180">
        <v>3798</v>
      </c>
      <c r="Z180">
        <v>0.25</v>
      </c>
      <c r="AA180">
        <v>8</v>
      </c>
      <c r="AB180">
        <v>4</v>
      </c>
      <c r="AC180">
        <v>4</v>
      </c>
      <c r="AD180">
        <v>50</v>
      </c>
      <c r="AE180">
        <v>10</v>
      </c>
      <c r="AF180">
        <v>3</v>
      </c>
      <c r="AG180">
        <v>2</v>
      </c>
      <c r="AH180">
        <v>3</v>
      </c>
    </row>
    <row r="181" spans="1:34">
      <c r="A181" s="214">
        <v>136</v>
      </c>
      <c r="B181">
        <v>7189</v>
      </c>
      <c r="C181" t="s">
        <v>120</v>
      </c>
      <c r="D181" t="s">
        <v>121</v>
      </c>
      <c r="E181">
        <v>751</v>
      </c>
      <c r="F181">
        <v>762</v>
      </c>
      <c r="G181">
        <v>1100</v>
      </c>
      <c r="H181" t="s">
        <v>91</v>
      </c>
      <c r="I181">
        <v>9810</v>
      </c>
      <c r="J181" t="s">
        <v>202</v>
      </c>
      <c r="K181" t="s">
        <v>147</v>
      </c>
      <c r="L181">
        <v>4375</v>
      </c>
      <c r="M181">
        <v>4365</v>
      </c>
      <c r="N181">
        <v>200</v>
      </c>
      <c r="O181" t="s">
        <v>89</v>
      </c>
      <c r="P181">
        <v>0.94183115634988501</v>
      </c>
      <c r="Q181">
        <v>0.92521226977705096</v>
      </c>
      <c r="R181">
        <v>6.8847673144018004E-2</v>
      </c>
      <c r="S181">
        <v>5.3842300821356298E-2</v>
      </c>
      <c r="T181">
        <v>0.62512057191614201</v>
      </c>
      <c r="U181">
        <v>0.62512057191614201</v>
      </c>
      <c r="V181">
        <v>2.2999999999999998</v>
      </c>
      <c r="W181">
        <v>3.99</v>
      </c>
      <c r="X181">
        <v>29244</v>
      </c>
      <c r="Y181">
        <v>2250</v>
      </c>
      <c r="Z181">
        <v>0.23</v>
      </c>
      <c r="AA181">
        <v>13</v>
      </c>
      <c r="AB181">
        <v>8</v>
      </c>
      <c r="AC181">
        <v>5</v>
      </c>
      <c r="AD181">
        <v>61.54</v>
      </c>
      <c r="AE181">
        <v>12</v>
      </c>
      <c r="AF181">
        <v>4</v>
      </c>
      <c r="AG181">
        <v>4</v>
      </c>
      <c r="AH181">
        <v>5</v>
      </c>
    </row>
    <row r="182" spans="1:34">
      <c r="A182" s="214">
        <v>96</v>
      </c>
      <c r="B182">
        <v>7186</v>
      </c>
      <c r="C182" t="s">
        <v>51</v>
      </c>
      <c r="D182" t="s">
        <v>121</v>
      </c>
      <c r="E182">
        <v>410</v>
      </c>
      <c r="F182">
        <v>410</v>
      </c>
      <c r="G182">
        <v>2300</v>
      </c>
      <c r="H182" t="s">
        <v>89</v>
      </c>
      <c r="I182">
        <v>8341</v>
      </c>
      <c r="J182" t="s">
        <v>193</v>
      </c>
      <c r="K182" t="s">
        <v>121</v>
      </c>
      <c r="L182">
        <v>1590</v>
      </c>
      <c r="M182">
        <v>1601</v>
      </c>
      <c r="N182">
        <v>600</v>
      </c>
      <c r="O182" t="s">
        <v>91</v>
      </c>
      <c r="P182">
        <v>0.960123375270581</v>
      </c>
      <c r="Q182">
        <v>0.93426205221039005</v>
      </c>
      <c r="R182">
        <v>0.241796532395363</v>
      </c>
      <c r="S182">
        <v>0.13183036412632099</v>
      </c>
      <c r="T182">
        <v>-0.54730794973416097</v>
      </c>
      <c r="U182">
        <v>0.54730794973416097</v>
      </c>
      <c r="V182">
        <v>-1.29</v>
      </c>
      <c r="W182">
        <v>1.83</v>
      </c>
      <c r="X182">
        <v>27254</v>
      </c>
      <c r="Y182">
        <v>1514</v>
      </c>
      <c r="Z182">
        <v>0.05</v>
      </c>
      <c r="AA182">
        <v>18</v>
      </c>
      <c r="AB182">
        <v>8</v>
      </c>
      <c r="AC182">
        <v>10</v>
      </c>
      <c r="AD182">
        <v>44.44</v>
      </c>
      <c r="AE182">
        <v>13</v>
      </c>
      <c r="AF182">
        <v>6</v>
      </c>
      <c r="AG182">
        <v>3</v>
      </c>
      <c r="AH182">
        <v>9</v>
      </c>
    </row>
    <row r="183" spans="1:34">
      <c r="A183" s="214">
        <v>196</v>
      </c>
      <c r="B183">
        <v>5802</v>
      </c>
      <c r="C183" t="s">
        <v>210</v>
      </c>
      <c r="D183" t="s">
        <v>211</v>
      </c>
      <c r="E183">
        <v>1372</v>
      </c>
      <c r="F183">
        <v>1385</v>
      </c>
      <c r="G183">
        <v>700</v>
      </c>
      <c r="H183" t="s">
        <v>91</v>
      </c>
      <c r="I183">
        <v>8385</v>
      </c>
      <c r="J183" t="s">
        <v>175</v>
      </c>
      <c r="K183" t="s">
        <v>121</v>
      </c>
      <c r="L183">
        <v>555</v>
      </c>
      <c r="M183">
        <v>558</v>
      </c>
      <c r="N183">
        <v>1700</v>
      </c>
      <c r="O183" t="s">
        <v>89</v>
      </c>
      <c r="P183">
        <v>0.91021747309888501</v>
      </c>
      <c r="Q183">
        <v>0.91449268641546899</v>
      </c>
      <c r="R183">
        <v>3.22380879000893E-4</v>
      </c>
      <c r="S183">
        <v>0.30000587088084102</v>
      </c>
      <c r="T183">
        <v>4.5909134929973401E-2</v>
      </c>
      <c r="U183">
        <v>4.5909134929973401E-2</v>
      </c>
      <c r="V183">
        <v>0.11</v>
      </c>
      <c r="W183">
        <v>2.16</v>
      </c>
      <c r="X183">
        <v>23702</v>
      </c>
      <c r="Y183">
        <v>1975</v>
      </c>
      <c r="Z183">
        <v>0.15</v>
      </c>
      <c r="AA183">
        <v>12</v>
      </c>
      <c r="AB183">
        <v>6</v>
      </c>
      <c r="AC183">
        <v>6</v>
      </c>
      <c r="AD183">
        <v>50</v>
      </c>
      <c r="AE183">
        <v>14</v>
      </c>
      <c r="AF183">
        <v>3</v>
      </c>
      <c r="AG183">
        <v>2</v>
      </c>
      <c r="AH183">
        <v>7</v>
      </c>
    </row>
    <row r="184" spans="1:34">
      <c r="A184" s="214">
        <v>258</v>
      </c>
      <c r="B184">
        <v>7211</v>
      </c>
      <c r="C184" t="s">
        <v>56</v>
      </c>
      <c r="D184" t="s">
        <v>123</v>
      </c>
      <c r="E184">
        <v>468</v>
      </c>
      <c r="F184">
        <v>473</v>
      </c>
      <c r="G184">
        <v>1600</v>
      </c>
      <c r="H184" t="s">
        <v>89</v>
      </c>
      <c r="I184">
        <v>8309</v>
      </c>
      <c r="J184" t="s">
        <v>52</v>
      </c>
      <c r="K184" t="s">
        <v>121</v>
      </c>
      <c r="L184">
        <v>3719</v>
      </c>
      <c r="M184">
        <v>3741</v>
      </c>
      <c r="N184">
        <v>200</v>
      </c>
      <c r="O184" t="s">
        <v>91</v>
      </c>
      <c r="P184">
        <v>0.95763667914269601</v>
      </c>
      <c r="Q184">
        <v>0.90467792859025997</v>
      </c>
      <c r="R184">
        <v>8.0276208684483402E-2</v>
      </c>
      <c r="S184">
        <v>0.17929538688343399</v>
      </c>
      <c r="T184">
        <v>-0.168657378120671</v>
      </c>
      <c r="U184">
        <v>0.168657378120671</v>
      </c>
      <c r="V184">
        <v>-0.4</v>
      </c>
      <c r="W184">
        <v>1.1499999999999999</v>
      </c>
      <c r="X184">
        <v>21888</v>
      </c>
      <c r="Y184">
        <v>1288</v>
      </c>
      <c r="Z184">
        <v>7.0000000000000007E-2</v>
      </c>
      <c r="AA184">
        <v>17</v>
      </c>
      <c r="AB184">
        <v>9</v>
      </c>
      <c r="AC184">
        <v>8</v>
      </c>
      <c r="AD184">
        <v>52.94</v>
      </c>
      <c r="AE184">
        <v>14</v>
      </c>
      <c r="AF184">
        <v>5</v>
      </c>
      <c r="AG184">
        <v>3</v>
      </c>
      <c r="AH184">
        <v>9</v>
      </c>
    </row>
    <row r="185" spans="1:34">
      <c r="A185" s="214">
        <v>9</v>
      </c>
      <c r="B185">
        <v>3116</v>
      </c>
      <c r="C185" t="s">
        <v>196</v>
      </c>
      <c r="D185" t="s">
        <v>123</v>
      </c>
      <c r="E185">
        <v>1477</v>
      </c>
      <c r="F185">
        <v>1493</v>
      </c>
      <c r="G185">
        <v>600</v>
      </c>
      <c r="H185" t="s">
        <v>89</v>
      </c>
      <c r="I185">
        <v>6923</v>
      </c>
      <c r="J185" t="s">
        <v>164</v>
      </c>
      <c r="K185" t="s">
        <v>126</v>
      </c>
      <c r="L185">
        <v>2871</v>
      </c>
      <c r="M185">
        <v>2908</v>
      </c>
      <c r="N185">
        <v>300</v>
      </c>
      <c r="O185" t="s">
        <v>91</v>
      </c>
      <c r="P185">
        <v>0.90510269211227801</v>
      </c>
      <c r="Q185">
        <v>0.96614324688026698</v>
      </c>
      <c r="R185">
        <v>0.12968370068443599</v>
      </c>
      <c r="S185">
        <v>4.3268182404683997E-2</v>
      </c>
      <c r="T185">
        <v>-2.4553678499779599</v>
      </c>
      <c r="U185">
        <v>2.4553678499779599</v>
      </c>
      <c r="V185">
        <v>-4.9000000000000004</v>
      </c>
      <c r="W185">
        <v>2.68</v>
      </c>
      <c r="X185">
        <v>21401</v>
      </c>
      <c r="Y185">
        <v>1529</v>
      </c>
      <c r="Z185">
        <v>0.17</v>
      </c>
      <c r="AA185">
        <v>14</v>
      </c>
      <c r="AB185">
        <v>8</v>
      </c>
      <c r="AC185">
        <v>6</v>
      </c>
      <c r="AD185">
        <v>57.14</v>
      </c>
      <c r="AE185">
        <v>12</v>
      </c>
      <c r="AF185">
        <v>3</v>
      </c>
      <c r="AG185">
        <v>3</v>
      </c>
      <c r="AH185">
        <v>8</v>
      </c>
    </row>
    <row r="186" spans="1:34">
      <c r="A186" s="214">
        <v>155</v>
      </c>
      <c r="B186">
        <v>6481</v>
      </c>
      <c r="C186" t="s">
        <v>253</v>
      </c>
      <c r="D186" t="s">
        <v>144</v>
      </c>
      <c r="E186">
        <v>2768</v>
      </c>
      <c r="F186">
        <v>2762</v>
      </c>
      <c r="G186">
        <v>200</v>
      </c>
      <c r="H186" t="s">
        <v>89</v>
      </c>
      <c r="I186">
        <v>6856</v>
      </c>
      <c r="J186" t="s">
        <v>254</v>
      </c>
      <c r="K186" t="s">
        <v>126</v>
      </c>
      <c r="L186">
        <v>6460</v>
      </c>
      <c r="M186">
        <v>6540</v>
      </c>
      <c r="N186">
        <v>100</v>
      </c>
      <c r="O186" t="s">
        <v>91</v>
      </c>
      <c r="P186">
        <v>0.90961895560381101</v>
      </c>
      <c r="Q186">
        <v>0.92196678289771905</v>
      </c>
      <c r="R186">
        <v>0.118433657005835</v>
      </c>
      <c r="S186">
        <v>1.8468894380718099E-3</v>
      </c>
      <c r="T186">
        <v>-2.5395129941891001</v>
      </c>
      <c r="U186">
        <v>2.5395129941891001</v>
      </c>
      <c r="V186">
        <v>-7.44</v>
      </c>
      <c r="W186">
        <v>15.54</v>
      </c>
      <c r="X186">
        <v>19908</v>
      </c>
      <c r="Y186">
        <v>1810</v>
      </c>
      <c r="Z186">
        <v>-0.11</v>
      </c>
      <c r="AA186">
        <v>11</v>
      </c>
      <c r="AB186">
        <v>6</v>
      </c>
      <c r="AC186">
        <v>5</v>
      </c>
      <c r="AD186">
        <v>54.55</v>
      </c>
      <c r="AE186">
        <v>12</v>
      </c>
      <c r="AF186">
        <v>5</v>
      </c>
      <c r="AG186">
        <v>3</v>
      </c>
      <c r="AH186">
        <v>3</v>
      </c>
    </row>
    <row r="187" spans="1:34">
      <c r="A187" s="214">
        <v>181</v>
      </c>
      <c r="B187">
        <v>4182</v>
      </c>
      <c r="C187" t="s">
        <v>127</v>
      </c>
      <c r="D187" t="s">
        <v>90</v>
      </c>
      <c r="E187">
        <v>1489</v>
      </c>
      <c r="F187">
        <v>1498</v>
      </c>
      <c r="G187">
        <v>600</v>
      </c>
      <c r="H187" t="s">
        <v>91</v>
      </c>
      <c r="I187">
        <v>6995</v>
      </c>
      <c r="J187" t="s">
        <v>132</v>
      </c>
      <c r="K187" t="s">
        <v>123</v>
      </c>
      <c r="L187">
        <v>1852</v>
      </c>
      <c r="M187">
        <v>1861</v>
      </c>
      <c r="N187">
        <v>500</v>
      </c>
      <c r="O187" t="s">
        <v>89</v>
      </c>
      <c r="P187">
        <v>0.959000064267718</v>
      </c>
      <c r="Q187">
        <v>0.91656503715317805</v>
      </c>
      <c r="R187">
        <v>0.117977358338509</v>
      </c>
      <c r="S187">
        <v>7.0214336091538002E-2</v>
      </c>
      <c r="T187">
        <v>1.40314307421105</v>
      </c>
      <c r="U187">
        <v>1.40314307421105</v>
      </c>
      <c r="V187">
        <v>3.46</v>
      </c>
      <c r="W187">
        <v>3.41</v>
      </c>
      <c r="X187">
        <v>18187</v>
      </c>
      <c r="Y187">
        <v>1516</v>
      </c>
      <c r="Z187">
        <v>0.06</v>
      </c>
      <c r="AA187">
        <v>12</v>
      </c>
      <c r="AB187">
        <v>8</v>
      </c>
      <c r="AC187">
        <v>4</v>
      </c>
      <c r="AD187">
        <v>66.67</v>
      </c>
      <c r="AE187">
        <v>15</v>
      </c>
      <c r="AF187">
        <v>3</v>
      </c>
      <c r="AG187">
        <v>2</v>
      </c>
      <c r="AH187">
        <v>7</v>
      </c>
    </row>
    <row r="188" spans="1:34">
      <c r="A188" s="214">
        <v>217</v>
      </c>
      <c r="B188">
        <v>6371</v>
      </c>
      <c r="C188" t="s">
        <v>156</v>
      </c>
      <c r="D188" t="s">
        <v>144</v>
      </c>
      <c r="E188">
        <v>3445</v>
      </c>
      <c r="F188">
        <v>3460</v>
      </c>
      <c r="G188">
        <v>300</v>
      </c>
      <c r="H188" t="s">
        <v>89</v>
      </c>
      <c r="I188">
        <v>9810</v>
      </c>
      <c r="J188" t="s">
        <v>202</v>
      </c>
      <c r="K188" t="s">
        <v>147</v>
      </c>
      <c r="L188">
        <v>4375</v>
      </c>
      <c r="M188">
        <v>4365</v>
      </c>
      <c r="N188">
        <v>200</v>
      </c>
      <c r="O188" t="s">
        <v>91</v>
      </c>
      <c r="P188">
        <v>0.91852500312088703</v>
      </c>
      <c r="Q188">
        <v>0.91054201532268797</v>
      </c>
      <c r="R188">
        <v>1.2988651842007501E-2</v>
      </c>
      <c r="S188">
        <v>0.18805377739718401</v>
      </c>
      <c r="T188">
        <v>-0.18488165119599101</v>
      </c>
      <c r="U188">
        <v>0.18488165119599101</v>
      </c>
      <c r="V188">
        <v>-0.34</v>
      </c>
      <c r="W188">
        <v>18.899999999999999</v>
      </c>
      <c r="X188">
        <v>17964</v>
      </c>
      <c r="Y188">
        <v>3593</v>
      </c>
      <c r="Z188">
        <v>0.5</v>
      </c>
      <c r="AA188">
        <v>5</v>
      </c>
      <c r="AB188">
        <v>3</v>
      </c>
      <c r="AC188">
        <v>2</v>
      </c>
      <c r="AD188">
        <v>60</v>
      </c>
      <c r="AE188">
        <v>11</v>
      </c>
      <c r="AF188">
        <v>2</v>
      </c>
      <c r="AG188">
        <v>2</v>
      </c>
      <c r="AH188">
        <v>1</v>
      </c>
    </row>
    <row r="189" spans="1:34">
      <c r="A189" s="214">
        <v>45</v>
      </c>
      <c r="B189">
        <v>5401</v>
      </c>
      <c r="C189" t="s">
        <v>169</v>
      </c>
      <c r="D189" t="s">
        <v>134</v>
      </c>
      <c r="E189">
        <v>1504</v>
      </c>
      <c r="F189">
        <v>1504.5</v>
      </c>
      <c r="G189">
        <v>700</v>
      </c>
      <c r="H189" t="s">
        <v>89</v>
      </c>
      <c r="I189">
        <v>7201</v>
      </c>
      <c r="J189" t="s">
        <v>151</v>
      </c>
      <c r="K189" t="s">
        <v>123</v>
      </c>
      <c r="L189">
        <v>662</v>
      </c>
      <c r="M189">
        <v>668.7</v>
      </c>
      <c r="N189">
        <v>1600</v>
      </c>
      <c r="O189" t="s">
        <v>91</v>
      </c>
      <c r="P189">
        <v>0.91930646643675795</v>
      </c>
      <c r="Q189">
        <v>0.94800602068756901</v>
      </c>
      <c r="R189">
        <v>0.30790187043461198</v>
      </c>
      <c r="S189">
        <v>0.278232938204583</v>
      </c>
      <c r="T189">
        <v>-0.30145651543367902</v>
      </c>
      <c r="U189">
        <v>0.30145651543367902</v>
      </c>
      <c r="V189">
        <v>-1.08</v>
      </c>
      <c r="W189">
        <v>1.59</v>
      </c>
      <c r="X189">
        <v>16874</v>
      </c>
      <c r="Y189">
        <v>1205</v>
      </c>
      <c r="Z189">
        <v>0.05</v>
      </c>
      <c r="AA189">
        <v>14</v>
      </c>
      <c r="AB189">
        <v>8</v>
      </c>
      <c r="AC189">
        <v>6</v>
      </c>
      <c r="AD189">
        <v>57.14</v>
      </c>
      <c r="AE189">
        <v>16</v>
      </c>
      <c r="AF189">
        <v>1</v>
      </c>
      <c r="AG189">
        <v>1</v>
      </c>
      <c r="AH189">
        <v>12</v>
      </c>
    </row>
    <row r="190" spans="1:34">
      <c r="A190" s="214">
        <v>276</v>
      </c>
      <c r="B190">
        <v>5463</v>
      </c>
      <c r="C190" t="s">
        <v>255</v>
      </c>
      <c r="D190" t="s">
        <v>134</v>
      </c>
      <c r="E190">
        <v>2774</v>
      </c>
      <c r="F190">
        <v>2784</v>
      </c>
      <c r="G190">
        <v>300</v>
      </c>
      <c r="H190" t="s">
        <v>91</v>
      </c>
      <c r="I190">
        <v>7182</v>
      </c>
      <c r="J190" t="s">
        <v>218</v>
      </c>
      <c r="K190" t="s">
        <v>121</v>
      </c>
      <c r="L190">
        <v>1032</v>
      </c>
      <c r="M190">
        <v>1036</v>
      </c>
      <c r="N190">
        <v>800</v>
      </c>
      <c r="O190" t="s">
        <v>89</v>
      </c>
      <c r="P190">
        <v>0.91816265895231597</v>
      </c>
      <c r="Q190">
        <v>0.90170290154209398</v>
      </c>
      <c r="R190">
        <v>0.342259598406913</v>
      </c>
      <c r="S190">
        <v>0.29701960028360702</v>
      </c>
      <c r="T190">
        <v>0.191108214245481</v>
      </c>
      <c r="U190">
        <v>0.191108214245481</v>
      </c>
      <c r="V190">
        <v>0.38</v>
      </c>
      <c r="W190">
        <v>0.77</v>
      </c>
      <c r="X190">
        <v>15890</v>
      </c>
      <c r="Y190">
        <v>1059</v>
      </c>
      <c r="Z190">
        <v>0.02</v>
      </c>
      <c r="AA190">
        <v>15</v>
      </c>
      <c r="AB190">
        <v>7</v>
      </c>
      <c r="AC190">
        <v>8</v>
      </c>
      <c r="AD190">
        <v>46.67</v>
      </c>
      <c r="AE190">
        <v>14</v>
      </c>
      <c r="AF190">
        <v>3</v>
      </c>
      <c r="AG190">
        <v>3</v>
      </c>
      <c r="AH190">
        <v>9</v>
      </c>
    </row>
    <row r="191" spans="1:34">
      <c r="A191" s="214">
        <v>267</v>
      </c>
      <c r="B191">
        <v>6371</v>
      </c>
      <c r="C191" t="s">
        <v>156</v>
      </c>
      <c r="D191" t="s">
        <v>144</v>
      </c>
      <c r="E191">
        <v>3445</v>
      </c>
      <c r="F191">
        <v>3460</v>
      </c>
      <c r="G191">
        <v>300</v>
      </c>
      <c r="H191" t="s">
        <v>91</v>
      </c>
      <c r="I191">
        <v>7182</v>
      </c>
      <c r="J191" t="s">
        <v>218</v>
      </c>
      <c r="K191" t="s">
        <v>121</v>
      </c>
      <c r="L191">
        <v>1032</v>
      </c>
      <c r="M191">
        <v>1036</v>
      </c>
      <c r="N191">
        <v>1000</v>
      </c>
      <c r="O191" t="s">
        <v>89</v>
      </c>
      <c r="P191">
        <v>0.91897305694759301</v>
      </c>
      <c r="Q191">
        <v>0.90278456782358596</v>
      </c>
      <c r="R191">
        <v>1.36503289852671E-2</v>
      </c>
      <c r="S191">
        <v>0.26617490658404902</v>
      </c>
      <c r="T191">
        <v>1.27487043972597</v>
      </c>
      <c r="U191">
        <v>1.27487043972597</v>
      </c>
      <c r="V191">
        <v>2.4900000000000002</v>
      </c>
      <c r="W191">
        <v>0.19</v>
      </c>
      <c r="X191">
        <v>14686</v>
      </c>
      <c r="Y191">
        <v>864</v>
      </c>
      <c r="Z191">
        <v>0.06</v>
      </c>
      <c r="AA191">
        <v>17</v>
      </c>
      <c r="AB191">
        <v>9</v>
      </c>
      <c r="AC191">
        <v>8</v>
      </c>
      <c r="AD191">
        <v>52.94</v>
      </c>
      <c r="AE191">
        <v>14</v>
      </c>
      <c r="AF191">
        <v>4</v>
      </c>
      <c r="AG191">
        <v>3</v>
      </c>
      <c r="AH191">
        <v>10</v>
      </c>
    </row>
    <row r="192" spans="1:34">
      <c r="A192" s="214">
        <v>111</v>
      </c>
      <c r="B192">
        <v>4114</v>
      </c>
      <c r="C192" t="s">
        <v>256</v>
      </c>
      <c r="D192" t="s">
        <v>90</v>
      </c>
      <c r="E192">
        <v>6330</v>
      </c>
      <c r="F192">
        <v>6370</v>
      </c>
      <c r="G192">
        <v>100</v>
      </c>
      <c r="H192" t="s">
        <v>89</v>
      </c>
      <c r="I192">
        <v>5214</v>
      </c>
      <c r="J192" t="s">
        <v>207</v>
      </c>
      <c r="K192" t="s">
        <v>154</v>
      </c>
      <c r="L192">
        <v>2380</v>
      </c>
      <c r="M192">
        <v>2403</v>
      </c>
      <c r="N192">
        <v>300</v>
      </c>
      <c r="O192" t="s">
        <v>91</v>
      </c>
      <c r="P192">
        <v>0.92008915407568403</v>
      </c>
      <c r="Q192">
        <v>0.93102640742644704</v>
      </c>
      <c r="R192">
        <v>1.5434576529469201E-3</v>
      </c>
      <c r="S192">
        <v>4.24872924126928E-4</v>
      </c>
      <c r="T192">
        <v>-8.4156760679320902E-2</v>
      </c>
      <c r="U192">
        <v>8.4156760679320902E-2</v>
      </c>
      <c r="V192">
        <v>-0.26</v>
      </c>
      <c r="W192">
        <v>13.17</v>
      </c>
      <c r="X192">
        <v>14130</v>
      </c>
      <c r="Y192">
        <v>1570</v>
      </c>
      <c r="Z192">
        <v>0.05</v>
      </c>
      <c r="AA192">
        <v>9</v>
      </c>
      <c r="AB192">
        <v>4</v>
      </c>
      <c r="AC192">
        <v>5</v>
      </c>
      <c r="AD192">
        <v>44.44</v>
      </c>
      <c r="AE192">
        <v>11</v>
      </c>
      <c r="AF192">
        <v>3</v>
      </c>
      <c r="AG192">
        <v>3</v>
      </c>
      <c r="AH192">
        <v>3</v>
      </c>
    </row>
    <row r="193" spans="1:34">
      <c r="A193" s="214">
        <v>75</v>
      </c>
      <c r="B193">
        <v>7167</v>
      </c>
      <c r="C193" t="s">
        <v>146</v>
      </c>
      <c r="D193" t="s">
        <v>121</v>
      </c>
      <c r="E193">
        <v>259</v>
      </c>
      <c r="F193">
        <v>263</v>
      </c>
      <c r="G193">
        <v>3100</v>
      </c>
      <c r="H193" t="s">
        <v>89</v>
      </c>
      <c r="I193">
        <v>7846</v>
      </c>
      <c r="J193" t="s">
        <v>189</v>
      </c>
      <c r="K193" t="s">
        <v>129</v>
      </c>
      <c r="L193">
        <v>4000</v>
      </c>
      <c r="M193">
        <v>4015</v>
      </c>
      <c r="N193">
        <v>200</v>
      </c>
      <c r="O193" t="s">
        <v>91</v>
      </c>
      <c r="P193">
        <v>0.95006547870871405</v>
      </c>
      <c r="Q193">
        <v>0.93821445133141101</v>
      </c>
      <c r="R193">
        <v>1.30162446702931E-2</v>
      </c>
      <c r="S193">
        <v>9.7228174371176299E-2</v>
      </c>
      <c r="T193">
        <v>-0.79330454334426304</v>
      </c>
      <c r="U193">
        <v>0.79330454334426304</v>
      </c>
      <c r="V193">
        <v>-1.68</v>
      </c>
      <c r="W193">
        <v>1.53</v>
      </c>
      <c r="X193">
        <v>13921</v>
      </c>
      <c r="Y193">
        <v>696</v>
      </c>
      <c r="Z193">
        <v>0.05</v>
      </c>
      <c r="AA193">
        <v>20</v>
      </c>
      <c r="AB193">
        <v>9</v>
      </c>
      <c r="AC193">
        <v>11</v>
      </c>
      <c r="AD193">
        <v>45</v>
      </c>
      <c r="AE193">
        <v>14</v>
      </c>
      <c r="AF193">
        <v>6</v>
      </c>
      <c r="AG193">
        <v>7</v>
      </c>
      <c r="AH193">
        <v>7</v>
      </c>
    </row>
    <row r="194" spans="1:34">
      <c r="A194" s="214">
        <v>11</v>
      </c>
      <c r="B194">
        <v>5020</v>
      </c>
      <c r="C194" t="s">
        <v>199</v>
      </c>
      <c r="D194" t="s">
        <v>200</v>
      </c>
      <c r="E194">
        <v>493.5</v>
      </c>
      <c r="F194">
        <v>494.8</v>
      </c>
      <c r="G194">
        <v>2100</v>
      </c>
      <c r="H194" t="s">
        <v>89</v>
      </c>
      <c r="I194">
        <v>8795</v>
      </c>
      <c r="J194" t="s">
        <v>227</v>
      </c>
      <c r="K194" t="s">
        <v>158</v>
      </c>
      <c r="L194">
        <v>1150.5</v>
      </c>
      <c r="M194">
        <v>1165</v>
      </c>
      <c r="N194">
        <v>900</v>
      </c>
      <c r="O194" t="s">
        <v>91</v>
      </c>
      <c r="P194">
        <v>0.96682883798823405</v>
      </c>
      <c r="Q194">
        <v>0.96379706033247503</v>
      </c>
      <c r="R194">
        <v>2.1000064803825099E-2</v>
      </c>
      <c r="S194">
        <v>9.0891208641482105E-3</v>
      </c>
      <c r="T194">
        <v>-0.53381717968555897</v>
      </c>
      <c r="U194">
        <v>0.53381717968555897</v>
      </c>
      <c r="V194">
        <v>-1.49</v>
      </c>
      <c r="W194">
        <v>0.9</v>
      </c>
      <c r="X194">
        <v>13332</v>
      </c>
      <c r="Y194">
        <v>702</v>
      </c>
      <c r="Z194">
        <v>0.02</v>
      </c>
      <c r="AA194">
        <v>19</v>
      </c>
      <c r="AB194">
        <v>10</v>
      </c>
      <c r="AC194">
        <v>9</v>
      </c>
      <c r="AD194">
        <v>52.63</v>
      </c>
      <c r="AE194">
        <v>10</v>
      </c>
      <c r="AF194">
        <v>7</v>
      </c>
      <c r="AG194">
        <v>7</v>
      </c>
      <c r="AH194">
        <v>5</v>
      </c>
    </row>
    <row r="195" spans="1:34">
      <c r="A195" s="214">
        <v>80</v>
      </c>
      <c r="B195">
        <v>7327</v>
      </c>
      <c r="C195" t="s">
        <v>242</v>
      </c>
      <c r="D195" t="s">
        <v>121</v>
      </c>
      <c r="E195">
        <v>2650</v>
      </c>
      <c r="F195">
        <v>2668</v>
      </c>
      <c r="G195">
        <v>400</v>
      </c>
      <c r="H195" t="s">
        <v>91</v>
      </c>
      <c r="I195">
        <v>8316</v>
      </c>
      <c r="J195" t="s">
        <v>228</v>
      </c>
      <c r="K195" t="s">
        <v>121</v>
      </c>
      <c r="L195">
        <v>3657</v>
      </c>
      <c r="M195">
        <v>3651</v>
      </c>
      <c r="N195">
        <v>300</v>
      </c>
      <c r="O195" t="s">
        <v>89</v>
      </c>
      <c r="P195">
        <v>0.92670564618668005</v>
      </c>
      <c r="Q195">
        <v>0.93747482525416004</v>
      </c>
      <c r="R195">
        <v>4.0184727152624599E-3</v>
      </c>
      <c r="S195">
        <v>0.16725513688077101</v>
      </c>
      <c r="T195">
        <v>0.40113097893628002</v>
      </c>
      <c r="U195">
        <v>0.40113097893628002</v>
      </c>
      <c r="V195">
        <v>0.91</v>
      </c>
      <c r="W195">
        <v>2.57</v>
      </c>
      <c r="X195">
        <v>12378</v>
      </c>
      <c r="Y195">
        <v>12378</v>
      </c>
      <c r="Z195">
        <v>0.77</v>
      </c>
      <c r="AA195">
        <v>1</v>
      </c>
      <c r="AB195">
        <v>1</v>
      </c>
      <c r="AC195">
        <v>0</v>
      </c>
      <c r="AD195">
        <v>100</v>
      </c>
      <c r="AE195">
        <v>18</v>
      </c>
      <c r="AF195">
        <v>0</v>
      </c>
      <c r="AG195">
        <v>0</v>
      </c>
      <c r="AH195">
        <v>1</v>
      </c>
    </row>
    <row r="196" spans="1:34">
      <c r="A196" s="214">
        <v>174</v>
      </c>
      <c r="B196">
        <v>4634</v>
      </c>
      <c r="C196" t="s">
        <v>237</v>
      </c>
      <c r="D196" t="s">
        <v>90</v>
      </c>
      <c r="E196">
        <v>2515</v>
      </c>
      <c r="F196">
        <v>2524</v>
      </c>
      <c r="G196">
        <v>400</v>
      </c>
      <c r="H196" t="s">
        <v>91</v>
      </c>
      <c r="I196">
        <v>6995</v>
      </c>
      <c r="J196" t="s">
        <v>132</v>
      </c>
      <c r="K196" t="s">
        <v>123</v>
      </c>
      <c r="L196">
        <v>1852</v>
      </c>
      <c r="M196">
        <v>1861</v>
      </c>
      <c r="N196">
        <v>500</v>
      </c>
      <c r="O196" t="s">
        <v>89</v>
      </c>
      <c r="P196">
        <v>0.947514763632053</v>
      </c>
      <c r="Q196">
        <v>0.91800888369506795</v>
      </c>
      <c r="R196">
        <v>0.106289084002556</v>
      </c>
      <c r="S196">
        <v>0.26773114382581598</v>
      </c>
      <c r="T196">
        <v>1.59075167370256</v>
      </c>
      <c r="U196">
        <v>1.59075167370256</v>
      </c>
      <c r="V196">
        <v>2.99</v>
      </c>
      <c r="W196">
        <v>7.83</v>
      </c>
      <c r="X196">
        <v>10445</v>
      </c>
      <c r="Y196">
        <v>696</v>
      </c>
      <c r="Z196">
        <v>-0.05</v>
      </c>
      <c r="AA196">
        <v>15</v>
      </c>
      <c r="AB196">
        <v>8</v>
      </c>
      <c r="AC196">
        <v>7</v>
      </c>
      <c r="AD196">
        <v>53.33</v>
      </c>
      <c r="AE196">
        <v>13</v>
      </c>
      <c r="AF196">
        <v>3</v>
      </c>
      <c r="AG196">
        <v>3</v>
      </c>
      <c r="AH196">
        <v>9</v>
      </c>
    </row>
    <row r="197" spans="1:34">
      <c r="A197" s="214">
        <v>110</v>
      </c>
      <c r="B197">
        <v>4182</v>
      </c>
      <c r="C197" t="s">
        <v>127</v>
      </c>
      <c r="D197" t="s">
        <v>90</v>
      </c>
      <c r="E197">
        <v>1489</v>
      </c>
      <c r="F197">
        <v>1498</v>
      </c>
      <c r="G197">
        <v>700</v>
      </c>
      <c r="H197" t="s">
        <v>91</v>
      </c>
      <c r="I197">
        <v>7167</v>
      </c>
      <c r="J197" t="s">
        <v>146</v>
      </c>
      <c r="K197" t="s">
        <v>121</v>
      </c>
      <c r="L197">
        <v>259</v>
      </c>
      <c r="M197">
        <v>263</v>
      </c>
      <c r="N197">
        <v>4000</v>
      </c>
      <c r="O197" t="s">
        <v>89</v>
      </c>
      <c r="P197">
        <v>0.92720154232610297</v>
      </c>
      <c r="Q197">
        <v>0.93110235004671504</v>
      </c>
      <c r="R197">
        <v>0.273926117575786</v>
      </c>
      <c r="S197">
        <v>0.265047721007652</v>
      </c>
      <c r="T197">
        <v>2.7022240271040299</v>
      </c>
      <c r="U197">
        <v>2.7022240271040299</v>
      </c>
      <c r="V197">
        <v>7.59</v>
      </c>
      <c r="W197">
        <v>0.32</v>
      </c>
      <c r="X197">
        <v>6848</v>
      </c>
      <c r="Y197">
        <v>403</v>
      </c>
      <c r="Z197">
        <v>-0.05</v>
      </c>
      <c r="AA197">
        <v>17</v>
      </c>
      <c r="AB197">
        <v>10</v>
      </c>
      <c r="AC197">
        <v>7</v>
      </c>
      <c r="AD197">
        <v>58.82</v>
      </c>
      <c r="AE197">
        <v>14</v>
      </c>
      <c r="AF197">
        <v>4</v>
      </c>
      <c r="AG197">
        <v>4</v>
      </c>
      <c r="AH197">
        <v>9</v>
      </c>
    </row>
    <row r="198" spans="1:34">
      <c r="A198" s="214">
        <v>0</v>
      </c>
      <c r="B198">
        <v>5406</v>
      </c>
      <c r="C198" t="s">
        <v>159</v>
      </c>
      <c r="D198" t="s">
        <v>134</v>
      </c>
      <c r="E198">
        <v>565</v>
      </c>
      <c r="F198">
        <v>570</v>
      </c>
      <c r="G198">
        <v>1900</v>
      </c>
      <c r="H198" t="s">
        <v>89</v>
      </c>
      <c r="I198">
        <v>5411</v>
      </c>
      <c r="J198" t="s">
        <v>133</v>
      </c>
      <c r="K198" t="s">
        <v>134</v>
      </c>
      <c r="L198">
        <v>1313.5</v>
      </c>
      <c r="M198">
        <v>1325</v>
      </c>
      <c r="N198">
        <v>800</v>
      </c>
      <c r="O198" t="s">
        <v>91</v>
      </c>
      <c r="P198">
        <v>0.95105442098402504</v>
      </c>
      <c r="Q198">
        <v>0.98609754084444401</v>
      </c>
      <c r="R198">
        <v>9.9518741390416304E-2</v>
      </c>
      <c r="S198">
        <v>0.33076458594541902</v>
      </c>
      <c r="T198">
        <v>-1.32024709395327</v>
      </c>
      <c r="U198">
        <v>1.32024709395327</v>
      </c>
      <c r="V198">
        <v>-4.2300000000000004</v>
      </c>
      <c r="W198">
        <v>2.17</v>
      </c>
      <c r="X198">
        <v>6756</v>
      </c>
      <c r="Y198">
        <v>520</v>
      </c>
      <c r="Z198">
        <v>-0.03</v>
      </c>
      <c r="AA198">
        <v>13</v>
      </c>
      <c r="AB198">
        <v>7</v>
      </c>
      <c r="AC198">
        <v>6</v>
      </c>
      <c r="AD198">
        <v>53.85</v>
      </c>
      <c r="AE198">
        <v>10</v>
      </c>
      <c r="AF198">
        <v>5</v>
      </c>
      <c r="AG198">
        <v>5</v>
      </c>
      <c r="AH198">
        <v>3</v>
      </c>
    </row>
    <row r="199" spans="1:34">
      <c r="A199" s="214">
        <v>100</v>
      </c>
      <c r="B199">
        <v>7278</v>
      </c>
      <c r="C199" t="s">
        <v>122</v>
      </c>
      <c r="D199" t="s">
        <v>123</v>
      </c>
      <c r="E199">
        <v>2120</v>
      </c>
      <c r="F199">
        <v>2132</v>
      </c>
      <c r="G199">
        <v>500</v>
      </c>
      <c r="H199" t="s">
        <v>91</v>
      </c>
      <c r="I199">
        <v>7327</v>
      </c>
      <c r="J199" t="s">
        <v>242</v>
      </c>
      <c r="K199" t="s">
        <v>121</v>
      </c>
      <c r="L199">
        <v>2650</v>
      </c>
      <c r="M199">
        <v>2668</v>
      </c>
      <c r="N199">
        <v>400</v>
      </c>
      <c r="O199" t="s">
        <v>89</v>
      </c>
      <c r="P199">
        <v>0.92146553943905596</v>
      </c>
      <c r="Q199">
        <v>0.93363689849487097</v>
      </c>
      <c r="R199">
        <v>0.20908817439851399</v>
      </c>
      <c r="S199">
        <v>3.8781065000862702E-2</v>
      </c>
      <c r="T199">
        <v>0.44081741240133598</v>
      </c>
      <c r="U199">
        <v>0.44081741240133598</v>
      </c>
      <c r="V199">
        <v>0.9</v>
      </c>
      <c r="W199">
        <v>0.11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</row>
    <row r="200" spans="1:34">
      <c r="A200" s="214">
        <v>261</v>
      </c>
      <c r="B200">
        <v>4182</v>
      </c>
      <c r="C200" t="s">
        <v>127</v>
      </c>
      <c r="D200" t="s">
        <v>90</v>
      </c>
      <c r="E200">
        <v>1489</v>
      </c>
      <c r="F200">
        <v>1498</v>
      </c>
      <c r="G200">
        <v>700</v>
      </c>
      <c r="H200" t="s">
        <v>91</v>
      </c>
      <c r="I200">
        <v>7186</v>
      </c>
      <c r="J200" t="s">
        <v>51</v>
      </c>
      <c r="K200" t="s">
        <v>121</v>
      </c>
      <c r="L200">
        <v>410</v>
      </c>
      <c r="M200">
        <v>410</v>
      </c>
      <c r="N200">
        <v>2600</v>
      </c>
      <c r="O200" t="s">
        <v>89</v>
      </c>
      <c r="P200">
        <v>0.92864544612033495</v>
      </c>
      <c r="Q200">
        <v>0.90456274224592403</v>
      </c>
      <c r="R200">
        <v>0.175168835591825</v>
      </c>
      <c r="S200">
        <v>0.34495408991632298</v>
      </c>
      <c r="T200">
        <v>1.7349438466481899</v>
      </c>
      <c r="U200">
        <v>1.7349438466481899</v>
      </c>
      <c r="V200">
        <v>4.5199999999999996</v>
      </c>
      <c r="W200">
        <v>1.66</v>
      </c>
      <c r="X200">
        <v>-764</v>
      </c>
      <c r="Y200">
        <v>-45</v>
      </c>
      <c r="Z200">
        <v>-0.01</v>
      </c>
      <c r="AA200">
        <v>17</v>
      </c>
      <c r="AB200">
        <v>8</v>
      </c>
      <c r="AC200">
        <v>9</v>
      </c>
      <c r="AD200">
        <v>47.06</v>
      </c>
      <c r="AE200">
        <v>11</v>
      </c>
      <c r="AF200">
        <v>7</v>
      </c>
      <c r="AG200">
        <v>6</v>
      </c>
      <c r="AH200">
        <v>4</v>
      </c>
    </row>
    <row r="201" spans="1:34">
      <c r="A201" s="214">
        <v>118</v>
      </c>
      <c r="B201">
        <v>4005</v>
      </c>
      <c r="C201" t="s">
        <v>172</v>
      </c>
      <c r="D201" t="s">
        <v>90</v>
      </c>
      <c r="E201">
        <v>498</v>
      </c>
      <c r="F201">
        <v>504</v>
      </c>
      <c r="G201">
        <v>2100</v>
      </c>
      <c r="H201" t="s">
        <v>89</v>
      </c>
      <c r="I201">
        <v>8601</v>
      </c>
      <c r="J201" t="s">
        <v>53</v>
      </c>
      <c r="K201" t="s">
        <v>171</v>
      </c>
      <c r="L201">
        <v>491.7</v>
      </c>
      <c r="M201">
        <v>494.2</v>
      </c>
      <c r="N201">
        <v>2100</v>
      </c>
      <c r="O201" t="s">
        <v>91</v>
      </c>
      <c r="P201">
        <v>0.91620987868451398</v>
      </c>
      <c r="Q201">
        <v>0.92963956656529201</v>
      </c>
      <c r="R201">
        <v>3.3357232136710498E-2</v>
      </c>
      <c r="S201">
        <v>5.9206267026159498E-3</v>
      </c>
      <c r="T201">
        <v>-0.20482036466332901</v>
      </c>
      <c r="U201">
        <v>0.20482036466332901</v>
      </c>
      <c r="V201">
        <v>-0.44</v>
      </c>
      <c r="W201">
        <v>1.94</v>
      </c>
      <c r="X201">
        <v>-854</v>
      </c>
      <c r="Y201">
        <v>-45</v>
      </c>
      <c r="Z201">
        <v>0</v>
      </c>
      <c r="AA201">
        <v>19</v>
      </c>
      <c r="AB201">
        <v>8</v>
      </c>
      <c r="AC201">
        <v>11</v>
      </c>
      <c r="AD201">
        <v>42.11</v>
      </c>
      <c r="AE201">
        <v>14</v>
      </c>
      <c r="AF201">
        <v>6</v>
      </c>
      <c r="AG201">
        <v>4</v>
      </c>
      <c r="AH201">
        <v>9</v>
      </c>
    </row>
    <row r="202" spans="1:34">
      <c r="A202" s="214">
        <v>38</v>
      </c>
      <c r="B202">
        <v>6472</v>
      </c>
      <c r="C202" t="s">
        <v>222</v>
      </c>
      <c r="D202" t="s">
        <v>144</v>
      </c>
      <c r="E202">
        <v>317</v>
      </c>
      <c r="F202">
        <v>322</v>
      </c>
      <c r="G202">
        <v>2900</v>
      </c>
      <c r="H202" t="s">
        <v>91</v>
      </c>
      <c r="I202">
        <v>6995</v>
      </c>
      <c r="J202" t="s">
        <v>132</v>
      </c>
      <c r="K202" t="s">
        <v>123</v>
      </c>
      <c r="L202">
        <v>1852</v>
      </c>
      <c r="M202">
        <v>1861</v>
      </c>
      <c r="N202">
        <v>500</v>
      </c>
      <c r="O202" t="s">
        <v>89</v>
      </c>
      <c r="P202">
        <v>0.95534884747057902</v>
      </c>
      <c r="Q202">
        <v>0.94923177642205103</v>
      </c>
      <c r="R202">
        <v>0.26456599240985001</v>
      </c>
      <c r="S202">
        <v>4.0365675166713202E-2</v>
      </c>
      <c r="T202">
        <v>0.252416461889924</v>
      </c>
      <c r="U202">
        <v>0.252416461889924</v>
      </c>
      <c r="V202">
        <v>0.64</v>
      </c>
      <c r="W202">
        <v>0.35</v>
      </c>
      <c r="X202">
        <v>-1035</v>
      </c>
      <c r="Y202">
        <v>-74</v>
      </c>
      <c r="Z202">
        <v>-0.02</v>
      </c>
      <c r="AA202">
        <v>14</v>
      </c>
      <c r="AB202">
        <v>8</v>
      </c>
      <c r="AC202">
        <v>6</v>
      </c>
      <c r="AD202">
        <v>57.14</v>
      </c>
      <c r="AE202">
        <v>14</v>
      </c>
      <c r="AF202">
        <v>5</v>
      </c>
      <c r="AG202">
        <v>3</v>
      </c>
      <c r="AH202">
        <v>6</v>
      </c>
    </row>
    <row r="203" spans="1:34">
      <c r="A203" s="214">
        <v>242</v>
      </c>
      <c r="B203">
        <v>3861</v>
      </c>
      <c r="C203" t="s">
        <v>94</v>
      </c>
      <c r="D203" t="s">
        <v>118</v>
      </c>
      <c r="E203">
        <v>530</v>
      </c>
      <c r="F203">
        <v>543</v>
      </c>
      <c r="G203">
        <v>1600</v>
      </c>
      <c r="H203" t="s">
        <v>91</v>
      </c>
      <c r="I203">
        <v>7751</v>
      </c>
      <c r="J203" t="s">
        <v>230</v>
      </c>
      <c r="K203" t="s">
        <v>126</v>
      </c>
      <c r="L203">
        <v>2853</v>
      </c>
      <c r="M203">
        <v>2864.5</v>
      </c>
      <c r="N203">
        <v>300</v>
      </c>
      <c r="O203" t="s">
        <v>89</v>
      </c>
      <c r="P203">
        <v>0.939186715865301</v>
      </c>
      <c r="Q203">
        <v>0.90614152515655899</v>
      </c>
      <c r="R203">
        <v>0.30866153803677998</v>
      </c>
      <c r="S203">
        <v>1.3104261404484001E-2</v>
      </c>
      <c r="T203">
        <v>1.10205364109773</v>
      </c>
      <c r="U203">
        <v>1.10205364109773</v>
      </c>
      <c r="V203">
        <v>4.01</v>
      </c>
      <c r="W203">
        <v>1.1000000000000001</v>
      </c>
      <c r="X203">
        <v>-1977</v>
      </c>
      <c r="Y203">
        <v>-99</v>
      </c>
      <c r="Z203">
        <v>-0.02</v>
      </c>
      <c r="AA203">
        <v>20</v>
      </c>
      <c r="AB203">
        <v>11</v>
      </c>
      <c r="AC203">
        <v>9</v>
      </c>
      <c r="AD203">
        <v>55</v>
      </c>
      <c r="AE203">
        <v>14</v>
      </c>
      <c r="AF203">
        <v>4</v>
      </c>
      <c r="AG203">
        <v>5</v>
      </c>
      <c r="AH203">
        <v>11</v>
      </c>
    </row>
    <row r="204" spans="1:34">
      <c r="A204" s="214">
        <v>73</v>
      </c>
      <c r="B204">
        <v>7846</v>
      </c>
      <c r="C204" t="s">
        <v>189</v>
      </c>
      <c r="D204" t="s">
        <v>129</v>
      </c>
      <c r="E204">
        <v>4000</v>
      </c>
      <c r="F204">
        <v>4015</v>
      </c>
      <c r="G204">
        <v>200</v>
      </c>
      <c r="H204" t="s">
        <v>89</v>
      </c>
      <c r="I204">
        <v>8341</v>
      </c>
      <c r="J204" t="s">
        <v>193</v>
      </c>
      <c r="K204" t="s">
        <v>121</v>
      </c>
      <c r="L204">
        <v>1590</v>
      </c>
      <c r="M204">
        <v>1601</v>
      </c>
      <c r="N204">
        <v>500</v>
      </c>
      <c r="O204" t="s">
        <v>91</v>
      </c>
      <c r="P204">
        <v>0.91264662956759501</v>
      </c>
      <c r="Q204">
        <v>0.93830112972899105</v>
      </c>
      <c r="R204">
        <v>0.14460426324189499</v>
      </c>
      <c r="S204">
        <v>0.15673526318054801</v>
      </c>
      <c r="T204">
        <v>-0.81789056307904195</v>
      </c>
      <c r="U204">
        <v>0.81789056307904195</v>
      </c>
      <c r="V204">
        <v>-3</v>
      </c>
      <c r="W204">
        <v>0.31</v>
      </c>
      <c r="X204">
        <v>-2424</v>
      </c>
      <c r="Y204">
        <v>-173</v>
      </c>
      <c r="Z204">
        <v>-0.02</v>
      </c>
      <c r="AA204">
        <v>14</v>
      </c>
      <c r="AB204">
        <v>7</v>
      </c>
      <c r="AC204">
        <v>7</v>
      </c>
      <c r="AD204">
        <v>50</v>
      </c>
      <c r="AE204">
        <v>13</v>
      </c>
      <c r="AF204">
        <v>4</v>
      </c>
      <c r="AG204">
        <v>4</v>
      </c>
      <c r="AH204">
        <v>6</v>
      </c>
    </row>
    <row r="205" spans="1:34">
      <c r="A205" s="214">
        <v>208</v>
      </c>
      <c r="B205">
        <v>5406</v>
      </c>
      <c r="C205" t="s">
        <v>159</v>
      </c>
      <c r="D205" t="s">
        <v>134</v>
      </c>
      <c r="E205">
        <v>565</v>
      </c>
      <c r="F205">
        <v>570</v>
      </c>
      <c r="G205">
        <v>1900</v>
      </c>
      <c r="H205" t="s">
        <v>89</v>
      </c>
      <c r="I205">
        <v>7731</v>
      </c>
      <c r="J205" t="s">
        <v>135</v>
      </c>
      <c r="K205" t="s">
        <v>136</v>
      </c>
      <c r="L205">
        <v>1307</v>
      </c>
      <c r="M205">
        <v>1345</v>
      </c>
      <c r="N205">
        <v>800</v>
      </c>
      <c r="O205" t="s">
        <v>91</v>
      </c>
      <c r="P205">
        <v>0.95699579166850701</v>
      </c>
      <c r="Q205">
        <v>0.91286837983711</v>
      </c>
      <c r="R205">
        <v>8.7098806329363797E-4</v>
      </c>
      <c r="S205">
        <v>0.33936719217363598</v>
      </c>
      <c r="T205">
        <v>-0.490524237247491</v>
      </c>
      <c r="U205">
        <v>0.490524237247491</v>
      </c>
      <c r="V205">
        <v>-2.2200000000000002</v>
      </c>
      <c r="W205">
        <v>0.65</v>
      </c>
      <c r="X205">
        <v>-3059</v>
      </c>
      <c r="Y205">
        <v>-170</v>
      </c>
      <c r="Z205">
        <v>-0.01</v>
      </c>
      <c r="AA205">
        <v>18</v>
      </c>
      <c r="AB205">
        <v>9</v>
      </c>
      <c r="AC205">
        <v>9</v>
      </c>
      <c r="AD205">
        <v>50</v>
      </c>
      <c r="AE205">
        <v>14</v>
      </c>
      <c r="AF205">
        <v>5</v>
      </c>
      <c r="AG205">
        <v>4</v>
      </c>
      <c r="AH205">
        <v>9</v>
      </c>
    </row>
    <row r="206" spans="1:34">
      <c r="A206" s="214">
        <v>250</v>
      </c>
      <c r="B206">
        <v>3591</v>
      </c>
      <c r="C206" t="s">
        <v>257</v>
      </c>
      <c r="D206" t="s">
        <v>258</v>
      </c>
      <c r="E206">
        <v>2790</v>
      </c>
      <c r="F206">
        <v>2780</v>
      </c>
      <c r="G206">
        <v>300</v>
      </c>
      <c r="H206" t="s">
        <v>91</v>
      </c>
      <c r="I206">
        <v>7167</v>
      </c>
      <c r="J206" t="s">
        <v>146</v>
      </c>
      <c r="K206" t="s">
        <v>121</v>
      </c>
      <c r="L206">
        <v>259</v>
      </c>
      <c r="M206">
        <v>263</v>
      </c>
      <c r="N206">
        <v>3200</v>
      </c>
      <c r="O206" t="s">
        <v>89</v>
      </c>
      <c r="P206">
        <v>0.94230551173396204</v>
      </c>
      <c r="Q206">
        <v>0.90545876643860002</v>
      </c>
      <c r="R206">
        <v>2.07654344770258E-2</v>
      </c>
      <c r="S206">
        <v>2.4472993864783101E-2</v>
      </c>
      <c r="T206">
        <v>1.23786509204482</v>
      </c>
      <c r="U206">
        <v>1.23786509204482</v>
      </c>
      <c r="V206">
        <v>2.8</v>
      </c>
      <c r="W206">
        <v>0.91</v>
      </c>
      <c r="X206">
        <v>-3363</v>
      </c>
      <c r="Y206">
        <v>-198</v>
      </c>
      <c r="Z206">
        <v>0</v>
      </c>
      <c r="AA206">
        <v>17</v>
      </c>
      <c r="AB206">
        <v>8</v>
      </c>
      <c r="AC206">
        <v>9</v>
      </c>
      <c r="AD206">
        <v>47.06</v>
      </c>
      <c r="AE206">
        <v>15</v>
      </c>
      <c r="AF206">
        <v>3</v>
      </c>
      <c r="AG206">
        <v>2</v>
      </c>
      <c r="AH206">
        <v>12</v>
      </c>
    </row>
    <row r="207" spans="1:34">
      <c r="A207" s="214">
        <v>278</v>
      </c>
      <c r="B207">
        <v>5334</v>
      </c>
      <c r="C207" t="s">
        <v>246</v>
      </c>
      <c r="D207" t="s">
        <v>154</v>
      </c>
      <c r="E207">
        <v>2033</v>
      </c>
      <c r="F207">
        <v>2041</v>
      </c>
      <c r="G207">
        <v>500</v>
      </c>
      <c r="H207" t="s">
        <v>89</v>
      </c>
      <c r="I207">
        <v>7272</v>
      </c>
      <c r="J207" t="s">
        <v>259</v>
      </c>
      <c r="K207" t="s">
        <v>123</v>
      </c>
      <c r="L207">
        <v>1965</v>
      </c>
      <c r="M207">
        <v>1992</v>
      </c>
      <c r="N207">
        <v>500</v>
      </c>
      <c r="O207" t="s">
        <v>91</v>
      </c>
      <c r="P207">
        <v>0.90134733133040601</v>
      </c>
      <c r="Q207">
        <v>0.90093354753128596</v>
      </c>
      <c r="R207">
        <v>0.15767344766851901</v>
      </c>
      <c r="S207">
        <v>1.2284137140380199E-2</v>
      </c>
      <c r="T207">
        <v>-1.0565078247317801</v>
      </c>
      <c r="U207">
        <v>1.0565078247317801</v>
      </c>
      <c r="V207">
        <v>-2.73</v>
      </c>
      <c r="W207">
        <v>2.4</v>
      </c>
      <c r="X207">
        <v>-4362</v>
      </c>
      <c r="Y207">
        <v>-312</v>
      </c>
      <c r="Z207">
        <v>-0.11</v>
      </c>
      <c r="AA207">
        <v>14</v>
      </c>
      <c r="AB207">
        <v>9</v>
      </c>
      <c r="AC207">
        <v>5</v>
      </c>
      <c r="AD207">
        <v>64.290000000000006</v>
      </c>
      <c r="AE207">
        <v>14</v>
      </c>
      <c r="AF207">
        <v>3</v>
      </c>
      <c r="AG207">
        <v>3</v>
      </c>
      <c r="AH207">
        <v>8</v>
      </c>
    </row>
    <row r="208" spans="1:34">
      <c r="A208" s="214">
        <v>82</v>
      </c>
      <c r="B208">
        <v>6752</v>
      </c>
      <c r="C208" t="s">
        <v>152</v>
      </c>
      <c r="D208" t="s">
        <v>126</v>
      </c>
      <c r="E208">
        <v>874.4</v>
      </c>
      <c r="F208">
        <v>877.9</v>
      </c>
      <c r="G208">
        <v>1200</v>
      </c>
      <c r="H208" t="s">
        <v>89</v>
      </c>
      <c r="I208">
        <v>8795</v>
      </c>
      <c r="J208" t="s">
        <v>227</v>
      </c>
      <c r="K208" t="s">
        <v>158</v>
      </c>
      <c r="L208">
        <v>1150.5</v>
      </c>
      <c r="M208">
        <v>1165</v>
      </c>
      <c r="N208">
        <v>900</v>
      </c>
      <c r="O208" t="s">
        <v>91</v>
      </c>
      <c r="P208">
        <v>0.96142548122358196</v>
      </c>
      <c r="Q208">
        <v>0.93597137675117603</v>
      </c>
      <c r="R208">
        <v>1.23926413153778E-2</v>
      </c>
      <c r="S208">
        <v>0.17918440967333499</v>
      </c>
      <c r="T208">
        <v>-1.07194987012815</v>
      </c>
      <c r="U208">
        <v>1.07194987012815</v>
      </c>
      <c r="V208">
        <v>-2.83</v>
      </c>
      <c r="W208">
        <v>0.47</v>
      </c>
      <c r="X208">
        <v>-6055</v>
      </c>
      <c r="Y208">
        <v>-356</v>
      </c>
      <c r="Z208">
        <v>0.02</v>
      </c>
      <c r="AA208">
        <v>17</v>
      </c>
      <c r="AB208">
        <v>8</v>
      </c>
      <c r="AC208">
        <v>9</v>
      </c>
      <c r="AD208">
        <v>47.06</v>
      </c>
      <c r="AE208">
        <v>14</v>
      </c>
      <c r="AF208">
        <v>6</v>
      </c>
      <c r="AG208">
        <v>5</v>
      </c>
      <c r="AH208">
        <v>6</v>
      </c>
    </row>
    <row r="209" spans="1:34">
      <c r="A209" s="214">
        <v>71</v>
      </c>
      <c r="B209">
        <v>6770</v>
      </c>
      <c r="C209" t="s">
        <v>50</v>
      </c>
      <c r="D209" t="s">
        <v>126</v>
      </c>
      <c r="E209">
        <v>2097</v>
      </c>
      <c r="F209">
        <v>2110</v>
      </c>
      <c r="G209">
        <v>500</v>
      </c>
      <c r="H209" t="s">
        <v>91</v>
      </c>
      <c r="I209">
        <v>7251</v>
      </c>
      <c r="J209" t="s">
        <v>197</v>
      </c>
      <c r="K209" t="s">
        <v>123</v>
      </c>
      <c r="L209">
        <v>1643</v>
      </c>
      <c r="M209">
        <v>1651</v>
      </c>
      <c r="N209">
        <v>600</v>
      </c>
      <c r="O209" t="s">
        <v>89</v>
      </c>
      <c r="P209">
        <v>0.95089706125992801</v>
      </c>
      <c r="Q209">
        <v>0.93843254816101196</v>
      </c>
      <c r="R209">
        <v>0.102526943640215</v>
      </c>
      <c r="S209">
        <v>0.109162086412652</v>
      </c>
      <c r="T209">
        <v>0.54533701745308905</v>
      </c>
      <c r="U209">
        <v>0.54533701745308905</v>
      </c>
      <c r="V209">
        <v>1.78</v>
      </c>
      <c r="W209">
        <v>6.1</v>
      </c>
      <c r="X209">
        <v>-6788</v>
      </c>
      <c r="Y209">
        <v>-485</v>
      </c>
      <c r="Z209">
        <v>0.04</v>
      </c>
      <c r="AA209">
        <v>14</v>
      </c>
      <c r="AB209">
        <v>6</v>
      </c>
      <c r="AC209">
        <v>8</v>
      </c>
      <c r="AD209">
        <v>42.86</v>
      </c>
      <c r="AE209">
        <v>14</v>
      </c>
      <c r="AF209">
        <v>4</v>
      </c>
      <c r="AG209">
        <v>2</v>
      </c>
      <c r="AH209">
        <v>8</v>
      </c>
    </row>
    <row r="210" spans="1:34">
      <c r="A210" s="214">
        <v>220</v>
      </c>
      <c r="B210">
        <v>4188</v>
      </c>
      <c r="C210" t="s">
        <v>226</v>
      </c>
      <c r="D210" t="s">
        <v>90</v>
      </c>
      <c r="E210">
        <v>790</v>
      </c>
      <c r="F210">
        <v>812.5</v>
      </c>
      <c r="G210">
        <v>1300</v>
      </c>
      <c r="H210" t="s">
        <v>91</v>
      </c>
      <c r="I210">
        <v>8411</v>
      </c>
      <c r="J210" t="s">
        <v>182</v>
      </c>
      <c r="K210" t="s">
        <v>121</v>
      </c>
      <c r="L210">
        <v>162</v>
      </c>
      <c r="M210">
        <v>162.1</v>
      </c>
      <c r="N210">
        <v>6500</v>
      </c>
      <c r="O210" t="s">
        <v>89</v>
      </c>
      <c r="P210">
        <v>0.90740199145534495</v>
      </c>
      <c r="Q210">
        <v>0.91021632050474299</v>
      </c>
      <c r="R210">
        <v>7.42743104679969E-3</v>
      </c>
      <c r="S210">
        <v>6.7104564250306101E-2</v>
      </c>
      <c r="T210">
        <v>2.6740145549643302</v>
      </c>
      <c r="U210">
        <v>2.6740145549643302</v>
      </c>
      <c r="V210">
        <v>5.13</v>
      </c>
      <c r="W210">
        <v>0.25</v>
      </c>
      <c r="X210">
        <v>-8799</v>
      </c>
      <c r="Y210">
        <v>-463</v>
      </c>
      <c r="Z210">
        <v>-0.01</v>
      </c>
      <c r="AA210">
        <v>19</v>
      </c>
      <c r="AB210">
        <v>8</v>
      </c>
      <c r="AC210">
        <v>11</v>
      </c>
      <c r="AD210">
        <v>42.11</v>
      </c>
      <c r="AE210">
        <v>12</v>
      </c>
      <c r="AF210">
        <v>6</v>
      </c>
      <c r="AG210">
        <v>5</v>
      </c>
      <c r="AH210">
        <v>8</v>
      </c>
    </row>
    <row r="211" spans="1:34">
      <c r="A211" s="214">
        <v>219</v>
      </c>
      <c r="B211">
        <v>6752</v>
      </c>
      <c r="C211" t="s">
        <v>152</v>
      </c>
      <c r="D211" t="s">
        <v>126</v>
      </c>
      <c r="E211">
        <v>874.4</v>
      </c>
      <c r="F211">
        <v>877.9</v>
      </c>
      <c r="G211">
        <v>1200</v>
      </c>
      <c r="H211" t="s">
        <v>89</v>
      </c>
      <c r="I211">
        <v>9505</v>
      </c>
      <c r="J211" t="s">
        <v>194</v>
      </c>
      <c r="K211" t="s">
        <v>195</v>
      </c>
      <c r="L211">
        <v>727</v>
      </c>
      <c r="M211">
        <v>731</v>
      </c>
      <c r="N211">
        <v>1400</v>
      </c>
      <c r="O211" t="s">
        <v>91</v>
      </c>
      <c r="P211">
        <v>0.90744188041936702</v>
      </c>
      <c r="Q211">
        <v>0.91031516304280502</v>
      </c>
      <c r="R211">
        <v>2.41555200589731E-2</v>
      </c>
      <c r="S211">
        <v>0.186206523455615</v>
      </c>
      <c r="T211">
        <v>-0.53089687147793996</v>
      </c>
      <c r="U211">
        <v>0.53089687147793996</v>
      </c>
      <c r="V211">
        <v>-1.8</v>
      </c>
      <c r="W211">
        <v>2.86</v>
      </c>
      <c r="X211">
        <v>-11796</v>
      </c>
      <c r="Y211">
        <v>-513</v>
      </c>
      <c r="Z211">
        <v>-0.02</v>
      </c>
      <c r="AA211">
        <v>23</v>
      </c>
      <c r="AB211">
        <v>13</v>
      </c>
      <c r="AC211">
        <v>10</v>
      </c>
      <c r="AD211">
        <v>56.52</v>
      </c>
      <c r="AE211">
        <v>13</v>
      </c>
      <c r="AF211">
        <v>6</v>
      </c>
      <c r="AG211">
        <v>7</v>
      </c>
      <c r="AH211">
        <v>10</v>
      </c>
    </row>
    <row r="212" spans="1:34">
      <c r="A212" s="214">
        <v>116</v>
      </c>
      <c r="B212">
        <v>7167</v>
      </c>
      <c r="C212" t="s">
        <v>146</v>
      </c>
      <c r="D212" t="s">
        <v>121</v>
      </c>
      <c r="E212">
        <v>259</v>
      </c>
      <c r="F212">
        <v>263</v>
      </c>
      <c r="G212">
        <v>4200</v>
      </c>
      <c r="H212" t="s">
        <v>89</v>
      </c>
      <c r="I212">
        <v>9505</v>
      </c>
      <c r="J212" t="s">
        <v>194</v>
      </c>
      <c r="K212" t="s">
        <v>195</v>
      </c>
      <c r="L212">
        <v>727</v>
      </c>
      <c r="M212">
        <v>731</v>
      </c>
      <c r="N212">
        <v>1500</v>
      </c>
      <c r="O212" t="s">
        <v>91</v>
      </c>
      <c r="P212">
        <v>0.950671083585378</v>
      </c>
      <c r="Q212">
        <v>0.93003416292242103</v>
      </c>
      <c r="R212">
        <v>1.49192584607555E-3</v>
      </c>
      <c r="S212">
        <v>0.14382302740307601</v>
      </c>
      <c r="T212">
        <v>-0.45212821676382797</v>
      </c>
      <c r="U212">
        <v>0.45212821676382797</v>
      </c>
      <c r="V212">
        <v>-0.85</v>
      </c>
      <c r="W212">
        <v>0.74</v>
      </c>
      <c r="X212">
        <v>-15960</v>
      </c>
      <c r="Y212">
        <v>-798</v>
      </c>
      <c r="Z212">
        <v>-0.06</v>
      </c>
      <c r="AA212">
        <v>20</v>
      </c>
      <c r="AB212">
        <v>8</v>
      </c>
      <c r="AC212">
        <v>12</v>
      </c>
      <c r="AD212">
        <v>40</v>
      </c>
      <c r="AE212">
        <v>13</v>
      </c>
      <c r="AF212">
        <v>4</v>
      </c>
      <c r="AG212">
        <v>5</v>
      </c>
      <c r="AH212">
        <v>11</v>
      </c>
    </row>
    <row r="213" spans="1:34">
      <c r="A213" s="214">
        <v>27</v>
      </c>
      <c r="B213">
        <v>5201</v>
      </c>
      <c r="C213" t="s">
        <v>206</v>
      </c>
      <c r="D213" t="s">
        <v>154</v>
      </c>
      <c r="E213">
        <v>3370</v>
      </c>
      <c r="F213">
        <v>3405</v>
      </c>
      <c r="G213">
        <v>300</v>
      </c>
      <c r="H213" t="s">
        <v>91</v>
      </c>
      <c r="I213">
        <v>7751</v>
      </c>
      <c r="J213" t="s">
        <v>230</v>
      </c>
      <c r="K213" t="s">
        <v>126</v>
      </c>
      <c r="L213">
        <v>2853</v>
      </c>
      <c r="M213">
        <v>2864.5</v>
      </c>
      <c r="N213">
        <v>400</v>
      </c>
      <c r="O213" t="s">
        <v>89</v>
      </c>
      <c r="P213">
        <v>0.91833203343194203</v>
      </c>
      <c r="Q213">
        <v>0.95366176285052795</v>
      </c>
      <c r="R213">
        <v>0.15102938888211001</v>
      </c>
      <c r="S213" s="20">
        <v>4.6859411169871703E-6</v>
      </c>
      <c r="T213">
        <v>1.05904861586073</v>
      </c>
      <c r="U213">
        <v>1.05904861586073</v>
      </c>
      <c r="V213">
        <v>3.9</v>
      </c>
      <c r="W213">
        <v>12.17</v>
      </c>
      <c r="X213">
        <v>-15991</v>
      </c>
      <c r="Y213">
        <v>-5330</v>
      </c>
      <c r="Z213">
        <v>-0.26</v>
      </c>
      <c r="AA213">
        <v>3</v>
      </c>
      <c r="AB213">
        <v>1</v>
      </c>
      <c r="AC213">
        <v>2</v>
      </c>
      <c r="AD213">
        <v>33.33</v>
      </c>
      <c r="AE213">
        <v>17</v>
      </c>
      <c r="AF213">
        <v>0</v>
      </c>
      <c r="AG213">
        <v>0</v>
      </c>
      <c r="AH213">
        <v>3</v>
      </c>
    </row>
    <row r="214" spans="1:34">
      <c r="A214" s="214">
        <v>4</v>
      </c>
      <c r="B214">
        <v>8308</v>
      </c>
      <c r="C214" t="s">
        <v>148</v>
      </c>
      <c r="D214" t="s">
        <v>121</v>
      </c>
      <c r="E214">
        <v>447</v>
      </c>
      <c r="F214">
        <v>448.8</v>
      </c>
      <c r="G214">
        <v>2100</v>
      </c>
      <c r="H214" t="s">
        <v>89</v>
      </c>
      <c r="I214">
        <v>8341</v>
      </c>
      <c r="J214" t="s">
        <v>193</v>
      </c>
      <c r="K214" t="s">
        <v>121</v>
      </c>
      <c r="L214">
        <v>1590</v>
      </c>
      <c r="M214">
        <v>1601</v>
      </c>
      <c r="N214">
        <v>600</v>
      </c>
      <c r="O214" t="s">
        <v>91</v>
      </c>
      <c r="P214">
        <v>0.93862074745402202</v>
      </c>
      <c r="Q214">
        <v>0.97174463322665305</v>
      </c>
      <c r="R214">
        <v>0.38847439711859</v>
      </c>
      <c r="S214">
        <v>0.135964138232014</v>
      </c>
      <c r="T214">
        <v>-1.1962827445836299</v>
      </c>
      <c r="U214">
        <v>1.1962827445836299</v>
      </c>
      <c r="V214">
        <v>-4.4000000000000004</v>
      </c>
      <c r="W214">
        <v>1.89</v>
      </c>
      <c r="X214">
        <v>-18202</v>
      </c>
      <c r="Y214">
        <v>-958</v>
      </c>
      <c r="Z214">
        <v>-0.03</v>
      </c>
      <c r="AA214">
        <v>19</v>
      </c>
      <c r="AB214">
        <v>9</v>
      </c>
      <c r="AC214">
        <v>10</v>
      </c>
      <c r="AD214">
        <v>47.37</v>
      </c>
      <c r="AE214">
        <v>16</v>
      </c>
      <c r="AF214">
        <v>3</v>
      </c>
      <c r="AG214">
        <v>2</v>
      </c>
      <c r="AH214">
        <v>14</v>
      </c>
    </row>
    <row r="215" spans="1:34">
      <c r="A215" s="214">
        <v>64</v>
      </c>
      <c r="B215">
        <v>5802</v>
      </c>
      <c r="C215" t="s">
        <v>210</v>
      </c>
      <c r="D215" t="s">
        <v>211</v>
      </c>
      <c r="E215">
        <v>1372</v>
      </c>
      <c r="F215">
        <v>1385</v>
      </c>
      <c r="G215">
        <v>700</v>
      </c>
      <c r="H215" t="s">
        <v>91</v>
      </c>
      <c r="I215">
        <v>7182</v>
      </c>
      <c r="J215" t="s">
        <v>218</v>
      </c>
      <c r="K215" t="s">
        <v>121</v>
      </c>
      <c r="L215">
        <v>1032</v>
      </c>
      <c r="M215">
        <v>1036</v>
      </c>
      <c r="N215">
        <v>900</v>
      </c>
      <c r="O215" t="s">
        <v>89</v>
      </c>
      <c r="P215">
        <v>0.91573839325723505</v>
      </c>
      <c r="Q215">
        <v>0.94048074334844001</v>
      </c>
      <c r="R215">
        <v>0.30399375433135301</v>
      </c>
      <c r="S215">
        <v>1.5194869860110901E-2</v>
      </c>
      <c r="T215">
        <v>2.0486798620540698</v>
      </c>
      <c r="U215">
        <v>2.0486798620540698</v>
      </c>
      <c r="V215">
        <v>4.47</v>
      </c>
      <c r="W215">
        <v>3.83</v>
      </c>
      <c r="X215">
        <v>-21779</v>
      </c>
      <c r="Y215">
        <v>-1281</v>
      </c>
      <c r="Z215">
        <v>-7.0000000000000007E-2</v>
      </c>
      <c r="AA215">
        <v>17</v>
      </c>
      <c r="AB215">
        <v>9</v>
      </c>
      <c r="AC215">
        <v>8</v>
      </c>
      <c r="AD215">
        <v>52.94</v>
      </c>
      <c r="AE215">
        <v>16</v>
      </c>
      <c r="AF215">
        <v>1</v>
      </c>
      <c r="AG215">
        <v>1</v>
      </c>
      <c r="AH215">
        <v>15</v>
      </c>
    </row>
    <row r="216" spans="1:34">
      <c r="A216" s="214">
        <v>90</v>
      </c>
      <c r="B216">
        <v>6472</v>
      </c>
      <c r="C216" t="s">
        <v>222</v>
      </c>
      <c r="D216" t="s">
        <v>144</v>
      </c>
      <c r="E216">
        <v>317</v>
      </c>
      <c r="F216">
        <v>322</v>
      </c>
      <c r="G216">
        <v>3300</v>
      </c>
      <c r="H216" t="s">
        <v>91</v>
      </c>
      <c r="I216">
        <v>6752</v>
      </c>
      <c r="J216" t="s">
        <v>152</v>
      </c>
      <c r="K216" t="s">
        <v>126</v>
      </c>
      <c r="L216">
        <v>874.4</v>
      </c>
      <c r="M216">
        <v>877.9</v>
      </c>
      <c r="N216">
        <v>1200</v>
      </c>
      <c r="O216" t="s">
        <v>89</v>
      </c>
      <c r="P216">
        <v>0.90727118646905003</v>
      </c>
      <c r="Q216">
        <v>0.93496708035467802</v>
      </c>
      <c r="R216">
        <v>0.27969950082766198</v>
      </c>
      <c r="S216">
        <v>9.5094644499700204E-2</v>
      </c>
      <c r="T216">
        <v>1.80898529154493</v>
      </c>
      <c r="U216">
        <v>1.80898529154493</v>
      </c>
      <c r="V216">
        <v>5.73</v>
      </c>
      <c r="W216">
        <v>0.87</v>
      </c>
      <c r="X216">
        <v>-22140</v>
      </c>
      <c r="Y216">
        <v>-1384</v>
      </c>
      <c r="Z216">
        <v>-7.0000000000000007E-2</v>
      </c>
      <c r="AA216">
        <v>16</v>
      </c>
      <c r="AB216">
        <v>7</v>
      </c>
      <c r="AC216">
        <v>9</v>
      </c>
      <c r="AD216">
        <v>43.75</v>
      </c>
      <c r="AE216">
        <v>14</v>
      </c>
      <c r="AF216">
        <v>4</v>
      </c>
      <c r="AG216">
        <v>4</v>
      </c>
      <c r="AH216">
        <v>8</v>
      </c>
    </row>
    <row r="217" spans="1:34">
      <c r="A217" s="214">
        <v>229</v>
      </c>
      <c r="B217">
        <v>4005</v>
      </c>
      <c r="C217" t="s">
        <v>172</v>
      </c>
      <c r="D217" t="s">
        <v>90</v>
      </c>
      <c r="E217">
        <v>498</v>
      </c>
      <c r="F217">
        <v>504</v>
      </c>
      <c r="G217">
        <v>2100</v>
      </c>
      <c r="H217" t="s">
        <v>89</v>
      </c>
      <c r="I217">
        <v>7186</v>
      </c>
      <c r="J217" t="s">
        <v>51</v>
      </c>
      <c r="K217" t="s">
        <v>121</v>
      </c>
      <c r="L217">
        <v>410</v>
      </c>
      <c r="M217">
        <v>410</v>
      </c>
      <c r="N217">
        <v>2600</v>
      </c>
      <c r="O217" t="s">
        <v>91</v>
      </c>
      <c r="P217">
        <v>0.900920164251513</v>
      </c>
      <c r="Q217">
        <v>0.90788900269286699</v>
      </c>
      <c r="R217">
        <v>1.8304402999097899E-2</v>
      </c>
      <c r="S217">
        <v>0.25252313246715602</v>
      </c>
      <c r="T217">
        <v>-0.19439088050073999</v>
      </c>
      <c r="U217">
        <v>0.19439088050073999</v>
      </c>
      <c r="V217">
        <v>-0.73</v>
      </c>
      <c r="W217">
        <v>0.72</v>
      </c>
      <c r="X217">
        <v>-23574</v>
      </c>
      <c r="Y217">
        <v>-1473</v>
      </c>
      <c r="Z217">
        <v>-0.08</v>
      </c>
      <c r="AA217">
        <v>16</v>
      </c>
      <c r="AB217">
        <v>7</v>
      </c>
      <c r="AC217">
        <v>9</v>
      </c>
      <c r="AD217">
        <v>43.75</v>
      </c>
      <c r="AE217">
        <v>12</v>
      </c>
      <c r="AF217">
        <v>4</v>
      </c>
      <c r="AG217">
        <v>5</v>
      </c>
      <c r="AH217">
        <v>7</v>
      </c>
    </row>
    <row r="218" spans="1:34">
      <c r="A218" s="214">
        <v>56</v>
      </c>
      <c r="B218">
        <v>7453</v>
      </c>
      <c r="C218" t="s">
        <v>150</v>
      </c>
      <c r="D218" t="s">
        <v>138</v>
      </c>
      <c r="E218">
        <v>2030</v>
      </c>
      <c r="F218">
        <v>2101</v>
      </c>
      <c r="G218">
        <v>500</v>
      </c>
      <c r="H218" t="s">
        <v>91</v>
      </c>
      <c r="I218">
        <v>8601</v>
      </c>
      <c r="J218" t="s">
        <v>53</v>
      </c>
      <c r="K218" t="s">
        <v>171</v>
      </c>
      <c r="L218">
        <v>491.7</v>
      </c>
      <c r="M218">
        <v>494.2</v>
      </c>
      <c r="N218">
        <v>2100</v>
      </c>
      <c r="O218" t="s">
        <v>89</v>
      </c>
      <c r="P218">
        <v>0.90684076274486203</v>
      </c>
      <c r="Q218">
        <v>0.94327833384098303</v>
      </c>
      <c r="R218">
        <v>1.8948285000302399E-2</v>
      </c>
      <c r="S218">
        <v>2.11938500885211E-2</v>
      </c>
      <c r="T218">
        <v>1.59944878570798</v>
      </c>
      <c r="U218">
        <v>1.59944878570798</v>
      </c>
      <c r="V218">
        <v>3.61</v>
      </c>
      <c r="W218">
        <v>1.21</v>
      </c>
      <c r="X218">
        <v>-26165</v>
      </c>
      <c r="Y218">
        <v>-1539</v>
      </c>
      <c r="Z218">
        <v>-0.08</v>
      </c>
      <c r="AA218">
        <v>17</v>
      </c>
      <c r="AB218">
        <v>9</v>
      </c>
      <c r="AC218">
        <v>8</v>
      </c>
      <c r="AD218">
        <v>52.94</v>
      </c>
      <c r="AE218">
        <v>10</v>
      </c>
      <c r="AF218">
        <v>6</v>
      </c>
      <c r="AG218">
        <v>7</v>
      </c>
      <c r="AH218">
        <v>4</v>
      </c>
    </row>
    <row r="219" spans="1:34">
      <c r="A219" s="214">
        <v>148</v>
      </c>
      <c r="B219">
        <v>2914</v>
      </c>
      <c r="C219" t="s">
        <v>139</v>
      </c>
      <c r="D219" t="s">
        <v>140</v>
      </c>
      <c r="E219">
        <v>2381</v>
      </c>
      <c r="F219">
        <v>2369.5</v>
      </c>
      <c r="G219">
        <v>200</v>
      </c>
      <c r="H219" t="s">
        <v>91</v>
      </c>
      <c r="I219">
        <v>4507</v>
      </c>
      <c r="J219" t="s">
        <v>248</v>
      </c>
      <c r="K219" t="s">
        <v>232</v>
      </c>
      <c r="L219">
        <v>5940</v>
      </c>
      <c r="M219">
        <v>5884</v>
      </c>
      <c r="N219">
        <v>100</v>
      </c>
      <c r="O219" t="s">
        <v>89</v>
      </c>
      <c r="P219">
        <v>0.90799468844503695</v>
      </c>
      <c r="Q219">
        <v>0.92316623955474597</v>
      </c>
      <c r="R219">
        <v>1.6440344274007E-2</v>
      </c>
      <c r="S219">
        <v>3.5227155812485401E-2</v>
      </c>
      <c r="T219">
        <v>1.4579099050234801</v>
      </c>
      <c r="U219">
        <v>1.4579099050234801</v>
      </c>
      <c r="V219">
        <v>2.19</v>
      </c>
      <c r="W219">
        <v>19.46</v>
      </c>
      <c r="X219">
        <v>-30523</v>
      </c>
      <c r="Y219">
        <v>-5087</v>
      </c>
      <c r="Z219">
        <v>-0.76</v>
      </c>
      <c r="AA219">
        <v>6</v>
      </c>
      <c r="AB219">
        <v>3</v>
      </c>
      <c r="AC219">
        <v>3</v>
      </c>
      <c r="AD219">
        <v>50</v>
      </c>
      <c r="AE219">
        <v>11</v>
      </c>
      <c r="AF219">
        <v>2</v>
      </c>
      <c r="AG219">
        <v>3</v>
      </c>
      <c r="AH219">
        <v>1</v>
      </c>
    </row>
    <row r="220" spans="1:34">
      <c r="A220" s="214">
        <v>122</v>
      </c>
      <c r="B220">
        <v>8273</v>
      </c>
      <c r="C220" t="s">
        <v>145</v>
      </c>
      <c r="D220" t="s">
        <v>138</v>
      </c>
      <c r="E220">
        <v>4165</v>
      </c>
      <c r="F220">
        <v>4160</v>
      </c>
      <c r="G220">
        <v>200</v>
      </c>
      <c r="H220" t="s">
        <v>89</v>
      </c>
      <c r="I220">
        <v>8341</v>
      </c>
      <c r="J220" t="s">
        <v>193</v>
      </c>
      <c r="K220" t="s">
        <v>121</v>
      </c>
      <c r="L220">
        <v>1590</v>
      </c>
      <c r="M220">
        <v>1601</v>
      </c>
      <c r="N220">
        <v>500</v>
      </c>
      <c r="O220" t="s">
        <v>91</v>
      </c>
      <c r="P220">
        <v>0.93577051771433295</v>
      </c>
      <c r="Q220">
        <v>0.92919593417366197</v>
      </c>
      <c r="R220">
        <v>4.7334882993479198E-3</v>
      </c>
      <c r="S220">
        <v>0.189037580375786</v>
      </c>
      <c r="T220">
        <v>-1.3289345176332601</v>
      </c>
      <c r="U220">
        <v>1.3289345176332601</v>
      </c>
      <c r="V220">
        <v>-6.07</v>
      </c>
      <c r="W220">
        <v>3.79</v>
      </c>
      <c r="X220">
        <v>-40504</v>
      </c>
      <c r="Y220">
        <v>-3116</v>
      </c>
      <c r="Z220">
        <v>-0.01</v>
      </c>
      <c r="AA220">
        <v>13</v>
      </c>
      <c r="AB220">
        <v>7</v>
      </c>
      <c r="AC220">
        <v>6</v>
      </c>
      <c r="AD220">
        <v>53.85</v>
      </c>
      <c r="AE220">
        <v>12</v>
      </c>
      <c r="AF220">
        <v>5</v>
      </c>
      <c r="AG220">
        <v>4</v>
      </c>
      <c r="AH220">
        <v>4</v>
      </c>
    </row>
    <row r="221" spans="1:34">
      <c r="A221" s="214">
        <v>186</v>
      </c>
      <c r="B221">
        <v>7846</v>
      </c>
      <c r="C221" t="s">
        <v>189</v>
      </c>
      <c r="D221" t="s">
        <v>129</v>
      </c>
      <c r="E221">
        <v>4000</v>
      </c>
      <c r="F221">
        <v>4015</v>
      </c>
      <c r="G221">
        <v>200</v>
      </c>
      <c r="H221" t="s">
        <v>89</v>
      </c>
      <c r="I221">
        <v>8795</v>
      </c>
      <c r="J221" t="s">
        <v>227</v>
      </c>
      <c r="K221" t="s">
        <v>158</v>
      </c>
      <c r="L221">
        <v>1150.5</v>
      </c>
      <c r="M221">
        <v>1165</v>
      </c>
      <c r="N221">
        <v>700</v>
      </c>
      <c r="O221" t="s">
        <v>91</v>
      </c>
      <c r="P221">
        <v>0.94997563411615604</v>
      </c>
      <c r="Q221">
        <v>0.91534559438187102</v>
      </c>
      <c r="R221">
        <v>1.34878188980233E-2</v>
      </c>
      <c r="S221">
        <v>0.36769461153112698</v>
      </c>
      <c r="T221">
        <v>-9.8513098943853503E-2</v>
      </c>
      <c r="U221">
        <v>9.8513098943853503E-2</v>
      </c>
      <c r="V221">
        <v>-0.24</v>
      </c>
      <c r="W221">
        <v>1.56</v>
      </c>
      <c r="X221">
        <v>-41728</v>
      </c>
      <c r="Y221">
        <v>-2196</v>
      </c>
      <c r="Z221">
        <v>-0.01</v>
      </c>
      <c r="AA221">
        <v>19</v>
      </c>
      <c r="AB221">
        <v>9</v>
      </c>
      <c r="AC221">
        <v>10</v>
      </c>
      <c r="AD221">
        <v>47.37</v>
      </c>
      <c r="AE221">
        <v>12</v>
      </c>
      <c r="AF221">
        <v>8</v>
      </c>
      <c r="AG221">
        <v>6</v>
      </c>
      <c r="AH221">
        <v>5</v>
      </c>
    </row>
    <row r="222" spans="1:34">
      <c r="A222" s="214">
        <v>50</v>
      </c>
      <c r="B222">
        <v>6471</v>
      </c>
      <c r="C222" t="s">
        <v>235</v>
      </c>
      <c r="D222" t="s">
        <v>144</v>
      </c>
      <c r="E222">
        <v>941</v>
      </c>
      <c r="F222">
        <v>950</v>
      </c>
      <c r="G222">
        <v>1100</v>
      </c>
      <c r="H222" t="s">
        <v>89</v>
      </c>
      <c r="I222">
        <v>6472</v>
      </c>
      <c r="J222" t="s">
        <v>222</v>
      </c>
      <c r="K222" t="s">
        <v>144</v>
      </c>
      <c r="L222">
        <v>317</v>
      </c>
      <c r="M222">
        <v>322</v>
      </c>
      <c r="N222">
        <v>3200</v>
      </c>
      <c r="O222" t="s">
        <v>91</v>
      </c>
      <c r="P222">
        <v>0.97891528411036199</v>
      </c>
      <c r="Q222">
        <v>0.94596325779281099</v>
      </c>
      <c r="R222">
        <v>4.2307822572014701E-2</v>
      </c>
      <c r="S222">
        <v>0.247804785658887</v>
      </c>
      <c r="T222">
        <v>-1.3438273315123499</v>
      </c>
      <c r="U222">
        <v>1.3438273315123499</v>
      </c>
      <c r="V222">
        <v>-2.0099999999999998</v>
      </c>
      <c r="W222">
        <v>1.4</v>
      </c>
      <c r="X222">
        <v>-45015</v>
      </c>
      <c r="Y222">
        <v>-3001</v>
      </c>
      <c r="Z222">
        <v>-0.16</v>
      </c>
      <c r="AA222">
        <v>15</v>
      </c>
      <c r="AB222">
        <v>8</v>
      </c>
      <c r="AC222">
        <v>7</v>
      </c>
      <c r="AD222">
        <v>53.33</v>
      </c>
      <c r="AE222">
        <v>16</v>
      </c>
      <c r="AF222">
        <v>2</v>
      </c>
      <c r="AG222">
        <v>3</v>
      </c>
      <c r="AH222">
        <v>10</v>
      </c>
    </row>
    <row r="223" spans="1:34">
      <c r="A223" s="214">
        <v>281</v>
      </c>
      <c r="B223">
        <v>3291</v>
      </c>
      <c r="C223" t="s">
        <v>165</v>
      </c>
      <c r="D223" t="s">
        <v>166</v>
      </c>
      <c r="E223">
        <v>1710</v>
      </c>
      <c r="F223">
        <v>1726</v>
      </c>
      <c r="G223">
        <v>500</v>
      </c>
      <c r="H223" t="s">
        <v>89</v>
      </c>
      <c r="I223">
        <v>7267</v>
      </c>
      <c r="J223" t="s">
        <v>173</v>
      </c>
      <c r="K223" t="s">
        <v>123</v>
      </c>
      <c r="L223">
        <v>2800</v>
      </c>
      <c r="M223">
        <v>2828.5</v>
      </c>
      <c r="N223">
        <v>300</v>
      </c>
      <c r="O223" t="s">
        <v>91</v>
      </c>
      <c r="P223">
        <v>0.90347824068169502</v>
      </c>
      <c r="Q223">
        <v>0.90070783826051803</v>
      </c>
      <c r="R223">
        <v>0.259801091767697</v>
      </c>
      <c r="S223">
        <v>2.8707825373313098E-2</v>
      </c>
      <c r="T223">
        <v>-1.80496145286777</v>
      </c>
      <c r="U223">
        <v>1.80496145286777</v>
      </c>
      <c r="V223">
        <v>-4.49</v>
      </c>
      <c r="W223">
        <v>1.7</v>
      </c>
      <c r="X223">
        <v>-45959</v>
      </c>
      <c r="Y223">
        <v>-2872</v>
      </c>
      <c r="Z223">
        <v>-0.03</v>
      </c>
      <c r="AA223">
        <v>16</v>
      </c>
      <c r="AB223">
        <v>9</v>
      </c>
      <c r="AC223">
        <v>7</v>
      </c>
      <c r="AD223">
        <v>56.25</v>
      </c>
      <c r="AE223">
        <v>13</v>
      </c>
      <c r="AF223">
        <v>4</v>
      </c>
      <c r="AG223">
        <v>3</v>
      </c>
      <c r="AH223">
        <v>9</v>
      </c>
    </row>
    <row r="224" spans="1:34">
      <c r="A224" s="214">
        <v>152</v>
      </c>
      <c r="B224">
        <v>7186</v>
      </c>
      <c r="C224" t="s">
        <v>51</v>
      </c>
      <c r="D224" t="s">
        <v>121</v>
      </c>
      <c r="E224">
        <v>410</v>
      </c>
      <c r="F224">
        <v>410</v>
      </c>
      <c r="G224">
        <v>2500</v>
      </c>
      <c r="H224" t="s">
        <v>91</v>
      </c>
      <c r="I224">
        <v>8002</v>
      </c>
      <c r="J224" t="s">
        <v>57</v>
      </c>
      <c r="K224" t="s">
        <v>147</v>
      </c>
      <c r="L224">
        <v>727.3</v>
      </c>
      <c r="M224">
        <v>734.5</v>
      </c>
      <c r="N224">
        <v>1400</v>
      </c>
      <c r="O224" t="s">
        <v>89</v>
      </c>
      <c r="P224">
        <v>0.90805964561939301</v>
      </c>
      <c r="Q224">
        <v>0.92233993262788105</v>
      </c>
      <c r="R224">
        <v>7.4240306485918006E-2</v>
      </c>
      <c r="S224">
        <v>0.18163353543420599</v>
      </c>
      <c r="T224">
        <v>0.17020842494108601</v>
      </c>
      <c r="U224">
        <v>0.17020842494108601</v>
      </c>
      <c r="V224">
        <v>0.52</v>
      </c>
      <c r="W224">
        <v>0.32</v>
      </c>
      <c r="X224">
        <v>-46992</v>
      </c>
      <c r="Y224">
        <v>-2764</v>
      </c>
      <c r="Z224">
        <v>-0.1</v>
      </c>
      <c r="AA224">
        <v>17</v>
      </c>
      <c r="AB224">
        <v>9</v>
      </c>
      <c r="AC224">
        <v>8</v>
      </c>
      <c r="AD224">
        <v>52.94</v>
      </c>
      <c r="AE224">
        <v>13</v>
      </c>
      <c r="AF224">
        <v>6</v>
      </c>
      <c r="AG224">
        <v>6</v>
      </c>
      <c r="AH224">
        <v>5</v>
      </c>
    </row>
    <row r="225" spans="1:34">
      <c r="A225" s="214">
        <v>167</v>
      </c>
      <c r="B225">
        <v>6674</v>
      </c>
      <c r="C225" t="s">
        <v>260</v>
      </c>
      <c r="D225" t="s">
        <v>126</v>
      </c>
      <c r="E225">
        <v>1841</v>
      </c>
      <c r="F225">
        <v>1851</v>
      </c>
      <c r="G225">
        <v>500</v>
      </c>
      <c r="H225" t="s">
        <v>89</v>
      </c>
      <c r="I225">
        <v>8377</v>
      </c>
      <c r="J225" t="s">
        <v>137</v>
      </c>
      <c r="K225" t="s">
        <v>121</v>
      </c>
      <c r="L225">
        <v>1032</v>
      </c>
      <c r="M225">
        <v>1036</v>
      </c>
      <c r="N225">
        <v>900</v>
      </c>
      <c r="O225" t="s">
        <v>91</v>
      </c>
      <c r="P225">
        <v>0.910666786257469</v>
      </c>
      <c r="Q225">
        <v>0.92004804246042604</v>
      </c>
      <c r="R225">
        <v>0.272375623164412</v>
      </c>
      <c r="S225">
        <v>0.13880891647045401</v>
      </c>
      <c r="T225">
        <v>-1.29023459846658</v>
      </c>
      <c r="U225">
        <v>1.29023459846658</v>
      </c>
      <c r="V225">
        <v>-3.26</v>
      </c>
      <c r="W225">
        <v>0.75</v>
      </c>
      <c r="X225">
        <v>-51937</v>
      </c>
      <c r="Y225">
        <v>-2885</v>
      </c>
      <c r="Z225">
        <v>-0.06</v>
      </c>
      <c r="AA225">
        <v>18</v>
      </c>
      <c r="AB225">
        <v>8</v>
      </c>
      <c r="AC225">
        <v>10</v>
      </c>
      <c r="AD225">
        <v>44.44</v>
      </c>
      <c r="AE225">
        <v>15</v>
      </c>
      <c r="AF225">
        <v>6</v>
      </c>
      <c r="AG225">
        <v>4</v>
      </c>
      <c r="AH225">
        <v>8</v>
      </c>
    </row>
    <row r="226" spans="1:34">
      <c r="A226" s="214">
        <v>158</v>
      </c>
      <c r="B226">
        <v>1963</v>
      </c>
      <c r="C226" t="s">
        <v>208</v>
      </c>
      <c r="D226" t="s">
        <v>115</v>
      </c>
      <c r="E226">
        <v>1411</v>
      </c>
      <c r="F226">
        <v>1438</v>
      </c>
      <c r="G226">
        <v>700</v>
      </c>
      <c r="H226" t="s">
        <v>91</v>
      </c>
      <c r="I226">
        <v>8002</v>
      </c>
      <c r="J226" t="s">
        <v>57</v>
      </c>
      <c r="K226" t="s">
        <v>147</v>
      </c>
      <c r="L226">
        <v>727.3</v>
      </c>
      <c r="M226">
        <v>734.5</v>
      </c>
      <c r="N226">
        <v>1400</v>
      </c>
      <c r="O226" t="s">
        <v>89</v>
      </c>
      <c r="P226">
        <v>0.91206643908990404</v>
      </c>
      <c r="Q226">
        <v>0.92129323390441098</v>
      </c>
      <c r="R226">
        <v>0.38095893507082101</v>
      </c>
      <c r="S226">
        <v>0.152400904115051</v>
      </c>
      <c r="T226">
        <v>0.25249891698916399</v>
      </c>
      <c r="U226">
        <v>0.25249891698916399</v>
      </c>
      <c r="V226">
        <v>0.99</v>
      </c>
      <c r="W226">
        <v>2.16</v>
      </c>
      <c r="X226">
        <v>-52333</v>
      </c>
      <c r="Y226">
        <v>-2379</v>
      </c>
      <c r="Z226">
        <v>-0.13</v>
      </c>
      <c r="AA226">
        <v>22</v>
      </c>
      <c r="AB226">
        <v>12</v>
      </c>
      <c r="AC226">
        <v>10</v>
      </c>
      <c r="AD226">
        <v>54.55</v>
      </c>
      <c r="AE226">
        <v>12</v>
      </c>
      <c r="AF226">
        <v>7</v>
      </c>
      <c r="AG226">
        <v>7</v>
      </c>
      <c r="AH226">
        <v>8</v>
      </c>
    </row>
    <row r="227" spans="1:34">
      <c r="A227" s="214">
        <v>12</v>
      </c>
      <c r="B227">
        <v>8341</v>
      </c>
      <c r="C227" t="s">
        <v>193</v>
      </c>
      <c r="D227" t="s">
        <v>121</v>
      </c>
      <c r="E227">
        <v>1590</v>
      </c>
      <c r="F227">
        <v>1601</v>
      </c>
      <c r="G227">
        <v>600</v>
      </c>
      <c r="H227" t="s">
        <v>89</v>
      </c>
      <c r="I227">
        <v>8750</v>
      </c>
      <c r="J227" t="s">
        <v>58</v>
      </c>
      <c r="K227" t="s">
        <v>158</v>
      </c>
      <c r="L227">
        <v>1645.5</v>
      </c>
      <c r="M227">
        <v>1665</v>
      </c>
      <c r="N227">
        <v>600</v>
      </c>
      <c r="O227" t="s">
        <v>91</v>
      </c>
      <c r="P227">
        <v>0.95401523789875697</v>
      </c>
      <c r="Q227">
        <v>0.96360085291200004</v>
      </c>
      <c r="R227">
        <v>4.6475867928275601E-3</v>
      </c>
      <c r="S227">
        <v>9.7782589950287296E-2</v>
      </c>
      <c r="T227">
        <v>-0.43609258085191799</v>
      </c>
      <c r="U227">
        <v>0.43609258085191799</v>
      </c>
      <c r="V227">
        <v>-1.0900000000000001</v>
      </c>
      <c r="W227">
        <v>3.84</v>
      </c>
      <c r="X227">
        <v>-53235</v>
      </c>
      <c r="Y227">
        <v>-2958</v>
      </c>
      <c r="Z227">
        <v>-0.1</v>
      </c>
      <c r="AA227">
        <v>18</v>
      </c>
      <c r="AB227">
        <v>10</v>
      </c>
      <c r="AC227">
        <v>8</v>
      </c>
      <c r="AD227">
        <v>55.56</v>
      </c>
      <c r="AE227">
        <v>13</v>
      </c>
      <c r="AF227">
        <v>4</v>
      </c>
      <c r="AG227">
        <v>5</v>
      </c>
      <c r="AH227">
        <v>9</v>
      </c>
    </row>
    <row r="228" spans="1:34">
      <c r="A228" s="214">
        <v>117</v>
      </c>
      <c r="B228">
        <v>7189</v>
      </c>
      <c r="C228" t="s">
        <v>120</v>
      </c>
      <c r="D228" t="s">
        <v>121</v>
      </c>
      <c r="E228">
        <v>751</v>
      </c>
      <c r="F228">
        <v>762</v>
      </c>
      <c r="G228">
        <v>1400</v>
      </c>
      <c r="H228" t="s">
        <v>91</v>
      </c>
      <c r="I228">
        <v>9505</v>
      </c>
      <c r="J228" t="s">
        <v>194</v>
      </c>
      <c r="K228" t="s">
        <v>195</v>
      </c>
      <c r="L228">
        <v>727</v>
      </c>
      <c r="M228">
        <v>731</v>
      </c>
      <c r="N228">
        <v>1500</v>
      </c>
      <c r="O228" t="s">
        <v>89</v>
      </c>
      <c r="P228">
        <v>0.943576289723423</v>
      </c>
      <c r="Q228">
        <v>0.92969797573672697</v>
      </c>
      <c r="R228">
        <v>8.64356729779674E-3</v>
      </c>
      <c r="S228">
        <v>8.4728717280140198E-2</v>
      </c>
      <c r="T228">
        <v>1.16174944058973</v>
      </c>
      <c r="U228">
        <v>1.16174944058973</v>
      </c>
      <c r="V228">
        <v>2.54</v>
      </c>
      <c r="W228">
        <v>2.78</v>
      </c>
      <c r="X228">
        <v>-56606</v>
      </c>
      <c r="Y228">
        <v>-2979</v>
      </c>
      <c r="Z228">
        <v>-0.17</v>
      </c>
      <c r="AA228">
        <v>19</v>
      </c>
      <c r="AB228">
        <v>7</v>
      </c>
      <c r="AC228">
        <v>12</v>
      </c>
      <c r="AD228">
        <v>36.840000000000003</v>
      </c>
      <c r="AE228">
        <v>12</v>
      </c>
      <c r="AF228">
        <v>6</v>
      </c>
      <c r="AG228">
        <v>7</v>
      </c>
      <c r="AH228">
        <v>6</v>
      </c>
    </row>
    <row r="229" spans="1:34">
      <c r="A229" s="214">
        <v>123</v>
      </c>
      <c r="B229">
        <v>6674</v>
      </c>
      <c r="C229" t="s">
        <v>260</v>
      </c>
      <c r="D229" t="s">
        <v>126</v>
      </c>
      <c r="E229">
        <v>1841</v>
      </c>
      <c r="F229">
        <v>1851</v>
      </c>
      <c r="G229">
        <v>500</v>
      </c>
      <c r="H229" t="s">
        <v>89</v>
      </c>
      <c r="I229">
        <v>7181</v>
      </c>
      <c r="J229" t="s">
        <v>233</v>
      </c>
      <c r="K229" t="s">
        <v>158</v>
      </c>
      <c r="L229">
        <v>1607</v>
      </c>
      <c r="M229">
        <v>1637</v>
      </c>
      <c r="N229">
        <v>600</v>
      </c>
      <c r="O229" t="s">
        <v>91</v>
      </c>
      <c r="P229">
        <v>0.924439135391529</v>
      </c>
      <c r="Q229">
        <v>0.92869262874866698</v>
      </c>
      <c r="R229">
        <v>2.78268241395754E-2</v>
      </c>
      <c r="S229">
        <v>4.1479876505730297E-2</v>
      </c>
      <c r="T229">
        <v>-0.187273463320452</v>
      </c>
      <c r="U229">
        <v>0.187273463320452</v>
      </c>
      <c r="V229">
        <v>-0.76</v>
      </c>
      <c r="W229">
        <v>6.13</v>
      </c>
      <c r="X229">
        <v>-56743</v>
      </c>
      <c r="Y229">
        <v>-3338</v>
      </c>
      <c r="Z229">
        <v>-0.14000000000000001</v>
      </c>
      <c r="AA229">
        <v>17</v>
      </c>
      <c r="AB229">
        <v>9</v>
      </c>
      <c r="AC229">
        <v>8</v>
      </c>
      <c r="AD229">
        <v>52.94</v>
      </c>
      <c r="AE229">
        <v>13</v>
      </c>
      <c r="AF229">
        <v>7</v>
      </c>
      <c r="AG229">
        <v>6</v>
      </c>
      <c r="AH229">
        <v>4</v>
      </c>
    </row>
    <row r="230" spans="1:34">
      <c r="A230" s="214">
        <v>178</v>
      </c>
      <c r="B230">
        <v>4581</v>
      </c>
      <c r="C230" t="s">
        <v>231</v>
      </c>
      <c r="D230" t="s">
        <v>232</v>
      </c>
      <c r="E230">
        <v>7580</v>
      </c>
      <c r="F230">
        <v>7630</v>
      </c>
      <c r="G230">
        <v>100</v>
      </c>
      <c r="H230" t="s">
        <v>89</v>
      </c>
      <c r="I230">
        <v>5463</v>
      </c>
      <c r="J230" t="s">
        <v>255</v>
      </c>
      <c r="K230" t="s">
        <v>134</v>
      </c>
      <c r="L230">
        <v>2774</v>
      </c>
      <c r="M230">
        <v>2784</v>
      </c>
      <c r="N230">
        <v>300</v>
      </c>
      <c r="O230" t="s">
        <v>91</v>
      </c>
      <c r="P230">
        <v>0.91931761032918502</v>
      </c>
      <c r="Q230">
        <v>0.91710025811668805</v>
      </c>
      <c r="R230">
        <v>0.105900488739264</v>
      </c>
      <c r="S230">
        <v>0.21557145207521899</v>
      </c>
      <c r="T230">
        <v>-1.3463852027524399</v>
      </c>
      <c r="U230">
        <v>1.3463852027524399</v>
      </c>
      <c r="V230">
        <v>-2.92</v>
      </c>
      <c r="W230">
        <v>9.4600000000000009</v>
      </c>
      <c r="X230">
        <v>-57304</v>
      </c>
      <c r="Y230">
        <v>-5209</v>
      </c>
      <c r="Z230">
        <v>-0.32</v>
      </c>
      <c r="AA230">
        <v>11</v>
      </c>
      <c r="AB230">
        <v>5</v>
      </c>
      <c r="AC230">
        <v>6</v>
      </c>
      <c r="AD230">
        <v>45.45</v>
      </c>
      <c r="AE230">
        <v>12</v>
      </c>
      <c r="AF230">
        <v>4</v>
      </c>
      <c r="AG230">
        <v>4</v>
      </c>
      <c r="AH230">
        <v>3</v>
      </c>
    </row>
    <row r="231" spans="1:34">
      <c r="A231" s="214">
        <v>166</v>
      </c>
      <c r="B231">
        <v>3105</v>
      </c>
      <c r="C231" t="s">
        <v>131</v>
      </c>
      <c r="D231" t="s">
        <v>126</v>
      </c>
      <c r="E231">
        <v>839</v>
      </c>
      <c r="F231">
        <v>845</v>
      </c>
      <c r="G231">
        <v>1300</v>
      </c>
      <c r="H231" t="s">
        <v>89</v>
      </c>
      <c r="I231">
        <v>8002</v>
      </c>
      <c r="J231" t="s">
        <v>57</v>
      </c>
      <c r="K231" t="s">
        <v>147</v>
      </c>
      <c r="L231">
        <v>727.3</v>
      </c>
      <c r="M231">
        <v>734.5</v>
      </c>
      <c r="N231">
        <v>1500</v>
      </c>
      <c r="O231" t="s">
        <v>91</v>
      </c>
      <c r="P231">
        <v>0.91369983574343006</v>
      </c>
      <c r="Q231">
        <v>0.92009581215039904</v>
      </c>
      <c r="R231">
        <v>5.14546469204651E-2</v>
      </c>
      <c r="S231">
        <v>0.27617609864929799</v>
      </c>
      <c r="T231">
        <v>-0.494662915538782</v>
      </c>
      <c r="U231">
        <v>0.494662915538782</v>
      </c>
      <c r="V231">
        <v>-1.1399999999999999</v>
      </c>
      <c r="W231">
        <v>0.3</v>
      </c>
      <c r="X231">
        <v>-60424</v>
      </c>
      <c r="Y231">
        <v>-4316</v>
      </c>
      <c r="Z231">
        <v>-0.23</v>
      </c>
      <c r="AA231">
        <v>14</v>
      </c>
      <c r="AB231">
        <v>6</v>
      </c>
      <c r="AC231">
        <v>8</v>
      </c>
      <c r="AD231">
        <v>42.86</v>
      </c>
      <c r="AE231">
        <v>13</v>
      </c>
      <c r="AF231">
        <v>3</v>
      </c>
      <c r="AG231">
        <v>5</v>
      </c>
      <c r="AH231">
        <v>6</v>
      </c>
    </row>
    <row r="232" spans="1:34">
      <c r="A232" s="214">
        <v>224</v>
      </c>
      <c r="B232">
        <v>4061</v>
      </c>
      <c r="C232" t="s">
        <v>184</v>
      </c>
      <c r="D232" t="s">
        <v>90</v>
      </c>
      <c r="E232">
        <v>2950</v>
      </c>
      <c r="F232">
        <v>3015</v>
      </c>
      <c r="G232">
        <v>300</v>
      </c>
      <c r="H232" t="s">
        <v>91</v>
      </c>
      <c r="I232">
        <v>4118</v>
      </c>
      <c r="J232" t="s">
        <v>93</v>
      </c>
      <c r="K232" t="s">
        <v>90</v>
      </c>
      <c r="L232">
        <v>3440</v>
      </c>
      <c r="M232">
        <v>3465</v>
      </c>
      <c r="N232">
        <v>300</v>
      </c>
      <c r="O232" t="s">
        <v>89</v>
      </c>
      <c r="P232">
        <v>0.91696404601636905</v>
      </c>
      <c r="Q232">
        <v>0.90859245584296799</v>
      </c>
      <c r="R232">
        <v>0.24292800047105101</v>
      </c>
      <c r="S232">
        <v>0.27243061302925398</v>
      </c>
      <c r="T232">
        <v>0.76264694040022896</v>
      </c>
      <c r="U232">
        <v>0.76264694040022896</v>
      </c>
      <c r="V232">
        <v>3.79</v>
      </c>
      <c r="W232">
        <v>12.99</v>
      </c>
      <c r="X232">
        <v>-64492</v>
      </c>
      <c r="Y232">
        <v>-12898</v>
      </c>
      <c r="Z232">
        <v>-0.65</v>
      </c>
      <c r="AA232">
        <v>5</v>
      </c>
      <c r="AB232">
        <v>2</v>
      </c>
      <c r="AC232">
        <v>3</v>
      </c>
      <c r="AD232">
        <v>40</v>
      </c>
      <c r="AE232">
        <v>12</v>
      </c>
      <c r="AF232">
        <v>1</v>
      </c>
      <c r="AG232">
        <v>1</v>
      </c>
      <c r="AH232">
        <v>3</v>
      </c>
    </row>
    <row r="233" spans="1:34">
      <c r="A233" s="214">
        <v>271</v>
      </c>
      <c r="B233">
        <v>3405</v>
      </c>
      <c r="C233" t="s">
        <v>190</v>
      </c>
      <c r="D233" t="s">
        <v>90</v>
      </c>
      <c r="E233">
        <v>1301</v>
      </c>
      <c r="F233">
        <v>1312</v>
      </c>
      <c r="G233">
        <v>700</v>
      </c>
      <c r="H233" t="s">
        <v>89</v>
      </c>
      <c r="I233">
        <v>4631</v>
      </c>
      <c r="J233" t="s">
        <v>221</v>
      </c>
      <c r="K233" t="s">
        <v>90</v>
      </c>
      <c r="L233">
        <v>3015</v>
      </c>
      <c r="M233">
        <v>3050</v>
      </c>
      <c r="N233">
        <v>300</v>
      </c>
      <c r="O233" t="s">
        <v>91</v>
      </c>
      <c r="P233">
        <v>0.94569605893256503</v>
      </c>
      <c r="Q233">
        <v>0.90262605749842495</v>
      </c>
      <c r="R233">
        <v>3.7300109737271103E-2</v>
      </c>
      <c r="S233">
        <v>0.28836783878380901</v>
      </c>
      <c r="T233">
        <v>-2.13714681149896</v>
      </c>
      <c r="U233">
        <v>2.13714681149896</v>
      </c>
      <c r="V233">
        <v>-3.63</v>
      </c>
      <c r="W233">
        <v>0.37</v>
      </c>
      <c r="X233">
        <v>-65496</v>
      </c>
      <c r="Y233">
        <v>-4366</v>
      </c>
      <c r="Z233">
        <v>-0.25</v>
      </c>
      <c r="AA233">
        <v>15</v>
      </c>
      <c r="AB233">
        <v>7</v>
      </c>
      <c r="AC233">
        <v>8</v>
      </c>
      <c r="AD233">
        <v>46.67</v>
      </c>
      <c r="AE233">
        <v>14</v>
      </c>
      <c r="AF233">
        <v>3</v>
      </c>
      <c r="AG233">
        <v>4</v>
      </c>
      <c r="AH233">
        <v>8</v>
      </c>
    </row>
    <row r="234" spans="1:34">
      <c r="A234" s="214">
        <v>183</v>
      </c>
      <c r="B234">
        <v>8309</v>
      </c>
      <c r="C234" t="s">
        <v>52</v>
      </c>
      <c r="D234" t="s">
        <v>121</v>
      </c>
      <c r="E234">
        <v>3719</v>
      </c>
      <c r="F234">
        <v>3741</v>
      </c>
      <c r="G234">
        <v>200</v>
      </c>
      <c r="H234" t="s">
        <v>89</v>
      </c>
      <c r="I234">
        <v>8359</v>
      </c>
      <c r="J234" t="s">
        <v>174</v>
      </c>
      <c r="K234" t="s">
        <v>121</v>
      </c>
      <c r="L234">
        <v>447</v>
      </c>
      <c r="M234">
        <v>451</v>
      </c>
      <c r="N234">
        <v>1700</v>
      </c>
      <c r="O234" t="s">
        <v>91</v>
      </c>
      <c r="P234">
        <v>0.91917068725205497</v>
      </c>
      <c r="Q234">
        <v>0.91600550422827998</v>
      </c>
      <c r="R234">
        <v>2.8240528484188999E-4</v>
      </c>
      <c r="S234">
        <v>0.16467409822033599</v>
      </c>
      <c r="T234">
        <v>-2.8808343645509802</v>
      </c>
      <c r="U234">
        <v>2.8808343645509802</v>
      </c>
      <c r="V234">
        <v>-7.61</v>
      </c>
      <c r="W234">
        <v>2.4700000000000002</v>
      </c>
      <c r="X234">
        <v>-70449</v>
      </c>
      <c r="Y234">
        <v>-3914</v>
      </c>
      <c r="Z234">
        <v>-0.15</v>
      </c>
      <c r="AA234">
        <v>18</v>
      </c>
      <c r="AB234">
        <v>7</v>
      </c>
      <c r="AC234">
        <v>11</v>
      </c>
      <c r="AD234">
        <v>38.89</v>
      </c>
      <c r="AE234">
        <v>15</v>
      </c>
      <c r="AF234">
        <v>5</v>
      </c>
      <c r="AG234">
        <v>4</v>
      </c>
      <c r="AH234">
        <v>9</v>
      </c>
    </row>
    <row r="235" spans="1:34">
      <c r="A235" s="214">
        <v>44</v>
      </c>
      <c r="B235">
        <v>1333</v>
      </c>
      <c r="C235" t="s">
        <v>238</v>
      </c>
      <c r="D235" t="s">
        <v>239</v>
      </c>
      <c r="E235">
        <v>2751</v>
      </c>
      <c r="F235">
        <v>2755</v>
      </c>
      <c r="G235">
        <v>300</v>
      </c>
      <c r="H235" t="s">
        <v>91</v>
      </c>
      <c r="I235">
        <v>5406</v>
      </c>
      <c r="J235" t="s">
        <v>159</v>
      </c>
      <c r="K235" t="s">
        <v>134</v>
      </c>
      <c r="L235">
        <v>565</v>
      </c>
      <c r="M235">
        <v>570</v>
      </c>
      <c r="N235">
        <v>1400</v>
      </c>
      <c r="O235" t="s">
        <v>89</v>
      </c>
      <c r="P235">
        <v>0.93976674711708597</v>
      </c>
      <c r="Q235">
        <v>0.94835725662968795</v>
      </c>
      <c r="R235">
        <v>0.303886052407979</v>
      </c>
      <c r="S235">
        <v>5.2606625991412402E-3</v>
      </c>
      <c r="T235">
        <v>0.44486449061539801</v>
      </c>
      <c r="U235">
        <v>0.44486449061539801</v>
      </c>
      <c r="V235">
        <v>1.79</v>
      </c>
      <c r="W235">
        <v>3.45</v>
      </c>
      <c r="X235">
        <v>-71417</v>
      </c>
      <c r="Y235">
        <v>-3759</v>
      </c>
      <c r="Z235">
        <v>-0.26</v>
      </c>
      <c r="AA235">
        <v>19</v>
      </c>
      <c r="AB235">
        <v>11</v>
      </c>
      <c r="AC235">
        <v>8</v>
      </c>
      <c r="AD235">
        <v>57.89</v>
      </c>
      <c r="AE235">
        <v>8</v>
      </c>
      <c r="AF235">
        <v>10</v>
      </c>
      <c r="AG235">
        <v>8</v>
      </c>
      <c r="AH235">
        <v>1</v>
      </c>
    </row>
    <row r="236" spans="1:34">
      <c r="A236" s="214">
        <v>23</v>
      </c>
      <c r="B236">
        <v>6471</v>
      </c>
      <c r="C236" t="s">
        <v>235</v>
      </c>
      <c r="D236" t="s">
        <v>144</v>
      </c>
      <c r="E236">
        <v>941</v>
      </c>
      <c r="F236">
        <v>950</v>
      </c>
      <c r="G236">
        <v>1100</v>
      </c>
      <c r="H236" t="s">
        <v>91</v>
      </c>
      <c r="I236">
        <v>6473</v>
      </c>
      <c r="J236" t="s">
        <v>216</v>
      </c>
      <c r="K236" t="s">
        <v>144</v>
      </c>
      <c r="L236">
        <v>1245</v>
      </c>
      <c r="M236">
        <v>1260</v>
      </c>
      <c r="N236">
        <v>800</v>
      </c>
      <c r="O236" t="s">
        <v>89</v>
      </c>
      <c r="P236">
        <v>0.95666543180655195</v>
      </c>
      <c r="Q236">
        <v>0.955074543716663</v>
      </c>
      <c r="R236">
        <v>0.33497126471359101</v>
      </c>
      <c r="S236">
        <v>3.2399211268381703E-2</v>
      </c>
      <c r="T236">
        <v>1.3075670590869599</v>
      </c>
      <c r="U236">
        <v>1.3075670590869599</v>
      </c>
      <c r="V236">
        <v>2.35</v>
      </c>
      <c r="W236">
        <v>3.67</v>
      </c>
      <c r="X236">
        <v>-71891</v>
      </c>
      <c r="Y236">
        <v>-4793</v>
      </c>
      <c r="Z236">
        <v>-0.24</v>
      </c>
      <c r="AA236">
        <v>15</v>
      </c>
      <c r="AB236">
        <v>9</v>
      </c>
      <c r="AC236">
        <v>6</v>
      </c>
      <c r="AD236">
        <v>60</v>
      </c>
      <c r="AE236">
        <v>15</v>
      </c>
      <c r="AF236">
        <v>1</v>
      </c>
      <c r="AG236">
        <v>3</v>
      </c>
      <c r="AH236">
        <v>11</v>
      </c>
    </row>
    <row r="237" spans="1:34">
      <c r="A237" s="214">
        <v>202</v>
      </c>
      <c r="B237">
        <v>2784</v>
      </c>
      <c r="C237" t="s">
        <v>261</v>
      </c>
      <c r="D237" t="s">
        <v>147</v>
      </c>
      <c r="E237">
        <v>2397</v>
      </c>
      <c r="F237">
        <v>2383</v>
      </c>
      <c r="G237">
        <v>400</v>
      </c>
      <c r="H237" t="s">
        <v>91</v>
      </c>
      <c r="I237">
        <v>6178</v>
      </c>
      <c r="J237" t="s">
        <v>179</v>
      </c>
      <c r="K237" t="s">
        <v>180</v>
      </c>
      <c r="L237">
        <v>981</v>
      </c>
      <c r="M237">
        <v>981</v>
      </c>
      <c r="N237">
        <v>1000</v>
      </c>
      <c r="O237" t="s">
        <v>89</v>
      </c>
      <c r="P237">
        <v>0.92784080517719003</v>
      </c>
      <c r="Q237">
        <v>0.91374070114947303</v>
      </c>
      <c r="R237">
        <v>1.34438721109289E-3</v>
      </c>
      <c r="S237">
        <v>0.17895895147089599</v>
      </c>
      <c r="T237">
        <v>0.23444019487725501</v>
      </c>
      <c r="U237">
        <v>0.23444019487725501</v>
      </c>
      <c r="V237">
        <v>0.92</v>
      </c>
      <c r="W237">
        <v>2.92</v>
      </c>
      <c r="X237">
        <v>-75218</v>
      </c>
      <c r="Y237">
        <v>-3959</v>
      </c>
      <c r="Z237">
        <v>-0.2</v>
      </c>
      <c r="AA237">
        <v>19</v>
      </c>
      <c r="AB237">
        <v>10</v>
      </c>
      <c r="AC237">
        <v>9</v>
      </c>
      <c r="AD237">
        <v>52.63</v>
      </c>
      <c r="AE237">
        <v>14</v>
      </c>
      <c r="AF237">
        <v>4</v>
      </c>
      <c r="AG237">
        <v>5</v>
      </c>
      <c r="AH237">
        <v>10</v>
      </c>
    </row>
    <row r="238" spans="1:34">
      <c r="A238" s="214">
        <v>223</v>
      </c>
      <c r="B238">
        <v>2768</v>
      </c>
      <c r="C238" t="s">
        <v>219</v>
      </c>
      <c r="D238" t="s">
        <v>147</v>
      </c>
      <c r="E238">
        <v>329</v>
      </c>
      <c r="F238">
        <v>330</v>
      </c>
      <c r="G238">
        <v>3300</v>
      </c>
      <c r="H238" t="s">
        <v>89</v>
      </c>
      <c r="I238">
        <v>7211</v>
      </c>
      <c r="J238" t="s">
        <v>56</v>
      </c>
      <c r="K238" t="s">
        <v>123</v>
      </c>
      <c r="L238">
        <v>468</v>
      </c>
      <c r="M238">
        <v>473</v>
      </c>
      <c r="N238">
        <v>2300</v>
      </c>
      <c r="O238" t="s">
        <v>91</v>
      </c>
      <c r="P238">
        <v>0.91326256673446304</v>
      </c>
      <c r="Q238">
        <v>0.90942600709497101</v>
      </c>
      <c r="R238">
        <v>9.6153820895851394E-2</v>
      </c>
      <c r="S238">
        <v>0.31496825110402799</v>
      </c>
      <c r="T238">
        <v>-0.52307652203574295</v>
      </c>
      <c r="U238">
        <v>0.52307652203574295</v>
      </c>
      <c r="V238">
        <v>-1.94</v>
      </c>
      <c r="W238">
        <v>0.1</v>
      </c>
      <c r="X238">
        <v>-77101</v>
      </c>
      <c r="Y238">
        <v>-3671</v>
      </c>
      <c r="Z238">
        <v>-0.18</v>
      </c>
      <c r="AA238">
        <v>21</v>
      </c>
      <c r="AB238">
        <v>9</v>
      </c>
      <c r="AC238">
        <v>12</v>
      </c>
      <c r="AD238">
        <v>42.86</v>
      </c>
      <c r="AE238">
        <v>13</v>
      </c>
      <c r="AF238">
        <v>4</v>
      </c>
      <c r="AG238">
        <v>5</v>
      </c>
      <c r="AH238">
        <v>12</v>
      </c>
    </row>
    <row r="239" spans="1:34">
      <c r="A239" s="214">
        <v>260</v>
      </c>
      <c r="B239">
        <v>6995</v>
      </c>
      <c r="C239" t="s">
        <v>132</v>
      </c>
      <c r="D239" t="s">
        <v>123</v>
      </c>
      <c r="E239">
        <v>1852</v>
      </c>
      <c r="F239">
        <v>1861</v>
      </c>
      <c r="G239">
        <v>500</v>
      </c>
      <c r="H239" t="s">
        <v>89</v>
      </c>
      <c r="I239">
        <v>7272</v>
      </c>
      <c r="J239" t="s">
        <v>259</v>
      </c>
      <c r="K239" t="s">
        <v>123</v>
      </c>
      <c r="L239">
        <v>1965</v>
      </c>
      <c r="M239">
        <v>1992</v>
      </c>
      <c r="N239">
        <v>500</v>
      </c>
      <c r="O239" t="s">
        <v>91</v>
      </c>
      <c r="P239">
        <v>0.94505319924591402</v>
      </c>
      <c r="Q239">
        <v>0.904648157308381</v>
      </c>
      <c r="R239">
        <v>0.338530143836411</v>
      </c>
      <c r="S239">
        <v>5.8380334747304502E-2</v>
      </c>
      <c r="T239">
        <v>-0.67432242484254501</v>
      </c>
      <c r="U239">
        <v>0.67432242484254501</v>
      </c>
      <c r="V239">
        <v>-1.32</v>
      </c>
      <c r="W239">
        <v>6.58</v>
      </c>
      <c r="X239">
        <v>-83773</v>
      </c>
      <c r="Y239">
        <v>-5585</v>
      </c>
      <c r="Z239">
        <v>-0.34</v>
      </c>
      <c r="AA239">
        <v>15</v>
      </c>
      <c r="AB239">
        <v>8</v>
      </c>
      <c r="AC239">
        <v>7</v>
      </c>
      <c r="AD239">
        <v>53.33</v>
      </c>
      <c r="AE239">
        <v>13</v>
      </c>
      <c r="AF239">
        <v>3</v>
      </c>
      <c r="AG239">
        <v>4</v>
      </c>
      <c r="AH239">
        <v>8</v>
      </c>
    </row>
    <row r="240" spans="1:34">
      <c r="A240" s="214">
        <v>17</v>
      </c>
      <c r="B240">
        <v>1942</v>
      </c>
      <c r="C240" t="s">
        <v>114</v>
      </c>
      <c r="D240" t="s">
        <v>115</v>
      </c>
      <c r="E240">
        <v>992</v>
      </c>
      <c r="F240">
        <v>1005</v>
      </c>
      <c r="G240">
        <v>1000</v>
      </c>
      <c r="H240" t="s">
        <v>91</v>
      </c>
      <c r="I240">
        <v>1959</v>
      </c>
      <c r="J240" t="s">
        <v>262</v>
      </c>
      <c r="K240" t="s">
        <v>115</v>
      </c>
      <c r="L240">
        <v>3495</v>
      </c>
      <c r="M240">
        <v>3500</v>
      </c>
      <c r="N240">
        <v>300</v>
      </c>
      <c r="O240" t="s">
        <v>89</v>
      </c>
      <c r="P240">
        <v>0.945437800866051</v>
      </c>
      <c r="Q240">
        <v>0.96103451739061596</v>
      </c>
      <c r="R240">
        <v>1.00567378358936E-2</v>
      </c>
      <c r="S240">
        <v>3.59643683479094E-4</v>
      </c>
      <c r="T240">
        <v>2.1023826409055402</v>
      </c>
      <c r="U240">
        <v>2.1023826409055402</v>
      </c>
      <c r="V240">
        <v>3.15</v>
      </c>
      <c r="W240">
        <v>4.29</v>
      </c>
      <c r="X240">
        <v>-84594</v>
      </c>
      <c r="Y240">
        <v>-7050</v>
      </c>
      <c r="Z240">
        <v>-0.32</v>
      </c>
      <c r="AA240">
        <v>12</v>
      </c>
      <c r="AB240">
        <v>4</v>
      </c>
      <c r="AC240">
        <v>8</v>
      </c>
      <c r="AD240">
        <v>33.33</v>
      </c>
      <c r="AE240">
        <v>15</v>
      </c>
      <c r="AF240">
        <v>3</v>
      </c>
      <c r="AG240">
        <v>4</v>
      </c>
      <c r="AH240">
        <v>5</v>
      </c>
    </row>
    <row r="241" spans="1:34">
      <c r="A241" s="214">
        <v>160</v>
      </c>
      <c r="B241">
        <v>5411</v>
      </c>
      <c r="C241" t="s">
        <v>133</v>
      </c>
      <c r="D241" t="s">
        <v>134</v>
      </c>
      <c r="E241">
        <v>1313.5</v>
      </c>
      <c r="F241">
        <v>1325</v>
      </c>
      <c r="G241">
        <v>800</v>
      </c>
      <c r="H241" t="s">
        <v>89</v>
      </c>
      <c r="I241">
        <v>8058</v>
      </c>
      <c r="J241" t="s">
        <v>252</v>
      </c>
      <c r="K241" t="s">
        <v>147</v>
      </c>
      <c r="L241">
        <v>2665</v>
      </c>
      <c r="M241">
        <v>2681</v>
      </c>
      <c r="N241">
        <v>400</v>
      </c>
      <c r="O241" t="s">
        <v>91</v>
      </c>
      <c r="P241">
        <v>0.95139803788551802</v>
      </c>
      <c r="Q241">
        <v>0.92062721725441399</v>
      </c>
      <c r="R241">
        <v>0.289220471857286</v>
      </c>
      <c r="S241">
        <v>0.22915461742808699</v>
      </c>
      <c r="T241">
        <v>-9.91975937481996E-2</v>
      </c>
      <c r="U241">
        <v>9.91975937481996E-2</v>
      </c>
      <c r="V241">
        <v>-0.51</v>
      </c>
      <c r="W241">
        <v>1.1599999999999999</v>
      </c>
      <c r="X241">
        <v>-84707</v>
      </c>
      <c r="Y241">
        <v>-4983</v>
      </c>
      <c r="Z241">
        <v>-0.28000000000000003</v>
      </c>
      <c r="AA241">
        <v>17</v>
      </c>
      <c r="AB241">
        <v>8</v>
      </c>
      <c r="AC241">
        <v>9</v>
      </c>
      <c r="AD241">
        <v>47.06</v>
      </c>
      <c r="AE241">
        <v>14</v>
      </c>
      <c r="AF241">
        <v>3</v>
      </c>
      <c r="AG241">
        <v>6</v>
      </c>
      <c r="AH241">
        <v>8</v>
      </c>
    </row>
    <row r="242" spans="1:34">
      <c r="A242" s="214">
        <v>237</v>
      </c>
      <c r="B242">
        <v>4061</v>
      </c>
      <c r="C242" t="s">
        <v>184</v>
      </c>
      <c r="D242" t="s">
        <v>90</v>
      </c>
      <c r="E242">
        <v>2950</v>
      </c>
      <c r="F242">
        <v>3015</v>
      </c>
      <c r="G242">
        <v>300</v>
      </c>
      <c r="H242" t="s">
        <v>91</v>
      </c>
      <c r="I242">
        <v>8377</v>
      </c>
      <c r="J242" t="s">
        <v>137</v>
      </c>
      <c r="K242" t="s">
        <v>121</v>
      </c>
      <c r="L242">
        <v>1032</v>
      </c>
      <c r="M242">
        <v>1036</v>
      </c>
      <c r="N242">
        <v>900</v>
      </c>
      <c r="O242" t="s">
        <v>89</v>
      </c>
      <c r="P242">
        <v>0.94745183921338305</v>
      </c>
      <c r="Q242">
        <v>0.90675943238641599</v>
      </c>
      <c r="R242">
        <v>2.25515364672597E-2</v>
      </c>
      <c r="S242">
        <v>3.9600248837918399E-2</v>
      </c>
      <c r="T242">
        <v>0.80968431962534004</v>
      </c>
      <c r="U242">
        <v>0.80968431962534004</v>
      </c>
      <c r="V242">
        <v>1.94</v>
      </c>
      <c r="W242">
        <v>3.08</v>
      </c>
      <c r="X242">
        <v>-85011</v>
      </c>
      <c r="Y242">
        <v>-4474</v>
      </c>
      <c r="Z242">
        <v>-0.17</v>
      </c>
      <c r="AA242">
        <v>19</v>
      </c>
      <c r="AB242">
        <v>10</v>
      </c>
      <c r="AC242">
        <v>9</v>
      </c>
      <c r="AD242">
        <v>52.63</v>
      </c>
      <c r="AE242">
        <v>11</v>
      </c>
      <c r="AF242">
        <v>8</v>
      </c>
      <c r="AG242">
        <v>7</v>
      </c>
      <c r="AH242">
        <v>4</v>
      </c>
    </row>
    <row r="243" spans="1:34">
      <c r="A243" s="214">
        <v>79</v>
      </c>
      <c r="B243">
        <v>8309</v>
      </c>
      <c r="C243" t="s">
        <v>52</v>
      </c>
      <c r="D243" t="s">
        <v>121</v>
      </c>
      <c r="E243">
        <v>3719</v>
      </c>
      <c r="F243">
        <v>3741</v>
      </c>
      <c r="G243">
        <v>200</v>
      </c>
      <c r="H243" t="s">
        <v>89</v>
      </c>
      <c r="I243">
        <v>8385</v>
      </c>
      <c r="J243" t="s">
        <v>175</v>
      </c>
      <c r="K243" t="s">
        <v>121</v>
      </c>
      <c r="L243">
        <v>555</v>
      </c>
      <c r="M243">
        <v>558</v>
      </c>
      <c r="N243">
        <v>1300</v>
      </c>
      <c r="O243" t="s">
        <v>91</v>
      </c>
      <c r="P243">
        <v>0.90496980330390797</v>
      </c>
      <c r="Q243">
        <v>0.93752006151620804</v>
      </c>
      <c r="R243" s="20">
        <v>6.6313290594152094E-5</v>
      </c>
      <c r="S243">
        <v>0.122263688924308</v>
      </c>
      <c r="T243">
        <v>-1.5498439494744101</v>
      </c>
      <c r="U243">
        <v>1.5498439494744101</v>
      </c>
      <c r="V243">
        <v>-3.83</v>
      </c>
      <c r="W243">
        <v>3.05</v>
      </c>
      <c r="X243">
        <v>-86749</v>
      </c>
      <c r="Y243">
        <v>-5103</v>
      </c>
      <c r="Z243">
        <v>-0.27</v>
      </c>
      <c r="AA243">
        <v>17</v>
      </c>
      <c r="AB243">
        <v>8</v>
      </c>
      <c r="AC243">
        <v>9</v>
      </c>
      <c r="AD243">
        <v>47.06</v>
      </c>
      <c r="AE243">
        <v>16</v>
      </c>
      <c r="AF243">
        <v>2</v>
      </c>
      <c r="AG243">
        <v>3</v>
      </c>
      <c r="AH243">
        <v>12</v>
      </c>
    </row>
    <row r="244" spans="1:34">
      <c r="A244" s="214">
        <v>26</v>
      </c>
      <c r="B244">
        <v>7976</v>
      </c>
      <c r="C244" t="s">
        <v>263</v>
      </c>
      <c r="D244" t="s">
        <v>129</v>
      </c>
      <c r="E244">
        <v>1740</v>
      </c>
      <c r="F244">
        <v>1734</v>
      </c>
      <c r="G244">
        <v>600</v>
      </c>
      <c r="H244" t="s">
        <v>91</v>
      </c>
      <c r="I244">
        <v>9603</v>
      </c>
      <c r="J244" t="s">
        <v>264</v>
      </c>
      <c r="K244" t="s">
        <v>180</v>
      </c>
      <c r="L244">
        <v>2719</v>
      </c>
      <c r="M244">
        <v>2719</v>
      </c>
      <c r="N244">
        <v>400</v>
      </c>
      <c r="O244" t="s">
        <v>89</v>
      </c>
      <c r="P244">
        <v>0.91597463453411698</v>
      </c>
      <c r="Q244">
        <v>0.95405936413772197</v>
      </c>
      <c r="R244">
        <v>8.3484941339119002E-4</v>
      </c>
      <c r="S244">
        <v>4.0086603332774098E-2</v>
      </c>
      <c r="T244">
        <v>0.13958723355362701</v>
      </c>
      <c r="U244">
        <v>0.13958723355362701</v>
      </c>
      <c r="V244">
        <v>0.27</v>
      </c>
      <c r="W244">
        <v>4.34</v>
      </c>
      <c r="X244">
        <v>-88313</v>
      </c>
      <c r="Y244">
        <v>-6793</v>
      </c>
      <c r="Z244">
        <v>-0.37</v>
      </c>
      <c r="AA244">
        <v>13</v>
      </c>
      <c r="AB244">
        <v>7</v>
      </c>
      <c r="AC244">
        <v>6</v>
      </c>
      <c r="AD244">
        <v>53.85</v>
      </c>
      <c r="AE244">
        <v>13</v>
      </c>
      <c r="AF244">
        <v>4</v>
      </c>
      <c r="AG244">
        <v>5</v>
      </c>
      <c r="AH244">
        <v>4</v>
      </c>
    </row>
    <row r="245" spans="1:34">
      <c r="A245" s="214">
        <v>46</v>
      </c>
      <c r="B245">
        <v>3099</v>
      </c>
      <c r="C245" t="s">
        <v>92</v>
      </c>
      <c r="D245" t="s">
        <v>138</v>
      </c>
      <c r="E245">
        <v>879</v>
      </c>
      <c r="F245">
        <v>861</v>
      </c>
      <c r="G245">
        <v>1200</v>
      </c>
      <c r="H245" t="s">
        <v>89</v>
      </c>
      <c r="I245">
        <v>9505</v>
      </c>
      <c r="J245" t="s">
        <v>194</v>
      </c>
      <c r="K245" t="s">
        <v>195</v>
      </c>
      <c r="L245">
        <v>727</v>
      </c>
      <c r="M245">
        <v>731</v>
      </c>
      <c r="N245">
        <v>1400</v>
      </c>
      <c r="O245" t="s">
        <v>91</v>
      </c>
      <c r="P245">
        <v>0.92554560694239396</v>
      </c>
      <c r="Q245">
        <v>0.94784939972523896</v>
      </c>
      <c r="R245">
        <v>1.54088529479505E-2</v>
      </c>
      <c r="S245">
        <v>0.14988582712996501</v>
      </c>
      <c r="T245">
        <v>-2.2270658375571101E-2</v>
      </c>
      <c r="U245">
        <v>2.2270658375571101E-2</v>
      </c>
      <c r="V245">
        <v>-0.06</v>
      </c>
      <c r="W245">
        <v>0.95</v>
      </c>
      <c r="X245">
        <v>-90972</v>
      </c>
      <c r="Y245">
        <v>-4135</v>
      </c>
      <c r="Z245">
        <v>-0.21</v>
      </c>
      <c r="AA245">
        <v>22</v>
      </c>
      <c r="AB245">
        <v>11</v>
      </c>
      <c r="AC245">
        <v>11</v>
      </c>
      <c r="AD245">
        <v>50</v>
      </c>
      <c r="AE245">
        <v>11</v>
      </c>
      <c r="AF245">
        <v>9</v>
      </c>
      <c r="AG245">
        <v>9</v>
      </c>
      <c r="AH245">
        <v>4</v>
      </c>
    </row>
    <row r="246" spans="1:34">
      <c r="A246" s="214">
        <v>22</v>
      </c>
      <c r="B246">
        <v>7189</v>
      </c>
      <c r="C246" t="s">
        <v>120</v>
      </c>
      <c r="D246" t="s">
        <v>121</v>
      </c>
      <c r="E246">
        <v>751</v>
      </c>
      <c r="F246">
        <v>762</v>
      </c>
      <c r="G246">
        <v>1400</v>
      </c>
      <c r="H246" t="s">
        <v>91</v>
      </c>
      <c r="I246">
        <v>8377</v>
      </c>
      <c r="J246" t="s">
        <v>137</v>
      </c>
      <c r="K246" t="s">
        <v>121</v>
      </c>
      <c r="L246">
        <v>1032</v>
      </c>
      <c r="M246">
        <v>1036</v>
      </c>
      <c r="N246">
        <v>1000</v>
      </c>
      <c r="O246" t="s">
        <v>89</v>
      </c>
      <c r="P246">
        <v>0.94485905288226701</v>
      </c>
      <c r="Q246">
        <v>0.95616566638171596</v>
      </c>
      <c r="R246">
        <v>0.21901668302605901</v>
      </c>
      <c r="S246">
        <v>0.17214517286919201</v>
      </c>
      <c r="T246">
        <v>2.6860634860825598</v>
      </c>
      <c r="U246">
        <v>2.6860634860825598</v>
      </c>
      <c r="V246">
        <v>5.53</v>
      </c>
      <c r="W246">
        <v>2.97</v>
      </c>
      <c r="X246">
        <v>-97687</v>
      </c>
      <c r="Y246">
        <v>-6105</v>
      </c>
      <c r="Z246">
        <v>-0.27</v>
      </c>
      <c r="AA246">
        <v>16</v>
      </c>
      <c r="AB246">
        <v>8</v>
      </c>
      <c r="AC246">
        <v>8</v>
      </c>
      <c r="AD246">
        <v>50</v>
      </c>
      <c r="AE246">
        <v>14</v>
      </c>
      <c r="AF246">
        <v>2</v>
      </c>
      <c r="AG246">
        <v>4</v>
      </c>
      <c r="AH246">
        <v>10</v>
      </c>
    </row>
    <row r="247" spans="1:34">
      <c r="A247" s="214">
        <v>98</v>
      </c>
      <c r="B247">
        <v>3405</v>
      </c>
      <c r="C247" t="s">
        <v>190</v>
      </c>
      <c r="D247" t="s">
        <v>90</v>
      </c>
      <c r="E247">
        <v>1301</v>
      </c>
      <c r="F247">
        <v>1312</v>
      </c>
      <c r="G247">
        <v>800</v>
      </c>
      <c r="H247" t="s">
        <v>89</v>
      </c>
      <c r="I247">
        <v>4005</v>
      </c>
      <c r="J247" t="s">
        <v>172</v>
      </c>
      <c r="K247" t="s">
        <v>90</v>
      </c>
      <c r="L247">
        <v>498</v>
      </c>
      <c r="M247">
        <v>504</v>
      </c>
      <c r="N247">
        <v>2100</v>
      </c>
      <c r="O247" t="s">
        <v>91</v>
      </c>
      <c r="P247">
        <v>0.93136802801603502</v>
      </c>
      <c r="Q247">
        <v>0.93382528544259602</v>
      </c>
      <c r="R247">
        <v>6.0023470964403899E-2</v>
      </c>
      <c r="S247">
        <v>3.8193055716668201E-2</v>
      </c>
      <c r="T247">
        <v>-0.47326057997985499</v>
      </c>
      <c r="U247">
        <v>0.47326057997985499</v>
      </c>
      <c r="V247">
        <v>-0.9</v>
      </c>
      <c r="W247">
        <v>0.84</v>
      </c>
      <c r="X247">
        <v>-100439</v>
      </c>
      <c r="Y247">
        <v>-6277</v>
      </c>
      <c r="Z247">
        <v>-0.34</v>
      </c>
      <c r="AA247">
        <v>16</v>
      </c>
      <c r="AB247">
        <v>7</v>
      </c>
      <c r="AC247">
        <v>9</v>
      </c>
      <c r="AD247">
        <v>43.75</v>
      </c>
      <c r="AE247">
        <v>15</v>
      </c>
      <c r="AF247">
        <v>3</v>
      </c>
      <c r="AG247">
        <v>4</v>
      </c>
      <c r="AH247">
        <v>9</v>
      </c>
    </row>
    <row r="248" spans="1:34">
      <c r="A248" s="214">
        <v>87</v>
      </c>
      <c r="B248">
        <v>4208</v>
      </c>
      <c r="C248" t="s">
        <v>141</v>
      </c>
      <c r="D248" t="s">
        <v>90</v>
      </c>
      <c r="E248">
        <v>2220</v>
      </c>
      <c r="F248">
        <v>2233</v>
      </c>
      <c r="G248">
        <v>400</v>
      </c>
      <c r="H248" t="s">
        <v>89</v>
      </c>
      <c r="I248">
        <v>5803</v>
      </c>
      <c r="J248" t="s">
        <v>54</v>
      </c>
      <c r="K248" t="s">
        <v>211</v>
      </c>
      <c r="L248">
        <v>430</v>
      </c>
      <c r="M248">
        <v>436</v>
      </c>
      <c r="N248">
        <v>2000</v>
      </c>
      <c r="O248" t="s">
        <v>91</v>
      </c>
      <c r="P248">
        <v>0.93696159820497404</v>
      </c>
      <c r="Q248">
        <v>0.93541568625586302</v>
      </c>
      <c r="R248">
        <v>0.31451368418447001</v>
      </c>
      <c r="S248">
        <v>1.7028744402075999E-2</v>
      </c>
      <c r="T248">
        <v>-1.61831463992904</v>
      </c>
      <c r="U248">
        <v>1.61831463992904</v>
      </c>
      <c r="V248">
        <v>-9.52</v>
      </c>
      <c r="W248">
        <v>2.37</v>
      </c>
      <c r="X248">
        <v>-101142</v>
      </c>
      <c r="Y248">
        <v>-6321</v>
      </c>
      <c r="Z248">
        <v>-0.35</v>
      </c>
      <c r="AA248">
        <v>16</v>
      </c>
      <c r="AB248">
        <v>9</v>
      </c>
      <c r="AC248">
        <v>7</v>
      </c>
      <c r="AD248">
        <v>56.25</v>
      </c>
      <c r="AE248">
        <v>13</v>
      </c>
      <c r="AF248">
        <v>6</v>
      </c>
      <c r="AG248">
        <v>3</v>
      </c>
      <c r="AH248">
        <v>7</v>
      </c>
    </row>
    <row r="249" spans="1:34">
      <c r="A249" s="214">
        <v>197</v>
      </c>
      <c r="B249">
        <v>6371</v>
      </c>
      <c r="C249" t="s">
        <v>156</v>
      </c>
      <c r="D249" t="s">
        <v>144</v>
      </c>
      <c r="E249">
        <v>3445</v>
      </c>
      <c r="F249">
        <v>3460</v>
      </c>
      <c r="G249">
        <v>300</v>
      </c>
      <c r="H249" t="s">
        <v>89</v>
      </c>
      <c r="I249">
        <v>6471</v>
      </c>
      <c r="J249" t="s">
        <v>235</v>
      </c>
      <c r="K249" t="s">
        <v>144</v>
      </c>
      <c r="L249">
        <v>941</v>
      </c>
      <c r="M249">
        <v>950</v>
      </c>
      <c r="N249">
        <v>1100</v>
      </c>
      <c r="O249" t="s">
        <v>91</v>
      </c>
      <c r="P249">
        <v>0.90511049069366101</v>
      </c>
      <c r="Q249">
        <v>0.91433294151563305</v>
      </c>
      <c r="R249">
        <v>0.134474362020847</v>
      </c>
      <c r="S249">
        <v>0.213609782431124</v>
      </c>
      <c r="T249">
        <v>-0.88710638042730505</v>
      </c>
      <c r="U249">
        <v>0.88710638042730505</v>
      </c>
      <c r="V249">
        <v>-2.4300000000000002</v>
      </c>
      <c r="W249">
        <v>0.67</v>
      </c>
      <c r="X249">
        <v>-104860</v>
      </c>
      <c r="Y249">
        <v>-4369</v>
      </c>
      <c r="Z249">
        <v>-0.26</v>
      </c>
      <c r="AA249">
        <v>24</v>
      </c>
      <c r="AB249">
        <v>11</v>
      </c>
      <c r="AC249">
        <v>13</v>
      </c>
      <c r="AD249">
        <v>45.83</v>
      </c>
      <c r="AE249">
        <v>14</v>
      </c>
      <c r="AF249">
        <v>8</v>
      </c>
      <c r="AG249">
        <v>6</v>
      </c>
      <c r="AH249">
        <v>10</v>
      </c>
    </row>
    <row r="250" spans="1:34">
      <c r="A250" s="214">
        <v>211</v>
      </c>
      <c r="B250">
        <v>5233</v>
      </c>
      <c r="C250" t="s">
        <v>265</v>
      </c>
      <c r="D250" t="s">
        <v>154</v>
      </c>
      <c r="E250">
        <v>2846</v>
      </c>
      <c r="F250">
        <v>2841</v>
      </c>
      <c r="G250">
        <v>300</v>
      </c>
      <c r="H250" t="s">
        <v>89</v>
      </c>
      <c r="I250">
        <v>7261</v>
      </c>
      <c r="J250" t="s">
        <v>245</v>
      </c>
      <c r="K250" t="s">
        <v>123</v>
      </c>
      <c r="L250">
        <v>953</v>
      </c>
      <c r="M250">
        <v>966.1</v>
      </c>
      <c r="N250">
        <v>900</v>
      </c>
      <c r="O250" t="s">
        <v>91</v>
      </c>
      <c r="P250">
        <v>0.95914761367262402</v>
      </c>
      <c r="Q250">
        <v>0.91253050297856098</v>
      </c>
      <c r="R250">
        <v>2.2782301222656698E-3</v>
      </c>
      <c r="S250">
        <v>0.22204839815423</v>
      </c>
      <c r="T250">
        <v>-6.9625924085285298E-2</v>
      </c>
      <c r="U250">
        <v>6.9625924085285298E-2</v>
      </c>
      <c r="V250">
        <v>-0.18</v>
      </c>
      <c r="W250">
        <v>2.02</v>
      </c>
      <c r="X250">
        <v>-105010</v>
      </c>
      <c r="Y250">
        <v>-4773</v>
      </c>
      <c r="Z250">
        <v>-0.17</v>
      </c>
      <c r="AA250">
        <v>22</v>
      </c>
      <c r="AB250">
        <v>12</v>
      </c>
      <c r="AC250">
        <v>10</v>
      </c>
      <c r="AD250">
        <v>54.55</v>
      </c>
      <c r="AE250">
        <v>12</v>
      </c>
      <c r="AF250">
        <v>8</v>
      </c>
      <c r="AG250">
        <v>7</v>
      </c>
      <c r="AH250">
        <v>7</v>
      </c>
    </row>
    <row r="251" spans="1:34">
      <c r="A251" s="214">
        <v>104</v>
      </c>
      <c r="B251">
        <v>1333</v>
      </c>
      <c r="C251" t="s">
        <v>238</v>
      </c>
      <c r="D251" t="s">
        <v>239</v>
      </c>
      <c r="E251">
        <v>2751</v>
      </c>
      <c r="F251">
        <v>2755</v>
      </c>
      <c r="G251">
        <v>300</v>
      </c>
      <c r="H251" t="s">
        <v>89</v>
      </c>
      <c r="I251">
        <v>5411</v>
      </c>
      <c r="J251" t="s">
        <v>133</v>
      </c>
      <c r="K251" t="s">
        <v>134</v>
      </c>
      <c r="L251">
        <v>1313.5</v>
      </c>
      <c r="M251">
        <v>1325</v>
      </c>
      <c r="N251">
        <v>600</v>
      </c>
      <c r="O251" t="s">
        <v>91</v>
      </c>
      <c r="P251">
        <v>0.90330973506273005</v>
      </c>
      <c r="Q251">
        <v>0.93281810733763504</v>
      </c>
      <c r="R251">
        <v>0.19853778439285999</v>
      </c>
      <c r="S251">
        <v>2.3092021638297201E-2</v>
      </c>
      <c r="T251">
        <v>-0.62199543380036804</v>
      </c>
      <c r="U251">
        <v>0.62199543380036804</v>
      </c>
      <c r="V251">
        <v>-2.29</v>
      </c>
      <c r="W251">
        <v>3.81</v>
      </c>
      <c r="X251">
        <v>-106750</v>
      </c>
      <c r="Y251">
        <v>-6279</v>
      </c>
      <c r="Z251">
        <v>-0.35</v>
      </c>
      <c r="AA251">
        <v>17</v>
      </c>
      <c r="AB251">
        <v>7</v>
      </c>
      <c r="AC251">
        <v>10</v>
      </c>
      <c r="AD251">
        <v>41.18</v>
      </c>
      <c r="AE251">
        <v>10</v>
      </c>
      <c r="AF251">
        <v>5</v>
      </c>
      <c r="AG251">
        <v>9</v>
      </c>
      <c r="AH251">
        <v>3</v>
      </c>
    </row>
    <row r="252" spans="1:34">
      <c r="A252" s="214">
        <v>157</v>
      </c>
      <c r="B252">
        <v>5803</v>
      </c>
      <c r="C252" t="s">
        <v>54</v>
      </c>
      <c r="D252" t="s">
        <v>211</v>
      </c>
      <c r="E252">
        <v>430</v>
      </c>
      <c r="F252">
        <v>436</v>
      </c>
      <c r="G252">
        <v>2500</v>
      </c>
      <c r="H252" t="s">
        <v>91</v>
      </c>
      <c r="I252">
        <v>5991</v>
      </c>
      <c r="J252" t="s">
        <v>167</v>
      </c>
      <c r="K252" t="s">
        <v>168</v>
      </c>
      <c r="L252">
        <v>822</v>
      </c>
      <c r="M252">
        <v>825</v>
      </c>
      <c r="N252">
        <v>1300</v>
      </c>
      <c r="O252" t="s">
        <v>89</v>
      </c>
      <c r="P252">
        <v>0.90614403186909398</v>
      </c>
      <c r="Q252">
        <v>0.92165534382699998</v>
      </c>
      <c r="R252">
        <v>0.137342330946888</v>
      </c>
      <c r="S252">
        <v>3.1007852678298999E-2</v>
      </c>
      <c r="T252">
        <v>2.44961516881901</v>
      </c>
      <c r="U252">
        <v>2.44961516881901</v>
      </c>
      <c r="V252">
        <v>9.84</v>
      </c>
      <c r="W252">
        <v>1.63</v>
      </c>
      <c r="X252">
        <v>-109942</v>
      </c>
      <c r="Y252">
        <v>-6467</v>
      </c>
      <c r="Z252">
        <v>-0.31</v>
      </c>
      <c r="AA252">
        <v>17</v>
      </c>
      <c r="AB252">
        <v>8</v>
      </c>
      <c r="AC252">
        <v>9</v>
      </c>
      <c r="AD252">
        <v>47.06</v>
      </c>
      <c r="AE252">
        <v>13</v>
      </c>
      <c r="AF252">
        <v>4</v>
      </c>
      <c r="AG252">
        <v>5</v>
      </c>
      <c r="AH252">
        <v>8</v>
      </c>
    </row>
    <row r="253" spans="1:34">
      <c r="A253" s="214">
        <v>156</v>
      </c>
      <c r="B253">
        <v>8304</v>
      </c>
      <c r="C253" t="s">
        <v>266</v>
      </c>
      <c r="D253" t="s">
        <v>121</v>
      </c>
      <c r="E253">
        <v>2594</v>
      </c>
      <c r="F253">
        <v>2610</v>
      </c>
      <c r="G253">
        <v>400</v>
      </c>
      <c r="H253" t="s">
        <v>89</v>
      </c>
      <c r="I253">
        <v>8411</v>
      </c>
      <c r="J253" t="s">
        <v>182</v>
      </c>
      <c r="K253" t="s">
        <v>121</v>
      </c>
      <c r="L253">
        <v>162</v>
      </c>
      <c r="M253">
        <v>162.1</v>
      </c>
      <c r="N253">
        <v>6400</v>
      </c>
      <c r="O253" t="s">
        <v>91</v>
      </c>
      <c r="P253">
        <v>0.91854841320584601</v>
      </c>
      <c r="Q253">
        <v>0.92189899569982603</v>
      </c>
      <c r="R253">
        <v>0.10842849599925999</v>
      </c>
      <c r="S253">
        <v>4.6866194224771701E-2</v>
      </c>
      <c r="T253">
        <v>-0.385831471260565</v>
      </c>
      <c r="U253">
        <v>0.385831471260565</v>
      </c>
      <c r="V253">
        <v>-0.73</v>
      </c>
      <c r="W253">
        <v>0.63</v>
      </c>
      <c r="X253">
        <v>-111266</v>
      </c>
      <c r="Y253">
        <v>-5856</v>
      </c>
      <c r="Z253">
        <v>-0.34</v>
      </c>
      <c r="AA253">
        <v>19</v>
      </c>
      <c r="AB253">
        <v>6</v>
      </c>
      <c r="AC253">
        <v>13</v>
      </c>
      <c r="AD253">
        <v>31.58</v>
      </c>
      <c r="AE253">
        <v>18</v>
      </c>
      <c r="AF253">
        <v>2</v>
      </c>
      <c r="AG253">
        <v>2</v>
      </c>
      <c r="AH253">
        <v>15</v>
      </c>
    </row>
    <row r="254" spans="1:34">
      <c r="A254" s="214">
        <v>127</v>
      </c>
      <c r="B254">
        <v>3291</v>
      </c>
      <c r="C254" t="s">
        <v>165</v>
      </c>
      <c r="D254" t="s">
        <v>166</v>
      </c>
      <c r="E254">
        <v>1710</v>
      </c>
      <c r="F254">
        <v>1726</v>
      </c>
      <c r="G254">
        <v>600</v>
      </c>
      <c r="H254" t="s">
        <v>91</v>
      </c>
      <c r="I254">
        <v>7182</v>
      </c>
      <c r="J254" t="s">
        <v>218</v>
      </c>
      <c r="K254" t="s">
        <v>121</v>
      </c>
      <c r="L254">
        <v>1032</v>
      </c>
      <c r="M254">
        <v>1036</v>
      </c>
      <c r="N254">
        <v>1000</v>
      </c>
      <c r="O254" t="s">
        <v>89</v>
      </c>
      <c r="P254">
        <v>0.91660229671398397</v>
      </c>
      <c r="Q254">
        <v>0.92692844003757102</v>
      </c>
      <c r="R254">
        <v>0.23320180177410699</v>
      </c>
      <c r="S254">
        <v>9.99440397398903E-2</v>
      </c>
      <c r="T254">
        <v>0.20995012942536301</v>
      </c>
      <c r="U254">
        <v>0.20995012942536301</v>
      </c>
      <c r="V254">
        <v>0.46</v>
      </c>
      <c r="W254">
        <v>0.04</v>
      </c>
      <c r="X254">
        <v>-113928</v>
      </c>
      <c r="Y254">
        <v>-6702</v>
      </c>
      <c r="Z254">
        <v>-0.32</v>
      </c>
      <c r="AA254">
        <v>17</v>
      </c>
      <c r="AB254">
        <v>9</v>
      </c>
      <c r="AC254">
        <v>8</v>
      </c>
      <c r="AD254">
        <v>52.94</v>
      </c>
      <c r="AE254">
        <v>15</v>
      </c>
      <c r="AF254">
        <v>2</v>
      </c>
      <c r="AG254">
        <v>3</v>
      </c>
      <c r="AH254">
        <v>12</v>
      </c>
    </row>
    <row r="255" spans="1:34">
      <c r="A255" s="214">
        <v>240</v>
      </c>
      <c r="B255">
        <v>5214</v>
      </c>
      <c r="C255" t="s">
        <v>207</v>
      </c>
      <c r="D255" t="s">
        <v>154</v>
      </c>
      <c r="E255">
        <v>2380</v>
      </c>
      <c r="F255">
        <v>2403</v>
      </c>
      <c r="G255">
        <v>400</v>
      </c>
      <c r="H255" t="s">
        <v>91</v>
      </c>
      <c r="I255">
        <v>7751</v>
      </c>
      <c r="J255" t="s">
        <v>230</v>
      </c>
      <c r="K255" t="s">
        <v>126</v>
      </c>
      <c r="L255">
        <v>2853</v>
      </c>
      <c r="M255">
        <v>2864.5</v>
      </c>
      <c r="N255">
        <v>300</v>
      </c>
      <c r="O255" t="s">
        <v>89</v>
      </c>
      <c r="P255">
        <v>0.93886499287249903</v>
      </c>
      <c r="Q255">
        <v>0.90635353773499905</v>
      </c>
      <c r="R255">
        <v>2.56432353565967E-2</v>
      </c>
      <c r="S255">
        <v>7.1596460508749293E-2</v>
      </c>
      <c r="T255">
        <v>0.15970481933753999</v>
      </c>
      <c r="U255">
        <v>0.15970481933753999</v>
      </c>
      <c r="V255">
        <v>0.64</v>
      </c>
      <c r="W255">
        <v>11.85</v>
      </c>
      <c r="X255">
        <v>-117750</v>
      </c>
      <c r="Y255">
        <v>-10705</v>
      </c>
      <c r="Z255">
        <v>-0.57999999999999996</v>
      </c>
      <c r="AA255">
        <v>11</v>
      </c>
      <c r="AB255">
        <v>5</v>
      </c>
      <c r="AC255">
        <v>6</v>
      </c>
      <c r="AD255">
        <v>45.45</v>
      </c>
      <c r="AE255">
        <v>13</v>
      </c>
      <c r="AF255">
        <v>2</v>
      </c>
      <c r="AG255">
        <v>3</v>
      </c>
      <c r="AH255">
        <v>6</v>
      </c>
    </row>
    <row r="256" spans="1:34">
      <c r="A256" s="214">
        <v>274</v>
      </c>
      <c r="B256">
        <v>3116</v>
      </c>
      <c r="C256" t="s">
        <v>196</v>
      </c>
      <c r="D256" t="s">
        <v>123</v>
      </c>
      <c r="E256">
        <v>1477</v>
      </c>
      <c r="F256">
        <v>1493</v>
      </c>
      <c r="G256">
        <v>700</v>
      </c>
      <c r="H256" t="s">
        <v>91</v>
      </c>
      <c r="I256">
        <v>8306</v>
      </c>
      <c r="J256" t="s">
        <v>267</v>
      </c>
      <c r="K256" t="s">
        <v>121</v>
      </c>
      <c r="L256">
        <v>537</v>
      </c>
      <c r="M256">
        <v>535.29999999999995</v>
      </c>
      <c r="N256">
        <v>2000</v>
      </c>
      <c r="O256" t="s">
        <v>89</v>
      </c>
      <c r="P256">
        <v>0.94569529322564605</v>
      </c>
      <c r="Q256">
        <v>0.90232631870145497</v>
      </c>
      <c r="R256">
        <v>1.8955073106579601E-4</v>
      </c>
      <c r="S256">
        <v>0.34250108234222598</v>
      </c>
      <c r="T256">
        <v>0.95586488734224595</v>
      </c>
      <c r="U256">
        <v>0.95586488734224595</v>
      </c>
      <c r="V256">
        <v>1.25</v>
      </c>
      <c r="W256">
        <v>2.44</v>
      </c>
      <c r="X256">
        <v>-118133</v>
      </c>
      <c r="Y256">
        <v>-9087</v>
      </c>
      <c r="Z256">
        <v>-0.37</v>
      </c>
      <c r="AA256">
        <v>13</v>
      </c>
      <c r="AB256">
        <v>7</v>
      </c>
      <c r="AC256">
        <v>6</v>
      </c>
      <c r="AD256">
        <v>53.85</v>
      </c>
      <c r="AE256">
        <v>16</v>
      </c>
      <c r="AF256">
        <v>2</v>
      </c>
      <c r="AG256">
        <v>2</v>
      </c>
      <c r="AH256">
        <v>9</v>
      </c>
    </row>
    <row r="257" spans="1:34">
      <c r="A257" s="214">
        <v>134</v>
      </c>
      <c r="B257">
        <v>5406</v>
      </c>
      <c r="C257" t="s">
        <v>159</v>
      </c>
      <c r="D257" t="s">
        <v>134</v>
      </c>
      <c r="E257">
        <v>565</v>
      </c>
      <c r="F257">
        <v>570</v>
      </c>
      <c r="G257">
        <v>1900</v>
      </c>
      <c r="H257" t="s">
        <v>89</v>
      </c>
      <c r="I257">
        <v>8058</v>
      </c>
      <c r="J257" t="s">
        <v>252</v>
      </c>
      <c r="K257" t="s">
        <v>147</v>
      </c>
      <c r="L257">
        <v>2665</v>
      </c>
      <c r="M257">
        <v>2681</v>
      </c>
      <c r="N257">
        <v>400</v>
      </c>
      <c r="O257" t="s">
        <v>91</v>
      </c>
      <c r="P257">
        <v>0.94040927284587905</v>
      </c>
      <c r="Q257">
        <v>0.92554873011015304</v>
      </c>
      <c r="R257">
        <v>0.17806100888680099</v>
      </c>
      <c r="S257">
        <v>0.23983856178221799</v>
      </c>
      <c r="T257">
        <v>-0.72946912182495105</v>
      </c>
      <c r="U257">
        <v>0.72946912182495105</v>
      </c>
      <c r="V257">
        <v>-4.78</v>
      </c>
      <c r="W257">
        <v>0.99</v>
      </c>
      <c r="X257">
        <v>-122859</v>
      </c>
      <c r="Y257">
        <v>-6143</v>
      </c>
      <c r="Z257">
        <v>-0.28999999999999998</v>
      </c>
      <c r="AA257">
        <v>20</v>
      </c>
      <c r="AB257">
        <v>9</v>
      </c>
      <c r="AC257">
        <v>11</v>
      </c>
      <c r="AD257">
        <v>45</v>
      </c>
      <c r="AE257">
        <v>11</v>
      </c>
      <c r="AF257">
        <v>8</v>
      </c>
      <c r="AG257">
        <v>6</v>
      </c>
      <c r="AH257">
        <v>6</v>
      </c>
    </row>
    <row r="258" spans="1:34">
      <c r="A258" s="214">
        <v>218</v>
      </c>
      <c r="B258">
        <v>7211</v>
      </c>
      <c r="C258" t="s">
        <v>56</v>
      </c>
      <c r="D258" t="s">
        <v>123</v>
      </c>
      <c r="E258">
        <v>468</v>
      </c>
      <c r="F258">
        <v>473</v>
      </c>
      <c r="G258">
        <v>1800</v>
      </c>
      <c r="H258" t="s">
        <v>89</v>
      </c>
      <c r="I258">
        <v>7267</v>
      </c>
      <c r="J258" t="s">
        <v>173</v>
      </c>
      <c r="K258" t="s">
        <v>123</v>
      </c>
      <c r="L258">
        <v>2800</v>
      </c>
      <c r="M258">
        <v>2828.5</v>
      </c>
      <c r="N258">
        <v>300</v>
      </c>
      <c r="O258" t="s">
        <v>91</v>
      </c>
      <c r="P258">
        <v>0.95397092793888905</v>
      </c>
      <c r="Q258">
        <v>0.91052561673010901</v>
      </c>
      <c r="R258">
        <v>0.12715210866849799</v>
      </c>
      <c r="S258">
        <v>0.301415162190321</v>
      </c>
      <c r="T258">
        <v>-1.4889626593630501</v>
      </c>
      <c r="U258">
        <v>1.4889626593630501</v>
      </c>
      <c r="V258">
        <v>-4.63</v>
      </c>
      <c r="W258">
        <v>0.34</v>
      </c>
      <c r="X258">
        <v>-128767</v>
      </c>
      <c r="Y258">
        <v>-7154</v>
      </c>
      <c r="Z258">
        <v>-0.45</v>
      </c>
      <c r="AA258">
        <v>18</v>
      </c>
      <c r="AB258">
        <v>9</v>
      </c>
      <c r="AC258">
        <v>9</v>
      </c>
      <c r="AD258">
        <v>50</v>
      </c>
      <c r="AE258">
        <v>15</v>
      </c>
      <c r="AF258">
        <v>3</v>
      </c>
      <c r="AG258">
        <v>3</v>
      </c>
      <c r="AH258">
        <v>12</v>
      </c>
    </row>
    <row r="259" spans="1:34">
      <c r="A259" s="214">
        <v>269</v>
      </c>
      <c r="B259">
        <v>1963</v>
      </c>
      <c r="C259" t="s">
        <v>208</v>
      </c>
      <c r="D259" t="s">
        <v>115</v>
      </c>
      <c r="E259">
        <v>1411</v>
      </c>
      <c r="F259">
        <v>1438</v>
      </c>
      <c r="G259">
        <v>700</v>
      </c>
      <c r="H259" t="s">
        <v>91</v>
      </c>
      <c r="I259">
        <v>8795</v>
      </c>
      <c r="J259" t="s">
        <v>227</v>
      </c>
      <c r="K259" t="s">
        <v>158</v>
      </c>
      <c r="L259">
        <v>1150.5</v>
      </c>
      <c r="M259">
        <v>1165</v>
      </c>
      <c r="N259">
        <v>900</v>
      </c>
      <c r="O259" t="s">
        <v>89</v>
      </c>
      <c r="P259">
        <v>0.90615733046032798</v>
      </c>
      <c r="Q259">
        <v>0.90273616860004902</v>
      </c>
      <c r="R259">
        <v>0.15192018164326701</v>
      </c>
      <c r="S259">
        <v>0.23770467845916299</v>
      </c>
      <c r="T259">
        <v>0.59528103919634501</v>
      </c>
      <c r="U259">
        <v>0.59528103919634501</v>
      </c>
      <c r="V259">
        <v>1.86</v>
      </c>
      <c r="W259">
        <v>4.16</v>
      </c>
      <c r="X259">
        <v>-133738</v>
      </c>
      <c r="Y259">
        <v>-7430</v>
      </c>
      <c r="Z259">
        <v>-0.4</v>
      </c>
      <c r="AA259">
        <v>18</v>
      </c>
      <c r="AB259">
        <v>11</v>
      </c>
      <c r="AC259">
        <v>7</v>
      </c>
      <c r="AD259">
        <v>61.11</v>
      </c>
      <c r="AE259">
        <v>11</v>
      </c>
      <c r="AF259">
        <v>4</v>
      </c>
      <c r="AG259">
        <v>6</v>
      </c>
      <c r="AH259">
        <v>8</v>
      </c>
    </row>
    <row r="260" spans="1:34">
      <c r="A260" s="214">
        <v>159</v>
      </c>
      <c r="B260">
        <v>8586</v>
      </c>
      <c r="C260" t="s">
        <v>268</v>
      </c>
      <c r="D260" t="s">
        <v>269</v>
      </c>
      <c r="E260">
        <v>2351</v>
      </c>
      <c r="F260">
        <v>2369</v>
      </c>
      <c r="G260">
        <v>400</v>
      </c>
      <c r="H260" t="s">
        <v>91</v>
      </c>
      <c r="I260">
        <v>9810</v>
      </c>
      <c r="J260" t="s">
        <v>202</v>
      </c>
      <c r="K260" t="s">
        <v>147</v>
      </c>
      <c r="L260">
        <v>4375</v>
      </c>
      <c r="M260">
        <v>4365</v>
      </c>
      <c r="N260">
        <v>200</v>
      </c>
      <c r="O260" t="s">
        <v>89</v>
      </c>
      <c r="P260">
        <v>0.90587121017082595</v>
      </c>
      <c r="Q260">
        <v>0.92079145590321998</v>
      </c>
      <c r="R260">
        <v>1.0009747957599299E-3</v>
      </c>
      <c r="S260">
        <v>6.8289138038089198E-2</v>
      </c>
      <c r="T260">
        <v>2.2207319230975</v>
      </c>
      <c r="U260">
        <v>2.2207319230975</v>
      </c>
      <c r="V260">
        <v>3.77</v>
      </c>
      <c r="W260">
        <v>8.5500000000000007</v>
      </c>
      <c r="X260">
        <v>-136974</v>
      </c>
      <c r="Y260">
        <v>-13697</v>
      </c>
      <c r="Z260">
        <v>-0.7</v>
      </c>
      <c r="AA260">
        <v>10</v>
      </c>
      <c r="AB260">
        <v>4</v>
      </c>
      <c r="AC260">
        <v>6</v>
      </c>
      <c r="AD260">
        <v>40</v>
      </c>
      <c r="AE260">
        <v>15</v>
      </c>
      <c r="AF260">
        <v>2</v>
      </c>
      <c r="AG260">
        <v>3</v>
      </c>
      <c r="AH260">
        <v>5</v>
      </c>
    </row>
    <row r="261" spans="1:34">
      <c r="A261" s="214">
        <v>62</v>
      </c>
      <c r="B261">
        <v>8002</v>
      </c>
      <c r="C261" t="s">
        <v>57</v>
      </c>
      <c r="D261" t="s">
        <v>147</v>
      </c>
      <c r="E261">
        <v>727.3</v>
      </c>
      <c r="F261">
        <v>734.5</v>
      </c>
      <c r="G261">
        <v>1400</v>
      </c>
      <c r="H261" t="s">
        <v>91</v>
      </c>
      <c r="I261">
        <v>8306</v>
      </c>
      <c r="J261" t="s">
        <v>267</v>
      </c>
      <c r="K261" t="s">
        <v>121</v>
      </c>
      <c r="L261">
        <v>537</v>
      </c>
      <c r="M261">
        <v>535.29999999999995</v>
      </c>
      <c r="N261">
        <v>1900</v>
      </c>
      <c r="O261" t="s">
        <v>89</v>
      </c>
      <c r="P261">
        <v>0.91581378598432805</v>
      </c>
      <c r="Q261">
        <v>0.94137224565773403</v>
      </c>
      <c r="R261">
        <v>0.34660012065727303</v>
      </c>
      <c r="S261">
        <v>0.23245058536463001</v>
      </c>
      <c r="T261">
        <v>0.76517239499602596</v>
      </c>
      <c r="U261">
        <v>0.76517239499602596</v>
      </c>
      <c r="V261">
        <v>2.0299999999999998</v>
      </c>
      <c r="W261">
        <v>1.0900000000000001</v>
      </c>
      <c r="X261">
        <v>-138604</v>
      </c>
      <c r="Y261">
        <v>-8663</v>
      </c>
      <c r="Z261">
        <v>-0.4</v>
      </c>
      <c r="AA261">
        <v>16</v>
      </c>
      <c r="AB261">
        <v>6</v>
      </c>
      <c r="AC261">
        <v>10</v>
      </c>
      <c r="AD261">
        <v>37.5</v>
      </c>
      <c r="AE261">
        <v>16</v>
      </c>
      <c r="AF261">
        <v>2</v>
      </c>
      <c r="AG261">
        <v>4</v>
      </c>
      <c r="AH261">
        <v>10</v>
      </c>
    </row>
    <row r="262" spans="1:34">
      <c r="A262" s="214">
        <v>39</v>
      </c>
      <c r="B262">
        <v>5020</v>
      </c>
      <c r="C262" t="s">
        <v>199</v>
      </c>
      <c r="D262" t="s">
        <v>200</v>
      </c>
      <c r="E262">
        <v>493.5</v>
      </c>
      <c r="F262">
        <v>494.8</v>
      </c>
      <c r="G262">
        <v>2200</v>
      </c>
      <c r="H262" t="s">
        <v>91</v>
      </c>
      <c r="I262">
        <v>7167</v>
      </c>
      <c r="J262" t="s">
        <v>146</v>
      </c>
      <c r="K262" t="s">
        <v>121</v>
      </c>
      <c r="L262">
        <v>259</v>
      </c>
      <c r="M262">
        <v>263</v>
      </c>
      <c r="N262">
        <v>4100</v>
      </c>
      <c r="O262" t="s">
        <v>89</v>
      </c>
      <c r="P262">
        <v>0.95201109418260499</v>
      </c>
      <c r="Q262">
        <v>0.94904126679300904</v>
      </c>
      <c r="R262">
        <v>8.3700216050487705E-2</v>
      </c>
      <c r="S262">
        <v>6.3328250359019803E-2</v>
      </c>
      <c r="T262">
        <v>0.17825539595331899</v>
      </c>
      <c r="U262">
        <v>0.17825539595331899</v>
      </c>
      <c r="V262">
        <v>0.39</v>
      </c>
      <c r="W262">
        <v>0.94</v>
      </c>
      <c r="X262">
        <v>-139732</v>
      </c>
      <c r="Y262">
        <v>-8220</v>
      </c>
      <c r="Z262">
        <v>-0.4</v>
      </c>
      <c r="AA262">
        <v>17</v>
      </c>
      <c r="AB262">
        <v>7</v>
      </c>
      <c r="AC262">
        <v>10</v>
      </c>
      <c r="AD262">
        <v>41.18</v>
      </c>
      <c r="AE262">
        <v>14</v>
      </c>
      <c r="AF262">
        <v>3</v>
      </c>
      <c r="AG262">
        <v>5</v>
      </c>
      <c r="AH262">
        <v>9</v>
      </c>
    </row>
    <row r="263" spans="1:34">
      <c r="A263" s="214">
        <v>221</v>
      </c>
      <c r="B263">
        <v>6371</v>
      </c>
      <c r="C263" t="s">
        <v>156</v>
      </c>
      <c r="D263" t="s">
        <v>144</v>
      </c>
      <c r="E263">
        <v>3445</v>
      </c>
      <c r="F263">
        <v>3460</v>
      </c>
      <c r="G263">
        <v>300</v>
      </c>
      <c r="H263" t="s">
        <v>91</v>
      </c>
      <c r="I263">
        <v>6473</v>
      </c>
      <c r="J263" t="s">
        <v>216</v>
      </c>
      <c r="K263" t="s">
        <v>144</v>
      </c>
      <c r="L263">
        <v>1245</v>
      </c>
      <c r="M263">
        <v>1260</v>
      </c>
      <c r="N263">
        <v>800</v>
      </c>
      <c r="O263" t="s">
        <v>89</v>
      </c>
      <c r="P263">
        <v>0.96159078340085502</v>
      </c>
      <c r="Q263">
        <v>0.90989941651427497</v>
      </c>
      <c r="R263">
        <v>3.9919694886431196E-3</v>
      </c>
      <c r="S263">
        <v>0.18854383304839401</v>
      </c>
      <c r="T263">
        <v>2.4243496474306799E-3</v>
      </c>
      <c r="U263">
        <v>2.4243496474306799E-3</v>
      </c>
      <c r="V263">
        <v>0</v>
      </c>
      <c r="W263">
        <v>2.89</v>
      </c>
      <c r="X263">
        <v>-143311</v>
      </c>
      <c r="Y263">
        <v>-7962</v>
      </c>
      <c r="Z263">
        <v>-0.47</v>
      </c>
      <c r="AA263">
        <v>18</v>
      </c>
      <c r="AB263">
        <v>7</v>
      </c>
      <c r="AC263">
        <v>11</v>
      </c>
      <c r="AD263">
        <v>38.89</v>
      </c>
      <c r="AE263">
        <v>15</v>
      </c>
      <c r="AF263">
        <v>2</v>
      </c>
      <c r="AG263">
        <v>2</v>
      </c>
      <c r="AH263">
        <v>14</v>
      </c>
    </row>
    <row r="264" spans="1:34">
      <c r="A264" s="214">
        <v>168</v>
      </c>
      <c r="B264">
        <v>4005</v>
      </c>
      <c r="C264" t="s">
        <v>172</v>
      </c>
      <c r="D264" t="s">
        <v>90</v>
      </c>
      <c r="E264">
        <v>498</v>
      </c>
      <c r="F264">
        <v>504</v>
      </c>
      <c r="G264">
        <v>2000</v>
      </c>
      <c r="H264" t="s">
        <v>89</v>
      </c>
      <c r="I264">
        <v>8002</v>
      </c>
      <c r="J264" t="s">
        <v>57</v>
      </c>
      <c r="K264" t="s">
        <v>147</v>
      </c>
      <c r="L264">
        <v>727.3</v>
      </c>
      <c r="M264">
        <v>734.5</v>
      </c>
      <c r="N264">
        <v>1400</v>
      </c>
      <c r="O264" t="s">
        <v>91</v>
      </c>
      <c r="P264">
        <v>0.94880424239755201</v>
      </c>
      <c r="Q264">
        <v>0.91954191742992597</v>
      </c>
      <c r="R264">
        <v>3.0667315543064602E-3</v>
      </c>
      <c r="S264">
        <v>0.29932737534438802</v>
      </c>
      <c r="T264">
        <v>-5.9395400075853699E-2</v>
      </c>
      <c r="U264">
        <v>5.9395400075853699E-2</v>
      </c>
      <c r="V264">
        <v>-0.09</v>
      </c>
      <c r="W264">
        <v>1.97</v>
      </c>
      <c r="X264">
        <v>-151457</v>
      </c>
      <c r="Y264">
        <v>-9466</v>
      </c>
      <c r="Z264">
        <v>-0.43</v>
      </c>
      <c r="AA264">
        <v>16</v>
      </c>
      <c r="AB264">
        <v>8</v>
      </c>
      <c r="AC264">
        <v>8</v>
      </c>
      <c r="AD264">
        <v>50</v>
      </c>
      <c r="AE264">
        <v>15</v>
      </c>
      <c r="AF264">
        <v>3</v>
      </c>
      <c r="AG264">
        <v>3</v>
      </c>
      <c r="AH264">
        <v>10</v>
      </c>
    </row>
    <row r="265" spans="1:34">
      <c r="A265" s="214">
        <v>2</v>
      </c>
      <c r="B265">
        <v>9506</v>
      </c>
      <c r="C265" t="s">
        <v>270</v>
      </c>
      <c r="D265" t="s">
        <v>195</v>
      </c>
      <c r="E265">
        <v>1082</v>
      </c>
      <c r="F265">
        <v>1090</v>
      </c>
      <c r="G265">
        <v>1000</v>
      </c>
      <c r="H265" t="s">
        <v>89</v>
      </c>
      <c r="I265">
        <v>9507</v>
      </c>
      <c r="J265" t="s">
        <v>271</v>
      </c>
      <c r="K265" t="s">
        <v>195</v>
      </c>
      <c r="L265">
        <v>1039</v>
      </c>
      <c r="M265">
        <v>1043</v>
      </c>
      <c r="N265">
        <v>1000</v>
      </c>
      <c r="O265" t="s">
        <v>91</v>
      </c>
      <c r="P265">
        <v>0.90367930720276701</v>
      </c>
      <c r="Q265">
        <v>0.976568739130381</v>
      </c>
      <c r="R265">
        <v>0.100522436922224</v>
      </c>
      <c r="S265">
        <v>3.7408008298440799E-2</v>
      </c>
      <c r="T265">
        <v>-0.54401745867951101</v>
      </c>
      <c r="U265">
        <v>0.54401745867951101</v>
      </c>
      <c r="V265">
        <v>-1.18</v>
      </c>
      <c r="W265">
        <v>4.3099999999999996</v>
      </c>
      <c r="X265">
        <v>-158012</v>
      </c>
      <c r="Y265">
        <v>-6870</v>
      </c>
      <c r="Z265">
        <v>-0.32</v>
      </c>
      <c r="AA265">
        <v>23</v>
      </c>
      <c r="AB265">
        <v>10</v>
      </c>
      <c r="AC265">
        <v>13</v>
      </c>
      <c r="AD265">
        <v>43.48</v>
      </c>
      <c r="AE265">
        <v>14</v>
      </c>
      <c r="AF265">
        <v>2</v>
      </c>
      <c r="AG265">
        <v>6</v>
      </c>
      <c r="AH265">
        <v>15</v>
      </c>
    </row>
    <row r="266" spans="1:34">
      <c r="A266" s="214">
        <v>192</v>
      </c>
      <c r="B266">
        <v>4182</v>
      </c>
      <c r="C266" t="s">
        <v>127</v>
      </c>
      <c r="D266" t="s">
        <v>90</v>
      </c>
      <c r="E266">
        <v>1489</v>
      </c>
      <c r="F266">
        <v>1498</v>
      </c>
      <c r="G266">
        <v>700</v>
      </c>
      <c r="H266" t="s">
        <v>91</v>
      </c>
      <c r="I266">
        <v>9505</v>
      </c>
      <c r="J266" t="s">
        <v>194</v>
      </c>
      <c r="K266" t="s">
        <v>195</v>
      </c>
      <c r="L266">
        <v>727</v>
      </c>
      <c r="M266">
        <v>731</v>
      </c>
      <c r="N266">
        <v>1400</v>
      </c>
      <c r="O266" t="s">
        <v>89</v>
      </c>
      <c r="P266">
        <v>0.90813829930371404</v>
      </c>
      <c r="Q266">
        <v>0.91498318794524403</v>
      </c>
      <c r="R266">
        <v>7.5796221642766295E-2</v>
      </c>
      <c r="S266">
        <v>7.8977619332227994E-2</v>
      </c>
      <c r="T266">
        <v>2.12268535842724</v>
      </c>
      <c r="U266">
        <v>2.12268535842724</v>
      </c>
      <c r="V266">
        <v>6.81</v>
      </c>
      <c r="W266">
        <v>2.4</v>
      </c>
      <c r="X266">
        <v>-159412</v>
      </c>
      <c r="Y266">
        <v>-6376</v>
      </c>
      <c r="Z266">
        <v>-0.39</v>
      </c>
      <c r="AA266">
        <v>25</v>
      </c>
      <c r="AB266">
        <v>12</v>
      </c>
      <c r="AC266">
        <v>13</v>
      </c>
      <c r="AD266">
        <v>48</v>
      </c>
      <c r="AE266">
        <v>11</v>
      </c>
      <c r="AF266">
        <v>10</v>
      </c>
      <c r="AG266">
        <v>12</v>
      </c>
      <c r="AH266">
        <v>3</v>
      </c>
    </row>
    <row r="267" spans="1:34">
      <c r="A267" s="214">
        <v>57</v>
      </c>
      <c r="B267">
        <v>9531</v>
      </c>
      <c r="C267" t="s">
        <v>272</v>
      </c>
      <c r="D267" t="s">
        <v>195</v>
      </c>
      <c r="E267">
        <v>2771</v>
      </c>
      <c r="F267">
        <v>2750.5</v>
      </c>
      <c r="G267">
        <v>300</v>
      </c>
      <c r="H267" t="s">
        <v>89</v>
      </c>
      <c r="I267">
        <v>9532</v>
      </c>
      <c r="J267" t="s">
        <v>273</v>
      </c>
      <c r="K267" t="s">
        <v>195</v>
      </c>
      <c r="L267">
        <v>2068</v>
      </c>
      <c r="M267">
        <v>2076</v>
      </c>
      <c r="N267">
        <v>400</v>
      </c>
      <c r="O267" t="s">
        <v>91</v>
      </c>
      <c r="P267">
        <v>0.92232888305098404</v>
      </c>
      <c r="Q267">
        <v>0.94287429781561405</v>
      </c>
      <c r="R267">
        <v>4.5392377447062801E-2</v>
      </c>
      <c r="S267">
        <v>0.13276347948138101</v>
      </c>
      <c r="T267">
        <v>-1.77087648978339</v>
      </c>
      <c r="U267">
        <v>1.77087648978339</v>
      </c>
      <c r="V267">
        <v>-3.45</v>
      </c>
      <c r="W267">
        <v>0.64</v>
      </c>
      <c r="X267">
        <v>-162096</v>
      </c>
      <c r="Y267">
        <v>-12469</v>
      </c>
      <c r="Z267">
        <v>-0.66</v>
      </c>
      <c r="AA267">
        <v>13</v>
      </c>
      <c r="AB267">
        <v>3</v>
      </c>
      <c r="AC267">
        <v>10</v>
      </c>
      <c r="AD267">
        <v>23.08</v>
      </c>
      <c r="AE267">
        <v>15</v>
      </c>
      <c r="AF267">
        <v>2</v>
      </c>
      <c r="AG267">
        <v>2</v>
      </c>
      <c r="AH267">
        <v>9</v>
      </c>
    </row>
    <row r="268" spans="1:34">
      <c r="A268" s="214">
        <v>248</v>
      </c>
      <c r="B268">
        <v>7731</v>
      </c>
      <c r="C268" t="s">
        <v>135</v>
      </c>
      <c r="D268" t="s">
        <v>136</v>
      </c>
      <c r="E268">
        <v>1307</v>
      </c>
      <c r="F268">
        <v>1345</v>
      </c>
      <c r="G268">
        <v>800</v>
      </c>
      <c r="H268" t="s">
        <v>89</v>
      </c>
      <c r="I268">
        <v>8377</v>
      </c>
      <c r="J268" t="s">
        <v>137</v>
      </c>
      <c r="K268" t="s">
        <v>121</v>
      </c>
      <c r="L268">
        <v>1032</v>
      </c>
      <c r="M268">
        <v>1036</v>
      </c>
      <c r="N268">
        <v>1000</v>
      </c>
      <c r="O268" t="s">
        <v>91</v>
      </c>
      <c r="P268">
        <v>0.90523214765741999</v>
      </c>
      <c r="Q268">
        <v>0.90573277505705796</v>
      </c>
      <c r="R268">
        <v>0.35399387392065701</v>
      </c>
      <c r="S268">
        <v>7.9332251291713604E-2</v>
      </c>
      <c r="T268">
        <v>-1.45323085289275</v>
      </c>
      <c r="U268">
        <v>1.45323085289275</v>
      </c>
      <c r="V268">
        <v>-3.89</v>
      </c>
      <c r="W268">
        <v>3.72</v>
      </c>
      <c r="X268">
        <v>-169459</v>
      </c>
      <c r="Y268">
        <v>-10591</v>
      </c>
      <c r="Z268">
        <v>-0.52</v>
      </c>
      <c r="AA268">
        <v>16</v>
      </c>
      <c r="AB268">
        <v>7</v>
      </c>
      <c r="AC268">
        <v>9</v>
      </c>
      <c r="AD268">
        <v>43.75</v>
      </c>
      <c r="AE268">
        <v>12</v>
      </c>
      <c r="AF268">
        <v>3</v>
      </c>
      <c r="AG268">
        <v>7</v>
      </c>
      <c r="AH268">
        <v>6</v>
      </c>
    </row>
    <row r="269" spans="1:34">
      <c r="A269" s="214">
        <v>54</v>
      </c>
      <c r="B269">
        <v>2914</v>
      </c>
      <c r="C269" t="s">
        <v>139</v>
      </c>
      <c r="D269" t="s">
        <v>140</v>
      </c>
      <c r="E269">
        <v>2381</v>
      </c>
      <c r="F269">
        <v>2369.5</v>
      </c>
      <c r="G269">
        <v>400</v>
      </c>
      <c r="H269" t="s">
        <v>91</v>
      </c>
      <c r="I269">
        <v>7181</v>
      </c>
      <c r="J269" t="s">
        <v>233</v>
      </c>
      <c r="K269" t="s">
        <v>158</v>
      </c>
      <c r="L269">
        <v>1607</v>
      </c>
      <c r="M269">
        <v>1637</v>
      </c>
      <c r="N269">
        <v>600</v>
      </c>
      <c r="O269" t="s">
        <v>89</v>
      </c>
      <c r="P269">
        <v>0.91072611801382697</v>
      </c>
      <c r="Q269">
        <v>0.94416376463306395</v>
      </c>
      <c r="R269">
        <v>0.37523890849852998</v>
      </c>
      <c r="S269">
        <v>2.2687084865349498E-3</v>
      </c>
      <c r="T269">
        <v>0.71128957199465603</v>
      </c>
      <c r="U269">
        <v>0.71128957199465603</v>
      </c>
      <c r="V269">
        <v>4.3099999999999996</v>
      </c>
      <c r="W269">
        <v>3.63</v>
      </c>
      <c r="X269">
        <v>-170160</v>
      </c>
      <c r="Y269">
        <v>-10635</v>
      </c>
      <c r="Z269">
        <v>-0.56999999999999995</v>
      </c>
      <c r="AA269">
        <v>16</v>
      </c>
      <c r="AB269">
        <v>5</v>
      </c>
      <c r="AC269">
        <v>11</v>
      </c>
      <c r="AD269">
        <v>31.25</v>
      </c>
      <c r="AE269">
        <v>11</v>
      </c>
      <c r="AF269">
        <v>4</v>
      </c>
      <c r="AG269">
        <v>7</v>
      </c>
      <c r="AH269">
        <v>5</v>
      </c>
    </row>
    <row r="270" spans="1:34">
      <c r="A270" s="214">
        <v>36</v>
      </c>
      <c r="B270">
        <v>5020</v>
      </c>
      <c r="C270" t="s">
        <v>199</v>
      </c>
      <c r="D270" t="s">
        <v>200</v>
      </c>
      <c r="E270">
        <v>493.5</v>
      </c>
      <c r="F270">
        <v>494.8</v>
      </c>
      <c r="G270">
        <v>2000</v>
      </c>
      <c r="H270" t="s">
        <v>89</v>
      </c>
      <c r="I270">
        <v>7013</v>
      </c>
      <c r="J270" t="s">
        <v>143</v>
      </c>
      <c r="K270" t="s">
        <v>144</v>
      </c>
      <c r="L270">
        <v>2400</v>
      </c>
      <c r="M270">
        <v>2431</v>
      </c>
      <c r="N270">
        <v>400</v>
      </c>
      <c r="O270" t="s">
        <v>91</v>
      </c>
      <c r="P270">
        <v>0.93756737875162499</v>
      </c>
      <c r="Q270">
        <v>0.95001180228150295</v>
      </c>
      <c r="R270">
        <v>0.308882932236276</v>
      </c>
      <c r="S270">
        <v>8.8612821012545598E-2</v>
      </c>
      <c r="T270">
        <v>-0.70301397614664296</v>
      </c>
      <c r="U270">
        <v>0.70301397614664296</v>
      </c>
      <c r="V270">
        <v>-2.4500000000000002</v>
      </c>
      <c r="W270">
        <v>1.77</v>
      </c>
      <c r="X270">
        <v>-190284</v>
      </c>
      <c r="Y270">
        <v>-10015</v>
      </c>
      <c r="Z270">
        <v>-0.63</v>
      </c>
      <c r="AA270">
        <v>19</v>
      </c>
      <c r="AB270">
        <v>10</v>
      </c>
      <c r="AC270">
        <v>9</v>
      </c>
      <c r="AD270">
        <v>52.63</v>
      </c>
      <c r="AE270">
        <v>10</v>
      </c>
      <c r="AF270">
        <v>7</v>
      </c>
      <c r="AG270">
        <v>8</v>
      </c>
      <c r="AH270">
        <v>4</v>
      </c>
    </row>
    <row r="271" spans="1:34">
      <c r="A271" s="214">
        <v>169</v>
      </c>
      <c r="B271">
        <v>5214</v>
      </c>
      <c r="C271" t="s">
        <v>207</v>
      </c>
      <c r="D271" t="s">
        <v>154</v>
      </c>
      <c r="E271">
        <v>2380</v>
      </c>
      <c r="F271">
        <v>2403</v>
      </c>
      <c r="G271">
        <v>400</v>
      </c>
      <c r="H271" t="s">
        <v>91</v>
      </c>
      <c r="I271">
        <v>8058</v>
      </c>
      <c r="J271" t="s">
        <v>252</v>
      </c>
      <c r="K271" t="s">
        <v>147</v>
      </c>
      <c r="L271">
        <v>2665</v>
      </c>
      <c r="M271">
        <v>2681</v>
      </c>
      <c r="N271">
        <v>400</v>
      </c>
      <c r="O271" t="s">
        <v>89</v>
      </c>
      <c r="P271">
        <v>0.91316951587813</v>
      </c>
      <c r="Q271">
        <v>0.91910705283538596</v>
      </c>
      <c r="R271">
        <v>0.12617493013408301</v>
      </c>
      <c r="S271">
        <v>5.5481869874542601E-2</v>
      </c>
      <c r="T271">
        <v>0.167477087340692</v>
      </c>
      <c r="U271">
        <v>0.167477087340692</v>
      </c>
      <c r="V271">
        <v>0.76</v>
      </c>
      <c r="W271">
        <v>10.37</v>
      </c>
      <c r="X271">
        <v>-213117</v>
      </c>
      <c r="Y271">
        <v>-17760</v>
      </c>
      <c r="Z271">
        <v>-0.99</v>
      </c>
      <c r="AA271">
        <v>12</v>
      </c>
      <c r="AB271">
        <v>3</v>
      </c>
      <c r="AC271">
        <v>9</v>
      </c>
      <c r="AD271">
        <v>25</v>
      </c>
      <c r="AE271">
        <v>15</v>
      </c>
      <c r="AF271">
        <v>1</v>
      </c>
      <c r="AG271">
        <v>3</v>
      </c>
      <c r="AH271">
        <v>8</v>
      </c>
    </row>
    <row r="272" spans="1:34">
      <c r="A272" s="214">
        <v>206</v>
      </c>
      <c r="B272">
        <v>5301</v>
      </c>
      <c r="C272" t="s">
        <v>209</v>
      </c>
      <c r="D272" t="s">
        <v>154</v>
      </c>
      <c r="E272">
        <v>1085</v>
      </c>
      <c r="F272">
        <v>1090</v>
      </c>
      <c r="G272">
        <v>1000</v>
      </c>
      <c r="H272" t="s">
        <v>89</v>
      </c>
      <c r="I272">
        <v>6988</v>
      </c>
      <c r="J272" t="s">
        <v>236</v>
      </c>
      <c r="K272" t="s">
        <v>90</v>
      </c>
      <c r="L272">
        <v>5358</v>
      </c>
      <c r="M272">
        <v>5415</v>
      </c>
      <c r="N272">
        <v>200</v>
      </c>
      <c r="O272" t="s">
        <v>91</v>
      </c>
      <c r="P272">
        <v>0.91179715219368696</v>
      </c>
      <c r="Q272">
        <v>0.91340847124523294</v>
      </c>
      <c r="R272">
        <v>7.2240259426166104E-2</v>
      </c>
      <c r="S272">
        <v>7.7012631342277199E-3</v>
      </c>
      <c r="T272">
        <v>-0.953593069920884</v>
      </c>
      <c r="U272">
        <v>0.953593069920884</v>
      </c>
      <c r="V272">
        <v>-2.2000000000000002</v>
      </c>
      <c r="W272">
        <v>0.65</v>
      </c>
      <c r="X272">
        <v>-217585</v>
      </c>
      <c r="Y272">
        <v>-8369</v>
      </c>
      <c r="Z272">
        <v>-0.28000000000000003</v>
      </c>
      <c r="AA272">
        <v>26</v>
      </c>
      <c r="AB272">
        <v>14</v>
      </c>
      <c r="AC272">
        <v>12</v>
      </c>
      <c r="AD272">
        <v>53.85</v>
      </c>
      <c r="AE272">
        <v>9</v>
      </c>
      <c r="AF272">
        <v>11</v>
      </c>
      <c r="AG272">
        <v>11</v>
      </c>
      <c r="AH272">
        <v>4</v>
      </c>
    </row>
    <row r="273" spans="1:34">
      <c r="A273" s="214">
        <v>60</v>
      </c>
      <c r="B273">
        <v>5019</v>
      </c>
      <c r="C273" t="s">
        <v>251</v>
      </c>
      <c r="D273" t="s">
        <v>200</v>
      </c>
      <c r="E273">
        <v>3130</v>
      </c>
      <c r="F273">
        <v>3120</v>
      </c>
      <c r="G273">
        <v>300</v>
      </c>
      <c r="H273" t="s">
        <v>89</v>
      </c>
      <c r="I273">
        <v>8002</v>
      </c>
      <c r="J273" t="s">
        <v>57</v>
      </c>
      <c r="K273" t="s">
        <v>147</v>
      </c>
      <c r="L273">
        <v>727.3</v>
      </c>
      <c r="M273">
        <v>734.5</v>
      </c>
      <c r="N273">
        <v>1300</v>
      </c>
      <c r="O273" t="s">
        <v>91</v>
      </c>
      <c r="P273">
        <v>0.964361712732826</v>
      </c>
      <c r="Q273">
        <v>0.94158668589447603</v>
      </c>
      <c r="R273">
        <v>1.51855576792632E-2</v>
      </c>
      <c r="S273">
        <v>5.0997696268089802E-2</v>
      </c>
      <c r="T273">
        <v>-8.1645875837744394E-2</v>
      </c>
      <c r="U273">
        <v>8.1645875837744394E-2</v>
      </c>
      <c r="V273">
        <v>-0.23</v>
      </c>
      <c r="W273">
        <v>2.0099999999999998</v>
      </c>
      <c r="X273">
        <v>-240945</v>
      </c>
      <c r="Y273">
        <v>-11474</v>
      </c>
      <c r="Z273">
        <v>-0.65</v>
      </c>
      <c r="AA273">
        <v>21</v>
      </c>
      <c r="AB273">
        <v>8</v>
      </c>
      <c r="AC273">
        <v>13</v>
      </c>
      <c r="AD273">
        <v>38.1</v>
      </c>
      <c r="AE273">
        <v>11</v>
      </c>
      <c r="AF273">
        <v>6</v>
      </c>
      <c r="AG273">
        <v>8</v>
      </c>
      <c r="AH273">
        <v>7</v>
      </c>
    </row>
    <row r="274" spans="1:34">
      <c r="A274" s="214">
        <v>94</v>
      </c>
      <c r="B274">
        <v>5214</v>
      </c>
      <c r="C274" t="s">
        <v>207</v>
      </c>
      <c r="D274" t="s">
        <v>154</v>
      </c>
      <c r="E274">
        <v>2380</v>
      </c>
      <c r="F274">
        <v>2403</v>
      </c>
      <c r="G274">
        <v>400</v>
      </c>
      <c r="H274" t="s">
        <v>91</v>
      </c>
      <c r="I274">
        <v>7261</v>
      </c>
      <c r="J274" t="s">
        <v>245</v>
      </c>
      <c r="K274" t="s">
        <v>123</v>
      </c>
      <c r="L274">
        <v>953</v>
      </c>
      <c r="M274">
        <v>966.1</v>
      </c>
      <c r="N274">
        <v>1000</v>
      </c>
      <c r="O274" t="s">
        <v>89</v>
      </c>
      <c r="P274">
        <v>0.95119956722905497</v>
      </c>
      <c r="Q274">
        <v>0.93444524887680902</v>
      </c>
      <c r="R274">
        <v>3.6738457999986499E-2</v>
      </c>
      <c r="S274">
        <v>0.15126543885291999</v>
      </c>
      <c r="T274">
        <v>0.43764276317811601</v>
      </c>
      <c r="U274">
        <v>0.43764276317811601</v>
      </c>
      <c r="V274">
        <v>0.97</v>
      </c>
      <c r="W274">
        <v>0.51</v>
      </c>
      <c r="X274">
        <v>-254312</v>
      </c>
      <c r="Y274">
        <v>-12110</v>
      </c>
      <c r="Z274">
        <v>-0.65</v>
      </c>
      <c r="AA274">
        <v>21</v>
      </c>
      <c r="AB274">
        <v>10</v>
      </c>
      <c r="AC274">
        <v>11</v>
      </c>
      <c r="AD274">
        <v>47.62</v>
      </c>
      <c r="AE274">
        <v>13</v>
      </c>
      <c r="AF274">
        <v>6</v>
      </c>
      <c r="AG274">
        <v>5</v>
      </c>
      <c r="AH274">
        <v>10</v>
      </c>
    </row>
    <row r="275" spans="1:34">
      <c r="A275" s="214">
        <v>232</v>
      </c>
      <c r="B275">
        <v>6988</v>
      </c>
      <c r="C275" t="s">
        <v>236</v>
      </c>
      <c r="D275" t="s">
        <v>90</v>
      </c>
      <c r="E275">
        <v>5358</v>
      </c>
      <c r="F275">
        <v>5415</v>
      </c>
      <c r="G275">
        <v>200</v>
      </c>
      <c r="H275" t="s">
        <v>89</v>
      </c>
      <c r="I275">
        <v>7251</v>
      </c>
      <c r="J275" t="s">
        <v>197</v>
      </c>
      <c r="K275" t="s">
        <v>123</v>
      </c>
      <c r="L275">
        <v>1643</v>
      </c>
      <c r="M275">
        <v>1651</v>
      </c>
      <c r="N275">
        <v>700</v>
      </c>
      <c r="O275" t="s">
        <v>91</v>
      </c>
      <c r="P275">
        <v>0.90026583575917696</v>
      </c>
      <c r="Q275">
        <v>0.907668256592571</v>
      </c>
      <c r="R275">
        <v>0.193277890717824</v>
      </c>
      <c r="S275">
        <v>0.19545377270724301</v>
      </c>
      <c r="T275">
        <v>-1.0789924114620699</v>
      </c>
      <c r="U275">
        <v>1.0789924114620699</v>
      </c>
      <c r="V275">
        <v>-4.1900000000000004</v>
      </c>
      <c r="W275">
        <v>6.71</v>
      </c>
      <c r="X275">
        <v>-259023</v>
      </c>
      <c r="Y275">
        <v>-13633</v>
      </c>
      <c r="Z275">
        <v>-0.79</v>
      </c>
      <c r="AA275">
        <v>19</v>
      </c>
      <c r="AB275">
        <v>7</v>
      </c>
      <c r="AC275">
        <v>12</v>
      </c>
      <c r="AD275">
        <v>36.840000000000003</v>
      </c>
      <c r="AE275">
        <v>14</v>
      </c>
      <c r="AF275">
        <v>4</v>
      </c>
      <c r="AG275">
        <v>5</v>
      </c>
      <c r="AH275">
        <v>10</v>
      </c>
    </row>
    <row r="276" spans="1:34">
      <c r="A276" s="214">
        <v>259</v>
      </c>
      <c r="B276">
        <v>1820</v>
      </c>
      <c r="C276" t="s">
        <v>183</v>
      </c>
      <c r="D276" t="s">
        <v>115</v>
      </c>
      <c r="E276">
        <v>2025</v>
      </c>
      <c r="F276">
        <v>2050</v>
      </c>
      <c r="G276">
        <v>500</v>
      </c>
      <c r="H276" t="s">
        <v>91</v>
      </c>
      <c r="I276">
        <v>8242</v>
      </c>
      <c r="J276" t="s">
        <v>181</v>
      </c>
      <c r="K276" t="s">
        <v>138</v>
      </c>
      <c r="L276">
        <v>1222</v>
      </c>
      <c r="M276">
        <v>1216</v>
      </c>
      <c r="N276">
        <v>800</v>
      </c>
      <c r="O276" t="s">
        <v>89</v>
      </c>
      <c r="P276">
        <v>0.91697518279741397</v>
      </c>
      <c r="Q276">
        <v>0.90465516499770804</v>
      </c>
      <c r="R276">
        <v>0.10435583456537099</v>
      </c>
      <c r="S276">
        <v>0.33353385035411798</v>
      </c>
      <c r="T276">
        <v>0.85401757527221001</v>
      </c>
      <c r="U276">
        <v>0.85401757527221001</v>
      </c>
      <c r="V276">
        <v>1.76</v>
      </c>
      <c r="W276">
        <v>5.09</v>
      </c>
      <c r="X276">
        <v>-259932</v>
      </c>
      <c r="Y276">
        <v>-17329</v>
      </c>
      <c r="Z276">
        <v>-0.96</v>
      </c>
      <c r="AA276">
        <v>15</v>
      </c>
      <c r="AB276">
        <v>4</v>
      </c>
      <c r="AC276">
        <v>11</v>
      </c>
      <c r="AD276">
        <v>26.67</v>
      </c>
      <c r="AE276">
        <v>11</v>
      </c>
      <c r="AF276">
        <v>4</v>
      </c>
      <c r="AG276">
        <v>7</v>
      </c>
      <c r="AH276">
        <v>4</v>
      </c>
    </row>
    <row r="277" spans="1:34">
      <c r="A277" s="214">
        <v>273</v>
      </c>
      <c r="B277">
        <v>4182</v>
      </c>
      <c r="C277" t="s">
        <v>127</v>
      </c>
      <c r="D277" t="s">
        <v>90</v>
      </c>
      <c r="E277">
        <v>1489</v>
      </c>
      <c r="F277">
        <v>1498</v>
      </c>
      <c r="G277">
        <v>500</v>
      </c>
      <c r="H277" t="s">
        <v>91</v>
      </c>
      <c r="I277">
        <v>8309</v>
      </c>
      <c r="J277" t="s">
        <v>52</v>
      </c>
      <c r="K277" t="s">
        <v>121</v>
      </c>
      <c r="L277">
        <v>3719</v>
      </c>
      <c r="M277">
        <v>3741</v>
      </c>
      <c r="N277">
        <v>200</v>
      </c>
      <c r="O277" t="s">
        <v>89</v>
      </c>
      <c r="P277">
        <v>0.92702735503239497</v>
      </c>
      <c r="Q277">
        <v>0.90253965626893196</v>
      </c>
      <c r="R277">
        <v>1.1520103416494801E-2</v>
      </c>
      <c r="S277">
        <v>0.17247221194392201</v>
      </c>
      <c r="T277">
        <v>3.3340243178530402</v>
      </c>
      <c r="U277">
        <v>3.3340243178530402</v>
      </c>
      <c r="V277">
        <v>8.6199999999999992</v>
      </c>
      <c r="W277">
        <v>0.11</v>
      </c>
      <c r="X277">
        <v>-265784</v>
      </c>
      <c r="Y277">
        <v>-15634</v>
      </c>
      <c r="Z277">
        <v>-0.85</v>
      </c>
      <c r="AA277">
        <v>17</v>
      </c>
      <c r="AB277">
        <v>7</v>
      </c>
      <c r="AC277">
        <v>10</v>
      </c>
      <c r="AD277">
        <v>41.18</v>
      </c>
      <c r="AE277">
        <v>11</v>
      </c>
      <c r="AF277">
        <v>3</v>
      </c>
      <c r="AG277">
        <v>7</v>
      </c>
      <c r="AH277">
        <v>7</v>
      </c>
    </row>
    <row r="278" spans="1:34">
      <c r="A278" s="214">
        <v>163</v>
      </c>
      <c r="B278">
        <v>8242</v>
      </c>
      <c r="C278" t="s">
        <v>181</v>
      </c>
      <c r="D278" t="s">
        <v>138</v>
      </c>
      <c r="E278">
        <v>1222</v>
      </c>
      <c r="F278">
        <v>1216</v>
      </c>
      <c r="G278">
        <v>900</v>
      </c>
      <c r="H278" t="s">
        <v>89</v>
      </c>
      <c r="I278">
        <v>9505</v>
      </c>
      <c r="J278" t="s">
        <v>194</v>
      </c>
      <c r="K278" t="s">
        <v>195</v>
      </c>
      <c r="L278">
        <v>727</v>
      </c>
      <c r="M278">
        <v>731</v>
      </c>
      <c r="N278">
        <v>1500</v>
      </c>
      <c r="O278" t="s">
        <v>91</v>
      </c>
      <c r="P278">
        <v>0.92372744040704202</v>
      </c>
      <c r="Q278">
        <v>0.920466638410392</v>
      </c>
      <c r="R278">
        <v>2.52160218550781E-2</v>
      </c>
      <c r="S278">
        <v>0.35705637350191899</v>
      </c>
      <c r="T278">
        <v>-0.105823976416376</v>
      </c>
      <c r="U278">
        <v>0.105823976416376</v>
      </c>
      <c r="V278">
        <v>-0.3</v>
      </c>
      <c r="W278">
        <v>0.19</v>
      </c>
      <c r="X278">
        <v>-279590</v>
      </c>
      <c r="Y278">
        <v>-17474</v>
      </c>
      <c r="Z278">
        <v>-0.88</v>
      </c>
      <c r="AA278">
        <v>16</v>
      </c>
      <c r="AB278">
        <v>5</v>
      </c>
      <c r="AC278">
        <v>11</v>
      </c>
      <c r="AD278">
        <v>31.25</v>
      </c>
      <c r="AE278">
        <v>13</v>
      </c>
      <c r="AF278">
        <v>3</v>
      </c>
      <c r="AG278">
        <v>6</v>
      </c>
      <c r="AH278">
        <v>7</v>
      </c>
    </row>
    <row r="279" spans="1:34">
      <c r="A279" s="214">
        <v>194</v>
      </c>
      <c r="B279">
        <v>1963</v>
      </c>
      <c r="C279" t="s">
        <v>208</v>
      </c>
      <c r="D279" t="s">
        <v>115</v>
      </c>
      <c r="E279">
        <v>1411</v>
      </c>
      <c r="F279">
        <v>1438</v>
      </c>
      <c r="G279">
        <v>700</v>
      </c>
      <c r="H279" t="s">
        <v>91</v>
      </c>
      <c r="I279">
        <v>6752</v>
      </c>
      <c r="J279" t="s">
        <v>152</v>
      </c>
      <c r="K279" t="s">
        <v>126</v>
      </c>
      <c r="L279">
        <v>874.4</v>
      </c>
      <c r="M279">
        <v>877.9</v>
      </c>
      <c r="N279">
        <v>1100</v>
      </c>
      <c r="O279" t="s">
        <v>89</v>
      </c>
      <c r="P279">
        <v>0.93333119525186903</v>
      </c>
      <c r="Q279">
        <v>0.91485396900826998</v>
      </c>
      <c r="R279">
        <v>5.3122118891154799E-3</v>
      </c>
      <c r="S279">
        <v>0.39723017712368502</v>
      </c>
      <c r="T279">
        <v>1.4515116181952401</v>
      </c>
      <c r="U279">
        <v>1.4515116181952401</v>
      </c>
      <c r="V279">
        <v>4.5199999999999996</v>
      </c>
      <c r="W279">
        <v>4.0599999999999996</v>
      </c>
      <c r="X279">
        <v>-294651</v>
      </c>
      <c r="Y279">
        <v>-12811</v>
      </c>
      <c r="Z279">
        <v>-0.66</v>
      </c>
      <c r="AA279">
        <v>23</v>
      </c>
      <c r="AB279">
        <v>8</v>
      </c>
      <c r="AC279">
        <v>15</v>
      </c>
      <c r="AD279">
        <v>34.78</v>
      </c>
      <c r="AE279">
        <v>11</v>
      </c>
      <c r="AF279">
        <v>8</v>
      </c>
      <c r="AG279">
        <v>12</v>
      </c>
      <c r="AH279">
        <v>3</v>
      </c>
    </row>
    <row r="280" spans="1:34">
      <c r="A280" s="214">
        <v>51</v>
      </c>
      <c r="B280">
        <v>5110</v>
      </c>
      <c r="C280" t="s">
        <v>203</v>
      </c>
      <c r="D280" t="s">
        <v>204</v>
      </c>
      <c r="E280">
        <v>1299</v>
      </c>
      <c r="F280">
        <v>1310</v>
      </c>
      <c r="G280">
        <v>800</v>
      </c>
      <c r="H280" t="s">
        <v>89</v>
      </c>
      <c r="I280">
        <v>7251</v>
      </c>
      <c r="J280" t="s">
        <v>197</v>
      </c>
      <c r="K280" t="s">
        <v>123</v>
      </c>
      <c r="L280">
        <v>1643</v>
      </c>
      <c r="M280">
        <v>1651</v>
      </c>
      <c r="N280">
        <v>600</v>
      </c>
      <c r="O280" t="s">
        <v>91</v>
      </c>
      <c r="P280">
        <v>0.920897671386399</v>
      </c>
      <c r="Q280">
        <v>0.944697629756035</v>
      </c>
      <c r="R280">
        <v>0.112399573262251</v>
      </c>
      <c r="S280">
        <v>0.107672977507238</v>
      </c>
      <c r="T280">
        <v>-0.62048709730757501</v>
      </c>
      <c r="U280">
        <v>0.62048709730757501</v>
      </c>
      <c r="V280">
        <v>-2.04</v>
      </c>
      <c r="W280">
        <v>5.79</v>
      </c>
      <c r="X280">
        <v>-300472</v>
      </c>
      <c r="Y280">
        <v>-17675</v>
      </c>
      <c r="Z280">
        <v>-0.9</v>
      </c>
      <c r="AA280">
        <v>17</v>
      </c>
      <c r="AB280">
        <v>5</v>
      </c>
      <c r="AC280">
        <v>12</v>
      </c>
      <c r="AD280">
        <v>29.41</v>
      </c>
      <c r="AE280">
        <v>13</v>
      </c>
      <c r="AF280">
        <v>2</v>
      </c>
      <c r="AG280">
        <v>6</v>
      </c>
      <c r="AH280">
        <v>9</v>
      </c>
    </row>
    <row r="281" spans="1:34">
      <c r="A281" s="214">
        <v>161</v>
      </c>
      <c r="B281">
        <v>5411</v>
      </c>
      <c r="C281" t="s">
        <v>133</v>
      </c>
      <c r="D281" t="s">
        <v>134</v>
      </c>
      <c r="E281">
        <v>1313.5</v>
      </c>
      <c r="F281">
        <v>1325</v>
      </c>
      <c r="G281">
        <v>700</v>
      </c>
      <c r="H281" t="s">
        <v>91</v>
      </c>
      <c r="I281">
        <v>9404</v>
      </c>
      <c r="J281" t="s">
        <v>142</v>
      </c>
      <c r="K281" t="s">
        <v>117</v>
      </c>
      <c r="L281">
        <v>1389</v>
      </c>
      <c r="M281">
        <v>1396</v>
      </c>
      <c r="N281">
        <v>700</v>
      </c>
      <c r="O281" t="s">
        <v>89</v>
      </c>
      <c r="P281">
        <v>0.90739262805462195</v>
      </c>
      <c r="Q281">
        <v>0.92060933147129198</v>
      </c>
      <c r="R281">
        <v>0.20368168400908099</v>
      </c>
      <c r="S281">
        <v>0.280114848195753</v>
      </c>
      <c r="T281">
        <v>0.71546553377536004</v>
      </c>
      <c r="U281">
        <v>0.71546553377536004</v>
      </c>
      <c r="V281">
        <v>2.58</v>
      </c>
      <c r="W281">
        <v>5.09</v>
      </c>
      <c r="X281">
        <v>-303420</v>
      </c>
      <c r="Y281">
        <v>-15171</v>
      </c>
      <c r="Z281">
        <v>-0.72</v>
      </c>
      <c r="AA281">
        <v>20</v>
      </c>
      <c r="AB281">
        <v>8</v>
      </c>
      <c r="AC281">
        <v>12</v>
      </c>
      <c r="AD281">
        <v>40</v>
      </c>
      <c r="AE281">
        <v>13</v>
      </c>
      <c r="AF281">
        <v>3</v>
      </c>
      <c r="AG281">
        <v>6</v>
      </c>
      <c r="AH281">
        <v>11</v>
      </c>
    </row>
    <row r="282" spans="1:34">
      <c r="A282" s="214">
        <v>265</v>
      </c>
      <c r="B282">
        <v>3291</v>
      </c>
      <c r="C282" t="s">
        <v>165</v>
      </c>
      <c r="D282" t="s">
        <v>166</v>
      </c>
      <c r="E282">
        <v>1710</v>
      </c>
      <c r="F282">
        <v>1726</v>
      </c>
      <c r="G282">
        <v>600</v>
      </c>
      <c r="H282" t="s">
        <v>89</v>
      </c>
      <c r="I282">
        <v>7202</v>
      </c>
      <c r="J282" t="s">
        <v>220</v>
      </c>
      <c r="K282" t="s">
        <v>123</v>
      </c>
      <c r="L282">
        <v>1180</v>
      </c>
      <c r="M282">
        <v>1191.5</v>
      </c>
      <c r="N282">
        <v>900</v>
      </c>
      <c r="O282" t="s">
        <v>91</v>
      </c>
      <c r="P282">
        <v>0.94537736151019902</v>
      </c>
      <c r="Q282">
        <v>0.90327866621097497</v>
      </c>
      <c r="R282">
        <v>0.307109095498736</v>
      </c>
      <c r="S282">
        <v>7.3033301879269902E-2</v>
      </c>
      <c r="T282">
        <v>-0.61740065450675896</v>
      </c>
      <c r="U282">
        <v>0.61740065450675896</v>
      </c>
      <c r="V282">
        <v>-1</v>
      </c>
      <c r="W282">
        <v>3.55</v>
      </c>
      <c r="X282">
        <v>-313047</v>
      </c>
      <c r="Y282">
        <v>-18415</v>
      </c>
      <c r="Z282">
        <v>-0.92</v>
      </c>
      <c r="AA282">
        <v>17</v>
      </c>
      <c r="AB282">
        <v>7</v>
      </c>
      <c r="AC282">
        <v>10</v>
      </c>
      <c r="AD282">
        <v>41.18</v>
      </c>
      <c r="AE282">
        <v>12</v>
      </c>
      <c r="AF282">
        <v>2</v>
      </c>
      <c r="AG282">
        <v>8</v>
      </c>
      <c r="AH282">
        <v>7</v>
      </c>
    </row>
    <row r="283" spans="1:34">
      <c r="A283" s="214">
        <v>131</v>
      </c>
      <c r="B283">
        <v>4996</v>
      </c>
      <c r="C283" t="s">
        <v>274</v>
      </c>
      <c r="D283" t="s">
        <v>90</v>
      </c>
      <c r="E283">
        <v>976</v>
      </c>
      <c r="F283">
        <v>989</v>
      </c>
      <c r="G283">
        <v>800</v>
      </c>
      <c r="H283" t="s">
        <v>89</v>
      </c>
      <c r="I283">
        <v>6920</v>
      </c>
      <c r="J283" t="s">
        <v>125</v>
      </c>
      <c r="K283" t="s">
        <v>126</v>
      </c>
      <c r="L283">
        <v>7570</v>
      </c>
      <c r="M283">
        <v>7730</v>
      </c>
      <c r="N283">
        <v>100</v>
      </c>
      <c r="O283" t="s">
        <v>91</v>
      </c>
      <c r="P283">
        <v>0.90069393287459598</v>
      </c>
      <c r="Q283">
        <v>0.92602175231085904</v>
      </c>
      <c r="R283">
        <v>2.06189057203548E-2</v>
      </c>
      <c r="S283">
        <v>5.1153829865135496E-3</v>
      </c>
      <c r="T283">
        <v>-1.6179482952109501</v>
      </c>
      <c r="U283">
        <v>1.6179482952109501</v>
      </c>
      <c r="V283">
        <v>-23.31</v>
      </c>
      <c r="W283">
        <v>2.35</v>
      </c>
      <c r="X283">
        <v>-410879</v>
      </c>
      <c r="Y283">
        <v>-20544</v>
      </c>
      <c r="Z283">
        <v>-0.95</v>
      </c>
      <c r="AA283">
        <v>20</v>
      </c>
      <c r="AB283">
        <v>9</v>
      </c>
      <c r="AC283">
        <v>11</v>
      </c>
      <c r="AD283">
        <v>45</v>
      </c>
      <c r="AE283">
        <v>10</v>
      </c>
      <c r="AF283">
        <v>5</v>
      </c>
      <c r="AG283">
        <v>9</v>
      </c>
      <c r="AH283">
        <v>6</v>
      </c>
    </row>
    <row r="284" spans="1:34">
      <c r="A284" s="214">
        <v>113</v>
      </c>
      <c r="B284">
        <v>4118</v>
      </c>
      <c r="C284" t="s">
        <v>93</v>
      </c>
      <c r="D284" t="s">
        <v>90</v>
      </c>
      <c r="E284">
        <v>3440</v>
      </c>
      <c r="F284">
        <v>3465</v>
      </c>
      <c r="G284">
        <v>300</v>
      </c>
      <c r="H284" t="s">
        <v>89</v>
      </c>
      <c r="I284">
        <v>5411</v>
      </c>
      <c r="J284" t="s">
        <v>133</v>
      </c>
      <c r="K284" t="s">
        <v>134</v>
      </c>
      <c r="L284">
        <v>1313.5</v>
      </c>
      <c r="M284">
        <v>1325</v>
      </c>
      <c r="N284">
        <v>800</v>
      </c>
      <c r="O284" t="s">
        <v>91</v>
      </c>
      <c r="P284">
        <v>0.92628537421485801</v>
      </c>
      <c r="Q284">
        <v>0.93075605780271697</v>
      </c>
      <c r="R284">
        <v>0.38622338268621198</v>
      </c>
      <c r="S284">
        <v>0.22609739512245999</v>
      </c>
      <c r="T284">
        <v>-8.3529075642181802E-2</v>
      </c>
      <c r="U284">
        <v>8.3529075642181802E-2</v>
      </c>
      <c r="V284">
        <v>-0.28000000000000003</v>
      </c>
      <c r="W284">
        <v>1.97</v>
      </c>
      <c r="X284">
        <v>-474762</v>
      </c>
      <c r="Y284">
        <v>-27927</v>
      </c>
      <c r="Z284">
        <v>-1.5</v>
      </c>
      <c r="AA284">
        <v>17</v>
      </c>
      <c r="AB284">
        <v>7</v>
      </c>
      <c r="AC284">
        <v>10</v>
      </c>
      <c r="AD284">
        <v>41.18</v>
      </c>
      <c r="AE284">
        <v>13</v>
      </c>
      <c r="AF284">
        <v>2</v>
      </c>
      <c r="AG284">
        <v>8</v>
      </c>
      <c r="AH284">
        <v>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129" t="s">
        <v>331</v>
      </c>
    </row>
    <row r="4" spans="1:2">
      <c r="B4" s="1"/>
    </row>
    <row r="5" spans="1:2" ht="15.75" thickBot="1">
      <c r="A5" s="120" t="s">
        <v>332</v>
      </c>
    </row>
    <row r="6" spans="1:2" ht="15.75" thickBot="1">
      <c r="A6" s="122" t="s">
        <v>333</v>
      </c>
      <c r="B6" s="123" t="s">
        <v>334</v>
      </c>
    </row>
    <row r="7" spans="1:2" ht="15.75" thickBot="1">
      <c r="A7" s="124" t="s">
        <v>335</v>
      </c>
      <c r="B7" s="121" t="s">
        <v>336</v>
      </c>
    </row>
    <row r="8" spans="1:2" ht="15.75" thickBot="1">
      <c r="A8" s="124" t="s">
        <v>337</v>
      </c>
      <c r="B8" s="121" t="s">
        <v>338</v>
      </c>
    </row>
    <row r="9" spans="1:2" ht="15.75" thickBot="1">
      <c r="A9" s="124" t="s">
        <v>339</v>
      </c>
      <c r="B9" s="121" t="s">
        <v>340</v>
      </c>
    </row>
    <row r="10" spans="1:2" ht="15.75" thickBot="1">
      <c r="A10" s="124" t="s">
        <v>341</v>
      </c>
      <c r="B10" s="121" t="s">
        <v>342</v>
      </c>
    </row>
    <row r="11" spans="1:2" ht="15.75" thickBot="1">
      <c r="A11" s="125" t="s">
        <v>343</v>
      </c>
      <c r="B11" s="126" t="s">
        <v>344</v>
      </c>
    </row>
    <row r="12" spans="1:2" ht="15.75" thickBot="1">
      <c r="A12" s="127" t="s">
        <v>345</v>
      </c>
      <c r="B12" s="128" t="s">
        <v>346</v>
      </c>
    </row>
    <row r="13" spans="1:2" ht="15.75" thickBot="1">
      <c r="A13" s="124" t="s">
        <v>347</v>
      </c>
      <c r="B13" s="121" t="s">
        <v>348</v>
      </c>
    </row>
    <row r="14" spans="1:2" ht="15.75" thickBot="1">
      <c r="A14" s="124" t="s">
        <v>349</v>
      </c>
      <c r="B14" s="121" t="s">
        <v>350</v>
      </c>
    </row>
    <row r="15" spans="1:2" ht="15.75" thickBot="1">
      <c r="A15" s="120" t="s">
        <v>351</v>
      </c>
    </row>
    <row r="16" spans="1:2" ht="15.75" thickBot="1">
      <c r="A16" s="122" t="s">
        <v>333</v>
      </c>
      <c r="B16" s="123" t="s">
        <v>334</v>
      </c>
    </row>
    <row r="17" spans="1:2" ht="15.75" thickBot="1">
      <c r="A17" s="124" t="s">
        <v>337</v>
      </c>
      <c r="B17" s="121" t="s">
        <v>338</v>
      </c>
    </row>
    <row r="18" spans="1:2" ht="15.75" thickBot="1">
      <c r="A18" s="124" t="s">
        <v>339</v>
      </c>
      <c r="B18" s="121" t="s">
        <v>352</v>
      </c>
    </row>
    <row r="19" spans="1:2" ht="15.75" thickBot="1">
      <c r="A19" s="124" t="s">
        <v>341</v>
      </c>
      <c r="B19" s="121" t="s">
        <v>353</v>
      </c>
    </row>
    <row r="20" spans="1:2" ht="15.75" thickBot="1">
      <c r="A20" s="125" t="s">
        <v>354</v>
      </c>
      <c r="B20" s="126" t="s">
        <v>355</v>
      </c>
    </row>
    <row r="23" spans="1:2" ht="15">
      <c r="A23" s="129" t="s">
        <v>356</v>
      </c>
    </row>
    <row r="24" spans="1:2" ht="15" thickBot="1"/>
    <row r="25" spans="1:2" ht="15.75" thickBot="1">
      <c r="A25" s="122" t="s">
        <v>357</v>
      </c>
      <c r="B25" s="123" t="s">
        <v>323</v>
      </c>
    </row>
    <row r="26" spans="1:2" ht="15.75" thickBot="1">
      <c r="A26" s="124" t="s">
        <v>337</v>
      </c>
      <c r="B26" s="121" t="s">
        <v>358</v>
      </c>
    </row>
    <row r="27" spans="1:2" ht="15.75" thickBot="1">
      <c r="A27" s="124" t="s">
        <v>339</v>
      </c>
      <c r="B27" s="121" t="s">
        <v>359</v>
      </c>
    </row>
    <row r="28" spans="1:2" ht="15.75" thickBot="1">
      <c r="A28" s="124" t="s">
        <v>360</v>
      </c>
      <c r="B28" s="121" t="s">
        <v>361</v>
      </c>
    </row>
    <row r="29" spans="1:2" ht="15.75" thickBot="1">
      <c r="A29" s="124" t="s">
        <v>341</v>
      </c>
      <c r="B29" s="121" t="s">
        <v>362</v>
      </c>
    </row>
    <row r="30" spans="1:2" ht="15.75" thickBot="1">
      <c r="A30" s="124" t="s">
        <v>343</v>
      </c>
      <c r="B30" s="121" t="s">
        <v>363</v>
      </c>
    </row>
    <row r="31" spans="1:2" ht="15.75" thickBot="1">
      <c r="A31" s="124" t="s">
        <v>364</v>
      </c>
      <c r="B31" s="121" t="s">
        <v>365</v>
      </c>
    </row>
    <row r="32" spans="1:2" ht="15">
      <c r="A32" s="131" t="s">
        <v>366</v>
      </c>
      <c r="B32" s="133" t="s">
        <v>368</v>
      </c>
    </row>
    <row r="33" spans="1:8" ht="30.75" thickBot="1">
      <c r="A33" s="124" t="s">
        <v>367</v>
      </c>
      <c r="B33" s="134"/>
    </row>
    <row r="35" spans="1:8" ht="15" thickBot="1"/>
    <row r="36" spans="1:8" ht="15" thickBot="1">
      <c r="A36" s="144" t="s">
        <v>315</v>
      </c>
      <c r="B36" s="145"/>
      <c r="C36" s="149" t="s">
        <v>369</v>
      </c>
      <c r="D36" s="148"/>
      <c r="E36" s="148"/>
      <c r="F36" s="148"/>
      <c r="G36" s="150"/>
      <c r="H36" s="140"/>
    </row>
    <row r="37" spans="1:8" ht="15" thickBot="1">
      <c r="A37" s="146"/>
      <c r="B37" s="147"/>
      <c r="C37" s="151" t="s">
        <v>370</v>
      </c>
      <c r="D37" s="152"/>
      <c r="E37" s="135" t="s">
        <v>371</v>
      </c>
      <c r="F37" s="153" t="s">
        <v>372</v>
      </c>
      <c r="G37" s="154"/>
    </row>
    <row r="38" spans="1:8" ht="15" thickBot="1">
      <c r="A38" s="141" t="s">
        <v>373</v>
      </c>
      <c r="B38" s="136" t="s">
        <v>374</v>
      </c>
      <c r="C38" s="136" t="s">
        <v>375</v>
      </c>
      <c r="D38" s="137" t="s">
        <v>374</v>
      </c>
      <c r="E38" s="137" t="s">
        <v>375</v>
      </c>
      <c r="F38" s="135" t="s">
        <v>375</v>
      </c>
      <c r="G38" s="138" t="s">
        <v>374</v>
      </c>
      <c r="H38" s="138" t="s">
        <v>375</v>
      </c>
    </row>
    <row r="39" spans="1:8" ht="28.5" customHeight="1" thickBot="1">
      <c r="A39" s="142" t="s">
        <v>376</v>
      </c>
      <c r="B39" s="156" t="s">
        <v>377</v>
      </c>
      <c r="C39" s="157"/>
      <c r="D39" s="156" t="s">
        <v>378</v>
      </c>
      <c r="E39" s="158"/>
      <c r="F39" s="158"/>
      <c r="G39" s="158"/>
      <c r="H39" s="157"/>
    </row>
    <row r="40" spans="1:8" ht="43.5" thickBot="1">
      <c r="A40" s="142" t="s">
        <v>379</v>
      </c>
      <c r="B40" s="156" t="s">
        <v>380</v>
      </c>
      <c r="C40" s="157"/>
      <c r="D40" s="139" t="s">
        <v>381</v>
      </c>
      <c r="E40" s="139" t="s">
        <v>382</v>
      </c>
      <c r="F40" s="139" t="s">
        <v>382</v>
      </c>
      <c r="G40" s="139" t="s">
        <v>381</v>
      </c>
      <c r="H40" s="139" t="s">
        <v>382</v>
      </c>
    </row>
    <row r="41" spans="1:8" ht="15" thickBot="1">
      <c r="A41" s="142" t="s">
        <v>383</v>
      </c>
      <c r="B41" s="156" t="s">
        <v>384</v>
      </c>
      <c r="C41" s="157"/>
      <c r="D41" s="156" t="s">
        <v>370</v>
      </c>
      <c r="E41" s="157"/>
      <c r="F41" s="139" t="s">
        <v>385</v>
      </c>
      <c r="G41" s="156" t="s">
        <v>386</v>
      </c>
      <c r="H41" s="157"/>
    </row>
    <row r="42" spans="1:8" ht="15" thickBot="1">
      <c r="A42" s="142" t="s">
        <v>323</v>
      </c>
      <c r="B42" s="156" t="s">
        <v>387</v>
      </c>
      <c r="C42" s="158"/>
      <c r="D42" s="158"/>
      <c r="E42" s="158"/>
      <c r="F42" s="157"/>
      <c r="G42" s="156" t="s">
        <v>388</v>
      </c>
      <c r="H42" s="157"/>
    </row>
    <row r="43" spans="1:8" ht="42.75">
      <c r="A43" s="143" t="s">
        <v>389</v>
      </c>
      <c r="B43" s="130" t="s">
        <v>391</v>
      </c>
      <c r="C43" s="133" t="s">
        <v>395</v>
      </c>
      <c r="D43" s="130" t="s">
        <v>391</v>
      </c>
      <c r="E43" s="133" t="s">
        <v>395</v>
      </c>
      <c r="F43" s="133" t="s">
        <v>395</v>
      </c>
      <c r="G43" s="130" t="s">
        <v>398</v>
      </c>
      <c r="H43" s="133" t="s">
        <v>395</v>
      </c>
    </row>
    <row r="44" spans="1:8" ht="42.75">
      <c r="A44" s="143" t="s">
        <v>390</v>
      </c>
      <c r="B44" s="173" t="s">
        <v>392</v>
      </c>
      <c r="C44" s="159"/>
      <c r="D44" s="130" t="s">
        <v>396</v>
      </c>
      <c r="E44" s="159"/>
      <c r="F44" s="159"/>
      <c r="G44" s="130" t="s">
        <v>399</v>
      </c>
      <c r="H44" s="159"/>
    </row>
    <row r="45" spans="1:8" ht="42.75">
      <c r="A45" s="143"/>
      <c r="B45" s="130" t="s">
        <v>393</v>
      </c>
      <c r="C45" s="159"/>
      <c r="D45" s="130" t="s">
        <v>393</v>
      </c>
      <c r="E45" s="159"/>
      <c r="F45" s="159"/>
      <c r="G45" s="130" t="s">
        <v>400</v>
      </c>
      <c r="H45" s="159"/>
    </row>
    <row r="46" spans="1:8" ht="15" thickBot="1">
      <c r="A46" s="142"/>
      <c r="B46" s="139" t="s">
        <v>394</v>
      </c>
      <c r="C46" s="134"/>
      <c r="D46" s="139" t="s">
        <v>397</v>
      </c>
      <c r="E46" s="134"/>
      <c r="F46" s="134"/>
      <c r="G46" s="139"/>
      <c r="H46" s="134"/>
    </row>
    <row r="47" spans="1:8" ht="42.75">
      <c r="A47" s="143" t="s">
        <v>401</v>
      </c>
      <c r="B47" s="133" t="s">
        <v>395</v>
      </c>
      <c r="C47" s="174">
        <v>1.0999999999999999E-2</v>
      </c>
      <c r="D47" s="133" t="s">
        <v>395</v>
      </c>
      <c r="E47" s="160">
        <v>1.0999999999999999E-2</v>
      </c>
      <c r="F47" s="160">
        <v>3.9E-2</v>
      </c>
      <c r="G47" s="133" t="s">
        <v>395</v>
      </c>
      <c r="H47" s="130" t="s">
        <v>398</v>
      </c>
    </row>
    <row r="48" spans="1:8" ht="42.75">
      <c r="A48" s="143" t="s">
        <v>390</v>
      </c>
      <c r="B48" s="159"/>
      <c r="C48" s="175"/>
      <c r="D48" s="159"/>
      <c r="E48" s="161"/>
      <c r="F48" s="161"/>
      <c r="G48" s="159"/>
      <c r="H48" s="130" t="s">
        <v>399</v>
      </c>
    </row>
    <row r="49" spans="1:8" ht="43.5" thickBot="1">
      <c r="A49" s="142"/>
      <c r="B49" s="134"/>
      <c r="C49" s="176"/>
      <c r="D49" s="134"/>
      <c r="E49" s="162"/>
      <c r="F49" s="162"/>
      <c r="G49" s="134"/>
      <c r="H49" s="139" t="s">
        <v>400</v>
      </c>
    </row>
    <row r="50" spans="1:8" ht="127.5" customHeight="1">
      <c r="A50" s="143" t="s">
        <v>402</v>
      </c>
      <c r="B50" s="133" t="s">
        <v>395</v>
      </c>
      <c r="C50" s="177" t="s">
        <v>404</v>
      </c>
      <c r="D50" s="133" t="s">
        <v>395</v>
      </c>
      <c r="E50" s="133" t="s">
        <v>395</v>
      </c>
      <c r="F50" s="133" t="s">
        <v>395</v>
      </c>
      <c r="G50" s="133" t="s">
        <v>395</v>
      </c>
      <c r="H50" s="133" t="s">
        <v>405</v>
      </c>
    </row>
    <row r="51" spans="1:8" ht="15" thickBot="1">
      <c r="A51" s="142" t="s">
        <v>403</v>
      </c>
      <c r="B51" s="134"/>
      <c r="C51" s="178"/>
      <c r="D51" s="134"/>
      <c r="E51" s="134"/>
      <c r="F51" s="134"/>
      <c r="G51" s="134"/>
      <c r="H51" s="134"/>
    </row>
    <row r="52" spans="1:8" ht="15" thickBot="1">
      <c r="A52" s="142" t="s">
        <v>406</v>
      </c>
      <c r="B52" s="156" t="s">
        <v>407</v>
      </c>
      <c r="C52" s="158"/>
      <c r="D52" s="158"/>
      <c r="E52" s="158"/>
      <c r="F52" s="158"/>
      <c r="G52" s="158"/>
      <c r="H52" s="157"/>
    </row>
    <row r="53" spans="1:8" ht="14.25" customHeight="1">
      <c r="A53" s="164" t="s">
        <v>408</v>
      </c>
      <c r="B53" s="167" t="s">
        <v>409</v>
      </c>
      <c r="C53" s="168"/>
      <c r="D53" s="168"/>
      <c r="E53" s="168"/>
      <c r="F53" s="168"/>
      <c r="G53" s="168"/>
      <c r="H53" s="169"/>
    </row>
    <row r="54" spans="1:8" ht="15" thickBot="1">
      <c r="A54" s="165"/>
      <c r="B54" s="170" t="s">
        <v>410</v>
      </c>
      <c r="C54" s="155"/>
      <c r="D54" s="155"/>
      <c r="E54" s="155"/>
      <c r="F54" s="155"/>
      <c r="G54" s="155"/>
      <c r="H54" s="171"/>
    </row>
    <row r="55" spans="1:8" ht="14.25" customHeight="1">
      <c r="A55" s="164" t="s">
        <v>411</v>
      </c>
      <c r="B55" s="167" t="s">
        <v>412</v>
      </c>
      <c r="C55" s="168"/>
      <c r="D55" s="168"/>
      <c r="E55" s="168"/>
      <c r="F55" s="168"/>
      <c r="G55" s="168"/>
      <c r="H55" s="169"/>
    </row>
    <row r="56" spans="1:8" ht="15" thickBot="1">
      <c r="A56" s="165"/>
      <c r="B56" s="170" t="s">
        <v>413</v>
      </c>
      <c r="C56" s="155"/>
      <c r="D56" s="155"/>
      <c r="E56" s="155"/>
      <c r="F56" s="155"/>
      <c r="G56" s="155"/>
      <c r="H56" s="171"/>
    </row>
    <row r="57" spans="1:8" ht="28.5" customHeight="1">
      <c r="A57" s="164" t="s">
        <v>414</v>
      </c>
      <c r="B57" s="167" t="s">
        <v>415</v>
      </c>
      <c r="C57" s="168"/>
      <c r="D57" s="169"/>
      <c r="E57" s="167" t="s">
        <v>416</v>
      </c>
      <c r="F57" s="168"/>
      <c r="G57" s="168"/>
      <c r="H57" s="169"/>
    </row>
    <row r="58" spans="1:8" ht="28.5" customHeight="1">
      <c r="A58" s="163"/>
      <c r="B58" s="172"/>
      <c r="C58" s="166"/>
      <c r="D58" s="132"/>
      <c r="E58" s="172" t="s">
        <v>417</v>
      </c>
      <c r="F58" s="166"/>
      <c r="G58" s="166"/>
      <c r="H58" s="132"/>
    </row>
    <row r="59" spans="1:8" ht="28.5" customHeight="1" thickBot="1">
      <c r="A59" s="165"/>
      <c r="B59" s="170"/>
      <c r="C59" s="155"/>
      <c r="D59" s="171"/>
      <c r="E59" s="170" t="s">
        <v>418</v>
      </c>
      <c r="F59" s="155"/>
      <c r="G59" s="155"/>
      <c r="H59" s="171"/>
    </row>
  </sheetData>
  <mergeCells count="42">
    <mergeCell ref="A57:A59"/>
    <mergeCell ref="B57:D59"/>
    <mergeCell ref="E57:H57"/>
    <mergeCell ref="E58:H58"/>
    <mergeCell ref="E59:H59"/>
    <mergeCell ref="H50:H51"/>
    <mergeCell ref="B52:H52"/>
    <mergeCell ref="A53:A54"/>
    <mergeCell ref="B53:H53"/>
    <mergeCell ref="B54:H54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B40:C40"/>
    <mergeCell ref="B41:C41"/>
    <mergeCell ref="D41:E41"/>
    <mergeCell ref="G41:H41"/>
    <mergeCell ref="B42:F42"/>
    <mergeCell ref="G42:H42"/>
    <mergeCell ref="B32:B33"/>
    <mergeCell ref="A36:B37"/>
    <mergeCell ref="C36:G36"/>
    <mergeCell ref="C37:D37"/>
    <mergeCell ref="F37:G37"/>
    <mergeCell ref="B39:C39"/>
    <mergeCell ref="D39:H3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2019-10-14T12:44:18Z</dcterms:modified>
</cp:coreProperties>
</file>