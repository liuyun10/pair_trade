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9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グラフ" sheetId="7" r:id="rId9"/>
    <sheet name="BACK_TEST" sheetId="23" r:id="rId10"/>
    <sheet name="個別計算" sheetId="6" r:id="rId11"/>
    <sheet name="日経サヤ計算" sheetId="11" r:id="rId12"/>
    <sheet name="code" sheetId="8" r:id="rId13"/>
    <sheet name="元データ" sheetId="9" r:id="rId14"/>
    <sheet name="改訂欄" sheetId="10" r:id="rId15"/>
    <sheet name="Fee_Refer" sheetId="17" r:id="rId16"/>
    <sheet name="Faiue" sheetId="18" r:id="rId17"/>
    <sheet name="Fiscal_date" sheetId="19" r:id="rId18"/>
    <sheet name="gyakunipo_data" sheetId="22" r:id="rId19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C21" i="4"/>
  <c r="C20"/>
  <c r="J11" i="2"/>
  <c r="J10"/>
  <c r="C10"/>
  <c r="R2" i="13"/>
  <c r="J9" i="2"/>
  <c r="J8"/>
  <c r="C8"/>
  <c r="AC32" i="13"/>
  <c r="AB32"/>
  <c r="AA32"/>
  <c r="AC30"/>
  <c r="AB30"/>
  <c r="AA30"/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U10" i="2" l="1"/>
  <c r="V10" s="1"/>
  <c r="U8"/>
  <c r="V8" s="1"/>
  <c r="Q4" i="3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11" i="2" l="1"/>
  <c r="P11" s="1"/>
  <c r="Q11" s="1"/>
  <c r="N10"/>
  <c r="P10" s="1"/>
  <c r="N9"/>
  <c r="P9" s="1"/>
  <c r="Q9" s="1"/>
  <c r="N8"/>
  <c r="P8" s="1"/>
  <c r="N6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10" i="2" l="1"/>
  <c r="S10" s="1"/>
  <c r="Q10"/>
  <c r="R8"/>
  <c r="S8" s="1"/>
  <c r="Q8"/>
  <c r="Q6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<sst xmlns="http://schemas.openxmlformats.org/spreadsheetml/2006/main" count="7867" uniqueCount="2353">
  <si>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</si>
  <si>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</si>
  <si>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</si>
  <si>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</si>
  <si>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</si>
  <si>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</si>
  <si>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</si>
  <si>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</si>
  <si>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</si>
  <si>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</si>
  <si>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</si>
  <si>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</si>
  <si>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</si>
  <si>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</si>
  <si>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</si>
  <si>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</si>
  <si>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</si>
  <si>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</si>
  <si>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</si>
  <si>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</si>
  <si>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</si>
  <si>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</si>
  <si>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</si>
  <si>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</si>
  <si>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</si>
  <si>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</si>
  <si>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</si>
  <si>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</si>
  <si>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</si>
  <si>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</si>
  <si>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</si>
  <si>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</si>
  <si>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</si>
  <si>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</si>
  <si>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</si>
  <si>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</si>
  <si>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</si>
  <si>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</si>
  <si>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</si>
  <si>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</si>
  <si>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</si>
  <si>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</si>
  <si>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</si>
  <si>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</si>
  <si>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</si>
  <si>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</si>
  <si>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</si>
  <si>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</si>
  <si>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</si>
  <si>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</si>
  <si>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</si>
  <si>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</si>
  <si>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</si>
  <si>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</si>
  <si>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</si>
  <si>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</si>
  <si>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</si>
  <si>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</si>
  <si>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</si>
  <si>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</si>
  <si>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</si>
  <si>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</si>
  <si>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</si>
  <si>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</si>
  <si>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</si>
  <si>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</si>
  <si>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</si>
  <si>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</si>
  <si>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</si>
  <si>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</si>
  <si>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</si>
  <si>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</si>
  <si>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</si>
  <si>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</si>
  <si>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</si>
  <si>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</si>
  <si>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</si>
  <si>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</si>
  <si>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</si>
  <si>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</si>
  <si>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</si>
  <si>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</si>
  <si>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</si>
  <si>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</si>
  <si>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</si>
  <si>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</si>
  <si>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</si>
  <si>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</si>
  <si>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</si>
  <si>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</si>
  <si>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</si>
  <si>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</si>
  <si>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</si>
  <si>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</si>
  <si>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</si>
  <si>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</si>
  <si>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</si>
  <si>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</si>
  <si>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</si>
  <si>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</si>
  <si>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</si>
  <si>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</si>
  <si>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</si>
  <si>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</si>
  <si>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</si>
  <si>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</si>
  <si>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</si>
  <si>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</si>
  <si>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</si>
  <si>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</si>
  <si>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</si>
  <si>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</si>
  <si>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</si>
  <si>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</si>
  <si>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</si>
  <si>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</si>
  <si>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</si>
  <si>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</si>
  <si>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</si>
  <si>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</si>
  <si>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</si>
  <si>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</si>
  <si>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</si>
  <si>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</si>
  <si>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</si>
  <si>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</si>
  <si>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</si>
  <si>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</si>
  <si>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</si>
  <si>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</si>
  <si>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</si>
  <si>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</si>
  <si>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</si>
  <si>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</si>
  <si>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</si>
  <si>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</si>
  <si>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</si>
  <si>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</si>
  <si>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</si>
  <si>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</si>
  <si>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</si>
  <si>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</si>
  <si>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</si>
  <si>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</si>
  <si>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</si>
  <si>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</si>
  <si>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</si>
  <si>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</si>
  <si>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</si>
  <si>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</si>
  <si>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</si>
  <si>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</si>
  <si>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</si>
  <si>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</si>
  <si>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</si>
  <si>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</si>
  <si>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</si>
  <si>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</si>
  <si>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</si>
  <si>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</si>
  <si>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</si>
  <si>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</si>
  <si>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</si>
  <si>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</si>
  <si>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</si>
  <si>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</si>
  <si>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</si>
  <si>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</si>
  <si>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</si>
  <si>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</si>
  <si>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</si>
  <si>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</si>
  <si>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</si>
  <si>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</si>
  <si>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</si>
  <si>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</si>
  <si>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</si>
  <si>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</si>
  <si>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</si>
  <si>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</si>
  <si>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</si>
  <si>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</si>
  <si>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</si>
  <si>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</si>
  <si>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</si>
  <si>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</si>
  <si>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</si>
  <si>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</si>
  <si>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</si>
  <si>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</si>
  <si>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</si>
  <si>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</si>
  <si>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</si>
  <si>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</si>
  <si>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</si>
  <si>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</si>
  <si>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</si>
  <si>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</si>
  <si>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</si>
  <si>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</si>
  <si>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</si>
  <si>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</si>
  <si>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</si>
  <si>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</si>
  <si>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</si>
  <si>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</si>
  <si>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</si>
  <si>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</si>
  <si>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</si>
  <si>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</si>
  <si>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</si>
  <si>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</si>
  <si>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</si>
  <si>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</si>
  <si>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</si>
  <si>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</si>
  <si>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</si>
  <si>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</si>
  <si>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</si>
  <si>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</si>
  <si>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</si>
  <si>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</si>
  <si>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</si>
  <si>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</si>
  <si>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</si>
  <si>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</si>
  <si>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</si>
  <si>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</si>
  <si>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</si>
  <si>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</si>
  <si>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</si>
  <si>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</si>
  <si>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</si>
  <si>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</si>
  <si>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</si>
  <si>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</si>
  <si>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</si>
  <si>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</si>
  <si>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</si>
  <si>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</si>
  <si>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</si>
  <si>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</si>
  <si>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</si>
  <si>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</si>
  <si>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</si>
  <si>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</si>
  <si>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</si>
  <si>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</si>
  <si>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</si>
  <si>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</si>
  <si>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</si>
  <si>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</si>
  <si>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</si>
  <si>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</si>
  <si>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</si>
  <si>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</si>
  <si>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</si>
  <si>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</si>
  <si>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</si>
  <si>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</si>
  <si>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</si>
  <si>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</si>
  <si>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</si>
  <si>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</si>
  <si>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</si>
  <si>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</si>
  <si>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</si>
  <si>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</si>
  <si>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</si>
  <si>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</si>
  <si>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</si>
  <si>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</si>
  <si>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</si>
  <si>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</si>
  <si>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</si>
  <si>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</si>
  <si>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</si>
  <si>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</si>
  <si>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</si>
  <si>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</si>
  <si>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</si>
  <si>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</si>
  <si>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</si>
  <si>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</si>
  <si>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</si>
  <si>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</si>
  <si>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</si>
  <si>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</si>
  <si>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</si>
  <si>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</si>
  <si>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</si>
  <si>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</si>
  <si>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</si>
  <si>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</si>
  <si>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</si>
  <si>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</si>
  <si>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</si>
  <si>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</si>
  <si>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</si>
  <si>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</si>
  <si>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</si>
  <si>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</si>
  <si>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</si>
  <si>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</si>
  <si>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</si>
  <si>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</si>
  <si>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</si>
  <si>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</si>
  <si>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</si>
  <si>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</si>
  <si>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</si>
  <si>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</si>
  <si>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</si>
  <si>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</si>
  <si>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</si>
  <si>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</si>
  <si>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</si>
  <si>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</si>
  <si>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</si>
  <si>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</si>
  <si>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</si>
  <si>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</si>
  <si>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</si>
  <si>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</si>
  <si>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</si>
  <si>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</si>
  <si>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</si>
  <si>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</si>
  <si>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</si>
  <si>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</si>
  <si>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</si>
  <si>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</si>
  <si>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</si>
  <si>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</si>
  <si>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</si>
  <si>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</si>
  <si>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</si>
  <si>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</si>
  <si>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</si>
  <si>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</si>
  <si>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</si>
  <si>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</si>
  <si>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</si>
  <si>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</si>
  <si>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</si>
  <si>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</si>
  <si>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</si>
  <si>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</si>
  <si>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</si>
  <si>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</si>
  <si>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</si>
  <si>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</si>
  <si>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</si>
  <si>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</si>
  <si>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</si>
  <si>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</si>
  <si>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</si>
  <si>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</si>
  <si>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</si>
  <si>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</si>
  <si>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</si>
  <si>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</si>
  <si>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</si>
  <si>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</si>
  <si>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</si>
  <si>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</si>
  <si>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</si>
  <si>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</si>
  <si>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</si>
  <si>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</si>
  <si>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</si>
  <si>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</si>
  <si>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</si>
  <si>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</si>
  <si>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</si>
  <si>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</si>
  <si>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</si>
  <si>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</si>
  <si>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</si>
  <si>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</si>
  <si>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</si>
  <si>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</si>
  <si>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</si>
  <si>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</si>
  <si>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</si>
  <si>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</si>
  <si>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</si>
  <si>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</si>
  <si>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</si>
  <si>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</si>
  <si>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</si>
  <si>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</si>
  <si>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</si>
  <si>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</si>
  <si>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</si>
  <si>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</si>
  <si>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</si>
  <si>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</si>
  <si>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</si>
  <si>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</si>
  <si>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</si>
  <si>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</si>
  <si>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</si>
  <si>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</si>
  <si>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</si>
  <si>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</si>
  <si>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</si>
  <si>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</si>
  <si>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</si>
  <si>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</si>
  <si>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</si>
  <si>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</si>
  <si>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</si>
  <si>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</si>
  <si>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</si>
  <si>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</si>
  <si>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</si>
  <si>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</si>
  <si>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</si>
  <si>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</si>
  <si>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</si>
  <si>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</si>
  <si>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</si>
  <si>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</si>
  <si>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</si>
  <si>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</si>
  <si>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</si>
  <si>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</si>
  <si>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</si>
  <si>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</si>
  <si>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</si>
  <si>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</si>
  <si>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</si>
  <si>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</si>
  <si>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</si>
  <si>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</si>
  <si>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</si>
  <si>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</si>
  <si>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</si>
  <si>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</si>
  <si>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</si>
  <si>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</si>
  <si>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</si>
  <si>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</si>
  <si>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</si>
  <si>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</si>
  <si>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</si>
  <si>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</si>
  <si>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</si>
  <si>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</si>
  <si>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</si>
  <si>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</si>
  <si>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</si>
  <si>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</si>
  <si>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</si>
  <si>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</si>
  <si>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</si>
  <si>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</si>
  <si>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</si>
  <si>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</si>
  <si>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</si>
  <si>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</si>
  <si>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</si>
  <si>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</si>
  <si>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</si>
  <si>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</si>
  <si>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</si>
  <si>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</si>
  <si>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</si>
  <si>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</si>
  <si>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</si>
  <si>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</si>
  <si>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</si>
  <si>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</si>
  <si>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</si>
  <si>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</si>
  <si>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</si>
  <si>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</si>
  <si>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</si>
  <si>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</si>
  <si>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</si>
  <si>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</si>
  <si>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</si>
  <si>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</si>
  <si>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</si>
  <si>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</si>
  <si>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</si>
  <si>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</si>
  <si>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</si>
  <si>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</si>
  <si>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</si>
  <si>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</si>
  <si>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</si>
  <si>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</si>
  <si>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</si>
  <si>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</si>
  <si>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</si>
  <si>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</si>
  <si>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</si>
  <si>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</si>
  <si>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</si>
  <si>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</si>
  <si>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</si>
  <si>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</si>
  <si>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</si>
  <si>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</si>
  <si>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</si>
  <si>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</si>
  <si>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</si>
  <si>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</si>
  <si>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</si>
  <si>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</si>
  <si>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</si>
  <si>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</si>
  <si>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</si>
  <si>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</si>
  <si>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</si>
  <si>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</si>
  <si>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</si>
  <si>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</si>
  <si>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</si>
  <si>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</si>
  <si>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</si>
  <si>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</si>
  <si>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</si>
  <si>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</si>
  <si>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</si>
  <si>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</si>
  <si>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</si>
  <si>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</si>
  <si>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</si>
  <si>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</si>
  <si>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</si>
  <si>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</si>
  <si>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</si>
  <si>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</si>
  <si>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</si>
  <si>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</si>
  <si>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</si>
  <si>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</si>
  <si>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</si>
  <si>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</si>
  <si>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</si>
  <si>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</si>
  <si>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</si>
  <si>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</si>
  <si>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</si>
  <si>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</si>
  <si>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</si>
  <si>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</si>
  <si>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</si>
  <si>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</si>
  <si>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</si>
  <si>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</si>
  <si>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</si>
  <si>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</si>
  <si>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</si>
  <si>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</si>
  <si>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</si>
  <si>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</si>
  <si>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</si>
  <si>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</si>
  <si>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</si>
  <si>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</si>
  <si>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</si>
  <si>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</si>
  <si>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</si>
  <si>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</si>
  <si>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</si>
  <si>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</si>
  <si>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</si>
  <si>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</si>
  <si>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</si>
  <si>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</si>
  <si>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</si>
  <si>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</si>
  <si>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</si>
  <si>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</si>
  <si>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</si>
  <si>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</si>
  <si>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</si>
  <si>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</si>
  <si>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</si>
  <si>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</si>
  <si>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</si>
  <si>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</si>
  <si>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</si>
  <si>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</si>
  <si>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</si>
  <si>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</si>
  <si>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</si>
  <si>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</si>
  <si>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</si>
  <si>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</si>
  <si>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</si>
  <si>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</si>
  <si>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</si>
  <si>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</si>
  <si>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</si>
  <si>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</si>
  <si>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</si>
  <si>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</si>
  <si>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</si>
  <si>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</si>
  <si>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</si>
  <si>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</si>
  <si>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</si>
  <si>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</si>
  <si>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</si>
  <si>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</si>
  <si>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</si>
  <si>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</si>
  <si>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</si>
  <si>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</si>
  <si>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</si>
  <si>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</si>
  <si>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</si>
  <si>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</si>
  <si>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</si>
  <si>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</si>
  <si>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</si>
  <si>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</si>
  <si>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</si>
  <si>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</si>
  <si>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</si>
  <si>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</si>
  <si>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</si>
  <si>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</si>
  <si>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</si>
  <si>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</si>
  <si>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</si>
  <si>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</si>
  <si>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</si>
  <si>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</si>
  <si>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</si>
  <si>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</si>
  <si>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</si>
  <si>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</si>
  <si>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</si>
  <si>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</si>
  <si>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</si>
  <si>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</si>
  <si>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</si>
  <si>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</si>
  <si>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</si>
  <si>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</si>
  <si>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</si>
  <si>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</si>
  <si>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</si>
  <si>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</si>
  <si>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</si>
  <si>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</si>
  <si>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</si>
  <si>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</si>
  <si>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</si>
  <si>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</si>
  <si>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</si>
  <si>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</si>
  <si>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</si>
  <si>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</si>
  <si>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</si>
  <si>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</si>
  <si>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</si>
  <si>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</si>
  <si>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</si>
  <si>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</si>
  <si>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</si>
  <si>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</si>
  <si>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</si>
  <si>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</si>
  <si>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</si>
  <si>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</si>
  <si>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</si>
  <si>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</si>
  <si>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</si>
  <si>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</si>
  <si>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</si>
  <si>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</si>
  <si>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</si>
  <si>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</si>
  <si>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</si>
  <si>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</si>
  <si>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</si>
  <si>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</si>
  <si>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</si>
  <si>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</si>
  <si>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</si>
  <si>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</si>
  <si>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</si>
  <si>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</si>
  <si>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</si>
  <si>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</si>
  <si>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</si>
  <si>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</si>
  <si>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</si>
  <si>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</si>
  <si>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</si>
  <si>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</si>
  <si>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</si>
  <si>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</si>
  <si>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</si>
  <si>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</si>
  <si>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</si>
  <si>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</si>
  <si>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</si>
  <si>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</si>
  <si>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</si>
  <si>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</si>
  <si>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</si>
  <si>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</si>
  <si>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</si>
  <si>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</si>
  <si>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</si>
  <si>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</si>
  <si>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</si>
  <si>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</si>
  <si>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</si>
  <si>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</si>
  <si>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</si>
  <si>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</si>
  <si>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</si>
  <si>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</si>
  <si>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</si>
  <si>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</si>
  <si>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</si>
  <si>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</si>
  <si>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</si>
  <si>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</si>
  <si>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</si>
  <si>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</si>
  <si>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</si>
  <si>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</si>
  <si>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</si>
  <si>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</si>
  <si>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</si>
  <si>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</si>
  <si>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</si>
  <si>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</si>
  <si>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</si>
  <si>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</si>
  <si>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</si>
  <si>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</si>
  <si>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</si>
  <si>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</si>
  <si>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</si>
  <si>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</si>
  <si>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</si>
  <si>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</si>
  <si>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</si>
  <si>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</si>
  <si>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</si>
  <si>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</si>
  <si>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</si>
  <si>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</si>
  <si>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</si>
  <si>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</si>
  <si>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</si>
  <si>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</si>
  <si>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</si>
  <si>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</si>
  <si>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</si>
  <si>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</si>
  <si>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</si>
  <si>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</si>
  <si>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</si>
  <si>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</si>
  <si>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</si>
  <si>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</si>
  <si>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</si>
  <si>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</si>
  <si>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</si>
  <si>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</si>
  <si>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</si>
  <si>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</si>
  <si>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</si>
  <si>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</si>
  <si>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</si>
  <si>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</si>
  <si>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</si>
  <si>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</si>
  <si>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</si>
  <si>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</si>
  <si>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</si>
  <si>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</si>
  <si>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</si>
  <si>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</si>
  <si>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</si>
  <si>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</si>
  <si>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</si>
  <si>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</si>
  <si>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</si>
  <si>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</si>
  <si>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</si>
  <si>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</si>
  <si>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</si>
  <si>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</si>
  <si>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</si>
  <si>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</si>
  <si>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</si>
  <si>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</si>
  <si>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</si>
  <si>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</si>
  <si>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</si>
  <si>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</si>
  <si>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</si>
  <si>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</si>
  <si>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</si>
  <si>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</si>
  <si>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</si>
  <si>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</si>
  <si>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</si>
  <si>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</si>
  <si>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</si>
  <si>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</si>
  <si>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</si>
  <si>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</si>
  <si>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</si>
  <si>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</si>
  <si>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</si>
  <si>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</si>
  <si>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</si>
  <si>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</si>
  <si>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</si>
  <si>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</si>
  <si>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</si>
  <si>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</si>
  <si>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</si>
  <si>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</si>
  <si>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</si>
  <si>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</si>
  <si>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</si>
  <si>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</si>
  <si>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</si>
  <si>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</si>
  <si>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</si>
  <si>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</si>
  <si>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</si>
  <si>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</si>
  <si>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</si>
  <si>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</si>
  <si>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</si>
  <si>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</si>
  <si>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</si>
  <si>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</si>
  <si>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</si>
  <si>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</si>
  <si>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</si>
  <si>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</si>
  <si>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</si>
  <si>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</si>
  <si>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</si>
  <si>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</si>
  <si>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</si>
  <si>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</si>
  <si>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</si>
  <si>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</si>
  <si>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</si>
  <si>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</si>
  <si>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</si>
  <si>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</si>
  <si>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</si>
  <si>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</si>
  <si>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</si>
  <si>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</si>
  <si>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</si>
  <si>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</si>
  <si>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</si>
  <si>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</si>
  <si>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</si>
  <si>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</si>
  <si>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</si>
  <si>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</si>
  <si>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</si>
  <si>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</si>
  <si>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</si>
  <si>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</si>
  <si>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</si>
  <si>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</si>
  <si>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</si>
  <si>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</si>
  <si>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</si>
  <si>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</si>
  <si>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</si>
  <si>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</si>
  <si>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</si>
  <si>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</si>
  <si>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</si>
  <si>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</si>
  <si>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</si>
  <si>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</si>
  <si>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</si>
  <si>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</si>
  <si>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</si>
  <si>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</si>
  <si>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</si>
  <si>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</si>
  <si>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</si>
  <si>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</si>
  <si>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</si>
  <si>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</si>
  <si>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</si>
  <si>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</si>
  <si>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</si>
  <si>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</si>
  <si>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</si>
  <si>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</si>
  <si>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</si>
  <si>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</si>
  <si>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</si>
  <si>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</si>
  <si>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</si>
  <si>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</si>
  <si>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</si>
  <si>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</si>
  <si>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</si>
  <si>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</si>
  <si>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</si>
  <si>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</si>
  <si>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</si>
  <si>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</si>
  <si>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</si>
  <si>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</si>
  <si>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</si>
  <si>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</si>
  <si>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</si>
  <si>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</si>
  <si>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</si>
  <si>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</si>
  <si>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</si>
  <si>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</si>
  <si>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</si>
  <si>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</si>
  <si>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</si>
  <si>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</si>
  <si>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</si>
  <si>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</si>
  <si>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</si>
  <si>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</si>
  <si>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</si>
  <si>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</si>
  <si>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</si>
  <si>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</si>
  <si>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</si>
  <si>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</si>
  <si>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</si>
  <si>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</si>
  <si>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</si>
  <si>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</si>
  <si>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</si>
  <si>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</si>
  <si>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</si>
  <si>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</si>
  <si>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</si>
  <si>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</si>
  <si>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</si>
  <si>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</si>
  <si>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</si>
  <si>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</si>
  <si>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</si>
  <si>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</si>
  <si>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</si>
  <si>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</si>
  <si>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</si>
  <si>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</si>
  <si>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</si>
  <si>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</si>
  <si>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</si>
  <si>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</si>
  <si>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</si>
  <si>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</si>
  <si>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</si>
  <si>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</si>
  <si>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</si>
  <si>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</si>
  <si>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</si>
  <si>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</si>
  <si>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</si>
  <si>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</si>
  <si>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</si>
  <si>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</si>
  <si>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</si>
  <si>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</si>
  <si>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</si>
  <si>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</si>
  <si>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</si>
  <si>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</si>
  <si>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</si>
  <si>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</si>
  <si>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</si>
  <si>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</si>
  <si>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</si>
  <si>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</si>
  <si>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</si>
  <si>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</si>
  <si>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</si>
  <si>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</si>
  <si>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</si>
  <si>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</si>
  <si>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</si>
  <si>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</si>
  <si>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</si>
  <si>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</si>
  <si>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</si>
  <si>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</si>
  <si>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</si>
  <si>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</si>
  <si>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</si>
  <si>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</si>
  <si>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</si>
  <si>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</si>
  <si>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</si>
  <si>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</si>
  <si>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</si>
  <si>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</si>
  <si>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</si>
  <si>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</si>
  <si>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</si>
  <si>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</si>
  <si>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</si>
  <si>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</si>
  <si>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</si>
  <si>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</si>
  <si>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</si>
  <si>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</si>
  <si>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</si>
  <si>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</si>
  <si>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</si>
  <si>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</si>
  <si>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</si>
  <si>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</si>
  <si>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</si>
  <si>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</si>
  <si>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</si>
  <si>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</si>
  <si>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</si>
  <si>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</si>
  <si>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</si>
  <si>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</si>
  <si>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</si>
  <si>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</si>
  <si>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</si>
  <si>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</si>
  <si>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</si>
  <si>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</si>
  <si>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</si>
  <si>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</si>
  <si>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</si>
  <si>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</si>
  <si>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</si>
  <si>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</si>
  <si>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</si>
  <si>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</si>
  <si>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</si>
  <si>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</si>
  <si>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</si>
  <si>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</si>
  <si>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</si>
  <si>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</si>
  <si>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</si>
  <si>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</si>
  <si>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</si>
  <si>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</si>
  <si>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</si>
  <si>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</si>
  <si>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</si>
  <si>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</si>
  <si>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</si>
  <si>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</si>
  <si>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</si>
  <si>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</si>
  <si>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</si>
  <si>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</si>
  <si>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</si>
  <si>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</si>
  <si>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</si>
  <si>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</si>
  <si>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</si>
  <si>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</si>
  <si>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</si>
  <si>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</si>
  <si>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</si>
  <si>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</si>
  <si>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</si>
  <si>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</si>
  <si>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</si>
  <si>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</si>
  <si>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</si>
  <si>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</si>
  <si>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</si>
  <si>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</si>
  <si>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</si>
  <si>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</si>
  <si>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</si>
  <si>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</si>
  <si>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</si>
  <si>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</si>
  <si>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</si>
  <si>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</si>
  <si>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</si>
  <si>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</si>
  <si>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</si>
  <si>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</si>
  <si>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</si>
  <si>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</si>
  <si>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</si>
  <si>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</si>
  <si>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</si>
  <si>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</si>
  <si>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</si>
  <si>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</si>
  <si>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</si>
  <si>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</si>
  <si>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</si>
  <si>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</si>
  <si>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</si>
  <si>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</si>
  <si>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</si>
  <si>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</si>
  <si>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</si>
  <si>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</si>
  <si>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</si>
  <si>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</si>
  <si>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</si>
  <si>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</si>
  <si>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</si>
  <si>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</si>
  <si>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</si>
  <si>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</si>
  <si>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</si>
  <si>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</si>
  <si>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</si>
  <si>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</si>
  <si>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</si>
  <si>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</si>
  <si>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</si>
  <si>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</si>
  <si>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</si>
  <si>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</si>
  <si>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</si>
  <si>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</si>
  <si>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</si>
  <si>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</si>
  <si>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</si>
  <si>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</si>
  <si>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</si>
  <si>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</si>
  <si>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</si>
  <si>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</si>
  <si>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</si>
  <si>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</si>
  <si>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</si>
  <si>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</si>
  <si>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</si>
  <si>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</si>
  <si>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</si>
  <si>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</si>
  <si>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</si>
  <si>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</si>
  <si>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</si>
  <si>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</si>
  <si>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</si>
  <si>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</si>
  <si>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</si>
  <si>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</si>
  <si>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</si>
  <si>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</si>
  <si>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</si>
  <si>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</si>
  <si>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</si>
  <si>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</si>
  <si>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</si>
  <si>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</si>
  <si>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</si>
  <si>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</si>
  <si>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</si>
  <si>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</si>
  <si>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</si>
  <si>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</si>
  <si>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</si>
  <si>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</si>
  <si>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</si>
  <si>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</si>
  <si>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</si>
  <si>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</si>
  <si>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</si>
  <si>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</si>
  <si>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</si>
  <si>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</si>
  <si>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</si>
  <si>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</si>
  <si>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</si>
  <si>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</si>
  <si>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</si>
  <si>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</si>
  <si>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</si>
  <si>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</si>
  <si>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</si>
  <si>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</si>
  <si>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</si>
  <si>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</si>
  <si>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</si>
  <si>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</si>
  <si>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</si>
  <si>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</si>
  <si>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</si>
  <si>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</si>
  <si>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</si>
  <si>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</si>
  <si>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</si>
  <si>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</si>
  <si>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</si>
  <si>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</si>
  <si>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</si>
  <si>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</si>
  <si>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</si>
  <si>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</si>
  <si>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</si>
  <si>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</si>
  <si>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</si>
  <si>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</si>
  <si>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</si>
  <si>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</si>
  <si>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</si>
  <si>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</si>
  <si>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</si>
  <si>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</si>
  <si>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</si>
  <si>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</si>
  <si>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</si>
  <si>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</si>
  <si>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</si>
  <si>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</si>
  <si>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</si>
  <si>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</si>
  <si>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</si>
  <si>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</si>
  <si>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</si>
  <si>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</si>
  <si>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</si>
  <si>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</si>
  <si>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</si>
  <si>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</si>
  <si>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</si>
  <si>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</si>
  <si>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</si>
  <si>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</si>
  <si>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</si>
  <si>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</si>
  <si>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</si>
  <si>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</si>
  <si>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</si>
  <si>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</si>
  <si>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</si>
  <si>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</si>
  <si>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</si>
  <si>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</si>
  <si>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</si>
  <si>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</si>
  <si>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</si>
  <si>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</si>
  <si>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</si>
  <si>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</si>
  <si>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</si>
  <si>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</si>
  <si>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</si>
  <si>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</si>
  <si>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</si>
  <si>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</si>
  <si>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</si>
  <si>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</si>
  <si>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</si>
  <si>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</si>
  <si>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</si>
  <si>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</si>
  <si>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</si>
  <si>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</si>
  <si>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</si>
  <si>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</si>
  <si>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</si>
  <si>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</si>
  <si>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</si>
  <si>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</si>
  <si>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</si>
  <si>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</si>
  <si>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</si>
  <si>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</si>
  <si>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</si>
  <si>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</si>
  <si>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</si>
  <si>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</si>
  <si>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</si>
  <si>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</si>
  <si>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</si>
  <si>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</si>
  <si>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</si>
  <si>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</si>
  <si>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</si>
  <si>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</si>
  <si>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</si>
  <si>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1/3/9</t>
  </si>
  <si>
    <t>1/2/13</t>
  </si>
  <si>
    <t>OPEN_9072</t>
  </si>
  <si>
    <t>CLOSE_9072</t>
  </si>
  <si>
    <t>OPEN_8002</t>
  </si>
  <si>
    <t>CLOSE_8002</t>
  </si>
  <si>
    <t>日東紡績</t>
  </si>
  <si>
    <t>2/6/12</t>
  </si>
  <si>
    <t>1/4/11</t>
  </si>
  <si>
    <t>0/2/16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</si>
  <si>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</si>
  <si>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</si>
  <si>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</si>
  <si>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</si>
  <si>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協和エクシオ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</si>
  <si>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</si>
  <si>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</si>
  <si>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</si>
  <si>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</si>
  <si>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</si>
  <si>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</si>
  <si>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</si>
  <si>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</si>
  <si>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</si>
  <si>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</si>
  <si>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大林組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</si>
  <si>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</si>
  <si>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</si>
  <si>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</si>
  <si>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</si>
  <si>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</si>
  <si>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</si>
  <si>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</si>
  <si>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</si>
  <si>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</si>
  <si>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</si>
  <si>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</si>
  <si>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</si>
  <si>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</si>
  <si>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</si>
  <si>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ＳＣＳＫ</t>
  </si>
  <si>
    <t>エイチ・アイ・エス</t>
  </si>
  <si>
    <t>三菱商事</t>
  </si>
  <si>
    <t>旭化成</t>
  </si>
  <si>
    <t>八十二銀行</t>
  </si>
  <si>
    <t>ダイフク</t>
  </si>
  <si>
    <t>3/11/4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</si>
  <si>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</si>
  <si>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</si>
  <si>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</si>
  <si>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</si>
  <si>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</si>
  <si>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</si>
  <si>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</si>
  <si>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</si>
  <si>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</si>
  <si>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</si>
  <si>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</si>
  <si>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</si>
  <si>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</si>
  <si>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</si>
  <si>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</si>
  <si>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</si>
  <si>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</si>
  <si>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</si>
  <si>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</si>
  <si>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</si>
  <si>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</si>
  <si>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</si>
  <si>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</si>
  <si>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錢高組</t>
  </si>
  <si>
    <t>大末建設</t>
  </si>
  <si>
    <t>佐田建設</t>
  </si>
  <si>
    <t>富士ピー・エス</t>
  </si>
  <si>
    <t>北野建設</t>
  </si>
  <si>
    <t>植木組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</si>
  <si>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</si>
  <si>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</si>
  <si>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</si>
  <si>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</si>
  <si>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</si>
  <si>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</si>
  <si>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日特建設</t>
  </si>
  <si>
    <t>北陸電気工事</t>
  </si>
  <si>
    <t>四電工</t>
  </si>
  <si>
    <t>きんでん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</si>
  <si>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</si>
  <si>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</si>
  <si>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</si>
  <si>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</si>
  <si>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</si>
  <si>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</si>
  <si>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</si>
  <si>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朝日工業社</t>
  </si>
  <si>
    <t>明星工業</t>
  </si>
  <si>
    <t>大氣社</t>
  </si>
  <si>
    <t>ダイダン</t>
  </si>
  <si>
    <t>日比谷総合設備</t>
  </si>
  <si>
    <t>東芝プラントシステム</t>
  </si>
  <si>
    <t>昭和産業</t>
  </si>
  <si>
    <t>メンバーズ</t>
  </si>
  <si>
    <t>中広</t>
  </si>
  <si>
    <t>ＵＴグループ</t>
  </si>
  <si>
    <t>パソナグループ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</si>
  <si>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</si>
  <si>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</si>
  <si>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</si>
  <si>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</si>
  <si>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</si>
  <si>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</si>
  <si>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</si>
  <si>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</si>
  <si>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</si>
  <si>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</si>
  <si>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</si>
  <si>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</si>
  <si>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</si>
  <si>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</si>
  <si>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</si>
  <si>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プリマハム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</si>
  <si>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</si>
  <si>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</si>
  <si>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</si>
  <si>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</si>
  <si>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</si>
  <si>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</si>
  <si>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ＮＪＳ</t>
  </si>
  <si>
    <t>日鉄ソリューションズ</t>
  </si>
  <si>
    <t>いちご</t>
  </si>
  <si>
    <t>カカクコム</t>
  </si>
  <si>
    <t>ＳＢＳホールディングス</t>
  </si>
  <si>
    <t>新日本科学</t>
  </si>
  <si>
    <t>キャリアデザインセンター</t>
  </si>
  <si>
    <t>ベネフィット・ワン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</si>
  <si>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</si>
  <si>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</si>
  <si>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</si>
  <si>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</si>
  <si>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</si>
  <si>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</si>
  <si>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</si>
  <si>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</si>
  <si>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</si>
  <si>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</si>
  <si>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</si>
  <si>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</si>
  <si>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</si>
  <si>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Ｊ－オイルミルズ</t>
  </si>
  <si>
    <t>ローソン</t>
  </si>
  <si>
    <t>サンエー</t>
  </si>
  <si>
    <t>カワチ薬品</t>
  </si>
  <si>
    <t>エービーシー・マート</t>
  </si>
  <si>
    <t>ハードオフコーポレーション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</si>
  <si>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</si>
  <si>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</si>
  <si>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</si>
  <si>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</si>
  <si>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</si>
  <si>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</si>
  <si>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エレマテック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</si>
  <si>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</si>
  <si>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</si>
  <si>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</si>
  <si>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</si>
  <si>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</si>
  <si>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</si>
  <si>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</si>
  <si>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</si>
  <si>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</si>
  <si>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</si>
  <si>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</si>
  <si>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</si>
  <si>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</si>
  <si>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</si>
  <si>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わらべや日洋ホールディングス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</si>
  <si>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</si>
  <si>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</si>
  <si>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</si>
  <si>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</si>
  <si>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</si>
  <si>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</si>
  <si>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</si>
  <si>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</si>
  <si>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</si>
  <si>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ＭｏｎｏｔａＲＯ</t>
  </si>
  <si>
    <t>東京一番フーズ</t>
  </si>
  <si>
    <t>ディーブイエックス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</si>
  <si>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</si>
  <si>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</si>
  <si>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</si>
  <si>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</si>
  <si>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</si>
  <si>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</si>
  <si>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</si>
  <si>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</si>
  <si>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</si>
  <si>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</si>
  <si>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</si>
  <si>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</si>
  <si>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</si>
  <si>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</si>
  <si>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</si>
  <si>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</si>
  <si>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</si>
  <si>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三洋貿易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</si>
  <si>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</si>
  <si>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</si>
  <si>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</si>
  <si>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</si>
  <si>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</si>
  <si>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</si>
  <si>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</si>
  <si>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</si>
  <si>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</si>
  <si>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</si>
  <si>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</si>
  <si>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</si>
  <si>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</si>
  <si>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</si>
  <si>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プレサンスコーポレーション</t>
  </si>
  <si>
    <t>ＴＨＥグローバル社</t>
  </si>
  <si>
    <t>日本管理センター</t>
  </si>
  <si>
    <t>フージャースホールディングス</t>
  </si>
  <si>
    <t>東急不動産ホールディングス</t>
  </si>
  <si>
    <t>イーグランド</t>
  </si>
  <si>
    <t>ムゲンエステート</t>
  </si>
  <si>
    <t>コスモス薬品</t>
  </si>
  <si>
    <t>ソフトクリエイトホールディングス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</si>
  <si>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</si>
  <si>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</si>
  <si>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</si>
  <si>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</si>
  <si>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</si>
  <si>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</si>
  <si>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ＴＯＫＹＯ　ＢＡＳＥ</t>
  </si>
  <si>
    <t>トーカロ</t>
  </si>
  <si>
    <t>ＳＵＭＣＯ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</si>
  <si>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</si>
  <si>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</si>
  <si>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</si>
  <si>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</si>
  <si>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</si>
  <si>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</si>
  <si>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</si>
  <si>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</si>
  <si>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</si>
  <si>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クスリのアオキホールディングス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</si>
  <si>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</si>
  <si>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</si>
  <si>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</si>
  <si>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</si>
  <si>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</si>
  <si>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</si>
  <si>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</si>
  <si>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</si>
  <si>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</si>
  <si>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</si>
  <si>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</si>
  <si>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</si>
  <si>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</si>
  <si>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</si>
  <si>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</si>
  <si>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</si>
  <si>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</si>
  <si>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</si>
  <si>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</si>
  <si>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</si>
  <si>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</si>
  <si>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</si>
  <si>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</si>
  <si>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</si>
  <si>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</si>
  <si>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</si>
  <si>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</si>
  <si>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</si>
  <si>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</si>
  <si>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</si>
  <si>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</si>
  <si>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</si>
  <si>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</si>
  <si>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ネオジャパン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</si>
  <si>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</si>
  <si>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</si>
  <si>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</si>
  <si>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</si>
  <si>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</si>
  <si>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</si>
  <si>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</si>
  <si>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</si>
  <si>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</si>
  <si>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</si>
  <si>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</si>
  <si>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</si>
  <si>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</si>
  <si>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</si>
  <si>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</si>
  <si>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</si>
  <si>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</si>
  <si>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</si>
  <si>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</si>
  <si>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</si>
  <si>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</si>
  <si>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</si>
  <si>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</si>
  <si>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</si>
  <si>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ＫＨネオケム</t>
  </si>
  <si>
    <t>住友ベークライト</t>
  </si>
  <si>
    <t>日本ゼオン</t>
  </si>
  <si>
    <t>積水樹脂</t>
  </si>
  <si>
    <t>旭有機材</t>
  </si>
  <si>
    <t>日立化成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</si>
  <si>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</si>
  <si>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</si>
  <si>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</si>
  <si>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</si>
  <si>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</si>
  <si>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</si>
  <si>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</si>
  <si>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</si>
  <si>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電通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</si>
  <si>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</si>
  <si>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</si>
  <si>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</si>
  <si>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</si>
  <si>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</si>
  <si>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</si>
  <si>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</si>
  <si>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</si>
  <si>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</si>
  <si>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石原ケミカル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</si>
  <si>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</si>
  <si>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</si>
  <si>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</si>
  <si>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</si>
  <si>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</si>
  <si>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</si>
  <si>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</si>
  <si>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</si>
  <si>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</si>
  <si>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</si>
  <si>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</si>
  <si>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</si>
  <si>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</si>
  <si>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</si>
  <si>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</si>
  <si>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</si>
  <si>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</si>
  <si>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第一三共</t>
  </si>
  <si>
    <t>大幸薬品</t>
  </si>
  <si>
    <t>大塚ホールディングス</t>
  </si>
  <si>
    <t>日本ペイントホールディングス</t>
  </si>
  <si>
    <t>中国塗料</t>
  </si>
  <si>
    <t>藤倉化成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</si>
  <si>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</si>
  <si>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</si>
  <si>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</si>
  <si>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</si>
  <si>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</si>
  <si>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</si>
  <si>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</si>
  <si>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リゾートトラスト</t>
  </si>
  <si>
    <t>ＴＤＣソフト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</si>
  <si>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</si>
  <si>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</si>
  <si>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</si>
  <si>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</si>
  <si>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</si>
  <si>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</si>
  <si>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</si>
  <si>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</si>
  <si>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</si>
  <si>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</si>
  <si>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</si>
  <si>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</si>
  <si>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</si>
  <si>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</si>
  <si>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</si>
  <si>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</si>
  <si>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</si>
  <si>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</si>
  <si>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</si>
  <si>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</si>
  <si>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</si>
  <si>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</si>
  <si>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メック</t>
  </si>
  <si>
    <t>ＪＣＵ</t>
  </si>
  <si>
    <t>新田ゼラチン</t>
  </si>
  <si>
    <t>アース製薬</t>
  </si>
  <si>
    <t>大成ラミック</t>
  </si>
  <si>
    <t>日本農薬</t>
  </si>
  <si>
    <t>富士興産</t>
  </si>
  <si>
    <t>ＭＯＲＥＳＣＯ</t>
  </si>
  <si>
    <t>コスモエネルギーホールディングス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</si>
  <si>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</si>
  <si>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</si>
  <si>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</si>
  <si>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</si>
  <si>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</si>
  <si>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</si>
  <si>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</si>
  <si>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</si>
  <si>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</si>
  <si>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</si>
  <si>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日本板硝子</t>
  </si>
  <si>
    <t>石塚硝子</t>
  </si>
  <si>
    <t>有沢製作所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</si>
  <si>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</si>
  <si>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</si>
  <si>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</si>
  <si>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</si>
  <si>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</si>
  <si>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</si>
  <si>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</si>
  <si>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</si>
  <si>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</si>
  <si>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</si>
  <si>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</si>
  <si>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東京窯業</t>
  </si>
  <si>
    <t>フジミインコーポレーテッド</t>
  </si>
  <si>
    <t>日本製鉄</t>
  </si>
  <si>
    <t>神戸製鋼所</t>
  </si>
  <si>
    <t>中山製鋼所</t>
  </si>
  <si>
    <t>合同製鐵</t>
  </si>
  <si>
    <t>ジェイ　エフ　イー　ホールディングス</t>
  </si>
  <si>
    <t>共英製鋼</t>
  </si>
  <si>
    <t>淀川製鋼所</t>
  </si>
  <si>
    <t>モリ工業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</si>
  <si>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</si>
  <si>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</si>
  <si>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</si>
  <si>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</si>
  <si>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</si>
  <si>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</si>
  <si>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</si>
  <si>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</si>
  <si>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</si>
  <si>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</si>
  <si>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三井金属鉱業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</si>
  <si>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</si>
  <si>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</si>
  <si>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</si>
  <si>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</si>
  <si>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</si>
  <si>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</si>
  <si>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</si>
  <si>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</si>
  <si>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</si>
  <si>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</si>
  <si>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</si>
  <si>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東洋シヤッター</t>
  </si>
  <si>
    <t>ＬＩＸＩＬグループ</t>
  </si>
  <si>
    <t>ノーリツ</t>
  </si>
  <si>
    <t>長府製作所</t>
  </si>
  <si>
    <t>ユニプレス</t>
  </si>
  <si>
    <t>ダイニチ工業</t>
  </si>
  <si>
    <t>日東精工</t>
  </si>
  <si>
    <t>三洋工業</t>
  </si>
  <si>
    <t>高周波熱錬</t>
  </si>
  <si>
    <t>東京製綱</t>
  </si>
  <si>
    <t>パイオラックス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</si>
  <si>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</si>
  <si>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</si>
  <si>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</si>
  <si>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</si>
  <si>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</si>
  <si>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</si>
  <si>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</si>
  <si>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</si>
  <si>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</si>
  <si>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ＩＢＪ</t>
  </si>
  <si>
    <t>アサンテ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</si>
  <si>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</si>
  <si>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</si>
  <si>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</si>
  <si>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</si>
  <si>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</si>
  <si>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</si>
  <si>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</si>
  <si>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</si>
  <si>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</si>
  <si>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</si>
  <si>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</si>
  <si>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</si>
  <si>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</si>
  <si>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</si>
  <si>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</si>
  <si>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</si>
  <si>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</si>
  <si>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</si>
  <si>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</si>
  <si>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</si>
  <si>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</si>
  <si>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</si>
  <si>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</si>
  <si>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</si>
  <si>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</si>
  <si>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</si>
  <si>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</si>
  <si>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</si>
  <si>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</si>
  <si>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マルマエ</t>
  </si>
  <si>
    <t>ナブテスコ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</si>
  <si>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</si>
  <si>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</si>
  <si>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</si>
  <si>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</si>
  <si>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</si>
  <si>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</si>
  <si>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</si>
  <si>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</si>
  <si>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</si>
  <si>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</si>
  <si>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</si>
  <si>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</si>
  <si>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</si>
  <si>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</si>
  <si>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</si>
  <si>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</si>
  <si>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</si>
  <si>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</si>
  <si>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</si>
  <si>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</si>
  <si>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</si>
  <si>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</si>
  <si>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</si>
  <si>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</si>
  <si>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</si>
  <si>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タダノ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</si>
  <si>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</si>
  <si>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</si>
  <si>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</si>
  <si>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</si>
  <si>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</si>
  <si>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</si>
  <si>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</si>
  <si>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</si>
  <si>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</si>
  <si>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</si>
  <si>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</si>
  <si>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ＴＨＫ</t>
  </si>
  <si>
    <t>ユーシン精機</t>
  </si>
  <si>
    <t>日本ピラー工業</t>
  </si>
  <si>
    <t>東洋電機製造</t>
  </si>
  <si>
    <t>安川電機</t>
  </si>
  <si>
    <t>明電舎</t>
  </si>
  <si>
    <t>山洋電気</t>
  </si>
  <si>
    <t>アイモバイル</t>
  </si>
  <si>
    <t>グリーンズ</t>
  </si>
  <si>
    <t>ツナググループ・ホールディングス</t>
  </si>
  <si>
    <t>ＧａｍｅＷｉｔｈ</t>
  </si>
  <si>
    <t>マキタ</t>
  </si>
  <si>
    <t>芝浦メカトロニクス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</si>
  <si>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</si>
  <si>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</si>
  <si>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</si>
  <si>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</si>
  <si>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</si>
  <si>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</si>
  <si>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</si>
  <si>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</si>
  <si>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</si>
  <si>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</si>
  <si>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</si>
  <si>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</si>
  <si>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</si>
  <si>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</si>
  <si>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</si>
  <si>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</si>
  <si>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</si>
  <si>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</si>
  <si>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シャープ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</si>
  <si>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</si>
  <si>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</si>
  <si>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</si>
  <si>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</si>
  <si>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</si>
  <si>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</si>
  <si>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</si>
  <si>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</si>
  <si>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</si>
  <si>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</si>
  <si>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</si>
  <si>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</si>
  <si>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</si>
  <si>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</si>
  <si>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</si>
  <si>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</si>
  <si>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</si>
  <si>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</si>
  <si>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</si>
  <si>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</si>
  <si>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</si>
  <si>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</si>
  <si>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</si>
  <si>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</si>
  <si>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</si>
  <si>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</si>
  <si>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</si>
  <si>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</si>
  <si>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</si>
  <si>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</si>
  <si>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</si>
  <si>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</si>
  <si>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三井ハイテック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</si>
  <si>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</si>
  <si>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</si>
  <si>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</si>
  <si>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</si>
  <si>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</si>
  <si>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</si>
  <si>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日立造船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</si>
  <si>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</si>
  <si>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</si>
  <si>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</si>
  <si>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</si>
  <si>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</si>
  <si>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</si>
  <si>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</si>
  <si>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</si>
  <si>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</si>
  <si>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</si>
  <si>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</si>
  <si>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</si>
  <si>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</si>
  <si>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</si>
  <si>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</si>
  <si>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</si>
  <si>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</si>
  <si>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</si>
  <si>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</si>
  <si>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</si>
  <si>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</si>
  <si>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</si>
  <si>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</si>
  <si>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</si>
  <si>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</si>
  <si>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</si>
  <si>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</si>
  <si>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</si>
  <si>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</si>
  <si>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</si>
  <si>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</si>
  <si>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</si>
  <si>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</si>
  <si>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南陽</t>
  </si>
  <si>
    <t>佐鳥電機</t>
  </si>
  <si>
    <t>エコートレーディング</t>
  </si>
  <si>
    <t>中山福</t>
  </si>
  <si>
    <t>ライトオン</t>
  </si>
  <si>
    <t>ナガイレーベン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</si>
  <si>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</si>
  <si>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</si>
  <si>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</si>
  <si>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</si>
  <si>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</si>
  <si>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</si>
  <si>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</si>
  <si>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</si>
  <si>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</si>
  <si>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</si>
  <si>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</si>
  <si>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</si>
  <si>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ネットワンシステムズ</t>
  </si>
  <si>
    <t>ワタミ</t>
  </si>
  <si>
    <t>マルシェ</t>
  </si>
  <si>
    <t>リックス</t>
  </si>
  <si>
    <t>パン・パシフィック・インターナショナルホールディングス</t>
  </si>
  <si>
    <t>西松屋チェーン</t>
  </si>
  <si>
    <t>ゼンショーホールディングス</t>
  </si>
  <si>
    <t>橋本総業ホールディングス</t>
  </si>
  <si>
    <t>ＶＴホールディングス</t>
  </si>
  <si>
    <t>ＩＤＯＭ</t>
  </si>
  <si>
    <t>ポプラ</t>
  </si>
  <si>
    <t>フジ・コーポレーション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</si>
  <si>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</si>
  <si>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</si>
  <si>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</si>
  <si>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</si>
  <si>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</si>
  <si>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</si>
  <si>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</si>
  <si>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</si>
  <si>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</si>
  <si>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</si>
  <si>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</si>
  <si>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オーバル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</si>
  <si>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</si>
  <si>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</si>
  <si>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</si>
  <si>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</si>
  <si>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</si>
  <si>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</si>
  <si>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</si>
  <si>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</si>
  <si>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</si>
  <si>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</si>
  <si>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バンダイナムコホールディングス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</si>
  <si>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</si>
  <si>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</si>
  <si>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</si>
  <si>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</si>
  <si>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</si>
  <si>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</si>
  <si>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</si>
  <si>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</si>
  <si>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</si>
  <si>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</si>
  <si>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</si>
  <si>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</si>
  <si>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</si>
  <si>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</si>
  <si>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</si>
  <si>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</si>
  <si>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</si>
  <si>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</si>
  <si>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</si>
  <si>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</si>
  <si>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</si>
  <si>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</si>
  <si>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</si>
  <si>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</si>
  <si>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</si>
  <si>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</si>
  <si>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</si>
  <si>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</si>
  <si>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</si>
  <si>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</si>
  <si>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</si>
  <si>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</si>
  <si>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</si>
  <si>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</si>
  <si>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</si>
  <si>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</si>
  <si>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</si>
  <si>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</si>
  <si>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</si>
  <si>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</si>
  <si>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</si>
  <si>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</si>
  <si>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キヤノンマーケティングジャパン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</si>
  <si>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</si>
  <si>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</si>
  <si>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</si>
  <si>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</si>
  <si>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</si>
  <si>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</si>
  <si>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</si>
  <si>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</si>
  <si>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</si>
  <si>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</si>
  <si>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</si>
  <si>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</si>
  <si>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</si>
  <si>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</si>
  <si>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</si>
  <si>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</si>
  <si>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</si>
  <si>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</si>
  <si>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</si>
  <si>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</si>
  <si>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</si>
  <si>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</si>
  <si>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</si>
  <si>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</si>
  <si>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</si>
  <si>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</si>
  <si>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</si>
  <si>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</si>
  <si>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</si>
  <si>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</si>
  <si>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</si>
  <si>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</si>
  <si>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</si>
  <si>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</si>
  <si>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</si>
  <si>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</si>
  <si>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</si>
  <si>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</si>
  <si>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</si>
  <si>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</si>
  <si>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</si>
  <si>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</si>
  <si>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</si>
  <si>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</si>
  <si>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</si>
  <si>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</si>
  <si>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</si>
  <si>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</si>
  <si>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</si>
  <si>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</si>
  <si>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</si>
  <si>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</si>
  <si>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</si>
  <si>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</si>
  <si>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</si>
  <si>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</si>
  <si>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</si>
  <si>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</si>
  <si>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</si>
  <si>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</si>
  <si>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</si>
  <si>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</si>
  <si>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</si>
  <si>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</si>
  <si>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</si>
  <si>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</si>
  <si>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</si>
  <si>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</si>
  <si>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</si>
  <si>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</si>
  <si>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</si>
  <si>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</si>
  <si>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</si>
  <si>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</si>
  <si>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</si>
  <si>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</si>
  <si>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</si>
  <si>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</si>
  <si>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</si>
  <si>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</si>
  <si>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</si>
  <si>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</si>
  <si>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</si>
  <si>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百十四銀行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</si>
  <si>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</si>
  <si>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</si>
  <si>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</si>
  <si>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</si>
  <si>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</si>
  <si>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</si>
  <si>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</si>
  <si>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</si>
  <si>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</si>
  <si>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</si>
  <si>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</si>
  <si>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</si>
  <si>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</si>
  <si>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</si>
  <si>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</si>
  <si>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</si>
  <si>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</si>
  <si>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</si>
  <si>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</si>
  <si>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</si>
  <si>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</si>
  <si>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</si>
  <si>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ジャックス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</si>
  <si>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</si>
  <si>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</si>
  <si>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</si>
  <si>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</si>
  <si>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</si>
  <si>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</si>
  <si>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</si>
  <si>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</si>
  <si>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</si>
  <si>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</si>
  <si>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</si>
  <si>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</si>
  <si>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</si>
  <si>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</si>
  <si>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</si>
  <si>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</si>
  <si>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</si>
  <si>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</si>
  <si>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</si>
  <si>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</si>
  <si>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住友不動産</t>
  </si>
  <si>
    <t>テーオーシー</t>
  </si>
  <si>
    <t>レオパレス２１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</si>
  <si>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</si>
  <si>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</si>
  <si>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</si>
  <si>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</si>
  <si>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</si>
  <si>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</si>
  <si>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</si>
  <si>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</si>
  <si>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</si>
  <si>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</si>
  <si>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</si>
  <si>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</si>
  <si>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</si>
  <si>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</si>
  <si>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</si>
  <si>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</si>
  <si>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</si>
  <si>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</si>
  <si>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</si>
  <si>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</si>
  <si>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鴻池運輸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</si>
  <si>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</si>
  <si>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</si>
  <si>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</si>
  <si>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</si>
  <si>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</si>
  <si>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</si>
  <si>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</si>
  <si>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</si>
  <si>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</si>
  <si>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</si>
  <si>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</si>
  <si>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</si>
  <si>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</si>
  <si>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</si>
  <si>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</si>
  <si>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</si>
  <si>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</si>
  <si>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</si>
  <si>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</si>
  <si>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</si>
  <si>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</si>
  <si>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</si>
  <si>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</si>
  <si>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</si>
  <si>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</si>
  <si>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</si>
  <si>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</si>
  <si>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ブックオフグループホールディングス</t>
  </si>
  <si>
    <t>住友倉庫</t>
  </si>
  <si>
    <t>東陽倉庫</t>
  </si>
  <si>
    <t>乾汽船</t>
  </si>
  <si>
    <t>日本トランスシティ</t>
  </si>
  <si>
    <t>中央倉庫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</si>
  <si>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</si>
  <si>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</si>
  <si>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</si>
  <si>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</si>
  <si>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</si>
  <si>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</si>
  <si>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</si>
  <si>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</si>
  <si>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</si>
  <si>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</si>
  <si>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</si>
  <si>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</si>
  <si>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光通信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</si>
  <si>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</si>
  <si>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</si>
  <si>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</si>
  <si>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</si>
  <si>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</si>
  <si>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</si>
  <si>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</si>
  <si>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北陸電力</t>
  </si>
  <si>
    <t>東北電力</t>
  </si>
  <si>
    <t>沖縄電力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</si>
  <si>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</si>
  <si>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</si>
  <si>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</si>
  <si>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</si>
  <si>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</si>
  <si>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</si>
  <si>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</si>
  <si>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</si>
  <si>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</si>
  <si>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</si>
  <si>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</si>
  <si>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</si>
  <si>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</si>
  <si>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</si>
  <si>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</si>
  <si>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燦ホールディングス</t>
  </si>
  <si>
    <t>ナガワ</t>
  </si>
  <si>
    <t>常磐興産</t>
  </si>
  <si>
    <t>東京ドーム</t>
  </si>
  <si>
    <t>スクウェア・エニックス・ホールディングス</t>
  </si>
  <si>
    <t>カプコン</t>
  </si>
  <si>
    <t>トランス・コスモス</t>
  </si>
  <si>
    <t>ジャステック</t>
  </si>
  <si>
    <t>藤田観光</t>
  </si>
  <si>
    <t>ＫＮＴ－ＣＴホールディングス</t>
  </si>
  <si>
    <t>トーカイ</t>
  </si>
  <si>
    <t>セントラル警備保障</t>
  </si>
  <si>
    <t>丹青社</t>
  </si>
  <si>
    <t>メイテック</t>
  </si>
  <si>
    <t>丸紅建材リース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</si>
  <si>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</si>
  <si>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</si>
  <si>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</si>
  <si>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</si>
  <si>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</si>
  <si>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</si>
  <si>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</si>
  <si>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</si>
  <si>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アークランドサカモト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</si>
  <si>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</si>
  <si>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</si>
  <si>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</si>
  <si>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</si>
  <si>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</si>
  <si>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</si>
  <si>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</si>
  <si>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</si>
  <si>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</si>
  <si>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</si>
  <si>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</si>
  <si>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</si>
  <si>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ミロク情報サービス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</si>
  <si>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</si>
  <si>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</si>
  <si>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</si>
  <si>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</si>
  <si>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</si>
  <si>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</si>
  <si>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</si>
  <si>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</si>
  <si>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</si>
  <si>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</si>
  <si>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</si>
  <si>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</si>
  <si>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SELL</t>
    <phoneticPr fontId="1" type="noConversion"/>
  </si>
  <si>
    <t>BUY</t>
    <phoneticPr fontId="1" type="noConversion"/>
  </si>
  <si>
    <t>ニッコンホールディングス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</si>
  <si>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</si>
  <si>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</si>
  <si>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</si>
  <si>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</si>
  <si>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</si>
  <si>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</si>
  <si>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</si>
  <si>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</si>
  <si>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</si>
  <si>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</si>
  <si>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</si>
  <si>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</si>
  <si>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</si>
  <si>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</si>
  <si>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</si>
  <si>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</si>
  <si>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</si>
  <si>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</si>
  <si>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</si>
  <si>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</si>
  <si>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</si>
  <si>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</si>
  <si>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</si>
  <si>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</si>
  <si>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</si>
  <si>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</si>
  <si>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</si>
  <si>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丸紅</t>
    <phoneticPr fontId="1" type="noConversion"/>
  </si>
  <si>
    <t>CLOSE_A_ADJUST</t>
  </si>
  <si>
    <t>OPEN_1951</t>
  </si>
  <si>
    <t>CLOSE_1951</t>
  </si>
  <si>
    <t>OPEN_4042</t>
  </si>
  <si>
    <t>CLOSE_4042</t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</si>
  <si>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</si>
  <si>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</si>
  <si>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</si>
  <si>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>OPEN_5991</t>
  </si>
  <si>
    <t>CLOSE_5991</t>
  </si>
  <si>
    <t>OPEN_7267</t>
  </si>
  <si>
    <t>CLOSE_7267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</si>
</sst>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5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</cellStyleXfs>
  <cellXfs count="33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0" fillId="0" borderId="0" xfId="0" applyFont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16" fillId="8" borderId="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9" fillId="23" borderId="0" xfId="2" applyAlignment="1" applyProtection="1"/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36" fillId="8" borderId="1" xfId="0" applyFont="1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82" fontId="32" fillId="8" borderId="1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1" borderId="27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0" fillId="13" borderId="1" xfId="0" applyFill="1" applyBorder="1" applyAlignment="1"/>
    <xf numFmtId="0" fontId="0" fillId="0" borderId="1" xfId="0" applyBorder="1" applyAlignment="1"/>
    <xf numFmtId="0" fontId="33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33" fillId="0" borderId="7" xfId="0" applyFont="1" applyBorder="1" applyAlignment="1">
      <alignment horizontal="center" vertical="center"/>
    </xf>
    <xf numFmtId="0" fontId="33" fillId="0" borderId="8" xfId="0" applyFont="1" applyBorder="1" applyAlignment="1">
      <alignment horizontal="right" vertical="center"/>
    </xf>
    <xf numFmtId="0" fontId="33" fillId="0" borderId="8" xfId="0" applyFont="1" applyBorder="1" applyAlignment="1">
      <alignment horizontal="center" vertical="center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376E-2"/>
          <c:y val="8.1284535694720383E-2"/>
          <c:w val="0.9055861662376069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0.30584154801022201</c:v>
                </c:pt>
                <c:pt idx="1">
                  <c:v>0.30059018812246402</c:v>
                </c:pt>
                <c:pt idx="2">
                  <c:v>0.30260933480338098</c:v>
                </c:pt>
                <c:pt idx="3">
                  <c:v>0.301308139534883</c:v>
                </c:pt>
                <c:pt idx="4">
                  <c:v>0.30207197382769901</c:v>
                </c:pt>
                <c:pt idx="5">
                  <c:v>0.302826725403817</c:v>
                </c:pt>
                <c:pt idx="6">
                  <c:v>0.302600732600732</c:v>
                </c:pt>
                <c:pt idx="7">
                  <c:v>0.30051736881005098</c:v>
                </c:pt>
                <c:pt idx="8">
                  <c:v>0.30361266294227102</c:v>
                </c:pt>
                <c:pt idx="9">
                  <c:v>0.30227106227106199</c:v>
                </c:pt>
                <c:pt idx="10">
                  <c:v>0.29767955801104901</c:v>
                </c:pt>
                <c:pt idx="11">
                  <c:v>0.29761642830949703</c:v>
                </c:pt>
                <c:pt idx="12">
                  <c:v>0.29540313754104303</c:v>
                </c:pt>
                <c:pt idx="13">
                  <c:v>0.29533944954128399</c:v>
                </c:pt>
                <c:pt idx="14">
                  <c:v>0.29195068890500298</c:v>
                </c:pt>
                <c:pt idx="15">
                  <c:v>0.29351749539594801</c:v>
                </c:pt>
                <c:pt idx="16">
                  <c:v>0.29456963428149202</c:v>
                </c:pt>
                <c:pt idx="17">
                  <c:v>0.29465478841870801</c:v>
                </c:pt>
                <c:pt idx="18">
                  <c:v>0.29326047358834201</c:v>
                </c:pt>
                <c:pt idx="19">
                  <c:v>0.29551585854903301</c:v>
                </c:pt>
                <c:pt idx="20">
                  <c:v>0.29448075526506901</c:v>
                </c:pt>
                <c:pt idx="21">
                  <c:v>0.29345656192236502</c:v>
                </c:pt>
                <c:pt idx="22">
                  <c:v>0.29325801749271102</c:v>
                </c:pt>
                <c:pt idx="23">
                  <c:v>0.29518813314037601</c:v>
                </c:pt>
                <c:pt idx="24">
                  <c:v>0.295816513761467</c:v>
                </c:pt>
                <c:pt idx="25">
                  <c:v>0.29571322985957099</c:v>
                </c:pt>
                <c:pt idx="26">
                  <c:v>0.29585843373493897</c:v>
                </c:pt>
                <c:pt idx="27">
                  <c:v>0.28927386656837401</c:v>
                </c:pt>
                <c:pt idx="28">
                  <c:v>0.28473508706928402</c:v>
                </c:pt>
                <c:pt idx="29">
                  <c:v>0.28836765827612498</c:v>
                </c:pt>
                <c:pt idx="30">
                  <c:v>0.28876319758672597</c:v>
                </c:pt>
                <c:pt idx="31">
                  <c:v>0.291631799163179</c:v>
                </c:pt>
                <c:pt idx="32">
                  <c:v>0.29002664636467401</c:v>
                </c:pt>
                <c:pt idx="33">
                  <c:v>0.29048169556839998</c:v>
                </c:pt>
                <c:pt idx="34">
                  <c:v>0.29032382420971398</c:v>
                </c:pt>
                <c:pt idx="35">
                  <c:v>0.29020439645198598</c:v>
                </c:pt>
                <c:pt idx="36">
                  <c:v>0.29299412915851197</c:v>
                </c:pt>
                <c:pt idx="37">
                  <c:v>0.288150738150738</c:v>
                </c:pt>
                <c:pt idx="38">
                  <c:v>0.285708722741433</c:v>
                </c:pt>
                <c:pt idx="39">
                  <c:v>0.28433734939758998</c:v>
                </c:pt>
                <c:pt idx="40">
                  <c:v>0.28416988416988398</c:v>
                </c:pt>
                <c:pt idx="41">
                  <c:v>0.29110417479516099</c:v>
                </c:pt>
                <c:pt idx="42">
                  <c:v>0.29333067092651699</c:v>
                </c:pt>
                <c:pt idx="43">
                  <c:v>0.28872785829307501</c:v>
                </c:pt>
                <c:pt idx="44">
                  <c:v>0.28642770841723703</c:v>
                </c:pt>
                <c:pt idx="45">
                  <c:v>0.293661113368549</c:v>
                </c:pt>
                <c:pt idx="46">
                  <c:v>0.28702479338842901</c:v>
                </c:pt>
                <c:pt idx="47">
                  <c:v>0.28646306231943802</c:v>
                </c:pt>
                <c:pt idx="48">
                  <c:v>0.28956953642384098</c:v>
                </c:pt>
                <c:pt idx="49">
                  <c:v>0.28542250700840999</c:v>
                </c:pt>
                <c:pt idx="50">
                  <c:v>0.29218749999999999</c:v>
                </c:pt>
                <c:pt idx="51">
                  <c:v>0.29174796747967402</c:v>
                </c:pt>
                <c:pt idx="52">
                  <c:v>0.29115999999999997</c:v>
                </c:pt>
                <c:pt idx="53">
                  <c:v>0.29162808641975302</c:v>
                </c:pt>
                <c:pt idx="54">
                  <c:v>0.29688485804416398</c:v>
                </c:pt>
                <c:pt idx="55">
                  <c:v>0.30115999999999998</c:v>
                </c:pt>
                <c:pt idx="56">
                  <c:v>0.29980119284294199</c:v>
                </c:pt>
                <c:pt idx="57">
                  <c:v>0.29375975039001501</c:v>
                </c:pt>
                <c:pt idx="58">
                  <c:v>0.30248796147672502</c:v>
                </c:pt>
                <c:pt idx="59">
                  <c:v>0.30316330565440802</c:v>
                </c:pt>
                <c:pt idx="60">
                  <c:v>0.29726081778483499</c:v>
                </c:pt>
                <c:pt idx="61">
                  <c:v>0.29971932638331999</c:v>
                </c:pt>
                <c:pt idx="62">
                  <c:v>0.30016214025131699</c:v>
                </c:pt>
                <c:pt idx="63">
                  <c:v>0.29938093272802302</c:v>
                </c:pt>
                <c:pt idx="64">
                  <c:v>0.28887973640856601</c:v>
                </c:pt>
                <c:pt idx="65">
                  <c:v>0.28903199002908098</c:v>
                </c:pt>
                <c:pt idx="66">
                  <c:v>0.28376139188069499</c:v>
                </c:pt>
                <c:pt idx="67">
                  <c:v>0.28792955326460401</c:v>
                </c:pt>
                <c:pt idx="68">
                  <c:v>0.28858116744780499</c:v>
                </c:pt>
                <c:pt idx="69">
                  <c:v>0.28815958815958798</c:v>
                </c:pt>
                <c:pt idx="70">
                  <c:v>0.28635979729729699</c:v>
                </c:pt>
                <c:pt idx="71">
                  <c:v>0.28715635738831602</c:v>
                </c:pt>
                <c:pt idx="72">
                  <c:v>0.28670694864048302</c:v>
                </c:pt>
                <c:pt idx="73">
                  <c:v>0.28380911802300801</c:v>
                </c:pt>
                <c:pt idx="74">
                  <c:v>0.28413173652694601</c:v>
                </c:pt>
                <c:pt idx="75">
                  <c:v>0.281913116123642</c:v>
                </c:pt>
                <c:pt idx="76">
                  <c:v>0.28621848739495798</c:v>
                </c:pt>
                <c:pt idx="77">
                  <c:v>0.28392932267564103</c:v>
                </c:pt>
                <c:pt idx="78">
                  <c:v>0.27998352553542</c:v>
                </c:pt>
                <c:pt idx="79">
                  <c:v>0.28134110787172001</c:v>
                </c:pt>
                <c:pt idx="80">
                  <c:v>0.27963590177815401</c:v>
                </c:pt>
                <c:pt idx="81">
                  <c:v>0.28103595890410898</c:v>
                </c:pt>
                <c:pt idx="82">
                  <c:v>0.27712114816378203</c:v>
                </c:pt>
                <c:pt idx="83">
                  <c:v>0.27643504531722002</c:v>
                </c:pt>
                <c:pt idx="84">
                  <c:v>0.27836579170194697</c:v>
                </c:pt>
                <c:pt idx="85">
                  <c:v>0.27724576271186402</c:v>
                </c:pt>
                <c:pt idx="86">
                  <c:v>0.28219294517637</c:v>
                </c:pt>
                <c:pt idx="87">
                  <c:v>0.29168819982773397</c:v>
                </c:pt>
                <c:pt idx="88">
                  <c:v>0.28288477712363302</c:v>
                </c:pt>
                <c:pt idx="89">
                  <c:v>0.281754817548175</c:v>
                </c:pt>
                <c:pt idx="90">
                  <c:v>0.28091663374160403</c:v>
                </c:pt>
                <c:pt idx="91">
                  <c:v>0.27766914352757099</c:v>
                </c:pt>
                <c:pt idx="92">
                  <c:v>0.27498084291187702</c:v>
                </c:pt>
                <c:pt idx="93">
                  <c:v>0.27719502719502698</c:v>
                </c:pt>
                <c:pt idx="94">
                  <c:v>0.27611132586006898</c:v>
                </c:pt>
                <c:pt idx="95">
                  <c:v>0.27921174652241099</c:v>
                </c:pt>
                <c:pt idx="96">
                  <c:v>0.28247663551401803</c:v>
                </c:pt>
                <c:pt idx="97">
                  <c:v>0.28043562816024797</c:v>
                </c:pt>
                <c:pt idx="98">
                  <c:v>0.28144938952343401</c:v>
                </c:pt>
                <c:pt idx="99">
                  <c:v>0.27770428015564202</c:v>
                </c:pt>
                <c:pt idx="100">
                  <c:v>0.28044088176352699</c:v>
                </c:pt>
                <c:pt idx="101">
                  <c:v>0.276027660391855</c:v>
                </c:pt>
                <c:pt idx="102">
                  <c:v>0.27737226277372201</c:v>
                </c:pt>
                <c:pt idx="103">
                  <c:v>0.28120184899845901</c:v>
                </c:pt>
                <c:pt idx="104">
                  <c:v>0.279992245056223</c:v>
                </c:pt>
                <c:pt idx="105">
                  <c:v>0.28507462686567098</c:v>
                </c:pt>
                <c:pt idx="106">
                  <c:v>0.28697692608525599</c:v>
                </c:pt>
                <c:pt idx="107">
                  <c:v>0.28429400386847098</c:v>
                </c:pt>
                <c:pt idx="108">
                  <c:v>0.28077951853267002</c:v>
                </c:pt>
                <c:pt idx="109">
                  <c:v>0.28126669210225103</c:v>
                </c:pt>
                <c:pt idx="110">
                  <c:v>0.28271987601704701</c:v>
                </c:pt>
                <c:pt idx="111">
                  <c:v>0.28735543562066301</c:v>
                </c:pt>
                <c:pt idx="112">
                  <c:v>0.28950039032006197</c:v>
                </c:pt>
                <c:pt idx="113">
                  <c:v>0.288430420711974</c:v>
                </c:pt>
                <c:pt idx="114">
                  <c:v>0.28789936102236402</c:v>
                </c:pt>
                <c:pt idx="115">
                  <c:v>0.29173754556500597</c:v>
                </c:pt>
                <c:pt idx="116">
                  <c:v>0.28896853843090398</c:v>
                </c:pt>
                <c:pt idx="117">
                  <c:v>0.28947995236204799</c:v>
                </c:pt>
                <c:pt idx="118">
                  <c:v>0.28931691818903799</c:v>
                </c:pt>
                <c:pt idx="119">
                  <c:v>0.28251666013328097</c:v>
                </c:pt>
                <c:pt idx="120">
                  <c:v>0.28499025341130602</c:v>
                </c:pt>
                <c:pt idx="121">
                  <c:v>0.27773809523809501</c:v>
                </c:pt>
                <c:pt idx="122">
                  <c:v>0.27992943943551502</c:v>
                </c:pt>
                <c:pt idx="123">
                  <c:v>0.27753201396973198</c:v>
                </c:pt>
                <c:pt idx="124">
                  <c:v>0.27910156250000001</c:v>
                </c:pt>
                <c:pt idx="125">
                  <c:v>0.28072335513659102</c:v>
                </c:pt>
                <c:pt idx="126">
                  <c:v>0.27824074074074001</c:v>
                </c:pt>
                <c:pt idx="127">
                  <c:v>0.27155504234026101</c:v>
                </c:pt>
                <c:pt idx="128">
                  <c:v>0.27780429594271999</c:v>
                </c:pt>
                <c:pt idx="129">
                  <c:v>0.27612774451097799</c:v>
                </c:pt>
                <c:pt idx="130">
                  <c:v>0.27478191911181599</c:v>
                </c:pt>
                <c:pt idx="131">
                  <c:v>0.28039376538145999</c:v>
                </c:pt>
                <c:pt idx="132">
                  <c:v>0.27365635179152997</c:v>
                </c:pt>
                <c:pt idx="133">
                  <c:v>0.27701661937576</c:v>
                </c:pt>
                <c:pt idx="134">
                  <c:v>0.27837190742218598</c:v>
                </c:pt>
                <c:pt idx="135">
                  <c:v>0.27354349561053398</c:v>
                </c:pt>
                <c:pt idx="136">
                  <c:v>0.27644249900517298</c:v>
                </c:pt>
                <c:pt idx="137">
                  <c:v>0.27510865270644003</c:v>
                </c:pt>
                <c:pt idx="138">
                  <c:v>0.27659744408945602</c:v>
                </c:pt>
                <c:pt idx="139">
                  <c:v>0.28027265437048898</c:v>
                </c:pt>
                <c:pt idx="140">
                  <c:v>0.27944333996023801</c:v>
                </c:pt>
                <c:pt idx="141">
                  <c:v>0.272670321064996</c:v>
                </c:pt>
                <c:pt idx="142">
                  <c:v>0.26856702619414402</c:v>
                </c:pt>
                <c:pt idx="143">
                  <c:v>0.27524290711232002</c:v>
                </c:pt>
                <c:pt idx="144">
                  <c:v>0.27535377358490498</c:v>
                </c:pt>
                <c:pt idx="145">
                  <c:v>0.279090909090909</c:v>
                </c:pt>
                <c:pt idx="146">
                  <c:v>0.27706855791962098</c:v>
                </c:pt>
                <c:pt idx="147">
                  <c:v>0.28147560491868301</c:v>
                </c:pt>
                <c:pt idx="148">
                  <c:v>0.29366515837104001</c:v>
                </c:pt>
                <c:pt idx="149">
                  <c:v>0.29573420836751402</c:v>
                </c:pt>
                <c:pt idx="150">
                  <c:v>0.29841017488076299</c:v>
                </c:pt>
                <c:pt idx="151">
                  <c:v>0.29918573090345002</c:v>
                </c:pt>
                <c:pt idx="152">
                  <c:v>0.30382116927779901</c:v>
                </c:pt>
                <c:pt idx="153">
                  <c:v>0.29553571428571401</c:v>
                </c:pt>
                <c:pt idx="154">
                  <c:v>0.29890400604686301</c:v>
                </c:pt>
                <c:pt idx="155">
                  <c:v>0.30148588410103999</c:v>
                </c:pt>
                <c:pt idx="156">
                  <c:v>0.305093120486507</c:v>
                </c:pt>
                <c:pt idx="157">
                  <c:v>0.302361904761904</c:v>
                </c:pt>
                <c:pt idx="158">
                  <c:v>0.30094948727686999</c:v>
                </c:pt>
                <c:pt idx="159">
                  <c:v>0.297994056463595</c:v>
                </c:pt>
                <c:pt idx="160">
                  <c:v>0.29425500370644903</c:v>
                </c:pt>
                <c:pt idx="161">
                  <c:v>0.29409824046920802</c:v>
                </c:pt>
                <c:pt idx="162">
                  <c:v>0.29668174962292598</c:v>
                </c:pt>
                <c:pt idx="163">
                  <c:v>0.29479638009049702</c:v>
                </c:pt>
                <c:pt idx="164">
                  <c:v>0.29781049452623598</c:v>
                </c:pt>
                <c:pt idx="165">
                  <c:v>0.29817232375979102</c:v>
                </c:pt>
                <c:pt idx="166">
                  <c:v>0.299442793462109</c:v>
                </c:pt>
                <c:pt idx="167">
                  <c:v>0.296671597633136</c:v>
                </c:pt>
                <c:pt idx="168">
                  <c:v>0.29443413729127998</c:v>
                </c:pt>
                <c:pt idx="169">
                  <c:v>0.28953530918404602</c:v>
                </c:pt>
                <c:pt idx="170">
                  <c:v>0.28964497041420101</c:v>
                </c:pt>
                <c:pt idx="171">
                  <c:v>0.28757267441860401</c:v>
                </c:pt>
                <c:pt idx="172">
                  <c:v>0.292096219931271</c:v>
                </c:pt>
                <c:pt idx="173">
                  <c:v>0.29000378644452801</c:v>
                </c:pt>
                <c:pt idx="174">
                  <c:v>0.28810751104565502</c:v>
                </c:pt>
                <c:pt idx="175">
                  <c:v>0.29230210602759599</c:v>
                </c:pt>
                <c:pt idx="176">
                  <c:v>0.29965661961083501</c:v>
                </c:pt>
                <c:pt idx="177">
                  <c:v>0.29992556754744998</c:v>
                </c:pt>
                <c:pt idx="178">
                  <c:v>0.292617201919527</c:v>
                </c:pt>
                <c:pt idx="179">
                  <c:v>0.29283849309958898</c:v>
                </c:pt>
                <c:pt idx="180">
                  <c:v>0.28916512059369198</c:v>
                </c:pt>
                <c:pt idx="181">
                  <c:v>0.29024208566108001</c:v>
                </c:pt>
                <c:pt idx="182">
                  <c:v>0.29310086239220101</c:v>
                </c:pt>
                <c:pt idx="183">
                  <c:v>0.28917410714285702</c:v>
                </c:pt>
                <c:pt idx="184">
                  <c:v>0.28833271991166698</c:v>
                </c:pt>
                <c:pt idx="185">
                  <c:v>0.28598962194217897</c:v>
                </c:pt>
                <c:pt idx="186">
                  <c:v>0.28401335311572701</c:v>
                </c:pt>
                <c:pt idx="187">
                  <c:v>0.28666666666666601</c:v>
                </c:pt>
                <c:pt idx="188">
                  <c:v>0.29102658788774</c:v>
                </c:pt>
                <c:pt idx="189">
                  <c:v>0.291262848751835</c:v>
                </c:pt>
                <c:pt idx="190">
                  <c:v>0.28857142857142798</c:v>
                </c:pt>
                <c:pt idx="191">
                  <c:v>0.28721560130010798</c:v>
                </c:pt>
                <c:pt idx="192">
                  <c:v>0.28230905861456401</c:v>
                </c:pt>
                <c:pt idx="193">
                  <c:v>0.28797127468581601</c:v>
                </c:pt>
                <c:pt idx="194">
                  <c:v>0.28818247126436702</c:v>
                </c:pt>
                <c:pt idx="195">
                  <c:v>0.28457183297947602</c:v>
                </c:pt>
                <c:pt idx="196">
                  <c:v>0.284255019373018</c:v>
                </c:pt>
                <c:pt idx="197">
                  <c:v>0.28296475466482301</c:v>
                </c:pt>
                <c:pt idx="198">
                  <c:v>0.28583362339018398</c:v>
                </c:pt>
                <c:pt idx="199">
                  <c:v>0.283035401331931</c:v>
                </c:pt>
                <c:pt idx="200">
                  <c:v>0.28294138294138199</c:v>
                </c:pt>
                <c:pt idx="201">
                  <c:v>0.28443481401227799</c:v>
                </c:pt>
                <c:pt idx="202">
                  <c:v>0.286836363636363</c:v>
                </c:pt>
                <c:pt idx="203">
                  <c:v>0.28779599271402501</c:v>
                </c:pt>
                <c:pt idx="204">
                  <c:v>0.284788937409024</c:v>
                </c:pt>
                <c:pt idx="205">
                  <c:v>0.28348691485440403</c:v>
                </c:pt>
                <c:pt idx="206">
                  <c:v>0.30644567219152802</c:v>
                </c:pt>
                <c:pt idx="207">
                  <c:v>0.309886488465763</c:v>
                </c:pt>
                <c:pt idx="208">
                  <c:v>0.309591539022611</c:v>
                </c:pt>
                <c:pt idx="209">
                  <c:v>0.30469822912902</c:v>
                </c:pt>
                <c:pt idx="210">
                  <c:v>0.303208166241341</c:v>
                </c:pt>
                <c:pt idx="211">
                  <c:v>0.30920379839298701</c:v>
                </c:pt>
                <c:pt idx="212">
                  <c:v>0.309117647058823</c:v>
                </c:pt>
                <c:pt idx="213">
                  <c:v>0.301392451447416</c:v>
                </c:pt>
                <c:pt idx="214">
                  <c:v>0.30280857354028001</c:v>
                </c:pt>
                <c:pt idx="215">
                  <c:v>0.30361445783132501</c:v>
                </c:pt>
                <c:pt idx="216">
                  <c:v>0.30065502183406101</c:v>
                </c:pt>
                <c:pt idx="217">
                  <c:v>0.29798755945847</c:v>
                </c:pt>
                <c:pt idx="218">
                  <c:v>0.29458483754512599</c:v>
                </c:pt>
                <c:pt idx="219">
                  <c:v>0.29913513513513501</c:v>
                </c:pt>
                <c:pt idx="220">
                  <c:v>0.29886861313868601</c:v>
                </c:pt>
                <c:pt idx="221">
                  <c:v>0.29645756457564498</c:v>
                </c:pt>
                <c:pt idx="222">
                  <c:v>0.29417007055328598</c:v>
                </c:pt>
                <c:pt idx="223">
                  <c:v>0.29535055350553502</c:v>
                </c:pt>
                <c:pt idx="224">
                  <c:v>0.29210429673154598</c:v>
                </c:pt>
                <c:pt idx="225">
                  <c:v>0.29113785557986799</c:v>
                </c:pt>
                <c:pt idx="226">
                  <c:v>0.29514705882352898</c:v>
                </c:pt>
                <c:pt idx="227">
                  <c:v>0.296556886227544</c:v>
                </c:pt>
                <c:pt idx="228">
                  <c:v>0.29628935532233802</c:v>
                </c:pt>
                <c:pt idx="229">
                  <c:v>0.28955960516324902</c:v>
                </c:pt>
                <c:pt idx="230">
                  <c:v>0.29402360106585401</c:v>
                </c:pt>
                <c:pt idx="231">
                  <c:v>0.29704073789392699</c:v>
                </c:pt>
                <c:pt idx="232">
                  <c:v>0.29433808553971402</c:v>
                </c:pt>
                <c:pt idx="233">
                  <c:v>0.29530730897009899</c:v>
                </c:pt>
                <c:pt idx="234">
                  <c:v>0.303211736716891</c:v>
                </c:pt>
                <c:pt idx="235">
                  <c:v>0.29942418426103601</c:v>
                </c:pt>
                <c:pt idx="236">
                  <c:v>0.29869060980172002</c:v>
                </c:pt>
                <c:pt idx="237">
                  <c:v>0.30278706800445898</c:v>
                </c:pt>
                <c:pt idx="238">
                  <c:v>0.30094752186588902</c:v>
                </c:pt>
                <c:pt idx="239">
                  <c:v>0.303362573099415</c:v>
                </c:pt>
                <c:pt idx="240">
                  <c:v>0.30057824358510998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0.30491348031702653</c:v>
                </c:pt>
                <c:pt idx="1">
                  <c:v>0.30450759522273163</c:v>
                </c:pt>
                <c:pt idx="2">
                  <c:v>0.30427796404974738</c:v>
                </c:pt>
                <c:pt idx="3">
                  <c:v>0.30397190719530365</c:v>
                </c:pt>
                <c:pt idx="4">
                  <c:v>0.3038545147002098</c:v>
                </c:pt>
                <c:pt idx="5">
                  <c:v>0.30361193340882653</c:v>
                </c:pt>
                <c:pt idx="6">
                  <c:v>0.3033596794505638</c:v>
                </c:pt>
                <c:pt idx="7">
                  <c:v>0.30303822149162674</c:v>
                </c:pt>
                <c:pt idx="8">
                  <c:v>0.30297442870744284</c:v>
                </c:pt>
                <c:pt idx="9">
                  <c:v>0.3027100467548921</c:v>
                </c:pt>
                <c:pt idx="10">
                  <c:v>0.30240996576461721</c:v>
                </c:pt>
                <c:pt idx="11">
                  <c:v>0.3023820483644018</c:v>
                </c:pt>
                <c:pt idx="12">
                  <c:v>0.302180116831825</c:v>
                </c:pt>
                <c:pt idx="13">
                  <c:v>0.30207074040886567</c:v>
                </c:pt>
                <c:pt idx="14">
                  <c:v>0.30193782898843607</c:v>
                </c:pt>
                <c:pt idx="15">
                  <c:v>0.30192164364975216</c:v>
                </c:pt>
                <c:pt idx="16">
                  <c:v>0.3018724123737711</c:v>
                </c:pt>
                <c:pt idx="17">
                  <c:v>0.30186846392070932</c:v>
                </c:pt>
                <c:pt idx="18">
                  <c:v>0.30194416085908538</c:v>
                </c:pt>
                <c:pt idx="19">
                  <c:v>0.30195800903058123</c:v>
                </c:pt>
                <c:pt idx="20">
                  <c:v>0.30190687950626699</c:v>
                </c:pt>
                <c:pt idx="21">
                  <c:v>0.30178905215162471</c:v>
                </c:pt>
                <c:pt idx="22">
                  <c:v>0.30164841430585199</c:v>
                </c:pt>
                <c:pt idx="23">
                  <c:v>0.30153231797562918</c:v>
                </c:pt>
                <c:pt idx="24">
                  <c:v>0.30131942315222882</c:v>
                </c:pt>
                <c:pt idx="25">
                  <c:v>0.30113388188305201</c:v>
                </c:pt>
                <c:pt idx="26">
                  <c:v>0.3008857645803733</c:v>
                </c:pt>
                <c:pt idx="27">
                  <c:v>0.30071034023173693</c:v>
                </c:pt>
                <c:pt idx="28">
                  <c:v>0.30071512253986876</c:v>
                </c:pt>
                <c:pt idx="29">
                  <c:v>0.30071957128744287</c:v>
                </c:pt>
                <c:pt idx="30">
                  <c:v>0.30068835924631365</c:v>
                </c:pt>
                <c:pt idx="31">
                  <c:v>0.30063501289327788</c:v>
                </c:pt>
                <c:pt idx="32">
                  <c:v>0.30052443659555955</c:v>
                </c:pt>
                <c:pt idx="33">
                  <c:v>0.30043349148413689</c:v>
                </c:pt>
                <c:pt idx="34">
                  <c:v>0.30033236142112674</c:v>
                </c:pt>
                <c:pt idx="35">
                  <c:v>0.30022792505697865</c:v>
                </c:pt>
                <c:pt idx="36">
                  <c:v>0.3001194839242366</c:v>
                </c:pt>
                <c:pt idx="37">
                  <c:v>0.29995593942184606</c:v>
                </c:pt>
                <c:pt idx="38">
                  <c:v>0.29998831655194658</c:v>
                </c:pt>
                <c:pt idx="39">
                  <c:v>0.30003501722873505</c:v>
                </c:pt>
                <c:pt idx="40">
                  <c:v>0.30008260450115143</c:v>
                </c:pt>
                <c:pt idx="41">
                  <c:v>0.3002345767883931</c:v>
                </c:pt>
                <c:pt idx="42">
                  <c:v>0.30017503008713536</c:v>
                </c:pt>
                <c:pt idx="43">
                  <c:v>0.30004667265727086</c:v>
                </c:pt>
                <c:pt idx="44">
                  <c:v>0.30006099876862402</c:v>
                </c:pt>
                <c:pt idx="45">
                  <c:v>0.30003383382896709</c:v>
                </c:pt>
                <c:pt idx="46">
                  <c:v>0.29980912501998391</c:v>
                </c:pt>
                <c:pt idx="47">
                  <c:v>0.29981212348662734</c:v>
                </c:pt>
                <c:pt idx="48">
                  <c:v>0.29979066755301376</c:v>
                </c:pt>
                <c:pt idx="49">
                  <c:v>0.29972858106268518</c:v>
                </c:pt>
                <c:pt idx="50">
                  <c:v>0.29972345593926653</c:v>
                </c:pt>
                <c:pt idx="51">
                  <c:v>0.29952780639249132</c:v>
                </c:pt>
                <c:pt idx="52">
                  <c:v>0.29936315990918655</c:v>
                </c:pt>
                <c:pt idx="53">
                  <c:v>0.2993738878527879</c:v>
                </c:pt>
                <c:pt idx="54">
                  <c:v>0.29919661979747619</c:v>
                </c:pt>
                <c:pt idx="55">
                  <c:v>0.29877473944514299</c:v>
                </c:pt>
                <c:pt idx="56">
                  <c:v>0.29805787724663929</c:v>
                </c:pt>
                <c:pt idx="57">
                  <c:v>0.2973385489400161</c:v>
                </c:pt>
                <c:pt idx="58">
                  <c:v>0.29707310757360028</c:v>
                </c:pt>
                <c:pt idx="59">
                  <c:v>0.2960805747837682</c:v>
                </c:pt>
                <c:pt idx="60">
                  <c:v>0.29493294882029075</c:v>
                </c:pt>
                <c:pt idx="61">
                  <c:v>0.29433680262878309</c:v>
                </c:pt>
                <c:pt idx="62">
                  <c:v>0.29341549217267388</c:v>
                </c:pt>
                <c:pt idx="63">
                  <c:v>0.29239968271502587</c:v>
                </c:pt>
                <c:pt idx="64">
                  <c:v>0.29135057118133112</c:v>
                </c:pt>
                <c:pt idx="65">
                  <c:v>0.29109431618036957</c:v>
                </c:pt>
                <c:pt idx="66">
                  <c:v>0.29081816311879721</c:v>
                </c:pt>
                <c:pt idx="67">
                  <c:v>0.29086605797354131</c:v>
                </c:pt>
                <c:pt idx="68">
                  <c:v>0.29091586372218459</c:v>
                </c:pt>
                <c:pt idx="69">
                  <c:v>0.29066747747163557</c:v>
                </c:pt>
                <c:pt idx="70">
                  <c:v>0.29042720028654223</c:v>
                </c:pt>
                <c:pt idx="71">
                  <c:v>0.29024648567587463</c:v>
                </c:pt>
                <c:pt idx="72">
                  <c:v>0.29002243686496021</c:v>
                </c:pt>
                <c:pt idx="73">
                  <c:v>0.28984481346986346</c:v>
                </c:pt>
                <c:pt idx="74">
                  <c:v>0.29042607563300382</c:v>
                </c:pt>
                <c:pt idx="75">
                  <c:v>0.29114778952144682</c:v>
                </c:pt>
                <c:pt idx="76">
                  <c:v>0.2921280784687888</c:v>
                </c:pt>
                <c:pt idx="77">
                  <c:v>0.29300077132790103</c:v>
                </c:pt>
                <c:pt idx="78">
                  <c:v>0.29434412403531623</c:v>
                </c:pt>
                <c:pt idx="79">
                  <c:v>0.29494899772601291</c:v>
                </c:pt>
                <c:pt idx="80">
                  <c:v>0.29576240806030851</c:v>
                </c:pt>
                <c:pt idx="81">
                  <c:v>0.29675644669451928</c:v>
                </c:pt>
                <c:pt idx="82">
                  <c:v>0.29799548054919617</c:v>
                </c:pt>
                <c:pt idx="83">
                  <c:v>0.2989406746828791</c:v>
                </c:pt>
                <c:pt idx="84">
                  <c:v>0.2997297782214699</c:v>
                </c:pt>
                <c:pt idx="85">
                  <c:v>0.30030298995202681</c:v>
                </c:pt>
                <c:pt idx="86">
                  <c:v>0.30065416363443498</c:v>
                </c:pt>
                <c:pt idx="87">
                  <c:v>0.3009804590414315</c:v>
                </c:pt>
                <c:pt idx="88">
                  <c:v>0.30120748306235834</c:v>
                </c:pt>
                <c:pt idx="89">
                  <c:v>0.30154775200618023</c:v>
                </c:pt>
                <c:pt idx="90">
                  <c:v>0.30203963624084634</c:v>
                </c:pt>
                <c:pt idx="91">
                  <c:v>0.30254028717631964</c:v>
                </c:pt>
                <c:pt idx="92">
                  <c:v>0.3030879362579515</c:v>
                </c:pt>
                <c:pt idx="93">
                  <c:v>0.30344222759202982</c:v>
                </c:pt>
                <c:pt idx="94">
                  <c:v>0.303710207949491</c:v>
                </c:pt>
                <c:pt idx="95">
                  <c:v>0.3037952691621979</c:v>
                </c:pt>
                <c:pt idx="96">
                  <c:v>0.30390476778916597</c:v>
                </c:pt>
                <c:pt idx="97">
                  <c:v>0.30396550728294713</c:v>
                </c:pt>
                <c:pt idx="98">
                  <c:v>0.30414261322129299</c:v>
                </c:pt>
                <c:pt idx="99">
                  <c:v>0.30425585326557736</c:v>
                </c:pt>
                <c:pt idx="100">
                  <c:v>0.30430467005174316</c:v>
                </c:pt>
                <c:pt idx="101">
                  <c:v>0.30447443451362022</c:v>
                </c:pt>
                <c:pt idx="102">
                  <c:v>0.30489700277797949</c:v>
                </c:pt>
                <c:pt idx="103">
                  <c:v>0.30533204021548299</c:v>
                </c:pt>
                <c:pt idx="104">
                  <c:v>0.30548765148122525</c:v>
                </c:pt>
                <c:pt idx="105">
                  <c:v>0.30563860467745485</c:v>
                </c:pt>
                <c:pt idx="106">
                  <c:v>0.30569361165467618</c:v>
                </c:pt>
                <c:pt idx="107">
                  <c:v>0.30575101224812112</c:v>
                </c:pt>
                <c:pt idx="108">
                  <c:v>0.30590597061149294</c:v>
                </c:pt>
                <c:pt idx="109">
                  <c:v>0.30596142241840629</c:v>
                </c:pt>
                <c:pt idx="110">
                  <c:v>0.30600226688414789</c:v>
                </c:pt>
                <c:pt idx="111">
                  <c:v>0.30601627157754063</c:v>
                </c:pt>
                <c:pt idx="112">
                  <c:v>0.30598915623507772</c:v>
                </c:pt>
                <c:pt idx="113">
                  <c:v>0.30594623897428513</c:v>
                </c:pt>
                <c:pt idx="114">
                  <c:v>0.30599786780659188</c:v>
                </c:pt>
                <c:pt idx="115">
                  <c:v>0.30606292304280774</c:v>
                </c:pt>
                <c:pt idx="116">
                  <c:v>0.30599647168317234</c:v>
                </c:pt>
                <c:pt idx="117">
                  <c:v>0.30596991519593675</c:v>
                </c:pt>
                <c:pt idx="118">
                  <c:v>0.30590540252378856</c:v>
                </c:pt>
                <c:pt idx="119">
                  <c:v>0.30588243426956546</c:v>
                </c:pt>
                <c:pt idx="120">
                  <c:v>0.30592496819440135</c:v>
                </c:pt>
                <c:pt idx="121">
                  <c:v>0.30592255641995719</c:v>
                </c:pt>
                <c:pt idx="122">
                  <c:v>0.30588792470164855</c:v>
                </c:pt>
                <c:pt idx="123">
                  <c:v>0.30587493452443565</c:v>
                </c:pt>
                <c:pt idx="124">
                  <c:v>0.30584250051658274</c:v>
                </c:pt>
                <c:pt idx="125">
                  <c:v>0.30581868177262828</c:v>
                </c:pt>
                <c:pt idx="126">
                  <c:v>0.30580983942371776</c:v>
                </c:pt>
                <c:pt idx="127">
                  <c:v>0.30577458879469827</c:v>
                </c:pt>
                <c:pt idx="128">
                  <c:v>0.30557855343744827</c:v>
                </c:pt>
                <c:pt idx="129">
                  <c:v>0.30555089825152076</c:v>
                </c:pt>
                <c:pt idx="130">
                  <c:v>0.30545960187065269</c:v>
                </c:pt>
                <c:pt idx="131">
                  <c:v>0.30532591691597361</c:v>
                </c:pt>
                <c:pt idx="132">
                  <c:v>0.30606782597338822</c:v>
                </c:pt>
                <c:pt idx="133">
                  <c:v>0.3068606809475552</c:v>
                </c:pt>
                <c:pt idx="134">
                  <c:v>0.30767275406386074</c:v>
                </c:pt>
                <c:pt idx="135">
                  <c:v>0.30815703138533529</c:v>
                </c:pt>
                <c:pt idx="136">
                  <c:v>0.30839378697450209</c:v>
                </c:pt>
                <c:pt idx="137">
                  <c:v>0.30904440454977433</c:v>
                </c:pt>
                <c:pt idx="138">
                  <c:v>0.30960319373203754</c:v>
                </c:pt>
                <c:pt idx="139">
                  <c:v>0.30975619091552836</c:v>
                </c:pt>
                <c:pt idx="140">
                  <c:v>0.31004216025432807</c:v>
                </c:pt>
                <c:pt idx="141">
                  <c:v>0.3103258615468405</c:v>
                </c:pt>
                <c:pt idx="142">
                  <c:v>0.31021779021875268</c:v>
                </c:pt>
                <c:pt idx="143">
                  <c:v>0.30974007951632487</c:v>
                </c:pt>
                <c:pt idx="144">
                  <c:v>0.30948407761538838</c:v>
                </c:pt>
                <c:pt idx="145">
                  <c:v>0.30931160568249172</c:v>
                </c:pt>
                <c:pt idx="146">
                  <c:v>0.30925542309499343</c:v>
                </c:pt>
                <c:pt idx="147">
                  <c:v>0.30902310656778503</c:v>
                </c:pt>
                <c:pt idx="148">
                  <c:v>0.30890124441511113</c:v>
                </c:pt>
                <c:pt idx="149">
                  <c:v>0.30892514493002371</c:v>
                </c:pt>
                <c:pt idx="150">
                  <c:v>0.30888128154083888</c:v>
                </c:pt>
                <c:pt idx="151">
                  <c:v>0.3087688288329119</c:v>
                </c:pt>
                <c:pt idx="152">
                  <c:v>0.30866996601715063</c:v>
                </c:pt>
                <c:pt idx="153">
                  <c:v>0.30840878642979003</c:v>
                </c:pt>
                <c:pt idx="154">
                  <c:v>0.3084241783655437</c:v>
                </c:pt>
                <c:pt idx="155">
                  <c:v>0.30828943589745206</c:v>
                </c:pt>
                <c:pt idx="156">
                  <c:v>0.30808104948415693</c:v>
                </c:pt>
                <c:pt idx="157">
                  <c:v>0.30775146638037104</c:v>
                </c:pt>
                <c:pt idx="158">
                  <c:v>0.30749986784980893</c:v>
                </c:pt>
                <c:pt idx="159">
                  <c:v>0.30732488185967732</c:v>
                </c:pt>
                <c:pt idx="160">
                  <c:v>0.30753612736255326</c:v>
                </c:pt>
                <c:pt idx="161">
                  <c:v>0.30766897184826886</c:v>
                </c:pt>
                <c:pt idx="162">
                  <c:v>0.30777788365776176</c:v>
                </c:pt>
                <c:pt idx="163">
                  <c:v>0.30799742270078123</c:v>
                </c:pt>
                <c:pt idx="164">
                  <c:v>0.30817280501408023</c:v>
                </c:pt>
                <c:pt idx="165">
                  <c:v>0.3083846768853753</c:v>
                </c:pt>
                <c:pt idx="166">
                  <c:v>0.30846490525213882</c:v>
                </c:pt>
                <c:pt idx="167">
                  <c:v>0.30844280042860134</c:v>
                </c:pt>
                <c:pt idx="168">
                  <c:v>0.30837305631455691</c:v>
                </c:pt>
                <c:pt idx="169">
                  <c:v>0.30838673621774204</c:v>
                </c:pt>
                <c:pt idx="170">
                  <c:v>0.30850585241038836</c:v>
                </c:pt>
                <c:pt idx="171">
                  <c:v>0.30867591763753566</c:v>
                </c:pt>
                <c:pt idx="172">
                  <c:v>0.30877698890556748</c:v>
                </c:pt>
                <c:pt idx="173">
                  <c:v>0.30885997233281726</c:v>
                </c:pt>
                <c:pt idx="174">
                  <c:v>0.30900935517796818</c:v>
                </c:pt>
                <c:pt idx="175">
                  <c:v>0.30899563075747405</c:v>
                </c:pt>
                <c:pt idx="176">
                  <c:v>0.30900682349136482</c:v>
                </c:pt>
                <c:pt idx="177">
                  <c:v>0.30886537762678734</c:v>
                </c:pt>
                <c:pt idx="178">
                  <c:v>0.3087125729237245</c:v>
                </c:pt>
                <c:pt idx="179">
                  <c:v>0.30871718136243759</c:v>
                </c:pt>
                <c:pt idx="180">
                  <c:v>0.30870891057529248</c:v>
                </c:pt>
                <c:pt idx="181">
                  <c:v>0.30870453777102763</c:v>
                </c:pt>
                <c:pt idx="182">
                  <c:v>0.30875995432157743</c:v>
                </c:pt>
                <c:pt idx="183">
                  <c:v>0.30876111874748502</c:v>
                </c:pt>
                <c:pt idx="184">
                  <c:v>0.30876507712902318</c:v>
                </c:pt>
                <c:pt idx="185">
                  <c:v>0.30877395820742543</c:v>
                </c:pt>
                <c:pt idx="186">
                  <c:v>0.30874652690915605</c:v>
                </c:pt>
                <c:pt idx="187">
                  <c:v>0.30883319611072557</c:v>
                </c:pt>
                <c:pt idx="188">
                  <c:v>0.30907084734845525</c:v>
                </c:pt>
                <c:pt idx="189">
                  <c:v>0.30927116767128005</c:v>
                </c:pt>
                <c:pt idx="190">
                  <c:v>0.30964286248541079</c:v>
                </c:pt>
                <c:pt idx="191">
                  <c:v>0.30982134293062746</c:v>
                </c:pt>
                <c:pt idx="192">
                  <c:v>0.31072914903637372</c:v>
                </c:pt>
                <c:pt idx="193">
                  <c:v>0.3108058682091191</c:v>
                </c:pt>
                <c:pt idx="194">
                  <c:v>0.31265658713393568</c:v>
                </c:pt>
                <c:pt idx="195">
                  <c:v>0.31391585038887049</c:v>
                </c:pt>
                <c:pt idx="196">
                  <c:v>0.31653128587189344</c:v>
                </c:pt>
                <c:pt idx="197">
                  <c:v>0.31867776597693959</c:v>
                </c:pt>
                <c:pt idx="198">
                  <c:v>0.32026885150789403</c:v>
                </c:pt>
                <c:pt idx="199">
                  <c:v>0.32198488471065739</c:v>
                </c:pt>
                <c:pt idx="200">
                  <c:v>0.32348261263615241</c:v>
                </c:pt>
                <c:pt idx="201">
                  <c:v>0.32516725084988718</c:v>
                </c:pt>
                <c:pt idx="202">
                  <c:v>0.32730162148819864</c:v>
                </c:pt>
                <c:pt idx="203">
                  <c:v>0.32950512837502199</c:v>
                </c:pt>
                <c:pt idx="204">
                  <c:v>0.33191287715857937</c:v>
                </c:pt>
                <c:pt idx="205">
                  <c:v>0.33420851441640964</c:v>
                </c:pt>
                <c:pt idx="206">
                  <c:v>0.33696861973050402</c:v>
                </c:pt>
                <c:pt idx="207">
                  <c:v>0.34065901401355203</c:v>
                </c:pt>
                <c:pt idx="208">
                  <c:v>0.34344843570406919</c:v>
                </c:pt>
                <c:pt idx="209">
                  <c:v>0.34559037349231836</c:v>
                </c:pt>
                <c:pt idx="210">
                  <c:v>0.34754645511263982</c:v>
                </c:pt>
                <c:pt idx="211">
                  <c:v>0.35016636503963355</c:v>
                </c:pt>
                <c:pt idx="212">
                  <c:v>0.35304373420345181</c:v>
                </c:pt>
                <c:pt idx="213">
                  <c:v>0.35521204755858704</c:v>
                </c:pt>
                <c:pt idx="214">
                  <c:v>0.3576747196845132</c:v>
                </c:pt>
                <c:pt idx="215">
                  <c:v>0.35961597190973243</c:v>
                </c:pt>
                <c:pt idx="216">
                  <c:v>0.36165028511682318</c:v>
                </c:pt>
                <c:pt idx="217">
                  <c:v>0.3634896061134868</c:v>
                </c:pt>
                <c:pt idx="218">
                  <c:v>0.36491204886685941</c:v>
                </c:pt>
                <c:pt idx="219">
                  <c:v>0.36560179137145843</c:v>
                </c:pt>
                <c:pt idx="220">
                  <c:v>0.36613720934726118</c:v>
                </c:pt>
                <c:pt idx="221">
                  <c:v>0.36676178136651016</c:v>
                </c:pt>
                <c:pt idx="222">
                  <c:v>0.367569671694574</c:v>
                </c:pt>
                <c:pt idx="223">
                  <c:v>0.36812230509375177</c:v>
                </c:pt>
                <c:pt idx="224">
                  <c:v>0.36858242414948084</c:v>
                </c:pt>
                <c:pt idx="225">
                  <c:v>0.36892348189175056</c:v>
                </c:pt>
                <c:pt idx="226">
                  <c:v>0.36931610732235698</c:v>
                </c:pt>
                <c:pt idx="227">
                  <c:v>0.36967002869619803</c:v>
                </c:pt>
                <c:pt idx="228">
                  <c:v>0.36992710924580063</c:v>
                </c:pt>
                <c:pt idx="229">
                  <c:v>0.37009877450518719</c:v>
                </c:pt>
                <c:pt idx="230">
                  <c:v>0.37020597811138756</c:v>
                </c:pt>
                <c:pt idx="231">
                  <c:v>0.37069284876260977</c:v>
                </c:pt>
                <c:pt idx="232">
                  <c:v>0.37099499432557725</c:v>
                </c:pt>
                <c:pt idx="233">
                  <c:v>0.37112699237882818</c:v>
                </c:pt>
                <c:pt idx="234">
                  <c:v>0.3712778516861836</c:v>
                </c:pt>
                <c:pt idx="235">
                  <c:v>0.37147865703774263</c:v>
                </c:pt>
                <c:pt idx="236">
                  <c:v>0.37149324453384358</c:v>
                </c:pt>
                <c:pt idx="237">
                  <c:v>0.37149315488828122</c:v>
                </c:pt>
                <c:pt idx="238">
                  <c:v>0.37162541223610079</c:v>
                </c:pt>
                <c:pt idx="239">
                  <c:v>0.37177858003317155</c:v>
                </c:pt>
                <c:pt idx="240">
                  <c:v>0.3718731563698176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0.28157826737319552</c:v>
                </c:pt>
                <c:pt idx="1">
                  <c:v>0.2813460609505144</c:v>
                </c:pt>
                <c:pt idx="2">
                  <c:v>0.2811924467707666</c:v>
                </c:pt>
                <c:pt idx="3">
                  <c:v>0.28100036996847033</c:v>
                </c:pt>
                <c:pt idx="4">
                  <c:v>0.28054910609024425</c:v>
                </c:pt>
                <c:pt idx="5">
                  <c:v>0.28023886428946942</c:v>
                </c:pt>
                <c:pt idx="6">
                  <c:v>0.27987269628438022</c:v>
                </c:pt>
                <c:pt idx="7">
                  <c:v>0.27961909361140724</c:v>
                </c:pt>
                <c:pt idx="8">
                  <c:v>0.2790589871783572</c:v>
                </c:pt>
                <c:pt idx="9">
                  <c:v>0.2785986326609059</c:v>
                </c:pt>
                <c:pt idx="10">
                  <c:v>0.27826123976933881</c:v>
                </c:pt>
                <c:pt idx="11">
                  <c:v>0.2777442559615762</c:v>
                </c:pt>
                <c:pt idx="12">
                  <c:v>0.27753489461060299</c:v>
                </c:pt>
                <c:pt idx="13">
                  <c:v>0.2775452060278743</c:v>
                </c:pt>
                <c:pt idx="14">
                  <c:v>0.27734599285049993</c:v>
                </c:pt>
                <c:pt idx="15">
                  <c:v>0.27709028828633386</c:v>
                </c:pt>
                <c:pt idx="16">
                  <c:v>0.27680349658486686</c:v>
                </c:pt>
                <c:pt idx="17">
                  <c:v>0.27635676528449071</c:v>
                </c:pt>
                <c:pt idx="18">
                  <c:v>0.27575642979926462</c:v>
                </c:pt>
                <c:pt idx="19">
                  <c:v>0.27531416972394673</c:v>
                </c:pt>
                <c:pt idx="20">
                  <c:v>0.27484784504322296</c:v>
                </c:pt>
                <c:pt idx="21">
                  <c:v>0.27455849883139333</c:v>
                </c:pt>
                <c:pt idx="22">
                  <c:v>0.27440633863961006</c:v>
                </c:pt>
                <c:pt idx="23">
                  <c:v>0.27418050458763477</c:v>
                </c:pt>
                <c:pt idx="24">
                  <c:v>0.27402703291458319</c:v>
                </c:pt>
                <c:pt idx="25">
                  <c:v>0.27372958128760394</c:v>
                </c:pt>
                <c:pt idx="26">
                  <c:v>0.27357043597438868</c:v>
                </c:pt>
                <c:pt idx="27">
                  <c:v>0.27321703970054312</c:v>
                </c:pt>
                <c:pt idx="28">
                  <c:v>0.27289488129122119</c:v>
                </c:pt>
                <c:pt idx="29">
                  <c:v>0.27279621286175715</c:v>
                </c:pt>
                <c:pt idx="30">
                  <c:v>0.27260408055035634</c:v>
                </c:pt>
                <c:pt idx="31">
                  <c:v>0.27255906501749616</c:v>
                </c:pt>
                <c:pt idx="32">
                  <c:v>0.27254551136647048</c:v>
                </c:pt>
                <c:pt idx="33">
                  <c:v>0.27248358601132705</c:v>
                </c:pt>
                <c:pt idx="34">
                  <c:v>0.27232599135338531</c:v>
                </c:pt>
                <c:pt idx="35">
                  <c:v>0.2721889041946674</c:v>
                </c:pt>
                <c:pt idx="36">
                  <c:v>0.27209775811581138</c:v>
                </c:pt>
                <c:pt idx="37">
                  <c:v>0.27211093745719195</c:v>
                </c:pt>
                <c:pt idx="38">
                  <c:v>0.27211455105160742</c:v>
                </c:pt>
                <c:pt idx="39">
                  <c:v>0.2721404289873669</c:v>
                </c:pt>
                <c:pt idx="40">
                  <c:v>0.27218782869161062</c:v>
                </c:pt>
                <c:pt idx="41">
                  <c:v>0.2722376607082389</c:v>
                </c:pt>
                <c:pt idx="42">
                  <c:v>0.27224025710645067</c:v>
                </c:pt>
                <c:pt idx="43">
                  <c:v>0.27226592870792915</c:v>
                </c:pt>
                <c:pt idx="44">
                  <c:v>0.27226731086046796</c:v>
                </c:pt>
                <c:pt idx="45">
                  <c:v>0.27219018117921889</c:v>
                </c:pt>
                <c:pt idx="46">
                  <c:v>0.27218366705601005</c:v>
                </c:pt>
                <c:pt idx="47">
                  <c:v>0.27193302330535662</c:v>
                </c:pt>
                <c:pt idx="48">
                  <c:v>0.27178024929540023</c:v>
                </c:pt>
                <c:pt idx="49">
                  <c:v>0.27152133518695276</c:v>
                </c:pt>
                <c:pt idx="50">
                  <c:v>0.27135790179014552</c:v>
                </c:pt>
                <c:pt idx="51">
                  <c:v>0.27124784080723063</c:v>
                </c:pt>
                <c:pt idx="52">
                  <c:v>0.27105229457749741</c:v>
                </c:pt>
                <c:pt idx="53">
                  <c:v>0.27051876776297007</c:v>
                </c:pt>
                <c:pt idx="54">
                  <c:v>0.27032740140555983</c:v>
                </c:pt>
                <c:pt idx="55">
                  <c:v>0.27019575873034096</c:v>
                </c:pt>
                <c:pt idx="56">
                  <c:v>0.27020920543849475</c:v>
                </c:pt>
                <c:pt idx="57">
                  <c:v>0.2704110023461439</c:v>
                </c:pt>
                <c:pt idx="58">
                  <c:v>0.27014035308326767</c:v>
                </c:pt>
                <c:pt idx="59">
                  <c:v>0.27045365008373984</c:v>
                </c:pt>
                <c:pt idx="60">
                  <c:v>0.27094017209435928</c:v>
                </c:pt>
                <c:pt idx="61">
                  <c:v>0.27090385636121889</c:v>
                </c:pt>
                <c:pt idx="62">
                  <c:v>0.27120445142057609</c:v>
                </c:pt>
                <c:pt idx="63">
                  <c:v>0.27155216787702813</c:v>
                </c:pt>
                <c:pt idx="64">
                  <c:v>0.2719937197136949</c:v>
                </c:pt>
                <c:pt idx="65">
                  <c:v>0.27202045252697443</c:v>
                </c:pt>
                <c:pt idx="66">
                  <c:v>0.27204090825337673</c:v>
                </c:pt>
                <c:pt idx="67">
                  <c:v>0.27169725151021468</c:v>
                </c:pt>
                <c:pt idx="68">
                  <c:v>0.2711311117063594</c:v>
                </c:pt>
                <c:pt idx="69">
                  <c:v>0.27102381101462847</c:v>
                </c:pt>
                <c:pt idx="70">
                  <c:v>0.27092259981106381</c:v>
                </c:pt>
                <c:pt idx="71">
                  <c:v>0.27090947740289339</c:v>
                </c:pt>
                <c:pt idx="72">
                  <c:v>0.27086451822797575</c:v>
                </c:pt>
                <c:pt idx="73">
                  <c:v>0.27090263912382451</c:v>
                </c:pt>
                <c:pt idx="74">
                  <c:v>0.27058420470330014</c:v>
                </c:pt>
                <c:pt idx="75">
                  <c:v>0.27017189006393716</c:v>
                </c:pt>
                <c:pt idx="76">
                  <c:v>0.2696315226834532</c:v>
                </c:pt>
                <c:pt idx="77">
                  <c:v>0.26910462298456694</c:v>
                </c:pt>
                <c:pt idx="78">
                  <c:v>0.26829171951987579</c:v>
                </c:pt>
                <c:pt idx="79">
                  <c:v>0.26810157086252107</c:v>
                </c:pt>
                <c:pt idx="80">
                  <c:v>0.26775650447956145</c:v>
                </c:pt>
                <c:pt idx="81">
                  <c:v>0.26734513204062871</c:v>
                </c:pt>
                <c:pt idx="82">
                  <c:v>0.26674762249481582</c:v>
                </c:pt>
                <c:pt idx="83">
                  <c:v>0.2664755152037489</c:v>
                </c:pt>
                <c:pt idx="84">
                  <c:v>0.26634013011741614</c:v>
                </c:pt>
                <c:pt idx="85">
                  <c:v>0.26629033878050318</c:v>
                </c:pt>
                <c:pt idx="86">
                  <c:v>0.26639274485794906</c:v>
                </c:pt>
                <c:pt idx="87">
                  <c:v>0.26638392399209648</c:v>
                </c:pt>
                <c:pt idx="88">
                  <c:v>0.26629006129904165</c:v>
                </c:pt>
                <c:pt idx="89">
                  <c:v>0.26626743510100181</c:v>
                </c:pt>
                <c:pt idx="90">
                  <c:v>0.26620370225241768</c:v>
                </c:pt>
                <c:pt idx="91">
                  <c:v>0.26616320305076235</c:v>
                </c:pt>
                <c:pt idx="92">
                  <c:v>0.26619618463405248</c:v>
                </c:pt>
                <c:pt idx="93">
                  <c:v>0.26642031342587419</c:v>
                </c:pt>
                <c:pt idx="94">
                  <c:v>0.26661204267097904</c:v>
                </c:pt>
                <c:pt idx="95">
                  <c:v>0.26688495434691206</c:v>
                </c:pt>
                <c:pt idx="96">
                  <c:v>0.26705367502372401</c:v>
                </c:pt>
                <c:pt idx="97">
                  <c:v>0.26712882990073283</c:v>
                </c:pt>
                <c:pt idx="98">
                  <c:v>0.26726267307628104</c:v>
                </c:pt>
                <c:pt idx="99">
                  <c:v>0.26737755028322463</c:v>
                </c:pt>
                <c:pt idx="100">
                  <c:v>0.26760615298745888</c:v>
                </c:pt>
                <c:pt idx="101">
                  <c:v>0.26775268783929174</c:v>
                </c:pt>
                <c:pt idx="102">
                  <c:v>0.26796022515410456</c:v>
                </c:pt>
                <c:pt idx="103">
                  <c:v>0.26812660917723496</c:v>
                </c:pt>
                <c:pt idx="104">
                  <c:v>0.2682754073227207</c:v>
                </c:pt>
                <c:pt idx="105">
                  <c:v>0.26846702074098117</c:v>
                </c:pt>
                <c:pt idx="106">
                  <c:v>0.26852109359650583</c:v>
                </c:pt>
                <c:pt idx="107">
                  <c:v>0.26855076392508287</c:v>
                </c:pt>
                <c:pt idx="108">
                  <c:v>0.26863065512234507</c:v>
                </c:pt>
                <c:pt idx="109">
                  <c:v>0.26879905901170176</c:v>
                </c:pt>
                <c:pt idx="110">
                  <c:v>0.26894664195421214</c:v>
                </c:pt>
                <c:pt idx="111">
                  <c:v>0.26901983048548939</c:v>
                </c:pt>
                <c:pt idx="112">
                  <c:v>0.26895782362782028</c:v>
                </c:pt>
                <c:pt idx="113">
                  <c:v>0.26892517492452289</c:v>
                </c:pt>
                <c:pt idx="114">
                  <c:v>0.26894277721690207</c:v>
                </c:pt>
                <c:pt idx="115">
                  <c:v>0.26896741498680626</c:v>
                </c:pt>
                <c:pt idx="116">
                  <c:v>0.26894943655994563</c:v>
                </c:pt>
                <c:pt idx="117">
                  <c:v>0.26892924805702723</c:v>
                </c:pt>
                <c:pt idx="118">
                  <c:v>0.26880253689590944</c:v>
                </c:pt>
                <c:pt idx="119">
                  <c:v>0.26878962132338052</c:v>
                </c:pt>
                <c:pt idx="120">
                  <c:v>0.26889817569537261</c:v>
                </c:pt>
                <c:pt idx="121">
                  <c:v>0.26888942959163481</c:v>
                </c:pt>
                <c:pt idx="122">
                  <c:v>0.26909784595354141</c:v>
                </c:pt>
                <c:pt idx="123">
                  <c:v>0.26919177787020238</c:v>
                </c:pt>
                <c:pt idx="124">
                  <c:v>0.26944558812926728</c:v>
                </c:pt>
                <c:pt idx="125">
                  <c:v>0.26957430924207371</c:v>
                </c:pt>
                <c:pt idx="126">
                  <c:v>0.2696422989991123</c:v>
                </c:pt>
                <c:pt idx="127">
                  <c:v>0.2698427249153717</c:v>
                </c:pt>
                <c:pt idx="128">
                  <c:v>0.27044626217385176</c:v>
                </c:pt>
                <c:pt idx="129">
                  <c:v>0.27074036260701523</c:v>
                </c:pt>
                <c:pt idx="130">
                  <c:v>0.27106262413182936</c:v>
                </c:pt>
                <c:pt idx="131">
                  <c:v>0.27142844230631241</c:v>
                </c:pt>
                <c:pt idx="132">
                  <c:v>0.27138125076383179</c:v>
                </c:pt>
                <c:pt idx="133">
                  <c:v>0.2715545327676448</c:v>
                </c:pt>
                <c:pt idx="134">
                  <c:v>0.27161112417525524</c:v>
                </c:pt>
                <c:pt idx="135">
                  <c:v>0.27182888209929673</c:v>
                </c:pt>
                <c:pt idx="136">
                  <c:v>0.27238318439361792</c:v>
                </c:pt>
                <c:pt idx="137">
                  <c:v>0.27260620146868764</c:v>
                </c:pt>
                <c:pt idx="138">
                  <c:v>0.2729543188024865</c:v>
                </c:pt>
                <c:pt idx="139">
                  <c:v>0.27346252181520964</c:v>
                </c:pt>
                <c:pt idx="140">
                  <c:v>0.27377751032093789</c:v>
                </c:pt>
                <c:pt idx="141">
                  <c:v>0.27413837217165349</c:v>
                </c:pt>
                <c:pt idx="142">
                  <c:v>0.27499270218691735</c:v>
                </c:pt>
                <c:pt idx="143">
                  <c:v>0.27625496044305908</c:v>
                </c:pt>
                <c:pt idx="144">
                  <c:v>0.2770267471555376</c:v>
                </c:pt>
                <c:pt idx="145">
                  <c:v>0.27783338872977426</c:v>
                </c:pt>
                <c:pt idx="146">
                  <c:v>0.2784169767585466</c:v>
                </c:pt>
                <c:pt idx="147">
                  <c:v>0.27916633346324898</c:v>
                </c:pt>
                <c:pt idx="148">
                  <c:v>0.27962671469951084</c:v>
                </c:pt>
                <c:pt idx="149">
                  <c:v>0.27964775805485226</c:v>
                </c:pt>
                <c:pt idx="150">
                  <c:v>0.27959482380041117</c:v>
                </c:pt>
                <c:pt idx="151">
                  <c:v>0.27951334799364813</c:v>
                </c:pt>
                <c:pt idx="152">
                  <c:v>0.27950451288727735</c:v>
                </c:pt>
                <c:pt idx="153">
                  <c:v>0.27957197825996399</c:v>
                </c:pt>
                <c:pt idx="154">
                  <c:v>0.27957668341852027</c:v>
                </c:pt>
                <c:pt idx="155">
                  <c:v>0.27946224186304991</c:v>
                </c:pt>
                <c:pt idx="156">
                  <c:v>0.27947163406207309</c:v>
                </c:pt>
                <c:pt idx="157">
                  <c:v>0.279586486963391</c:v>
                </c:pt>
                <c:pt idx="158">
                  <c:v>0.27962411698136108</c:v>
                </c:pt>
                <c:pt idx="159">
                  <c:v>0.27964864488331265</c:v>
                </c:pt>
                <c:pt idx="160">
                  <c:v>0.27957653752052275</c:v>
                </c:pt>
                <c:pt idx="161">
                  <c:v>0.27958153784959711</c:v>
                </c:pt>
                <c:pt idx="162">
                  <c:v>0.27959508922230419</c:v>
                </c:pt>
                <c:pt idx="163">
                  <c:v>0.27953835866945875</c:v>
                </c:pt>
                <c:pt idx="164">
                  <c:v>0.27952700680350379</c:v>
                </c:pt>
                <c:pt idx="165">
                  <c:v>0.27946319036082667</c:v>
                </c:pt>
                <c:pt idx="166">
                  <c:v>0.27944711985607112</c:v>
                </c:pt>
                <c:pt idx="167">
                  <c:v>0.27945095722662466</c:v>
                </c:pt>
                <c:pt idx="168">
                  <c:v>0.27939513774946312</c:v>
                </c:pt>
                <c:pt idx="169">
                  <c:v>0.279403128871346</c:v>
                </c:pt>
                <c:pt idx="170">
                  <c:v>0.27952083447938764</c:v>
                </c:pt>
                <c:pt idx="171">
                  <c:v>0.27962981458267833</c:v>
                </c:pt>
                <c:pt idx="172">
                  <c:v>0.27982306201464247</c:v>
                </c:pt>
                <c:pt idx="173">
                  <c:v>0.27988603450252869</c:v>
                </c:pt>
                <c:pt idx="174">
                  <c:v>0.27999955057093778</c:v>
                </c:pt>
                <c:pt idx="175">
                  <c:v>0.28010474583551193</c:v>
                </c:pt>
                <c:pt idx="176">
                  <c:v>0.28013239349260916</c:v>
                </c:pt>
                <c:pt idx="177">
                  <c:v>0.28003133750821863</c:v>
                </c:pt>
                <c:pt idx="178">
                  <c:v>0.27991211097143148</c:v>
                </c:pt>
                <c:pt idx="179">
                  <c:v>0.27992268409933246</c:v>
                </c:pt>
                <c:pt idx="180">
                  <c:v>0.27988157333383357</c:v>
                </c:pt>
                <c:pt idx="181">
                  <c:v>0.2799246184350424</c:v>
                </c:pt>
                <c:pt idx="182">
                  <c:v>0.28002943565563854</c:v>
                </c:pt>
                <c:pt idx="183">
                  <c:v>0.28003181073968897</c:v>
                </c:pt>
                <c:pt idx="184">
                  <c:v>0.28013119360095279</c:v>
                </c:pt>
                <c:pt idx="185">
                  <c:v>0.28028142533955652</c:v>
                </c:pt>
                <c:pt idx="186">
                  <c:v>0.280531610102144</c:v>
                </c:pt>
                <c:pt idx="187">
                  <c:v>0.28090161725365048</c:v>
                </c:pt>
                <c:pt idx="188">
                  <c:v>0.2811166728596407</c:v>
                </c:pt>
                <c:pt idx="189">
                  <c:v>0.28120743228286393</c:v>
                </c:pt>
                <c:pt idx="190">
                  <c:v>0.28122462560458122</c:v>
                </c:pt>
                <c:pt idx="191">
                  <c:v>0.28141227387026257</c:v>
                </c:pt>
                <c:pt idx="192">
                  <c:v>0.28124350712890833</c:v>
                </c:pt>
                <c:pt idx="193">
                  <c:v>0.28175954367539485</c:v>
                </c:pt>
                <c:pt idx="194">
                  <c:v>0.28091114576309234</c:v>
                </c:pt>
                <c:pt idx="195">
                  <c:v>0.28052876912405755</c:v>
                </c:pt>
                <c:pt idx="196">
                  <c:v>0.27927517877867453</c:v>
                </c:pt>
                <c:pt idx="197">
                  <c:v>0.27845313422218837</c:v>
                </c:pt>
                <c:pt idx="198">
                  <c:v>0.27812705215352401</c:v>
                </c:pt>
                <c:pt idx="199">
                  <c:v>0.27765032745522861</c:v>
                </c:pt>
                <c:pt idx="200">
                  <c:v>0.2774560312791936</c:v>
                </c:pt>
                <c:pt idx="201">
                  <c:v>0.27716769624818283</c:v>
                </c:pt>
                <c:pt idx="202">
                  <c:v>0.2765457950057274</c:v>
                </c:pt>
                <c:pt idx="203">
                  <c:v>0.27584181421014198</c:v>
                </c:pt>
                <c:pt idx="204">
                  <c:v>0.27500775314323661</c:v>
                </c:pt>
                <c:pt idx="205">
                  <c:v>0.2743997770630684</c:v>
                </c:pt>
                <c:pt idx="206">
                  <c:v>0.27355098531253402</c:v>
                </c:pt>
                <c:pt idx="207">
                  <c:v>0.27144103072183201</c:v>
                </c:pt>
                <c:pt idx="208">
                  <c:v>0.26998262412731283</c:v>
                </c:pt>
                <c:pt idx="209">
                  <c:v>0.26901984181515159</c:v>
                </c:pt>
                <c:pt idx="210">
                  <c:v>0.26831889981905421</c:v>
                </c:pt>
                <c:pt idx="211">
                  <c:v>0.26725326444037639</c:v>
                </c:pt>
                <c:pt idx="212">
                  <c:v>0.26591819100030822</c:v>
                </c:pt>
                <c:pt idx="213">
                  <c:v>0.265097544987971</c:v>
                </c:pt>
                <c:pt idx="214">
                  <c:v>0.26431058254180279</c:v>
                </c:pt>
                <c:pt idx="215">
                  <c:v>0.26384914679297361</c:v>
                </c:pt>
                <c:pt idx="216">
                  <c:v>0.26334329220103081</c:v>
                </c:pt>
                <c:pt idx="217">
                  <c:v>0.26305997451006125</c:v>
                </c:pt>
                <c:pt idx="218">
                  <c:v>0.26310509138407262</c:v>
                </c:pt>
                <c:pt idx="219">
                  <c:v>0.26358725153487761</c:v>
                </c:pt>
                <c:pt idx="220">
                  <c:v>0.26398729331635279</c:v>
                </c:pt>
                <c:pt idx="221">
                  <c:v>0.26438850564849381</c:v>
                </c:pt>
                <c:pt idx="222">
                  <c:v>0.26482257688212796</c:v>
                </c:pt>
                <c:pt idx="223">
                  <c:v>0.26542857425643618</c:v>
                </c:pt>
                <c:pt idx="224">
                  <c:v>0.26603272055260518</c:v>
                </c:pt>
                <c:pt idx="225">
                  <c:v>0.2667914071614314</c:v>
                </c:pt>
                <c:pt idx="226">
                  <c:v>0.26760335397101498</c:v>
                </c:pt>
                <c:pt idx="227">
                  <c:v>0.268290128960886</c:v>
                </c:pt>
                <c:pt idx="228">
                  <c:v>0.2689463406422774</c:v>
                </c:pt>
                <c:pt idx="229">
                  <c:v>0.2696212894590308</c:v>
                </c:pt>
                <c:pt idx="230">
                  <c:v>0.2706084458104504</c:v>
                </c:pt>
                <c:pt idx="231">
                  <c:v>0.27139114172908418</c:v>
                </c:pt>
                <c:pt idx="232">
                  <c:v>0.2721122305349728</c:v>
                </c:pt>
                <c:pt idx="233">
                  <c:v>0.27296424394070984</c:v>
                </c:pt>
                <c:pt idx="234">
                  <c:v>0.27379989718075043</c:v>
                </c:pt>
                <c:pt idx="235">
                  <c:v>0.27434183074483742</c:v>
                </c:pt>
                <c:pt idx="236">
                  <c:v>0.27497210963554641</c:v>
                </c:pt>
                <c:pt idx="237">
                  <c:v>0.27564874167789083</c:v>
                </c:pt>
                <c:pt idx="238">
                  <c:v>0.27623253078857324</c:v>
                </c:pt>
                <c:pt idx="239">
                  <c:v>0.27691458868264041</c:v>
                </c:pt>
                <c:pt idx="240">
                  <c:v>0.27749429735735637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0.29324587384511103</c:v>
                </c:pt>
                <c:pt idx="1">
                  <c:v>0.29292682808662301</c:v>
                </c:pt>
                <c:pt idx="2">
                  <c:v>0.29273520541025699</c:v>
                </c:pt>
                <c:pt idx="3">
                  <c:v>0.29248613858188699</c:v>
                </c:pt>
                <c:pt idx="4">
                  <c:v>0.29220181039522702</c:v>
                </c:pt>
                <c:pt idx="5">
                  <c:v>0.29192539884914798</c:v>
                </c:pt>
                <c:pt idx="6">
                  <c:v>0.29161618786747201</c:v>
                </c:pt>
                <c:pt idx="7">
                  <c:v>0.29132865755151699</c:v>
                </c:pt>
                <c:pt idx="8">
                  <c:v>0.29101670794290002</c:v>
                </c:pt>
                <c:pt idx="9">
                  <c:v>0.290654339707899</c:v>
                </c:pt>
                <c:pt idx="10">
                  <c:v>0.29033560276697801</c:v>
                </c:pt>
                <c:pt idx="11">
                  <c:v>0.290063152162989</c:v>
                </c:pt>
                <c:pt idx="12">
                  <c:v>0.28985750572121399</c:v>
                </c:pt>
                <c:pt idx="13">
                  <c:v>0.28980797321836999</c:v>
                </c:pt>
                <c:pt idx="14">
                  <c:v>0.289641910919468</c:v>
                </c:pt>
                <c:pt idx="15">
                  <c:v>0.28950596596804301</c:v>
                </c:pt>
                <c:pt idx="16">
                  <c:v>0.28933795447931898</c:v>
                </c:pt>
                <c:pt idx="17">
                  <c:v>0.28911261460260002</c:v>
                </c:pt>
                <c:pt idx="18">
                  <c:v>0.288850295329175</c:v>
                </c:pt>
                <c:pt idx="19">
                  <c:v>0.28863608937726398</c:v>
                </c:pt>
                <c:pt idx="20">
                  <c:v>0.28837736227474497</c:v>
                </c:pt>
                <c:pt idx="21">
                  <c:v>0.28817377549150902</c:v>
                </c:pt>
                <c:pt idx="22">
                  <c:v>0.28802737647273102</c:v>
                </c:pt>
                <c:pt idx="23">
                  <c:v>0.28785641128163197</c:v>
                </c:pt>
                <c:pt idx="24">
                  <c:v>0.287673228033406</c:v>
                </c:pt>
                <c:pt idx="25">
                  <c:v>0.28743173158532798</c:v>
                </c:pt>
                <c:pt idx="26">
                  <c:v>0.28722810027738099</c:v>
                </c:pt>
                <c:pt idx="27">
                  <c:v>0.28696368996614002</c:v>
                </c:pt>
                <c:pt idx="28">
                  <c:v>0.28680500191554498</c:v>
                </c:pt>
                <c:pt idx="29">
                  <c:v>0.28675789207460001</c:v>
                </c:pt>
                <c:pt idx="30">
                  <c:v>0.286646219898335</c:v>
                </c:pt>
                <c:pt idx="31">
                  <c:v>0.28659703895538702</c:v>
                </c:pt>
                <c:pt idx="32">
                  <c:v>0.28653497398101502</c:v>
                </c:pt>
                <c:pt idx="33">
                  <c:v>0.28645853874773197</c:v>
                </c:pt>
                <c:pt idx="34">
                  <c:v>0.28632917638725602</c:v>
                </c:pt>
                <c:pt idx="35">
                  <c:v>0.28620841462582303</c:v>
                </c:pt>
                <c:pt idx="36">
                  <c:v>0.28610862102002399</c:v>
                </c:pt>
                <c:pt idx="37">
                  <c:v>0.28603343843951901</c:v>
                </c:pt>
                <c:pt idx="38">
                  <c:v>0.286051433801777</c:v>
                </c:pt>
                <c:pt idx="39">
                  <c:v>0.28608772310805097</c:v>
                </c:pt>
                <c:pt idx="40">
                  <c:v>0.28613521659638103</c:v>
                </c:pt>
                <c:pt idx="41">
                  <c:v>0.286236118748316</c:v>
                </c:pt>
                <c:pt idx="42">
                  <c:v>0.28620764359679302</c:v>
                </c:pt>
                <c:pt idx="43">
                  <c:v>0.28615630068260001</c:v>
                </c:pt>
                <c:pt idx="44">
                  <c:v>0.28616415481454599</c:v>
                </c:pt>
                <c:pt idx="45">
                  <c:v>0.28611200750409299</c:v>
                </c:pt>
                <c:pt idx="46">
                  <c:v>0.28599639603799698</c:v>
                </c:pt>
                <c:pt idx="47">
                  <c:v>0.28587257339599198</c:v>
                </c:pt>
                <c:pt idx="48">
                  <c:v>0.285785458424207</c:v>
                </c:pt>
                <c:pt idx="49">
                  <c:v>0.28562495812481897</c:v>
                </c:pt>
                <c:pt idx="50">
                  <c:v>0.28554067886470602</c:v>
                </c:pt>
                <c:pt idx="51">
                  <c:v>0.28538782359986098</c:v>
                </c:pt>
                <c:pt idx="52">
                  <c:v>0.28520772724334198</c:v>
                </c:pt>
                <c:pt idx="53">
                  <c:v>0.28494632780787899</c:v>
                </c:pt>
                <c:pt idx="54">
                  <c:v>0.28476201060151801</c:v>
                </c:pt>
                <c:pt idx="55">
                  <c:v>0.28448524908774198</c:v>
                </c:pt>
                <c:pt idx="56">
                  <c:v>0.28413354134256702</c:v>
                </c:pt>
                <c:pt idx="57">
                  <c:v>0.28387477564308</c:v>
                </c:pt>
                <c:pt idx="58">
                  <c:v>0.28360673032843398</c:v>
                </c:pt>
                <c:pt idx="59">
                  <c:v>0.28326711243375402</c:v>
                </c:pt>
                <c:pt idx="60">
                  <c:v>0.28293656045732501</c:v>
                </c:pt>
                <c:pt idx="61">
                  <c:v>0.28262032949500099</c:v>
                </c:pt>
                <c:pt idx="62">
                  <c:v>0.28230997179662498</c:v>
                </c:pt>
                <c:pt idx="63">
                  <c:v>0.281975925296027</c:v>
                </c:pt>
                <c:pt idx="64">
                  <c:v>0.28167214544751301</c:v>
                </c:pt>
                <c:pt idx="65">
                  <c:v>0.281557384353672</c:v>
                </c:pt>
                <c:pt idx="66">
                  <c:v>0.28142953568608697</c:v>
                </c:pt>
                <c:pt idx="67">
                  <c:v>0.281281654741878</c:v>
                </c:pt>
                <c:pt idx="68">
                  <c:v>0.28102348771427199</c:v>
                </c:pt>
                <c:pt idx="69">
                  <c:v>0.28084564424313202</c:v>
                </c:pt>
                <c:pt idx="70">
                  <c:v>0.28067490004880302</c:v>
                </c:pt>
                <c:pt idx="71">
                  <c:v>0.28057798153938401</c:v>
                </c:pt>
                <c:pt idx="72">
                  <c:v>0.28044347754646798</c:v>
                </c:pt>
                <c:pt idx="73">
                  <c:v>0.28037372629684398</c:v>
                </c:pt>
                <c:pt idx="74">
                  <c:v>0.28050514016815198</c:v>
                </c:pt>
                <c:pt idx="75">
                  <c:v>0.28065983979269199</c:v>
                </c:pt>
                <c:pt idx="76">
                  <c:v>0.280879800576121</c:v>
                </c:pt>
                <c:pt idx="77">
                  <c:v>0.28105269715623399</c:v>
                </c:pt>
                <c:pt idx="78">
                  <c:v>0.28131792177759601</c:v>
                </c:pt>
                <c:pt idx="79">
                  <c:v>0.28152528429426699</c:v>
                </c:pt>
                <c:pt idx="80">
                  <c:v>0.28175945626993498</c:v>
                </c:pt>
                <c:pt idx="81">
                  <c:v>0.282050789367574</c:v>
                </c:pt>
                <c:pt idx="82">
                  <c:v>0.28237155152200599</c:v>
                </c:pt>
                <c:pt idx="83">
                  <c:v>0.282708094943314</c:v>
                </c:pt>
                <c:pt idx="84">
                  <c:v>0.28303495416944302</c:v>
                </c:pt>
                <c:pt idx="85">
                  <c:v>0.28329666436626499</c:v>
                </c:pt>
                <c:pt idx="86">
                  <c:v>0.28352345424619202</c:v>
                </c:pt>
                <c:pt idx="87">
                  <c:v>0.28368219151676399</c:v>
                </c:pt>
                <c:pt idx="88">
                  <c:v>0.28374877218069999</c:v>
                </c:pt>
                <c:pt idx="89">
                  <c:v>0.28390759355359102</c:v>
                </c:pt>
                <c:pt idx="90">
                  <c:v>0.28412166924663201</c:v>
                </c:pt>
                <c:pt idx="91">
                  <c:v>0.284351745113541</c:v>
                </c:pt>
                <c:pt idx="92">
                  <c:v>0.28464206044600199</c:v>
                </c:pt>
                <c:pt idx="93">
                  <c:v>0.28493127050895201</c:v>
                </c:pt>
                <c:pt idx="94">
                  <c:v>0.28516112531023502</c:v>
                </c:pt>
                <c:pt idx="95">
                  <c:v>0.28534011175455498</c:v>
                </c:pt>
                <c:pt idx="96">
                  <c:v>0.28547922140644499</c:v>
                </c:pt>
                <c:pt idx="97">
                  <c:v>0.28554716859183998</c:v>
                </c:pt>
                <c:pt idx="98">
                  <c:v>0.28570264314878702</c:v>
                </c:pt>
                <c:pt idx="99">
                  <c:v>0.28581670177440099</c:v>
                </c:pt>
                <c:pt idx="100">
                  <c:v>0.28595541151960102</c:v>
                </c:pt>
                <c:pt idx="101">
                  <c:v>0.28611356117645598</c:v>
                </c:pt>
                <c:pt idx="102">
                  <c:v>0.28642861396604202</c:v>
                </c:pt>
                <c:pt idx="103">
                  <c:v>0.28672932469635898</c:v>
                </c:pt>
                <c:pt idx="104">
                  <c:v>0.28688152940197298</c:v>
                </c:pt>
                <c:pt idx="105">
                  <c:v>0.28705281270921801</c:v>
                </c:pt>
                <c:pt idx="106">
                  <c:v>0.28710735262559101</c:v>
                </c:pt>
                <c:pt idx="107">
                  <c:v>0.287150888086602</c:v>
                </c:pt>
                <c:pt idx="108">
                  <c:v>0.28726831286691901</c:v>
                </c:pt>
                <c:pt idx="109">
                  <c:v>0.28738024071505403</c:v>
                </c:pt>
                <c:pt idx="110">
                  <c:v>0.28747445441918001</c:v>
                </c:pt>
                <c:pt idx="111">
                  <c:v>0.28751805103151501</c:v>
                </c:pt>
                <c:pt idx="112">
                  <c:v>0.287473489931449</c:v>
                </c:pt>
                <c:pt idx="113">
                  <c:v>0.28743570694940401</c:v>
                </c:pt>
                <c:pt idx="114">
                  <c:v>0.28747032251174698</c:v>
                </c:pt>
                <c:pt idx="115">
                  <c:v>0.287515169014807</c:v>
                </c:pt>
                <c:pt idx="116">
                  <c:v>0.28747295412155899</c:v>
                </c:pt>
                <c:pt idx="117">
                  <c:v>0.28744958162648199</c:v>
                </c:pt>
                <c:pt idx="118">
                  <c:v>0.287353969709849</c:v>
                </c:pt>
                <c:pt idx="119">
                  <c:v>0.28733602779647299</c:v>
                </c:pt>
                <c:pt idx="120">
                  <c:v>0.28741157194488698</c:v>
                </c:pt>
                <c:pt idx="121">
                  <c:v>0.287405993005796</c:v>
                </c:pt>
                <c:pt idx="122">
                  <c:v>0.28749288532759498</c:v>
                </c:pt>
                <c:pt idx="123">
                  <c:v>0.28753335619731901</c:v>
                </c:pt>
                <c:pt idx="124">
                  <c:v>0.28764404432292501</c:v>
                </c:pt>
                <c:pt idx="125">
                  <c:v>0.28769649550735099</c:v>
                </c:pt>
                <c:pt idx="126">
                  <c:v>0.28772606921141503</c:v>
                </c:pt>
                <c:pt idx="127">
                  <c:v>0.28780865685503498</c:v>
                </c:pt>
                <c:pt idx="128">
                  <c:v>0.28801240780565002</c:v>
                </c:pt>
                <c:pt idx="129">
                  <c:v>0.288145630429268</c:v>
                </c:pt>
                <c:pt idx="130">
                  <c:v>0.28826111300124102</c:v>
                </c:pt>
                <c:pt idx="131">
                  <c:v>0.28837717961114301</c:v>
                </c:pt>
                <c:pt idx="132">
                  <c:v>0.28872453836861001</c:v>
                </c:pt>
                <c:pt idx="133">
                  <c:v>0.2892076068576</c:v>
                </c:pt>
                <c:pt idx="134">
                  <c:v>0.28964193911955799</c:v>
                </c:pt>
                <c:pt idx="135">
                  <c:v>0.28999295674231601</c:v>
                </c:pt>
                <c:pt idx="136">
                  <c:v>0.29038848568406</c:v>
                </c:pt>
                <c:pt idx="137">
                  <c:v>0.29082530300923098</c:v>
                </c:pt>
                <c:pt idx="138">
                  <c:v>0.29127875626726202</c:v>
                </c:pt>
                <c:pt idx="139">
                  <c:v>0.291609356365369</c:v>
                </c:pt>
                <c:pt idx="140">
                  <c:v>0.29190983528763298</c:v>
                </c:pt>
                <c:pt idx="141">
                  <c:v>0.29223211685924699</c:v>
                </c:pt>
                <c:pt idx="142">
                  <c:v>0.29260524620283501</c:v>
                </c:pt>
                <c:pt idx="143">
                  <c:v>0.29299751997969198</c:v>
                </c:pt>
                <c:pt idx="144">
                  <c:v>0.29325541238546299</c:v>
                </c:pt>
                <c:pt idx="145">
                  <c:v>0.29357249720613299</c:v>
                </c:pt>
                <c:pt idx="146">
                  <c:v>0.29383619992677001</c:v>
                </c:pt>
                <c:pt idx="147">
                  <c:v>0.29409472001551701</c:v>
                </c:pt>
                <c:pt idx="148">
                  <c:v>0.29426397955731098</c:v>
                </c:pt>
                <c:pt idx="149">
                  <c:v>0.29428645149243798</c:v>
                </c:pt>
                <c:pt idx="150">
                  <c:v>0.29423805267062503</c:v>
                </c:pt>
                <c:pt idx="151">
                  <c:v>0.29414108841328002</c:v>
                </c:pt>
                <c:pt idx="152">
                  <c:v>0.29408723945221399</c:v>
                </c:pt>
                <c:pt idx="153">
                  <c:v>0.29399038234487701</c:v>
                </c:pt>
                <c:pt idx="154">
                  <c:v>0.29400043089203198</c:v>
                </c:pt>
                <c:pt idx="155">
                  <c:v>0.29387583888025098</c:v>
                </c:pt>
                <c:pt idx="156">
                  <c:v>0.29377634177311501</c:v>
                </c:pt>
                <c:pt idx="157">
                  <c:v>0.29366897667188102</c:v>
                </c:pt>
                <c:pt idx="158">
                  <c:v>0.293561992415585</c:v>
                </c:pt>
                <c:pt idx="159">
                  <c:v>0.29348676337149499</c:v>
                </c:pt>
                <c:pt idx="160">
                  <c:v>0.293556332441538</c:v>
                </c:pt>
                <c:pt idx="161">
                  <c:v>0.29362525484893298</c:v>
                </c:pt>
                <c:pt idx="162">
                  <c:v>0.29368648644003298</c:v>
                </c:pt>
                <c:pt idx="163">
                  <c:v>0.29376789068511999</c:v>
                </c:pt>
                <c:pt idx="164">
                  <c:v>0.29384990590879201</c:v>
                </c:pt>
                <c:pt idx="165">
                  <c:v>0.29392393362310099</c:v>
                </c:pt>
                <c:pt idx="166">
                  <c:v>0.29395601255410497</c:v>
                </c:pt>
                <c:pt idx="167">
                  <c:v>0.293946878827613</c:v>
                </c:pt>
                <c:pt idx="168">
                  <c:v>0.29388409703201002</c:v>
                </c:pt>
                <c:pt idx="169">
                  <c:v>0.29389493254454402</c:v>
                </c:pt>
                <c:pt idx="170">
                  <c:v>0.294013343444888</c:v>
                </c:pt>
                <c:pt idx="171">
                  <c:v>0.29415286611010699</c:v>
                </c:pt>
                <c:pt idx="172">
                  <c:v>0.29430002546010497</c:v>
                </c:pt>
                <c:pt idx="173">
                  <c:v>0.29437300341767297</c:v>
                </c:pt>
                <c:pt idx="174">
                  <c:v>0.29450445287445298</c:v>
                </c:pt>
                <c:pt idx="175">
                  <c:v>0.29455018829649299</c:v>
                </c:pt>
                <c:pt idx="176">
                  <c:v>0.29456960849198699</c:v>
                </c:pt>
                <c:pt idx="177">
                  <c:v>0.29444835756750298</c:v>
                </c:pt>
                <c:pt idx="178">
                  <c:v>0.29431234194757799</c:v>
                </c:pt>
                <c:pt idx="179">
                  <c:v>0.29431993273088503</c:v>
                </c:pt>
                <c:pt idx="180">
                  <c:v>0.29429524195456302</c:v>
                </c:pt>
                <c:pt idx="181">
                  <c:v>0.29431457810303502</c:v>
                </c:pt>
                <c:pt idx="182">
                  <c:v>0.29439469498860799</c:v>
                </c:pt>
                <c:pt idx="183">
                  <c:v>0.29439646474358699</c:v>
                </c:pt>
                <c:pt idx="184">
                  <c:v>0.29444813536498798</c:v>
                </c:pt>
                <c:pt idx="185">
                  <c:v>0.29452769177349097</c:v>
                </c:pt>
                <c:pt idx="186">
                  <c:v>0.29463906850565003</c:v>
                </c:pt>
                <c:pt idx="187">
                  <c:v>0.29486740668218803</c:v>
                </c:pt>
                <c:pt idx="188">
                  <c:v>0.29509376010404798</c:v>
                </c:pt>
                <c:pt idx="189">
                  <c:v>0.29523929997707199</c:v>
                </c:pt>
                <c:pt idx="190">
                  <c:v>0.29543374404499601</c:v>
                </c:pt>
                <c:pt idx="191">
                  <c:v>0.29561680840044502</c:v>
                </c:pt>
                <c:pt idx="192">
                  <c:v>0.29598632808264103</c:v>
                </c:pt>
                <c:pt idx="193">
                  <c:v>0.29628270594225697</c:v>
                </c:pt>
                <c:pt idx="194">
                  <c:v>0.29678386644851401</c:v>
                </c:pt>
                <c:pt idx="195">
                  <c:v>0.29722230975646402</c:v>
                </c:pt>
                <c:pt idx="196">
                  <c:v>0.29790323232528398</c:v>
                </c:pt>
                <c:pt idx="197">
                  <c:v>0.29856545009956398</c:v>
                </c:pt>
                <c:pt idx="198">
                  <c:v>0.29919795183070902</c:v>
                </c:pt>
                <c:pt idx="199">
                  <c:v>0.299817606082943</c:v>
                </c:pt>
                <c:pt idx="200">
                  <c:v>0.30046932195767301</c:v>
                </c:pt>
                <c:pt idx="201">
                  <c:v>0.301167473549035</c:v>
                </c:pt>
                <c:pt idx="202">
                  <c:v>0.30192370824696302</c:v>
                </c:pt>
                <c:pt idx="203">
                  <c:v>0.30267347129258199</c:v>
                </c:pt>
                <c:pt idx="204">
                  <c:v>0.30346031515090799</c:v>
                </c:pt>
                <c:pt idx="205">
                  <c:v>0.30430414573973902</c:v>
                </c:pt>
                <c:pt idx="206">
                  <c:v>0.30525980252151902</c:v>
                </c:pt>
                <c:pt idx="207">
                  <c:v>0.30605002236769202</c:v>
                </c:pt>
                <c:pt idx="208">
                  <c:v>0.30671552991569101</c:v>
                </c:pt>
                <c:pt idx="209">
                  <c:v>0.30730510765373498</c:v>
                </c:pt>
                <c:pt idx="210">
                  <c:v>0.30793267746584702</c:v>
                </c:pt>
                <c:pt idx="211">
                  <c:v>0.30870981474000497</c:v>
                </c:pt>
                <c:pt idx="212">
                  <c:v>0.30948096260188002</c:v>
                </c:pt>
                <c:pt idx="213">
                  <c:v>0.31015479627327902</c:v>
                </c:pt>
                <c:pt idx="214">
                  <c:v>0.31099265111315799</c:v>
                </c:pt>
                <c:pt idx="215">
                  <c:v>0.31173255935135302</c:v>
                </c:pt>
                <c:pt idx="216">
                  <c:v>0.31249678865892699</c:v>
                </c:pt>
                <c:pt idx="217">
                  <c:v>0.31327479031177402</c:v>
                </c:pt>
                <c:pt idx="218">
                  <c:v>0.31400857012546601</c:v>
                </c:pt>
                <c:pt idx="219">
                  <c:v>0.31459452145316802</c:v>
                </c:pt>
                <c:pt idx="220">
                  <c:v>0.31506225133180699</c:v>
                </c:pt>
                <c:pt idx="221">
                  <c:v>0.31557514350750199</c:v>
                </c:pt>
                <c:pt idx="222">
                  <c:v>0.31619612428835098</c:v>
                </c:pt>
                <c:pt idx="223">
                  <c:v>0.31677543967509397</c:v>
                </c:pt>
                <c:pt idx="224">
                  <c:v>0.31730757235104301</c:v>
                </c:pt>
                <c:pt idx="225">
                  <c:v>0.31785744452659098</c:v>
                </c:pt>
                <c:pt idx="226">
                  <c:v>0.31845973064668598</c:v>
                </c:pt>
                <c:pt idx="227">
                  <c:v>0.31898007882854201</c:v>
                </c:pt>
                <c:pt idx="228">
                  <c:v>0.31943672494403902</c:v>
                </c:pt>
                <c:pt idx="229">
                  <c:v>0.31986003198210899</c:v>
                </c:pt>
                <c:pt idx="230">
                  <c:v>0.32040721196091898</c:v>
                </c:pt>
                <c:pt idx="231">
                  <c:v>0.32104199524584698</c:v>
                </c:pt>
                <c:pt idx="232">
                  <c:v>0.32155361243027503</c:v>
                </c:pt>
                <c:pt idx="233">
                  <c:v>0.32204561815976901</c:v>
                </c:pt>
                <c:pt idx="234">
                  <c:v>0.32253887443346702</c:v>
                </c:pt>
                <c:pt idx="235">
                  <c:v>0.32291024389129003</c:v>
                </c:pt>
                <c:pt idx="236">
                  <c:v>0.323232677084695</c:v>
                </c:pt>
                <c:pt idx="237">
                  <c:v>0.32357094828308602</c:v>
                </c:pt>
                <c:pt idx="238">
                  <c:v>0.32392897151233702</c:v>
                </c:pt>
                <c:pt idx="239">
                  <c:v>0.32434658435790598</c:v>
                </c:pt>
                <c:pt idx="240">
                  <c:v>0.32468372686358699</c:v>
                </c:pt>
              </c:numCache>
            </c:numRef>
          </c:val>
        </c:ser>
        <c:marker val="1"/>
        <c:axId val="95118848"/>
        <c:axId val="95120384"/>
      </c:lineChart>
      <c:dateAx>
        <c:axId val="95118848"/>
        <c:scaling>
          <c:orientation val="minMax"/>
        </c:scaling>
        <c:axPos val="b"/>
        <c:numFmt formatCode="yyyy/mm/dd" sourceLinked="1"/>
        <c:tickLblPos val="nextTo"/>
        <c:crossAx val="95120384"/>
        <c:crosses val="autoZero"/>
        <c:auto val="1"/>
        <c:lblOffset val="100"/>
      </c:dateAx>
      <c:valAx>
        <c:axId val="95120384"/>
        <c:scaling>
          <c:orientation val="minMax"/>
          <c:max val="0.37187315636981771"/>
          <c:min val="0.16305997451006124"/>
        </c:scaling>
        <c:axPos val="l"/>
        <c:majorGridlines/>
        <c:numFmt formatCode="General" sourceLinked="1"/>
        <c:majorTickMark val="none"/>
        <c:tickLblPos val="nextTo"/>
        <c:crossAx val="95118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93E-2"/>
          <c:w val="0.11146820076747002"/>
          <c:h val="0.1504558576043829"/>
        </c:manualLayout>
      </c:layout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04E-2"/>
          <c:y val="8.1284535694720383E-2"/>
          <c:w val="0.90558616623760646"/>
          <c:h val="0.81342996711994453"/>
        </c:manualLayout>
      </c:layout>
      <c:lineChart>
        <c:grouping val="standard"/>
        <c:ser>
          <c:idx val="0"/>
          <c:order val="0"/>
          <c:tx>
            <c:strRef>
              <c:f>BACK_TEST!$F$41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BACK_TEST!$A$42:$A$703</c:f>
              <c:numCache>
                <c:formatCode>yyyy/mm/dd</c:formatCode>
                <c:ptCount val="662"/>
                <c:pt idx="0">
                  <c:v>43815</c:v>
                </c:pt>
                <c:pt idx="1">
                  <c:v>43812</c:v>
                </c:pt>
                <c:pt idx="2">
                  <c:v>43811</c:v>
                </c:pt>
                <c:pt idx="3">
                  <c:v>43810</c:v>
                </c:pt>
                <c:pt idx="4">
                  <c:v>43809</c:v>
                </c:pt>
                <c:pt idx="5">
                  <c:v>43808</c:v>
                </c:pt>
                <c:pt idx="6">
                  <c:v>43805</c:v>
                </c:pt>
                <c:pt idx="7">
                  <c:v>43804</c:v>
                </c:pt>
                <c:pt idx="8">
                  <c:v>43803</c:v>
                </c:pt>
                <c:pt idx="9">
                  <c:v>43802</c:v>
                </c:pt>
                <c:pt idx="10">
                  <c:v>43801</c:v>
                </c:pt>
                <c:pt idx="11">
                  <c:v>43798</c:v>
                </c:pt>
                <c:pt idx="12">
                  <c:v>43797</c:v>
                </c:pt>
                <c:pt idx="13">
                  <c:v>43796</c:v>
                </c:pt>
                <c:pt idx="14">
                  <c:v>43795</c:v>
                </c:pt>
                <c:pt idx="15">
                  <c:v>43794</c:v>
                </c:pt>
                <c:pt idx="16">
                  <c:v>43791</c:v>
                </c:pt>
                <c:pt idx="17">
                  <c:v>43790</c:v>
                </c:pt>
                <c:pt idx="18">
                  <c:v>43789</c:v>
                </c:pt>
                <c:pt idx="19">
                  <c:v>43788</c:v>
                </c:pt>
                <c:pt idx="20">
                  <c:v>43787</c:v>
                </c:pt>
                <c:pt idx="21">
                  <c:v>43784</c:v>
                </c:pt>
                <c:pt idx="22">
                  <c:v>43783</c:v>
                </c:pt>
                <c:pt idx="23">
                  <c:v>43782</c:v>
                </c:pt>
                <c:pt idx="24">
                  <c:v>43781</c:v>
                </c:pt>
                <c:pt idx="25">
                  <c:v>43780</c:v>
                </c:pt>
                <c:pt idx="26">
                  <c:v>43777</c:v>
                </c:pt>
                <c:pt idx="27">
                  <c:v>43776</c:v>
                </c:pt>
                <c:pt idx="28">
                  <c:v>43775</c:v>
                </c:pt>
                <c:pt idx="29">
                  <c:v>43774</c:v>
                </c:pt>
                <c:pt idx="30">
                  <c:v>43770</c:v>
                </c:pt>
                <c:pt idx="31">
                  <c:v>43769</c:v>
                </c:pt>
                <c:pt idx="32">
                  <c:v>43768</c:v>
                </c:pt>
                <c:pt idx="33">
                  <c:v>43767</c:v>
                </c:pt>
                <c:pt idx="34">
                  <c:v>43766</c:v>
                </c:pt>
                <c:pt idx="35">
                  <c:v>43763</c:v>
                </c:pt>
                <c:pt idx="36">
                  <c:v>43762</c:v>
                </c:pt>
                <c:pt idx="37">
                  <c:v>43761</c:v>
                </c:pt>
                <c:pt idx="38">
                  <c:v>43759</c:v>
                </c:pt>
                <c:pt idx="39">
                  <c:v>43756</c:v>
                </c:pt>
                <c:pt idx="40">
                  <c:v>43755</c:v>
                </c:pt>
                <c:pt idx="41">
                  <c:v>43754</c:v>
                </c:pt>
                <c:pt idx="42">
                  <c:v>43753</c:v>
                </c:pt>
                <c:pt idx="43">
                  <c:v>43749</c:v>
                </c:pt>
                <c:pt idx="44">
                  <c:v>43748</c:v>
                </c:pt>
                <c:pt idx="45">
                  <c:v>43747</c:v>
                </c:pt>
                <c:pt idx="46">
                  <c:v>43746</c:v>
                </c:pt>
                <c:pt idx="47">
                  <c:v>43745</c:v>
                </c:pt>
                <c:pt idx="48">
                  <c:v>43742</c:v>
                </c:pt>
                <c:pt idx="49">
                  <c:v>43741</c:v>
                </c:pt>
                <c:pt idx="50">
                  <c:v>43740</c:v>
                </c:pt>
                <c:pt idx="51">
                  <c:v>43739</c:v>
                </c:pt>
                <c:pt idx="52">
                  <c:v>43738</c:v>
                </c:pt>
                <c:pt idx="53">
                  <c:v>43735</c:v>
                </c:pt>
                <c:pt idx="54">
                  <c:v>43734</c:v>
                </c:pt>
                <c:pt idx="55">
                  <c:v>43733</c:v>
                </c:pt>
                <c:pt idx="56">
                  <c:v>43732</c:v>
                </c:pt>
                <c:pt idx="57">
                  <c:v>43728</c:v>
                </c:pt>
                <c:pt idx="58">
                  <c:v>43727</c:v>
                </c:pt>
                <c:pt idx="59">
                  <c:v>43726</c:v>
                </c:pt>
                <c:pt idx="60">
                  <c:v>43725</c:v>
                </c:pt>
                <c:pt idx="61">
                  <c:v>43721</c:v>
                </c:pt>
                <c:pt idx="62">
                  <c:v>43720</c:v>
                </c:pt>
                <c:pt idx="63">
                  <c:v>43719</c:v>
                </c:pt>
                <c:pt idx="64">
                  <c:v>43718</c:v>
                </c:pt>
                <c:pt idx="65">
                  <c:v>43717</c:v>
                </c:pt>
                <c:pt idx="66">
                  <c:v>43714</c:v>
                </c:pt>
                <c:pt idx="67">
                  <c:v>43713</c:v>
                </c:pt>
                <c:pt idx="68">
                  <c:v>43712</c:v>
                </c:pt>
                <c:pt idx="69">
                  <c:v>43711</c:v>
                </c:pt>
                <c:pt idx="70">
                  <c:v>43710</c:v>
                </c:pt>
                <c:pt idx="71">
                  <c:v>43707</c:v>
                </c:pt>
                <c:pt idx="72">
                  <c:v>43706</c:v>
                </c:pt>
                <c:pt idx="73">
                  <c:v>43705</c:v>
                </c:pt>
                <c:pt idx="74">
                  <c:v>43704</c:v>
                </c:pt>
                <c:pt idx="75">
                  <c:v>43703</c:v>
                </c:pt>
                <c:pt idx="76">
                  <c:v>43700</c:v>
                </c:pt>
                <c:pt idx="77">
                  <c:v>43699</c:v>
                </c:pt>
                <c:pt idx="78">
                  <c:v>43698</c:v>
                </c:pt>
                <c:pt idx="79">
                  <c:v>43697</c:v>
                </c:pt>
                <c:pt idx="80">
                  <c:v>43696</c:v>
                </c:pt>
                <c:pt idx="81">
                  <c:v>43693</c:v>
                </c:pt>
                <c:pt idx="82">
                  <c:v>43692</c:v>
                </c:pt>
                <c:pt idx="83">
                  <c:v>43691</c:v>
                </c:pt>
                <c:pt idx="84">
                  <c:v>43690</c:v>
                </c:pt>
                <c:pt idx="85">
                  <c:v>43686</c:v>
                </c:pt>
                <c:pt idx="86">
                  <c:v>43685</c:v>
                </c:pt>
                <c:pt idx="87">
                  <c:v>43684</c:v>
                </c:pt>
                <c:pt idx="88">
                  <c:v>43683</c:v>
                </c:pt>
                <c:pt idx="89">
                  <c:v>43682</c:v>
                </c:pt>
                <c:pt idx="90">
                  <c:v>43679</c:v>
                </c:pt>
                <c:pt idx="91">
                  <c:v>43678</c:v>
                </c:pt>
                <c:pt idx="92">
                  <c:v>43677</c:v>
                </c:pt>
                <c:pt idx="93">
                  <c:v>43676</c:v>
                </c:pt>
                <c:pt idx="94">
                  <c:v>43675</c:v>
                </c:pt>
                <c:pt idx="95">
                  <c:v>43672</c:v>
                </c:pt>
                <c:pt idx="96">
                  <c:v>43671</c:v>
                </c:pt>
                <c:pt idx="97">
                  <c:v>43670</c:v>
                </c:pt>
                <c:pt idx="98">
                  <c:v>43669</c:v>
                </c:pt>
                <c:pt idx="99">
                  <c:v>43668</c:v>
                </c:pt>
                <c:pt idx="100">
                  <c:v>43665</c:v>
                </c:pt>
                <c:pt idx="101">
                  <c:v>43664</c:v>
                </c:pt>
                <c:pt idx="102">
                  <c:v>43663</c:v>
                </c:pt>
                <c:pt idx="103">
                  <c:v>43662</c:v>
                </c:pt>
                <c:pt idx="104">
                  <c:v>43658</c:v>
                </c:pt>
                <c:pt idx="105">
                  <c:v>43657</c:v>
                </c:pt>
                <c:pt idx="106">
                  <c:v>43656</c:v>
                </c:pt>
                <c:pt idx="107">
                  <c:v>43655</c:v>
                </c:pt>
                <c:pt idx="108">
                  <c:v>43654</c:v>
                </c:pt>
                <c:pt idx="109">
                  <c:v>43651</c:v>
                </c:pt>
                <c:pt idx="110">
                  <c:v>43650</c:v>
                </c:pt>
                <c:pt idx="111">
                  <c:v>43649</c:v>
                </c:pt>
                <c:pt idx="112">
                  <c:v>43648</c:v>
                </c:pt>
                <c:pt idx="113">
                  <c:v>43647</c:v>
                </c:pt>
                <c:pt idx="114">
                  <c:v>43644</c:v>
                </c:pt>
                <c:pt idx="115">
                  <c:v>43643</c:v>
                </c:pt>
                <c:pt idx="116">
                  <c:v>43642</c:v>
                </c:pt>
                <c:pt idx="117">
                  <c:v>43641</c:v>
                </c:pt>
                <c:pt idx="118">
                  <c:v>43640</c:v>
                </c:pt>
                <c:pt idx="119">
                  <c:v>43637</c:v>
                </c:pt>
                <c:pt idx="120">
                  <c:v>43636</c:v>
                </c:pt>
                <c:pt idx="121">
                  <c:v>43635</c:v>
                </c:pt>
                <c:pt idx="122">
                  <c:v>43634</c:v>
                </c:pt>
                <c:pt idx="123">
                  <c:v>43633</c:v>
                </c:pt>
                <c:pt idx="124">
                  <c:v>43630</c:v>
                </c:pt>
                <c:pt idx="125">
                  <c:v>43629</c:v>
                </c:pt>
                <c:pt idx="126">
                  <c:v>43628</c:v>
                </c:pt>
                <c:pt idx="127">
                  <c:v>43627</c:v>
                </c:pt>
                <c:pt idx="128">
                  <c:v>43626</c:v>
                </c:pt>
                <c:pt idx="129">
                  <c:v>43623</c:v>
                </c:pt>
                <c:pt idx="130">
                  <c:v>43622</c:v>
                </c:pt>
                <c:pt idx="131">
                  <c:v>43621</c:v>
                </c:pt>
                <c:pt idx="132">
                  <c:v>43620</c:v>
                </c:pt>
                <c:pt idx="133">
                  <c:v>43619</c:v>
                </c:pt>
                <c:pt idx="134">
                  <c:v>43616</c:v>
                </c:pt>
                <c:pt idx="135">
                  <c:v>43615</c:v>
                </c:pt>
                <c:pt idx="136">
                  <c:v>43614</c:v>
                </c:pt>
                <c:pt idx="137">
                  <c:v>43613</c:v>
                </c:pt>
                <c:pt idx="138">
                  <c:v>43612</c:v>
                </c:pt>
                <c:pt idx="139">
                  <c:v>43609</c:v>
                </c:pt>
                <c:pt idx="140">
                  <c:v>43608</c:v>
                </c:pt>
                <c:pt idx="141">
                  <c:v>43607</c:v>
                </c:pt>
                <c:pt idx="142">
                  <c:v>43606</c:v>
                </c:pt>
                <c:pt idx="143">
                  <c:v>43605</c:v>
                </c:pt>
                <c:pt idx="144">
                  <c:v>43602</c:v>
                </c:pt>
                <c:pt idx="145">
                  <c:v>43601</c:v>
                </c:pt>
                <c:pt idx="146">
                  <c:v>43600</c:v>
                </c:pt>
                <c:pt idx="147">
                  <c:v>43599</c:v>
                </c:pt>
                <c:pt idx="148">
                  <c:v>43598</c:v>
                </c:pt>
                <c:pt idx="149">
                  <c:v>43595</c:v>
                </c:pt>
                <c:pt idx="150">
                  <c:v>43594</c:v>
                </c:pt>
                <c:pt idx="151">
                  <c:v>43593</c:v>
                </c:pt>
                <c:pt idx="152">
                  <c:v>43592</c:v>
                </c:pt>
                <c:pt idx="153">
                  <c:v>43581</c:v>
                </c:pt>
                <c:pt idx="154">
                  <c:v>43580</c:v>
                </c:pt>
                <c:pt idx="155">
                  <c:v>43579</c:v>
                </c:pt>
                <c:pt idx="156">
                  <c:v>43578</c:v>
                </c:pt>
                <c:pt idx="157">
                  <c:v>43577</c:v>
                </c:pt>
                <c:pt idx="158">
                  <c:v>43574</c:v>
                </c:pt>
                <c:pt idx="159">
                  <c:v>43573</c:v>
                </c:pt>
                <c:pt idx="160">
                  <c:v>43572</c:v>
                </c:pt>
                <c:pt idx="161">
                  <c:v>43571</c:v>
                </c:pt>
                <c:pt idx="162">
                  <c:v>43570</c:v>
                </c:pt>
                <c:pt idx="163">
                  <c:v>43567</c:v>
                </c:pt>
                <c:pt idx="164">
                  <c:v>43566</c:v>
                </c:pt>
                <c:pt idx="165">
                  <c:v>43565</c:v>
                </c:pt>
                <c:pt idx="166">
                  <c:v>43564</c:v>
                </c:pt>
                <c:pt idx="167">
                  <c:v>43563</c:v>
                </c:pt>
                <c:pt idx="168">
                  <c:v>43560</c:v>
                </c:pt>
                <c:pt idx="169">
                  <c:v>43559</c:v>
                </c:pt>
                <c:pt idx="170">
                  <c:v>43558</c:v>
                </c:pt>
                <c:pt idx="171">
                  <c:v>43557</c:v>
                </c:pt>
                <c:pt idx="172">
                  <c:v>43556</c:v>
                </c:pt>
                <c:pt idx="173">
                  <c:v>43553</c:v>
                </c:pt>
                <c:pt idx="174">
                  <c:v>43552</c:v>
                </c:pt>
                <c:pt idx="175">
                  <c:v>43551</c:v>
                </c:pt>
                <c:pt idx="176">
                  <c:v>43550</c:v>
                </c:pt>
                <c:pt idx="177">
                  <c:v>43549</c:v>
                </c:pt>
                <c:pt idx="178">
                  <c:v>43546</c:v>
                </c:pt>
                <c:pt idx="179">
                  <c:v>43544</c:v>
                </c:pt>
                <c:pt idx="180">
                  <c:v>43543</c:v>
                </c:pt>
                <c:pt idx="181">
                  <c:v>43542</c:v>
                </c:pt>
                <c:pt idx="182">
                  <c:v>43539</c:v>
                </c:pt>
                <c:pt idx="183">
                  <c:v>43538</c:v>
                </c:pt>
                <c:pt idx="184">
                  <c:v>43537</c:v>
                </c:pt>
                <c:pt idx="185">
                  <c:v>43536</c:v>
                </c:pt>
                <c:pt idx="186">
                  <c:v>43535</c:v>
                </c:pt>
                <c:pt idx="187">
                  <c:v>43532</c:v>
                </c:pt>
                <c:pt idx="188">
                  <c:v>43531</c:v>
                </c:pt>
                <c:pt idx="189">
                  <c:v>43530</c:v>
                </c:pt>
                <c:pt idx="190">
                  <c:v>43529</c:v>
                </c:pt>
                <c:pt idx="191">
                  <c:v>43528</c:v>
                </c:pt>
                <c:pt idx="192">
                  <c:v>43525</c:v>
                </c:pt>
                <c:pt idx="193">
                  <c:v>43524</c:v>
                </c:pt>
                <c:pt idx="194">
                  <c:v>43523</c:v>
                </c:pt>
                <c:pt idx="195">
                  <c:v>43522</c:v>
                </c:pt>
                <c:pt idx="196">
                  <c:v>43521</c:v>
                </c:pt>
                <c:pt idx="197">
                  <c:v>43518</c:v>
                </c:pt>
                <c:pt idx="198">
                  <c:v>43517</c:v>
                </c:pt>
                <c:pt idx="199">
                  <c:v>43516</c:v>
                </c:pt>
                <c:pt idx="200">
                  <c:v>43515</c:v>
                </c:pt>
                <c:pt idx="201">
                  <c:v>43514</c:v>
                </c:pt>
                <c:pt idx="202">
                  <c:v>43511</c:v>
                </c:pt>
                <c:pt idx="203">
                  <c:v>43510</c:v>
                </c:pt>
                <c:pt idx="204">
                  <c:v>43509</c:v>
                </c:pt>
                <c:pt idx="205">
                  <c:v>43508</c:v>
                </c:pt>
                <c:pt idx="206">
                  <c:v>43504</c:v>
                </c:pt>
                <c:pt idx="207">
                  <c:v>43503</c:v>
                </c:pt>
                <c:pt idx="208">
                  <c:v>43502</c:v>
                </c:pt>
                <c:pt idx="209">
                  <c:v>43501</c:v>
                </c:pt>
                <c:pt idx="210">
                  <c:v>43500</c:v>
                </c:pt>
                <c:pt idx="211">
                  <c:v>43497</c:v>
                </c:pt>
                <c:pt idx="212">
                  <c:v>43496</c:v>
                </c:pt>
                <c:pt idx="213">
                  <c:v>43495</c:v>
                </c:pt>
                <c:pt idx="214">
                  <c:v>43494</c:v>
                </c:pt>
                <c:pt idx="215">
                  <c:v>43493</c:v>
                </c:pt>
                <c:pt idx="216">
                  <c:v>43490</c:v>
                </c:pt>
                <c:pt idx="217">
                  <c:v>43489</c:v>
                </c:pt>
                <c:pt idx="218">
                  <c:v>43488</c:v>
                </c:pt>
                <c:pt idx="219">
                  <c:v>43487</c:v>
                </c:pt>
                <c:pt idx="220">
                  <c:v>43486</c:v>
                </c:pt>
                <c:pt idx="221">
                  <c:v>43483</c:v>
                </c:pt>
                <c:pt idx="222">
                  <c:v>43482</c:v>
                </c:pt>
                <c:pt idx="223">
                  <c:v>43481</c:v>
                </c:pt>
                <c:pt idx="224">
                  <c:v>43480</c:v>
                </c:pt>
                <c:pt idx="225">
                  <c:v>43476</c:v>
                </c:pt>
                <c:pt idx="226">
                  <c:v>43475</c:v>
                </c:pt>
                <c:pt idx="227">
                  <c:v>43474</c:v>
                </c:pt>
                <c:pt idx="228">
                  <c:v>43473</c:v>
                </c:pt>
                <c:pt idx="229">
                  <c:v>43472</c:v>
                </c:pt>
                <c:pt idx="230">
                  <c:v>43469</c:v>
                </c:pt>
                <c:pt idx="231">
                  <c:v>43462</c:v>
                </c:pt>
                <c:pt idx="232">
                  <c:v>43461</c:v>
                </c:pt>
                <c:pt idx="233">
                  <c:v>43460</c:v>
                </c:pt>
                <c:pt idx="234">
                  <c:v>43459</c:v>
                </c:pt>
                <c:pt idx="235">
                  <c:v>43455</c:v>
                </c:pt>
                <c:pt idx="236">
                  <c:v>43454</c:v>
                </c:pt>
                <c:pt idx="237">
                  <c:v>43453</c:v>
                </c:pt>
                <c:pt idx="238">
                  <c:v>43452</c:v>
                </c:pt>
                <c:pt idx="239">
                  <c:v>43451</c:v>
                </c:pt>
                <c:pt idx="240">
                  <c:v>43448</c:v>
                </c:pt>
                <c:pt idx="241">
                  <c:v>43447</c:v>
                </c:pt>
                <c:pt idx="242">
                  <c:v>43446</c:v>
                </c:pt>
                <c:pt idx="243">
                  <c:v>43445</c:v>
                </c:pt>
                <c:pt idx="244">
                  <c:v>43444</c:v>
                </c:pt>
                <c:pt idx="245">
                  <c:v>43441</c:v>
                </c:pt>
                <c:pt idx="246">
                  <c:v>43440</c:v>
                </c:pt>
                <c:pt idx="247">
                  <c:v>43439</c:v>
                </c:pt>
                <c:pt idx="248">
                  <c:v>43438</c:v>
                </c:pt>
                <c:pt idx="249">
                  <c:v>43437</c:v>
                </c:pt>
                <c:pt idx="250">
                  <c:v>43434</c:v>
                </c:pt>
                <c:pt idx="251">
                  <c:v>43433</c:v>
                </c:pt>
                <c:pt idx="252">
                  <c:v>43432</c:v>
                </c:pt>
                <c:pt idx="253">
                  <c:v>43431</c:v>
                </c:pt>
                <c:pt idx="254">
                  <c:v>43430</c:v>
                </c:pt>
                <c:pt idx="255">
                  <c:v>43426</c:v>
                </c:pt>
                <c:pt idx="256">
                  <c:v>43425</c:v>
                </c:pt>
                <c:pt idx="257">
                  <c:v>43424</c:v>
                </c:pt>
                <c:pt idx="258">
                  <c:v>43423</c:v>
                </c:pt>
                <c:pt idx="259">
                  <c:v>43420</c:v>
                </c:pt>
                <c:pt idx="260">
                  <c:v>43419</c:v>
                </c:pt>
                <c:pt idx="261">
                  <c:v>43418</c:v>
                </c:pt>
                <c:pt idx="262">
                  <c:v>43417</c:v>
                </c:pt>
                <c:pt idx="263">
                  <c:v>43416</c:v>
                </c:pt>
                <c:pt idx="264">
                  <c:v>43413</c:v>
                </c:pt>
                <c:pt idx="265">
                  <c:v>43412</c:v>
                </c:pt>
                <c:pt idx="266">
                  <c:v>43411</c:v>
                </c:pt>
                <c:pt idx="267">
                  <c:v>43410</c:v>
                </c:pt>
                <c:pt idx="268">
                  <c:v>43409</c:v>
                </c:pt>
                <c:pt idx="269">
                  <c:v>43406</c:v>
                </c:pt>
                <c:pt idx="270">
                  <c:v>43405</c:v>
                </c:pt>
                <c:pt idx="271">
                  <c:v>43404</c:v>
                </c:pt>
                <c:pt idx="272">
                  <c:v>43403</c:v>
                </c:pt>
                <c:pt idx="273">
                  <c:v>43402</c:v>
                </c:pt>
                <c:pt idx="274">
                  <c:v>43399</c:v>
                </c:pt>
                <c:pt idx="275">
                  <c:v>43398</c:v>
                </c:pt>
                <c:pt idx="276">
                  <c:v>43397</c:v>
                </c:pt>
                <c:pt idx="277">
                  <c:v>43396</c:v>
                </c:pt>
                <c:pt idx="278">
                  <c:v>43395</c:v>
                </c:pt>
                <c:pt idx="279">
                  <c:v>43392</c:v>
                </c:pt>
                <c:pt idx="280">
                  <c:v>43391</c:v>
                </c:pt>
                <c:pt idx="281">
                  <c:v>43390</c:v>
                </c:pt>
                <c:pt idx="282">
                  <c:v>43389</c:v>
                </c:pt>
                <c:pt idx="283">
                  <c:v>43388</c:v>
                </c:pt>
                <c:pt idx="284">
                  <c:v>43385</c:v>
                </c:pt>
                <c:pt idx="285">
                  <c:v>43384</c:v>
                </c:pt>
                <c:pt idx="286">
                  <c:v>43383</c:v>
                </c:pt>
                <c:pt idx="287">
                  <c:v>43382</c:v>
                </c:pt>
                <c:pt idx="288">
                  <c:v>43378</c:v>
                </c:pt>
                <c:pt idx="289">
                  <c:v>43377</c:v>
                </c:pt>
                <c:pt idx="290">
                  <c:v>43376</c:v>
                </c:pt>
                <c:pt idx="291">
                  <c:v>43375</c:v>
                </c:pt>
                <c:pt idx="292">
                  <c:v>43374</c:v>
                </c:pt>
                <c:pt idx="293">
                  <c:v>43371</c:v>
                </c:pt>
                <c:pt idx="294">
                  <c:v>43370</c:v>
                </c:pt>
                <c:pt idx="295">
                  <c:v>43369</c:v>
                </c:pt>
                <c:pt idx="296">
                  <c:v>43368</c:v>
                </c:pt>
                <c:pt idx="297">
                  <c:v>43364</c:v>
                </c:pt>
                <c:pt idx="298">
                  <c:v>43363</c:v>
                </c:pt>
                <c:pt idx="299">
                  <c:v>43362</c:v>
                </c:pt>
                <c:pt idx="300">
                  <c:v>43361</c:v>
                </c:pt>
                <c:pt idx="301">
                  <c:v>43357</c:v>
                </c:pt>
                <c:pt idx="302">
                  <c:v>43356</c:v>
                </c:pt>
                <c:pt idx="303">
                  <c:v>43355</c:v>
                </c:pt>
                <c:pt idx="304">
                  <c:v>43354</c:v>
                </c:pt>
                <c:pt idx="305">
                  <c:v>43353</c:v>
                </c:pt>
                <c:pt idx="306">
                  <c:v>43350</c:v>
                </c:pt>
                <c:pt idx="307">
                  <c:v>43349</c:v>
                </c:pt>
                <c:pt idx="308">
                  <c:v>43348</c:v>
                </c:pt>
                <c:pt idx="309">
                  <c:v>43347</c:v>
                </c:pt>
                <c:pt idx="310">
                  <c:v>43346</c:v>
                </c:pt>
                <c:pt idx="311">
                  <c:v>43343</c:v>
                </c:pt>
                <c:pt idx="312">
                  <c:v>43342</c:v>
                </c:pt>
                <c:pt idx="313">
                  <c:v>43341</c:v>
                </c:pt>
                <c:pt idx="314">
                  <c:v>43340</c:v>
                </c:pt>
                <c:pt idx="315">
                  <c:v>43339</c:v>
                </c:pt>
                <c:pt idx="316">
                  <c:v>43336</c:v>
                </c:pt>
                <c:pt idx="317">
                  <c:v>43335</c:v>
                </c:pt>
                <c:pt idx="318">
                  <c:v>43334</c:v>
                </c:pt>
                <c:pt idx="319">
                  <c:v>43333</c:v>
                </c:pt>
                <c:pt idx="320">
                  <c:v>43332</c:v>
                </c:pt>
                <c:pt idx="321">
                  <c:v>43329</c:v>
                </c:pt>
                <c:pt idx="322">
                  <c:v>43328</c:v>
                </c:pt>
                <c:pt idx="323">
                  <c:v>43327</c:v>
                </c:pt>
                <c:pt idx="324">
                  <c:v>43326</c:v>
                </c:pt>
                <c:pt idx="325">
                  <c:v>43325</c:v>
                </c:pt>
                <c:pt idx="326">
                  <c:v>43322</c:v>
                </c:pt>
                <c:pt idx="327">
                  <c:v>43321</c:v>
                </c:pt>
                <c:pt idx="328">
                  <c:v>43320</c:v>
                </c:pt>
                <c:pt idx="329">
                  <c:v>43319</c:v>
                </c:pt>
                <c:pt idx="330">
                  <c:v>43318</c:v>
                </c:pt>
                <c:pt idx="331">
                  <c:v>43315</c:v>
                </c:pt>
                <c:pt idx="332">
                  <c:v>43314</c:v>
                </c:pt>
                <c:pt idx="333">
                  <c:v>43313</c:v>
                </c:pt>
                <c:pt idx="334">
                  <c:v>43312</c:v>
                </c:pt>
                <c:pt idx="335">
                  <c:v>43311</c:v>
                </c:pt>
                <c:pt idx="336">
                  <c:v>43308</c:v>
                </c:pt>
                <c:pt idx="337">
                  <c:v>43307</c:v>
                </c:pt>
                <c:pt idx="338">
                  <c:v>43306</c:v>
                </c:pt>
                <c:pt idx="339">
                  <c:v>43305</c:v>
                </c:pt>
                <c:pt idx="340">
                  <c:v>43304</c:v>
                </c:pt>
                <c:pt idx="341">
                  <c:v>43301</c:v>
                </c:pt>
                <c:pt idx="342">
                  <c:v>43300</c:v>
                </c:pt>
                <c:pt idx="343">
                  <c:v>43299</c:v>
                </c:pt>
                <c:pt idx="344">
                  <c:v>43298</c:v>
                </c:pt>
                <c:pt idx="345">
                  <c:v>43294</c:v>
                </c:pt>
                <c:pt idx="346">
                  <c:v>43293</c:v>
                </c:pt>
                <c:pt idx="347">
                  <c:v>43292</c:v>
                </c:pt>
                <c:pt idx="348">
                  <c:v>43291</c:v>
                </c:pt>
                <c:pt idx="349">
                  <c:v>43290</c:v>
                </c:pt>
                <c:pt idx="350">
                  <c:v>43287</c:v>
                </c:pt>
                <c:pt idx="351">
                  <c:v>43286</c:v>
                </c:pt>
                <c:pt idx="352">
                  <c:v>43285</c:v>
                </c:pt>
                <c:pt idx="353">
                  <c:v>43284</c:v>
                </c:pt>
                <c:pt idx="354">
                  <c:v>43283</c:v>
                </c:pt>
                <c:pt idx="355">
                  <c:v>43280</c:v>
                </c:pt>
                <c:pt idx="356">
                  <c:v>43279</c:v>
                </c:pt>
                <c:pt idx="357">
                  <c:v>43278</c:v>
                </c:pt>
                <c:pt idx="358">
                  <c:v>43277</c:v>
                </c:pt>
                <c:pt idx="359">
                  <c:v>43276</c:v>
                </c:pt>
                <c:pt idx="360">
                  <c:v>43273</c:v>
                </c:pt>
                <c:pt idx="361">
                  <c:v>43272</c:v>
                </c:pt>
                <c:pt idx="362">
                  <c:v>43271</c:v>
                </c:pt>
                <c:pt idx="363">
                  <c:v>43270</c:v>
                </c:pt>
                <c:pt idx="364">
                  <c:v>43269</c:v>
                </c:pt>
                <c:pt idx="365">
                  <c:v>43266</c:v>
                </c:pt>
                <c:pt idx="366">
                  <c:v>43265</c:v>
                </c:pt>
                <c:pt idx="367">
                  <c:v>43264</c:v>
                </c:pt>
                <c:pt idx="368">
                  <c:v>43263</c:v>
                </c:pt>
                <c:pt idx="369">
                  <c:v>43262</c:v>
                </c:pt>
                <c:pt idx="370">
                  <c:v>43259</c:v>
                </c:pt>
                <c:pt idx="371">
                  <c:v>43258</c:v>
                </c:pt>
                <c:pt idx="372">
                  <c:v>43257</c:v>
                </c:pt>
                <c:pt idx="373">
                  <c:v>43256</c:v>
                </c:pt>
                <c:pt idx="374">
                  <c:v>43255</c:v>
                </c:pt>
                <c:pt idx="375">
                  <c:v>43252</c:v>
                </c:pt>
                <c:pt idx="376">
                  <c:v>43251</c:v>
                </c:pt>
                <c:pt idx="377">
                  <c:v>43250</c:v>
                </c:pt>
                <c:pt idx="378">
                  <c:v>43249</c:v>
                </c:pt>
                <c:pt idx="379">
                  <c:v>43248</c:v>
                </c:pt>
                <c:pt idx="380">
                  <c:v>43245</c:v>
                </c:pt>
                <c:pt idx="381">
                  <c:v>43244</c:v>
                </c:pt>
                <c:pt idx="382">
                  <c:v>43243</c:v>
                </c:pt>
                <c:pt idx="383">
                  <c:v>43242</c:v>
                </c:pt>
                <c:pt idx="384">
                  <c:v>43241</c:v>
                </c:pt>
                <c:pt idx="385">
                  <c:v>43238</c:v>
                </c:pt>
                <c:pt idx="386">
                  <c:v>43237</c:v>
                </c:pt>
                <c:pt idx="387">
                  <c:v>43236</c:v>
                </c:pt>
                <c:pt idx="388">
                  <c:v>43235</c:v>
                </c:pt>
                <c:pt idx="389">
                  <c:v>43234</c:v>
                </c:pt>
                <c:pt idx="390">
                  <c:v>43231</c:v>
                </c:pt>
                <c:pt idx="391">
                  <c:v>43230</c:v>
                </c:pt>
                <c:pt idx="392">
                  <c:v>43229</c:v>
                </c:pt>
                <c:pt idx="393">
                  <c:v>43228</c:v>
                </c:pt>
                <c:pt idx="394">
                  <c:v>43227</c:v>
                </c:pt>
                <c:pt idx="395">
                  <c:v>43222</c:v>
                </c:pt>
                <c:pt idx="396">
                  <c:v>43221</c:v>
                </c:pt>
                <c:pt idx="397">
                  <c:v>43217</c:v>
                </c:pt>
                <c:pt idx="398">
                  <c:v>43216</c:v>
                </c:pt>
                <c:pt idx="399">
                  <c:v>43215</c:v>
                </c:pt>
                <c:pt idx="400">
                  <c:v>43214</c:v>
                </c:pt>
                <c:pt idx="401">
                  <c:v>43213</c:v>
                </c:pt>
                <c:pt idx="402">
                  <c:v>43210</c:v>
                </c:pt>
                <c:pt idx="403">
                  <c:v>43209</c:v>
                </c:pt>
                <c:pt idx="404">
                  <c:v>43208</c:v>
                </c:pt>
                <c:pt idx="405">
                  <c:v>43207</c:v>
                </c:pt>
                <c:pt idx="406">
                  <c:v>43206</c:v>
                </c:pt>
                <c:pt idx="407">
                  <c:v>43203</c:v>
                </c:pt>
                <c:pt idx="408">
                  <c:v>43202</c:v>
                </c:pt>
                <c:pt idx="409">
                  <c:v>43201</c:v>
                </c:pt>
                <c:pt idx="410">
                  <c:v>43200</c:v>
                </c:pt>
                <c:pt idx="411">
                  <c:v>43199</c:v>
                </c:pt>
                <c:pt idx="412">
                  <c:v>43196</c:v>
                </c:pt>
                <c:pt idx="413">
                  <c:v>43195</c:v>
                </c:pt>
                <c:pt idx="414">
                  <c:v>43194</c:v>
                </c:pt>
                <c:pt idx="415">
                  <c:v>43193</c:v>
                </c:pt>
                <c:pt idx="416">
                  <c:v>43192</c:v>
                </c:pt>
                <c:pt idx="417">
                  <c:v>43189</c:v>
                </c:pt>
                <c:pt idx="418">
                  <c:v>43188</c:v>
                </c:pt>
                <c:pt idx="419">
                  <c:v>43187</c:v>
                </c:pt>
                <c:pt idx="420">
                  <c:v>43186</c:v>
                </c:pt>
                <c:pt idx="421">
                  <c:v>43185</c:v>
                </c:pt>
                <c:pt idx="422">
                  <c:v>43182</c:v>
                </c:pt>
                <c:pt idx="423">
                  <c:v>43181</c:v>
                </c:pt>
                <c:pt idx="424">
                  <c:v>43179</c:v>
                </c:pt>
                <c:pt idx="425">
                  <c:v>43178</c:v>
                </c:pt>
                <c:pt idx="426">
                  <c:v>43175</c:v>
                </c:pt>
                <c:pt idx="427">
                  <c:v>43174</c:v>
                </c:pt>
                <c:pt idx="428">
                  <c:v>43173</c:v>
                </c:pt>
                <c:pt idx="429">
                  <c:v>43172</c:v>
                </c:pt>
                <c:pt idx="430">
                  <c:v>43171</c:v>
                </c:pt>
                <c:pt idx="431">
                  <c:v>43168</c:v>
                </c:pt>
                <c:pt idx="432">
                  <c:v>43167</c:v>
                </c:pt>
                <c:pt idx="433">
                  <c:v>43166</c:v>
                </c:pt>
                <c:pt idx="434">
                  <c:v>43165</c:v>
                </c:pt>
                <c:pt idx="435">
                  <c:v>43164</c:v>
                </c:pt>
                <c:pt idx="436">
                  <c:v>43161</c:v>
                </c:pt>
                <c:pt idx="437">
                  <c:v>43160</c:v>
                </c:pt>
                <c:pt idx="438">
                  <c:v>43159</c:v>
                </c:pt>
                <c:pt idx="439">
                  <c:v>43158</c:v>
                </c:pt>
                <c:pt idx="440">
                  <c:v>43157</c:v>
                </c:pt>
                <c:pt idx="441">
                  <c:v>43154</c:v>
                </c:pt>
                <c:pt idx="442">
                  <c:v>43153</c:v>
                </c:pt>
                <c:pt idx="443">
                  <c:v>43152</c:v>
                </c:pt>
                <c:pt idx="444">
                  <c:v>43151</c:v>
                </c:pt>
                <c:pt idx="445">
                  <c:v>43150</c:v>
                </c:pt>
                <c:pt idx="446">
                  <c:v>43147</c:v>
                </c:pt>
                <c:pt idx="447">
                  <c:v>43146</c:v>
                </c:pt>
                <c:pt idx="448">
                  <c:v>43145</c:v>
                </c:pt>
                <c:pt idx="449">
                  <c:v>43144</c:v>
                </c:pt>
                <c:pt idx="450">
                  <c:v>43140</c:v>
                </c:pt>
                <c:pt idx="451">
                  <c:v>43139</c:v>
                </c:pt>
                <c:pt idx="452">
                  <c:v>43138</c:v>
                </c:pt>
                <c:pt idx="453">
                  <c:v>43137</c:v>
                </c:pt>
                <c:pt idx="454">
                  <c:v>43136</c:v>
                </c:pt>
                <c:pt idx="455">
                  <c:v>43133</c:v>
                </c:pt>
                <c:pt idx="456">
                  <c:v>43132</c:v>
                </c:pt>
                <c:pt idx="457">
                  <c:v>43131</c:v>
                </c:pt>
                <c:pt idx="458">
                  <c:v>43130</c:v>
                </c:pt>
                <c:pt idx="459">
                  <c:v>43129</c:v>
                </c:pt>
                <c:pt idx="460">
                  <c:v>43126</c:v>
                </c:pt>
                <c:pt idx="461">
                  <c:v>43125</c:v>
                </c:pt>
                <c:pt idx="462">
                  <c:v>43124</c:v>
                </c:pt>
                <c:pt idx="463">
                  <c:v>43123</c:v>
                </c:pt>
                <c:pt idx="464">
                  <c:v>43122</c:v>
                </c:pt>
                <c:pt idx="465">
                  <c:v>43119</c:v>
                </c:pt>
                <c:pt idx="466">
                  <c:v>43118</c:v>
                </c:pt>
                <c:pt idx="467">
                  <c:v>43117</c:v>
                </c:pt>
                <c:pt idx="468">
                  <c:v>43116</c:v>
                </c:pt>
                <c:pt idx="469">
                  <c:v>43115</c:v>
                </c:pt>
                <c:pt idx="470">
                  <c:v>43112</c:v>
                </c:pt>
                <c:pt idx="471">
                  <c:v>43111</c:v>
                </c:pt>
                <c:pt idx="472">
                  <c:v>43110</c:v>
                </c:pt>
                <c:pt idx="473">
                  <c:v>43109</c:v>
                </c:pt>
                <c:pt idx="474">
                  <c:v>43105</c:v>
                </c:pt>
                <c:pt idx="475">
                  <c:v>43104</c:v>
                </c:pt>
                <c:pt idx="476">
                  <c:v>43098</c:v>
                </c:pt>
                <c:pt idx="477">
                  <c:v>43097</c:v>
                </c:pt>
                <c:pt idx="478">
                  <c:v>43096</c:v>
                </c:pt>
                <c:pt idx="479">
                  <c:v>43095</c:v>
                </c:pt>
                <c:pt idx="480">
                  <c:v>43094</c:v>
                </c:pt>
                <c:pt idx="481">
                  <c:v>43091</c:v>
                </c:pt>
                <c:pt idx="482">
                  <c:v>43090</c:v>
                </c:pt>
                <c:pt idx="483">
                  <c:v>43089</c:v>
                </c:pt>
                <c:pt idx="484">
                  <c:v>43088</c:v>
                </c:pt>
                <c:pt idx="485">
                  <c:v>43087</c:v>
                </c:pt>
                <c:pt idx="486">
                  <c:v>43084</c:v>
                </c:pt>
                <c:pt idx="487">
                  <c:v>43083</c:v>
                </c:pt>
                <c:pt idx="488">
                  <c:v>43082</c:v>
                </c:pt>
                <c:pt idx="489">
                  <c:v>43081</c:v>
                </c:pt>
                <c:pt idx="490">
                  <c:v>43080</c:v>
                </c:pt>
                <c:pt idx="491">
                  <c:v>43077</c:v>
                </c:pt>
                <c:pt idx="492">
                  <c:v>43076</c:v>
                </c:pt>
                <c:pt idx="493">
                  <c:v>43075</c:v>
                </c:pt>
                <c:pt idx="494">
                  <c:v>43074</c:v>
                </c:pt>
                <c:pt idx="495">
                  <c:v>43073</c:v>
                </c:pt>
                <c:pt idx="496">
                  <c:v>43070</c:v>
                </c:pt>
                <c:pt idx="497">
                  <c:v>43069</c:v>
                </c:pt>
                <c:pt idx="498">
                  <c:v>43068</c:v>
                </c:pt>
                <c:pt idx="499">
                  <c:v>43067</c:v>
                </c:pt>
                <c:pt idx="500">
                  <c:v>43066</c:v>
                </c:pt>
                <c:pt idx="501">
                  <c:v>43063</c:v>
                </c:pt>
                <c:pt idx="502">
                  <c:v>43061</c:v>
                </c:pt>
                <c:pt idx="503">
                  <c:v>43060</c:v>
                </c:pt>
                <c:pt idx="504">
                  <c:v>43059</c:v>
                </c:pt>
                <c:pt idx="505">
                  <c:v>43056</c:v>
                </c:pt>
                <c:pt idx="506">
                  <c:v>43055</c:v>
                </c:pt>
                <c:pt idx="507">
                  <c:v>43054</c:v>
                </c:pt>
                <c:pt idx="508">
                  <c:v>43053</c:v>
                </c:pt>
                <c:pt idx="509">
                  <c:v>43052</c:v>
                </c:pt>
                <c:pt idx="510">
                  <c:v>43049</c:v>
                </c:pt>
                <c:pt idx="511">
                  <c:v>43048</c:v>
                </c:pt>
                <c:pt idx="512">
                  <c:v>43047</c:v>
                </c:pt>
                <c:pt idx="513">
                  <c:v>43046</c:v>
                </c:pt>
                <c:pt idx="514">
                  <c:v>43045</c:v>
                </c:pt>
                <c:pt idx="515">
                  <c:v>43041</c:v>
                </c:pt>
                <c:pt idx="516">
                  <c:v>43040</c:v>
                </c:pt>
                <c:pt idx="517">
                  <c:v>43039</c:v>
                </c:pt>
                <c:pt idx="518">
                  <c:v>43038</c:v>
                </c:pt>
                <c:pt idx="519">
                  <c:v>43035</c:v>
                </c:pt>
                <c:pt idx="520">
                  <c:v>43034</c:v>
                </c:pt>
                <c:pt idx="521">
                  <c:v>43033</c:v>
                </c:pt>
                <c:pt idx="522">
                  <c:v>43032</c:v>
                </c:pt>
                <c:pt idx="523">
                  <c:v>43031</c:v>
                </c:pt>
                <c:pt idx="524">
                  <c:v>43028</c:v>
                </c:pt>
                <c:pt idx="525">
                  <c:v>43027</c:v>
                </c:pt>
                <c:pt idx="526">
                  <c:v>43026</c:v>
                </c:pt>
                <c:pt idx="527">
                  <c:v>43025</c:v>
                </c:pt>
                <c:pt idx="528">
                  <c:v>43024</c:v>
                </c:pt>
                <c:pt idx="529">
                  <c:v>43021</c:v>
                </c:pt>
                <c:pt idx="530">
                  <c:v>43020</c:v>
                </c:pt>
                <c:pt idx="531">
                  <c:v>43019</c:v>
                </c:pt>
                <c:pt idx="532">
                  <c:v>43018</c:v>
                </c:pt>
                <c:pt idx="533">
                  <c:v>43014</c:v>
                </c:pt>
                <c:pt idx="534">
                  <c:v>43013</c:v>
                </c:pt>
                <c:pt idx="535">
                  <c:v>43012</c:v>
                </c:pt>
                <c:pt idx="536">
                  <c:v>43011</c:v>
                </c:pt>
                <c:pt idx="537">
                  <c:v>43010</c:v>
                </c:pt>
                <c:pt idx="538">
                  <c:v>43007</c:v>
                </c:pt>
                <c:pt idx="539">
                  <c:v>43006</c:v>
                </c:pt>
                <c:pt idx="540">
                  <c:v>43005</c:v>
                </c:pt>
                <c:pt idx="541">
                  <c:v>43004</c:v>
                </c:pt>
                <c:pt idx="542">
                  <c:v>43003</c:v>
                </c:pt>
                <c:pt idx="543">
                  <c:v>43000</c:v>
                </c:pt>
                <c:pt idx="544">
                  <c:v>42999</c:v>
                </c:pt>
                <c:pt idx="545">
                  <c:v>42998</c:v>
                </c:pt>
                <c:pt idx="546">
                  <c:v>42997</c:v>
                </c:pt>
                <c:pt idx="547">
                  <c:v>42993</c:v>
                </c:pt>
                <c:pt idx="548">
                  <c:v>42992</c:v>
                </c:pt>
                <c:pt idx="549">
                  <c:v>42991</c:v>
                </c:pt>
                <c:pt idx="550">
                  <c:v>42990</c:v>
                </c:pt>
                <c:pt idx="551">
                  <c:v>42989</c:v>
                </c:pt>
                <c:pt idx="552">
                  <c:v>42986</c:v>
                </c:pt>
                <c:pt idx="553">
                  <c:v>42985</c:v>
                </c:pt>
                <c:pt idx="554">
                  <c:v>42984</c:v>
                </c:pt>
                <c:pt idx="555">
                  <c:v>42983</c:v>
                </c:pt>
                <c:pt idx="556">
                  <c:v>42982</c:v>
                </c:pt>
                <c:pt idx="557">
                  <c:v>42979</c:v>
                </c:pt>
                <c:pt idx="558">
                  <c:v>42978</c:v>
                </c:pt>
                <c:pt idx="559">
                  <c:v>42977</c:v>
                </c:pt>
                <c:pt idx="560">
                  <c:v>42976</c:v>
                </c:pt>
                <c:pt idx="561">
                  <c:v>42975</c:v>
                </c:pt>
                <c:pt idx="562">
                  <c:v>42972</c:v>
                </c:pt>
                <c:pt idx="563">
                  <c:v>42971</c:v>
                </c:pt>
                <c:pt idx="564">
                  <c:v>42970</c:v>
                </c:pt>
                <c:pt idx="565">
                  <c:v>42969</c:v>
                </c:pt>
                <c:pt idx="566">
                  <c:v>42968</c:v>
                </c:pt>
                <c:pt idx="567">
                  <c:v>42965</c:v>
                </c:pt>
                <c:pt idx="568">
                  <c:v>42964</c:v>
                </c:pt>
                <c:pt idx="569">
                  <c:v>42963</c:v>
                </c:pt>
                <c:pt idx="570">
                  <c:v>42962</c:v>
                </c:pt>
                <c:pt idx="571">
                  <c:v>42961</c:v>
                </c:pt>
                <c:pt idx="572">
                  <c:v>42957</c:v>
                </c:pt>
                <c:pt idx="573">
                  <c:v>42956</c:v>
                </c:pt>
                <c:pt idx="574">
                  <c:v>42955</c:v>
                </c:pt>
                <c:pt idx="575">
                  <c:v>42954</c:v>
                </c:pt>
                <c:pt idx="576">
                  <c:v>42951</c:v>
                </c:pt>
                <c:pt idx="577">
                  <c:v>42950</c:v>
                </c:pt>
                <c:pt idx="578">
                  <c:v>42949</c:v>
                </c:pt>
                <c:pt idx="579">
                  <c:v>42948</c:v>
                </c:pt>
                <c:pt idx="580">
                  <c:v>42947</c:v>
                </c:pt>
                <c:pt idx="581">
                  <c:v>42944</c:v>
                </c:pt>
                <c:pt idx="582">
                  <c:v>42943</c:v>
                </c:pt>
                <c:pt idx="583">
                  <c:v>42942</c:v>
                </c:pt>
                <c:pt idx="584">
                  <c:v>42941</c:v>
                </c:pt>
                <c:pt idx="585">
                  <c:v>42940</c:v>
                </c:pt>
                <c:pt idx="586">
                  <c:v>42937</c:v>
                </c:pt>
                <c:pt idx="587">
                  <c:v>42936</c:v>
                </c:pt>
                <c:pt idx="588">
                  <c:v>42935</c:v>
                </c:pt>
                <c:pt idx="589">
                  <c:v>42934</c:v>
                </c:pt>
                <c:pt idx="590">
                  <c:v>42930</c:v>
                </c:pt>
                <c:pt idx="591">
                  <c:v>42929</c:v>
                </c:pt>
                <c:pt idx="592">
                  <c:v>42928</c:v>
                </c:pt>
                <c:pt idx="593">
                  <c:v>42927</c:v>
                </c:pt>
                <c:pt idx="594">
                  <c:v>42926</c:v>
                </c:pt>
                <c:pt idx="595">
                  <c:v>42923</c:v>
                </c:pt>
                <c:pt idx="596">
                  <c:v>42922</c:v>
                </c:pt>
                <c:pt idx="597">
                  <c:v>42921</c:v>
                </c:pt>
                <c:pt idx="598">
                  <c:v>42920</c:v>
                </c:pt>
                <c:pt idx="599">
                  <c:v>42919</c:v>
                </c:pt>
                <c:pt idx="600">
                  <c:v>42916</c:v>
                </c:pt>
                <c:pt idx="601">
                  <c:v>42915</c:v>
                </c:pt>
                <c:pt idx="602">
                  <c:v>42914</c:v>
                </c:pt>
                <c:pt idx="603">
                  <c:v>42913</c:v>
                </c:pt>
                <c:pt idx="604">
                  <c:v>42912</c:v>
                </c:pt>
                <c:pt idx="605">
                  <c:v>42909</c:v>
                </c:pt>
                <c:pt idx="606">
                  <c:v>42908</c:v>
                </c:pt>
                <c:pt idx="607">
                  <c:v>42907</c:v>
                </c:pt>
                <c:pt idx="608">
                  <c:v>42906</c:v>
                </c:pt>
                <c:pt idx="609">
                  <c:v>42905</c:v>
                </c:pt>
                <c:pt idx="610">
                  <c:v>42902</c:v>
                </c:pt>
                <c:pt idx="611">
                  <c:v>42901</c:v>
                </c:pt>
                <c:pt idx="612">
                  <c:v>42900</c:v>
                </c:pt>
                <c:pt idx="613">
                  <c:v>42899</c:v>
                </c:pt>
                <c:pt idx="614">
                  <c:v>42898</c:v>
                </c:pt>
                <c:pt idx="615">
                  <c:v>42895</c:v>
                </c:pt>
                <c:pt idx="616">
                  <c:v>42894</c:v>
                </c:pt>
                <c:pt idx="617">
                  <c:v>42893</c:v>
                </c:pt>
                <c:pt idx="618">
                  <c:v>42892</c:v>
                </c:pt>
                <c:pt idx="619">
                  <c:v>42891</c:v>
                </c:pt>
                <c:pt idx="620">
                  <c:v>42888</c:v>
                </c:pt>
                <c:pt idx="621">
                  <c:v>42887</c:v>
                </c:pt>
                <c:pt idx="622">
                  <c:v>42886</c:v>
                </c:pt>
                <c:pt idx="623">
                  <c:v>42885</c:v>
                </c:pt>
                <c:pt idx="624">
                  <c:v>42884</c:v>
                </c:pt>
                <c:pt idx="625">
                  <c:v>42881</c:v>
                </c:pt>
                <c:pt idx="626">
                  <c:v>42880</c:v>
                </c:pt>
                <c:pt idx="627">
                  <c:v>42879</c:v>
                </c:pt>
                <c:pt idx="628">
                  <c:v>42878</c:v>
                </c:pt>
                <c:pt idx="629">
                  <c:v>42877</c:v>
                </c:pt>
                <c:pt idx="630">
                  <c:v>42874</c:v>
                </c:pt>
                <c:pt idx="631">
                  <c:v>42873</c:v>
                </c:pt>
                <c:pt idx="632">
                  <c:v>42872</c:v>
                </c:pt>
                <c:pt idx="633">
                  <c:v>42871</c:v>
                </c:pt>
                <c:pt idx="634">
                  <c:v>42870</c:v>
                </c:pt>
                <c:pt idx="635">
                  <c:v>42867</c:v>
                </c:pt>
                <c:pt idx="636">
                  <c:v>42866</c:v>
                </c:pt>
                <c:pt idx="637">
                  <c:v>42865</c:v>
                </c:pt>
                <c:pt idx="638">
                  <c:v>42864</c:v>
                </c:pt>
                <c:pt idx="639">
                  <c:v>42863</c:v>
                </c:pt>
                <c:pt idx="640">
                  <c:v>42857</c:v>
                </c:pt>
                <c:pt idx="641">
                  <c:v>42856</c:v>
                </c:pt>
                <c:pt idx="642">
                  <c:v>42853</c:v>
                </c:pt>
                <c:pt idx="643">
                  <c:v>42852</c:v>
                </c:pt>
                <c:pt idx="644">
                  <c:v>42851</c:v>
                </c:pt>
                <c:pt idx="645">
                  <c:v>42850</c:v>
                </c:pt>
                <c:pt idx="646">
                  <c:v>42849</c:v>
                </c:pt>
                <c:pt idx="647">
                  <c:v>42846</c:v>
                </c:pt>
                <c:pt idx="648">
                  <c:v>42845</c:v>
                </c:pt>
                <c:pt idx="649">
                  <c:v>42844</c:v>
                </c:pt>
                <c:pt idx="650">
                  <c:v>42843</c:v>
                </c:pt>
                <c:pt idx="651">
                  <c:v>42842</c:v>
                </c:pt>
                <c:pt idx="652">
                  <c:v>42839</c:v>
                </c:pt>
                <c:pt idx="653">
                  <c:v>42838</c:v>
                </c:pt>
                <c:pt idx="654">
                  <c:v>42837</c:v>
                </c:pt>
                <c:pt idx="655">
                  <c:v>42836</c:v>
                </c:pt>
                <c:pt idx="656">
                  <c:v>42835</c:v>
                </c:pt>
                <c:pt idx="657">
                  <c:v>42832</c:v>
                </c:pt>
                <c:pt idx="658">
                  <c:v>42831</c:v>
                </c:pt>
                <c:pt idx="659">
                  <c:v>42830</c:v>
                </c:pt>
                <c:pt idx="660">
                  <c:v>42829</c:v>
                </c:pt>
                <c:pt idx="661">
                  <c:v>42828</c:v>
                </c:pt>
              </c:numCache>
            </c:numRef>
          </c:cat>
          <c:val>
            <c:numRef>
              <c:f>BACK_TEST!$F$42:$F$703</c:f>
              <c:numCache>
                <c:formatCode>General</c:formatCode>
                <c:ptCount val="662"/>
                <c:pt idx="0">
                  <c:v>0.316593886462882</c:v>
                </c:pt>
                <c:pt idx="1">
                  <c:v>0.31698230363241198</c:v>
                </c:pt>
                <c:pt idx="2">
                  <c:v>0.32059106970767698</c:v>
                </c:pt>
                <c:pt idx="3">
                  <c:v>0.31565576373451798</c:v>
                </c:pt>
                <c:pt idx="4">
                  <c:v>0.32057416267942501</c:v>
                </c:pt>
                <c:pt idx="5">
                  <c:v>0.32250875517351102</c:v>
                </c:pt>
                <c:pt idx="6">
                  <c:v>0.319338422391857</c:v>
                </c:pt>
                <c:pt idx="7">
                  <c:v>0.32086928731224001</c:v>
                </c:pt>
                <c:pt idx="8">
                  <c:v>0.31963765771594899</c:v>
                </c:pt>
                <c:pt idx="9">
                  <c:v>0.31497584541062801</c:v>
                </c:pt>
                <c:pt idx="10">
                  <c:v>0.31636597938144301</c:v>
                </c:pt>
                <c:pt idx="11">
                  <c:v>0.31529181610694401</c:v>
                </c:pt>
                <c:pt idx="12">
                  <c:v>0.31233766233766203</c:v>
                </c:pt>
                <c:pt idx="13">
                  <c:v>0.31180044771346299</c:v>
                </c:pt>
                <c:pt idx="14">
                  <c:v>0.31038919266645199</c:v>
                </c:pt>
                <c:pt idx="15">
                  <c:v>0.30673871582962398</c:v>
                </c:pt>
                <c:pt idx="16">
                  <c:v>0.307593307593307</c:v>
                </c:pt>
                <c:pt idx="17">
                  <c:v>0.30841121495327101</c:v>
                </c:pt>
                <c:pt idx="18">
                  <c:v>0.31047865459249602</c:v>
                </c:pt>
                <c:pt idx="19">
                  <c:v>0.30504148053605601</c:v>
                </c:pt>
                <c:pt idx="20">
                  <c:v>0.303135888501742</c:v>
                </c:pt>
                <c:pt idx="21">
                  <c:v>0.30412698412698402</c:v>
                </c:pt>
                <c:pt idx="22">
                  <c:v>0.305829882128066</c:v>
                </c:pt>
                <c:pt idx="23">
                  <c:v>0.304767840448737</c:v>
                </c:pt>
                <c:pt idx="24">
                  <c:v>0.30411892226695503</c:v>
                </c:pt>
                <c:pt idx="25">
                  <c:v>0.30303030303030298</c:v>
                </c:pt>
                <c:pt idx="26">
                  <c:v>0.31608072916666602</c:v>
                </c:pt>
                <c:pt idx="27">
                  <c:v>0.31818181818181801</c:v>
                </c:pt>
                <c:pt idx="28">
                  <c:v>0.30682942923127599</c:v>
                </c:pt>
                <c:pt idx="29">
                  <c:v>0.30377233620119098</c:v>
                </c:pt>
                <c:pt idx="30">
                  <c:v>0.30191233711287802</c:v>
                </c:pt>
                <c:pt idx="31">
                  <c:v>0.30353501019714402</c:v>
                </c:pt>
                <c:pt idx="32">
                  <c:v>0.29733802109492702</c:v>
                </c:pt>
                <c:pt idx="33">
                  <c:v>0.29773785761809701</c:v>
                </c:pt>
                <c:pt idx="34">
                  <c:v>0.3</c:v>
                </c:pt>
                <c:pt idx="35">
                  <c:v>0.30114510340112799</c:v>
                </c:pt>
                <c:pt idx="36">
                  <c:v>0.29716820197884602</c:v>
                </c:pt>
                <c:pt idx="37">
                  <c:v>0.29996524157108101</c:v>
                </c:pt>
                <c:pt idx="38">
                  <c:v>0.29637305699481797</c:v>
                </c:pt>
                <c:pt idx="39">
                  <c:v>0.29465360151280701</c:v>
                </c:pt>
                <c:pt idx="40">
                  <c:v>0.29455232857879299</c:v>
                </c:pt>
                <c:pt idx="41">
                  <c:v>0.295205479452054</c:v>
                </c:pt>
                <c:pt idx="42">
                  <c:v>0.29211933091912401</c:v>
                </c:pt>
                <c:pt idx="43">
                  <c:v>0.29167403217252902</c:v>
                </c:pt>
                <c:pt idx="44">
                  <c:v>0.29294755877034301</c:v>
                </c:pt>
                <c:pt idx="45">
                  <c:v>0.29274516952242002</c:v>
                </c:pt>
                <c:pt idx="46">
                  <c:v>0.29735682819383202</c:v>
                </c:pt>
                <c:pt idx="47">
                  <c:v>0.295604395604395</c:v>
                </c:pt>
                <c:pt idx="48">
                  <c:v>0.29582577132486298</c:v>
                </c:pt>
                <c:pt idx="49">
                  <c:v>0.29717411121239701</c:v>
                </c:pt>
                <c:pt idx="50">
                  <c:v>0.29418026969481897</c:v>
                </c:pt>
                <c:pt idx="51">
                  <c:v>0.29283597699145802</c:v>
                </c:pt>
                <c:pt idx="52">
                  <c:v>0.29444345184920401</c:v>
                </c:pt>
                <c:pt idx="53">
                  <c:v>0.29366197183098502</c:v>
                </c:pt>
                <c:pt idx="54">
                  <c:v>0.29360013800241502</c:v>
                </c:pt>
                <c:pt idx="55">
                  <c:v>0.29405594405594399</c:v>
                </c:pt>
                <c:pt idx="56">
                  <c:v>0.29456008396011801</c:v>
                </c:pt>
                <c:pt idx="57">
                  <c:v>0.29323696437790397</c:v>
                </c:pt>
                <c:pt idx="58">
                  <c:v>0.28972448449142202</c:v>
                </c:pt>
                <c:pt idx="59">
                  <c:v>0.28995512599240503</c:v>
                </c:pt>
                <c:pt idx="60">
                  <c:v>0.28961748633879703</c:v>
                </c:pt>
                <c:pt idx="61">
                  <c:v>0.29355608591885402</c:v>
                </c:pt>
                <c:pt idx="62">
                  <c:v>0.29185867895545298</c:v>
                </c:pt>
                <c:pt idx="63">
                  <c:v>0.29045069936107698</c:v>
                </c:pt>
                <c:pt idx="64">
                  <c:v>0.29344321031888199</c:v>
                </c:pt>
                <c:pt idx="65">
                  <c:v>0.28529519618628502</c:v>
                </c:pt>
                <c:pt idx="66">
                  <c:v>0.287856620336503</c:v>
                </c:pt>
                <c:pt idx="67">
                  <c:v>0.28824415975885398</c:v>
                </c:pt>
                <c:pt idx="68">
                  <c:v>0.28599146294140398</c:v>
                </c:pt>
                <c:pt idx="69">
                  <c:v>0.29496683573936699</c:v>
                </c:pt>
                <c:pt idx="70">
                  <c:v>0.29693978282329703</c:v>
                </c:pt>
                <c:pt idx="71">
                  <c:v>0.29918763621953598</c:v>
                </c:pt>
                <c:pt idx="72">
                  <c:v>0.299190283400809</c:v>
                </c:pt>
                <c:pt idx="73">
                  <c:v>0.29477911646586302</c:v>
                </c:pt>
                <c:pt idx="74">
                  <c:v>0.29388083735909798</c:v>
                </c:pt>
                <c:pt idx="75">
                  <c:v>0.28536485935589001</c:v>
                </c:pt>
                <c:pt idx="76">
                  <c:v>0.29093831625477101</c:v>
                </c:pt>
                <c:pt idx="77">
                  <c:v>0.29038772213247099</c:v>
                </c:pt>
                <c:pt idx="78">
                  <c:v>0.286232614392259</c:v>
                </c:pt>
                <c:pt idx="79">
                  <c:v>0.28897795591182301</c:v>
                </c:pt>
                <c:pt idx="80">
                  <c:v>0.29085760517799297</c:v>
                </c:pt>
                <c:pt idx="81">
                  <c:v>0.29082774049216997</c:v>
                </c:pt>
                <c:pt idx="82">
                  <c:v>0.29186991869918699</c:v>
                </c:pt>
                <c:pt idx="83">
                  <c:v>0.29372871168102499</c:v>
                </c:pt>
                <c:pt idx="84">
                  <c:v>0.29250604351329501</c:v>
                </c:pt>
                <c:pt idx="85">
                  <c:v>0.29189614476789899</c:v>
                </c:pt>
                <c:pt idx="86">
                  <c:v>0.29388560157790899</c:v>
                </c:pt>
                <c:pt idx="87">
                  <c:v>0.31105854523950299</c:v>
                </c:pt>
                <c:pt idx="88">
                  <c:v>0.31322007420425602</c:v>
                </c:pt>
                <c:pt idx="89">
                  <c:v>0.31449727201870598</c:v>
                </c:pt>
                <c:pt idx="90">
                  <c:v>0.31305013394565601</c:v>
                </c:pt>
                <c:pt idx="91">
                  <c:v>0.31111111111111101</c:v>
                </c:pt>
                <c:pt idx="92">
                  <c:v>0.31543995572772499</c:v>
                </c:pt>
                <c:pt idx="93">
                  <c:v>0.31457431457431401</c:v>
                </c:pt>
                <c:pt idx="94">
                  <c:v>0.30794282612628898</c:v>
                </c:pt>
                <c:pt idx="95">
                  <c:v>0.31161371387542602</c:v>
                </c:pt>
                <c:pt idx="96">
                  <c:v>0.31058740766795601</c:v>
                </c:pt>
                <c:pt idx="97">
                  <c:v>0.30380634976319898</c:v>
                </c:pt>
                <c:pt idx="98">
                  <c:v>0.30484988452655798</c:v>
                </c:pt>
                <c:pt idx="99">
                  <c:v>0.297644539614561</c:v>
                </c:pt>
                <c:pt idx="100">
                  <c:v>0.29059829059829001</c:v>
                </c:pt>
                <c:pt idx="101">
                  <c:v>0.29111393785208001</c:v>
                </c:pt>
                <c:pt idx="102">
                  <c:v>0.29543834640056998</c:v>
                </c:pt>
                <c:pt idx="103">
                  <c:v>0.29543451436629597</c:v>
                </c:pt>
                <c:pt idx="104">
                  <c:v>0.29223744292237402</c:v>
                </c:pt>
                <c:pt idx="105">
                  <c:v>0.29571026722925398</c:v>
                </c:pt>
                <c:pt idx="106">
                  <c:v>0.29305822696275502</c:v>
                </c:pt>
                <c:pt idx="107">
                  <c:v>0.29553023663453099</c:v>
                </c:pt>
                <c:pt idx="108">
                  <c:v>0.30137469157560798</c:v>
                </c:pt>
                <c:pt idx="109">
                  <c:v>0.30601092896174797</c:v>
                </c:pt>
                <c:pt idx="110">
                  <c:v>0.30204808548530698</c:v>
                </c:pt>
                <c:pt idx="111">
                  <c:v>0.30394265232974899</c:v>
                </c:pt>
                <c:pt idx="112">
                  <c:v>0.30384208671131402</c:v>
                </c:pt>
                <c:pt idx="113">
                  <c:v>0.301230228471001</c:v>
                </c:pt>
                <c:pt idx="114">
                  <c:v>0.29874326750448799</c:v>
                </c:pt>
                <c:pt idx="115">
                  <c:v>0.30123722431414701</c:v>
                </c:pt>
                <c:pt idx="116">
                  <c:v>0.29989015012815801</c:v>
                </c:pt>
                <c:pt idx="117">
                  <c:v>0.295064183691918</c:v>
                </c:pt>
                <c:pt idx="118">
                  <c:v>0.29330461317537199</c:v>
                </c:pt>
                <c:pt idx="119">
                  <c:v>0.29392624728850297</c:v>
                </c:pt>
                <c:pt idx="120">
                  <c:v>0.29844821364128399</c:v>
                </c:pt>
                <c:pt idx="121">
                  <c:v>0.29461756373937598</c:v>
                </c:pt>
                <c:pt idx="122">
                  <c:v>0.29320318148951502</c:v>
                </c:pt>
                <c:pt idx="123">
                  <c:v>0.29477477477477398</c:v>
                </c:pt>
                <c:pt idx="124">
                  <c:v>0.30090744101633299</c:v>
                </c:pt>
                <c:pt idx="125">
                  <c:v>0.29987293519695002</c:v>
                </c:pt>
                <c:pt idx="126">
                  <c:v>0.30181883666486498</c:v>
                </c:pt>
                <c:pt idx="127">
                  <c:v>0.30421524663677102</c:v>
                </c:pt>
                <c:pt idx="128">
                  <c:v>0.30215827338129497</c:v>
                </c:pt>
                <c:pt idx="129">
                  <c:v>0.301680058436815</c:v>
                </c:pt>
                <c:pt idx="130">
                  <c:v>0.29921547162926398</c:v>
                </c:pt>
                <c:pt idx="131">
                  <c:v>0.30447227191413201</c:v>
                </c:pt>
                <c:pt idx="132">
                  <c:v>0.30217151269782799</c:v>
                </c:pt>
                <c:pt idx="133">
                  <c:v>0.29817634893777001</c:v>
                </c:pt>
                <c:pt idx="134">
                  <c:v>0.30101848359109701</c:v>
                </c:pt>
                <c:pt idx="135">
                  <c:v>0.29469122426868899</c:v>
                </c:pt>
                <c:pt idx="136">
                  <c:v>0.29177238129757099</c:v>
                </c:pt>
                <c:pt idx="137">
                  <c:v>0.29386281588447599</c:v>
                </c:pt>
                <c:pt idx="138">
                  <c:v>0.29322218194998101</c:v>
                </c:pt>
                <c:pt idx="139">
                  <c:v>0.292114695340501</c:v>
                </c:pt>
                <c:pt idx="140">
                  <c:v>0.28790308213076699</c:v>
                </c:pt>
                <c:pt idx="141">
                  <c:v>0.29065866148684399</c:v>
                </c:pt>
                <c:pt idx="142">
                  <c:v>0.28808473080317698</c:v>
                </c:pt>
                <c:pt idx="143">
                  <c:v>0.28626965895034401</c:v>
                </c:pt>
                <c:pt idx="144">
                  <c:v>0.29054054054054002</c:v>
                </c:pt>
                <c:pt idx="145">
                  <c:v>0.29304160688665698</c:v>
                </c:pt>
                <c:pt idx="146">
                  <c:v>0.29304812834224597</c:v>
                </c:pt>
                <c:pt idx="147">
                  <c:v>0.29325722440242502</c:v>
                </c:pt>
                <c:pt idx="148">
                  <c:v>0.28581572874134498</c:v>
                </c:pt>
                <c:pt idx="149">
                  <c:v>0.31638418079095998</c:v>
                </c:pt>
                <c:pt idx="150">
                  <c:v>0.31865239515704502</c:v>
                </c:pt>
                <c:pt idx="151">
                  <c:v>0.31376484361933399</c:v>
                </c:pt>
                <c:pt idx="152">
                  <c:v>0.31329216769580698</c:v>
                </c:pt>
                <c:pt idx="153">
                  <c:v>0.32247662044501701</c:v>
                </c:pt>
                <c:pt idx="154">
                  <c:v>0.33107890499194798</c:v>
                </c:pt>
                <c:pt idx="155">
                  <c:v>0.33710407239819001</c:v>
                </c:pt>
                <c:pt idx="156">
                  <c:v>0.337209302325581</c:v>
                </c:pt>
                <c:pt idx="157">
                  <c:v>0.33943795389958897</c:v>
                </c:pt>
                <c:pt idx="158">
                  <c:v>0.33646028767979902</c:v>
                </c:pt>
                <c:pt idx="159">
                  <c:v>0.33229620410703098</c:v>
                </c:pt>
                <c:pt idx="160">
                  <c:v>0.33785488958990501</c:v>
                </c:pt>
                <c:pt idx="161">
                  <c:v>0.33588272785213502</c:v>
                </c:pt>
                <c:pt idx="162">
                  <c:v>0.33921128566848302</c:v>
                </c:pt>
                <c:pt idx="163">
                  <c:v>0.33549432739059898</c:v>
                </c:pt>
                <c:pt idx="164">
                  <c:v>0.337345478204294</c:v>
                </c:pt>
                <c:pt idx="165">
                  <c:v>0.33590485374477602</c:v>
                </c:pt>
                <c:pt idx="166">
                  <c:v>0.33587786259541902</c:v>
                </c:pt>
                <c:pt idx="167">
                  <c:v>0.33535611625678602</c:v>
                </c:pt>
                <c:pt idx="168">
                  <c:v>0.33186536646744202</c:v>
                </c:pt>
                <c:pt idx="169">
                  <c:v>0.32838179519595401</c:v>
                </c:pt>
                <c:pt idx="170">
                  <c:v>0.326953748006379</c:v>
                </c:pt>
                <c:pt idx="171">
                  <c:v>0.32797427652733102</c:v>
                </c:pt>
                <c:pt idx="172">
                  <c:v>0.33138211382113802</c:v>
                </c:pt>
                <c:pt idx="173">
                  <c:v>0.33188647746243699</c:v>
                </c:pt>
                <c:pt idx="174">
                  <c:v>0.32844770153231101</c:v>
                </c:pt>
                <c:pt idx="175">
                  <c:v>0.33190366215770301</c:v>
                </c:pt>
                <c:pt idx="176">
                  <c:v>0.330932896890343</c:v>
                </c:pt>
                <c:pt idx="177">
                  <c:v>0.32945147679324799</c:v>
                </c:pt>
                <c:pt idx="178">
                  <c:v>0.32416502946954801</c:v>
                </c:pt>
                <c:pt idx="179">
                  <c:v>0.31585760517799299</c:v>
                </c:pt>
                <c:pt idx="180">
                  <c:v>0.31339401820546098</c:v>
                </c:pt>
                <c:pt idx="181">
                  <c:v>0.31609947643978997</c:v>
                </c:pt>
                <c:pt idx="182">
                  <c:v>0.315996074582924</c:v>
                </c:pt>
                <c:pt idx="183">
                  <c:v>0.31591134634468998</c:v>
                </c:pt>
                <c:pt idx="184">
                  <c:v>0.31833223031105201</c:v>
                </c:pt>
                <c:pt idx="185">
                  <c:v>0.32326878897276001</c:v>
                </c:pt>
                <c:pt idx="186">
                  <c:v>0.32326584799203401</c:v>
                </c:pt>
                <c:pt idx="187">
                  <c:v>0.32558916931305298</c:v>
                </c:pt>
                <c:pt idx="188">
                  <c:v>0.32468811556139199</c:v>
                </c:pt>
                <c:pt idx="189">
                  <c:v>0.32719638242894</c:v>
                </c:pt>
                <c:pt idx="190">
                  <c:v>0.33053040103492798</c:v>
                </c:pt>
                <c:pt idx="191">
                  <c:v>0.32755298651252401</c:v>
                </c:pt>
                <c:pt idx="192">
                  <c:v>0.32773375594294701</c:v>
                </c:pt>
                <c:pt idx="193">
                  <c:v>0.328893117665715</c:v>
                </c:pt>
                <c:pt idx="194">
                  <c:v>0.33028967254407998</c:v>
                </c:pt>
                <c:pt idx="195">
                  <c:v>0.33322764743183197</c:v>
                </c:pt>
                <c:pt idx="196">
                  <c:v>0.33513170422088201</c:v>
                </c:pt>
                <c:pt idx="197">
                  <c:v>0.33663999999999999</c:v>
                </c:pt>
                <c:pt idx="198">
                  <c:v>0.34031582339671201</c:v>
                </c:pt>
                <c:pt idx="199">
                  <c:v>0.34685130234091599</c:v>
                </c:pt>
                <c:pt idx="200">
                  <c:v>0.34837425348374201</c:v>
                </c:pt>
                <c:pt idx="201">
                  <c:v>0.35298035298035202</c:v>
                </c:pt>
                <c:pt idx="202">
                  <c:v>0.35021026072329597</c:v>
                </c:pt>
                <c:pt idx="203">
                  <c:v>0.34133508714238697</c:v>
                </c:pt>
                <c:pt idx="204">
                  <c:v>0.34355214928357197</c:v>
                </c:pt>
                <c:pt idx="205">
                  <c:v>0.34915254237288101</c:v>
                </c:pt>
                <c:pt idx="206">
                  <c:v>0.34273022381684598</c:v>
                </c:pt>
                <c:pt idx="207">
                  <c:v>0.34310459693537598</c:v>
                </c:pt>
                <c:pt idx="208">
                  <c:v>0.345304777594728</c:v>
                </c:pt>
                <c:pt idx="209">
                  <c:v>0.34217419777341102</c:v>
                </c:pt>
                <c:pt idx="210">
                  <c:v>0.331736909323116</c:v>
                </c:pt>
                <c:pt idx="211">
                  <c:v>0.31432973805855102</c:v>
                </c:pt>
                <c:pt idx="212">
                  <c:v>0.31055709449061197</c:v>
                </c:pt>
                <c:pt idx="213">
                  <c:v>0.30823819808700997</c:v>
                </c:pt>
                <c:pt idx="214">
                  <c:v>0.31001540832049301</c:v>
                </c:pt>
                <c:pt idx="215">
                  <c:v>0.31169230769230699</c:v>
                </c:pt>
                <c:pt idx="216">
                  <c:v>0.31130063965884802</c:v>
                </c:pt>
                <c:pt idx="217">
                  <c:v>0.31261595547309801</c:v>
                </c:pt>
                <c:pt idx="218">
                  <c:v>0.30724009900990101</c:v>
                </c:pt>
                <c:pt idx="219">
                  <c:v>0.30873726458783501</c:v>
                </c:pt>
                <c:pt idx="220">
                  <c:v>0.31020659882824497</c:v>
                </c:pt>
                <c:pt idx="221">
                  <c:v>0.30668740279937701</c:v>
                </c:pt>
                <c:pt idx="222">
                  <c:v>0.30941983780411703</c:v>
                </c:pt>
                <c:pt idx="223">
                  <c:v>0.309034267912772</c:v>
                </c:pt>
                <c:pt idx="224">
                  <c:v>0.31189810500155302</c:v>
                </c:pt>
                <c:pt idx="225">
                  <c:v>0.31072555205047298</c:v>
                </c:pt>
                <c:pt idx="226">
                  <c:v>0.31696284329563801</c:v>
                </c:pt>
                <c:pt idx="227">
                  <c:v>0.316581306017925</c:v>
                </c:pt>
                <c:pt idx="228">
                  <c:v>0.31355382619973998</c:v>
                </c:pt>
                <c:pt idx="229">
                  <c:v>0.32351957176313101</c:v>
                </c:pt>
                <c:pt idx="230">
                  <c:v>0.322983521248915</c:v>
                </c:pt>
                <c:pt idx="231">
                  <c:v>0.333390913802038</c:v>
                </c:pt>
                <c:pt idx="232">
                  <c:v>0.33039875712066202</c:v>
                </c:pt>
                <c:pt idx="233">
                  <c:v>0.32356642099586502</c:v>
                </c:pt>
                <c:pt idx="234">
                  <c:v>0.32438316400580502</c:v>
                </c:pt>
                <c:pt idx="235">
                  <c:v>0.32380626390552703</c:v>
                </c:pt>
                <c:pt idx="236">
                  <c:v>0.32321187584345401</c:v>
                </c:pt>
                <c:pt idx="237">
                  <c:v>0.32326878897276001</c:v>
                </c:pt>
                <c:pt idx="238">
                  <c:v>0.333883751651254</c:v>
                </c:pt>
                <c:pt idx="239">
                  <c:v>0.332786885245901</c:v>
                </c:pt>
                <c:pt idx="240">
                  <c:v>0.33595284872298598</c:v>
                </c:pt>
                <c:pt idx="241">
                  <c:v>0.33526011560693603</c:v>
                </c:pt>
                <c:pt idx="242">
                  <c:v>0.33517196625567802</c:v>
                </c:pt>
                <c:pt idx="243">
                  <c:v>0.33134723601456401</c:v>
                </c:pt>
                <c:pt idx="244">
                  <c:v>0.33201450708869101</c:v>
                </c:pt>
                <c:pt idx="245">
                  <c:v>0.32922877511341497</c:v>
                </c:pt>
                <c:pt idx="246">
                  <c:v>0.33614810003247803</c:v>
                </c:pt>
                <c:pt idx="247">
                  <c:v>0.333868378812199</c:v>
                </c:pt>
                <c:pt idx="248">
                  <c:v>0.32528987778125901</c:v>
                </c:pt>
                <c:pt idx="249">
                  <c:v>0.315692872438054</c:v>
                </c:pt>
                <c:pt idx="250">
                  <c:v>0.31542785758900599</c:v>
                </c:pt>
                <c:pt idx="251">
                  <c:v>0.32049649904519401</c:v>
                </c:pt>
                <c:pt idx="252">
                  <c:v>0.31730465042708</c:v>
                </c:pt>
                <c:pt idx="253">
                  <c:v>0.31170046801871998</c:v>
                </c:pt>
                <c:pt idx="254">
                  <c:v>0.31063964534515498</c:v>
                </c:pt>
                <c:pt idx="255">
                  <c:v>0.31348955034832099</c:v>
                </c:pt>
                <c:pt idx="256">
                  <c:v>0.31468531468531402</c:v>
                </c:pt>
                <c:pt idx="257">
                  <c:v>0.311749842072015</c:v>
                </c:pt>
                <c:pt idx="258">
                  <c:v>0.30890217049386598</c:v>
                </c:pt>
                <c:pt idx="259">
                  <c:v>0.30339195979899403</c:v>
                </c:pt>
                <c:pt idx="260">
                  <c:v>0.30380536494073601</c:v>
                </c:pt>
                <c:pt idx="261">
                  <c:v>0.30406453614644702</c:v>
                </c:pt>
                <c:pt idx="262">
                  <c:v>0.30186915887850402</c:v>
                </c:pt>
                <c:pt idx="263">
                  <c:v>0.30195003046922603</c:v>
                </c:pt>
                <c:pt idx="264">
                  <c:v>0.303963414634146</c:v>
                </c:pt>
                <c:pt idx="265">
                  <c:v>0.300551470588235</c:v>
                </c:pt>
                <c:pt idx="266">
                  <c:v>0.31464849798699202</c:v>
                </c:pt>
                <c:pt idx="267">
                  <c:v>0.30479348809164902</c:v>
                </c:pt>
                <c:pt idx="268">
                  <c:v>0.313743781094527</c:v>
                </c:pt>
                <c:pt idx="269">
                  <c:v>0.318041871921182</c:v>
                </c:pt>
                <c:pt idx="270">
                  <c:v>0.303598892648415</c:v>
                </c:pt>
                <c:pt idx="271">
                  <c:v>0.29929034248688602</c:v>
                </c:pt>
                <c:pt idx="272">
                  <c:v>0.31701708278580798</c:v>
                </c:pt>
                <c:pt idx="273">
                  <c:v>0.32395309882746998</c:v>
                </c:pt>
                <c:pt idx="274">
                  <c:v>0.32544080604533998</c:v>
                </c:pt>
                <c:pt idx="275">
                  <c:v>0.31983598154792398</c:v>
                </c:pt>
                <c:pt idx="276">
                  <c:v>0.35011593242795602</c:v>
                </c:pt>
                <c:pt idx="277">
                  <c:v>0.34805712387910898</c:v>
                </c:pt>
                <c:pt idx="278">
                  <c:v>0.34502923976608102</c:v>
                </c:pt>
                <c:pt idx="279">
                  <c:v>0.348123980424143</c:v>
                </c:pt>
                <c:pt idx="280">
                  <c:v>0.34841628959276</c:v>
                </c:pt>
                <c:pt idx="281">
                  <c:v>0.35195350339037701</c:v>
                </c:pt>
                <c:pt idx="282">
                  <c:v>0.35234680573663602</c:v>
                </c:pt>
                <c:pt idx="283">
                  <c:v>0.35802059116572499</c:v>
                </c:pt>
                <c:pt idx="284">
                  <c:v>0.35510996119016802</c:v>
                </c:pt>
                <c:pt idx="285">
                  <c:v>0.35883306320907599</c:v>
                </c:pt>
                <c:pt idx="286">
                  <c:v>0.34954786404739602</c:v>
                </c:pt>
                <c:pt idx="287">
                  <c:v>0.34998448650325698</c:v>
                </c:pt>
                <c:pt idx="288">
                  <c:v>0.34546001202645799</c:v>
                </c:pt>
                <c:pt idx="289">
                  <c:v>0.34817692767483499</c:v>
                </c:pt>
                <c:pt idx="290">
                  <c:v>0.34931096464949002</c:v>
                </c:pt>
                <c:pt idx="291">
                  <c:v>0.34193918531267897</c:v>
                </c:pt>
                <c:pt idx="292">
                  <c:v>0.344205008736167</c:v>
                </c:pt>
                <c:pt idx="293">
                  <c:v>0.34341378307647502</c:v>
                </c:pt>
                <c:pt idx="294">
                  <c:v>0.34370413853830301</c:v>
                </c:pt>
                <c:pt idx="295">
                  <c:v>0.34607528450539798</c:v>
                </c:pt>
                <c:pt idx="296">
                  <c:v>0.339021615472127</c:v>
                </c:pt>
                <c:pt idx="297">
                  <c:v>0.33342881695789101</c:v>
                </c:pt>
                <c:pt idx="298">
                  <c:v>0.34376828554710298</c:v>
                </c:pt>
                <c:pt idx="299">
                  <c:v>0.35175879396984899</c:v>
                </c:pt>
                <c:pt idx="300">
                  <c:v>0.35962241169305698</c:v>
                </c:pt>
                <c:pt idx="301">
                  <c:v>0.35809760646565097</c:v>
                </c:pt>
                <c:pt idx="302">
                  <c:v>0.36060415355569497</c:v>
                </c:pt>
                <c:pt idx="303">
                  <c:v>0.37183188963747099</c:v>
                </c:pt>
                <c:pt idx="304">
                  <c:v>0.37145557655954597</c:v>
                </c:pt>
                <c:pt idx="305">
                  <c:v>0.37005381449825803</c:v>
                </c:pt>
                <c:pt idx="306">
                  <c:v>0.36337850614560302</c:v>
                </c:pt>
                <c:pt idx="307">
                  <c:v>0.36537857367263499</c:v>
                </c:pt>
                <c:pt idx="308">
                  <c:v>0.36620603015075298</c:v>
                </c:pt>
                <c:pt idx="309">
                  <c:v>0.35985083903045301</c:v>
                </c:pt>
                <c:pt idx="310">
                  <c:v>0.35841523341523301</c:v>
                </c:pt>
                <c:pt idx="311">
                  <c:v>0.35692588092345001</c:v>
                </c:pt>
                <c:pt idx="312">
                  <c:v>0.35101311084624498</c:v>
                </c:pt>
                <c:pt idx="313">
                  <c:v>0.34668630338733403</c:v>
                </c:pt>
                <c:pt idx="314">
                  <c:v>0.34379626887770198</c:v>
                </c:pt>
                <c:pt idx="315">
                  <c:v>0.34632683658170899</c:v>
                </c:pt>
                <c:pt idx="316">
                  <c:v>0.345288753799392</c:v>
                </c:pt>
                <c:pt idx="317">
                  <c:v>0.33996383363471899</c:v>
                </c:pt>
                <c:pt idx="318">
                  <c:v>0.33451536643025997</c:v>
                </c:pt>
                <c:pt idx="319">
                  <c:v>0.33995784402288398</c:v>
                </c:pt>
                <c:pt idx="320">
                  <c:v>0.34127942063971001</c:v>
                </c:pt>
                <c:pt idx="321">
                  <c:v>0.345004527618472</c:v>
                </c:pt>
                <c:pt idx="322">
                  <c:v>0.34356014580801902</c:v>
                </c:pt>
                <c:pt idx="323">
                  <c:v>0.34418746195982902</c:v>
                </c:pt>
                <c:pt idx="324">
                  <c:v>0.34412470023980801</c:v>
                </c:pt>
                <c:pt idx="325">
                  <c:v>0.34688264058679702</c:v>
                </c:pt>
                <c:pt idx="326">
                  <c:v>0.345605700712589</c:v>
                </c:pt>
                <c:pt idx="327">
                  <c:v>0.35078379177758001</c:v>
                </c:pt>
                <c:pt idx="328">
                  <c:v>0.32350364963503597</c:v>
                </c:pt>
                <c:pt idx="329">
                  <c:v>0.32360665304931402</c:v>
                </c:pt>
                <c:pt idx="330">
                  <c:v>0.32576650943396201</c:v>
                </c:pt>
                <c:pt idx="331">
                  <c:v>0.32899408284023601</c:v>
                </c:pt>
                <c:pt idx="332">
                  <c:v>0.33084947839046103</c:v>
                </c:pt>
                <c:pt idx="333">
                  <c:v>0.32484076433121001</c:v>
                </c:pt>
                <c:pt idx="334">
                  <c:v>0.33233979135618402</c:v>
                </c:pt>
                <c:pt idx="335">
                  <c:v>0.328393598103141</c:v>
                </c:pt>
                <c:pt idx="336">
                  <c:v>0.33194650817236199</c:v>
                </c:pt>
                <c:pt idx="337">
                  <c:v>0.33353275501046897</c:v>
                </c:pt>
                <c:pt idx="338">
                  <c:v>0.33092876465283999</c:v>
                </c:pt>
                <c:pt idx="339">
                  <c:v>0.33130883692681401</c:v>
                </c:pt>
                <c:pt idx="340">
                  <c:v>0.33446049800184402</c:v>
                </c:pt>
                <c:pt idx="341">
                  <c:v>0.33110571081409401</c:v>
                </c:pt>
                <c:pt idx="342">
                  <c:v>0.33283177851339102</c:v>
                </c:pt>
                <c:pt idx="343">
                  <c:v>0.32953181272509002</c:v>
                </c:pt>
                <c:pt idx="344">
                  <c:v>0.32681312067408902</c:v>
                </c:pt>
                <c:pt idx="345">
                  <c:v>0.32503037667071599</c:v>
                </c:pt>
                <c:pt idx="346">
                  <c:v>0.32402577477753902</c:v>
                </c:pt>
                <c:pt idx="347">
                  <c:v>0.323038912909203</c:v>
                </c:pt>
                <c:pt idx="348">
                  <c:v>0.32600061106018902</c:v>
                </c:pt>
                <c:pt idx="349">
                  <c:v>0.32469135802469101</c:v>
                </c:pt>
                <c:pt idx="350">
                  <c:v>0.320631970260223</c:v>
                </c:pt>
                <c:pt idx="351">
                  <c:v>0.324120603015075</c:v>
                </c:pt>
                <c:pt idx="352">
                  <c:v>0.32810539523212001</c:v>
                </c:pt>
                <c:pt idx="353">
                  <c:v>0.32087227414330199</c:v>
                </c:pt>
                <c:pt idx="354">
                  <c:v>0.32091421415153398</c:v>
                </c:pt>
                <c:pt idx="355">
                  <c:v>0.32093452197971101</c:v>
                </c:pt>
                <c:pt idx="356">
                  <c:v>0.321461752864664</c:v>
                </c:pt>
                <c:pt idx="357">
                  <c:v>0.31472868217054201</c:v>
                </c:pt>
                <c:pt idx="358">
                  <c:v>0.32630310334438001</c:v>
                </c:pt>
                <c:pt idx="359">
                  <c:v>0.32356495468277902</c:v>
                </c:pt>
                <c:pt idx="360">
                  <c:v>0.31567923399162101</c:v>
                </c:pt>
                <c:pt idx="361">
                  <c:v>0.31035494279847398</c:v>
                </c:pt>
                <c:pt idx="362">
                  <c:v>0.30955860859397799</c:v>
                </c:pt>
                <c:pt idx="363">
                  <c:v>0.30789397028837701</c:v>
                </c:pt>
                <c:pt idx="364">
                  <c:v>0.30513335245196399</c:v>
                </c:pt>
                <c:pt idx="365">
                  <c:v>0.30823662609680103</c:v>
                </c:pt>
                <c:pt idx="366">
                  <c:v>0.31264108352144399</c:v>
                </c:pt>
                <c:pt idx="367">
                  <c:v>0.31072818232351301</c:v>
                </c:pt>
                <c:pt idx="368">
                  <c:v>0.31842475386779101</c:v>
                </c:pt>
                <c:pt idx="369">
                  <c:v>0.31552447552447499</c:v>
                </c:pt>
                <c:pt idx="370">
                  <c:v>0.32101222632925702</c:v>
                </c:pt>
                <c:pt idx="371">
                  <c:v>0.32126696832579099</c:v>
                </c:pt>
                <c:pt idx="372">
                  <c:v>0.32165242165242097</c:v>
                </c:pt>
                <c:pt idx="373">
                  <c:v>0.31889427187232799</c:v>
                </c:pt>
                <c:pt idx="374">
                  <c:v>0.31079177233023297</c:v>
                </c:pt>
                <c:pt idx="375">
                  <c:v>0.31361800346220398</c:v>
                </c:pt>
                <c:pt idx="376">
                  <c:v>0.31128517551494</c:v>
                </c:pt>
                <c:pt idx="377">
                  <c:v>0.31304856641310702</c:v>
                </c:pt>
                <c:pt idx="378">
                  <c:v>0.31060820367751002</c:v>
                </c:pt>
                <c:pt idx="379">
                  <c:v>0.31778343228724898</c:v>
                </c:pt>
                <c:pt idx="380">
                  <c:v>0.32304173813607701</c:v>
                </c:pt>
                <c:pt idx="381">
                  <c:v>0.32625318606627002</c:v>
                </c:pt>
                <c:pt idx="382">
                  <c:v>0.32339261285909698</c:v>
                </c:pt>
                <c:pt idx="383">
                  <c:v>0.32277281343081499</c:v>
                </c:pt>
                <c:pt idx="384">
                  <c:v>0.32258064516128998</c:v>
                </c:pt>
                <c:pt idx="385">
                  <c:v>0.31794871794871699</c:v>
                </c:pt>
                <c:pt idx="386">
                  <c:v>0.32167258813883498</c:v>
                </c:pt>
                <c:pt idx="387">
                  <c:v>0.32335164835164798</c:v>
                </c:pt>
                <c:pt idx="388">
                  <c:v>0.31824417009602102</c:v>
                </c:pt>
                <c:pt idx="389">
                  <c:v>0.315229257641921</c:v>
                </c:pt>
                <c:pt idx="390">
                  <c:v>0.33314932376483503</c:v>
                </c:pt>
                <c:pt idx="391">
                  <c:v>0.34</c:v>
                </c:pt>
                <c:pt idx="392">
                  <c:v>0.33944178178742601</c:v>
                </c:pt>
                <c:pt idx="393">
                  <c:v>0.33691460055096401</c:v>
                </c:pt>
                <c:pt idx="394">
                  <c:v>0.337662337662337</c:v>
                </c:pt>
                <c:pt idx="395">
                  <c:v>0.33260093380939298</c:v>
                </c:pt>
                <c:pt idx="396">
                  <c:v>0.32734584450402099</c:v>
                </c:pt>
                <c:pt idx="397">
                  <c:v>0.32067958587735601</c:v>
                </c:pt>
                <c:pt idx="398">
                  <c:v>0.31340531998946503</c:v>
                </c:pt>
                <c:pt idx="399">
                  <c:v>0.315455746367239</c:v>
                </c:pt>
                <c:pt idx="400">
                  <c:v>0.32085561497326198</c:v>
                </c:pt>
                <c:pt idx="401">
                  <c:v>0.32136054421768701</c:v>
                </c:pt>
                <c:pt idx="402">
                  <c:v>0.322922324823465</c:v>
                </c:pt>
                <c:pt idx="403">
                  <c:v>0.32565700352207999</c:v>
                </c:pt>
                <c:pt idx="404">
                  <c:v>0.31772935162765598</c:v>
                </c:pt>
                <c:pt idx="405">
                  <c:v>0.30742613787596401</c:v>
                </c:pt>
                <c:pt idx="406">
                  <c:v>0.30750925436277099</c:v>
                </c:pt>
                <c:pt idx="407">
                  <c:v>0.30903790087463501</c:v>
                </c:pt>
                <c:pt idx="408">
                  <c:v>0.30548862115127101</c:v>
                </c:pt>
                <c:pt idx="409">
                  <c:v>0.30222104706504399</c:v>
                </c:pt>
                <c:pt idx="410">
                  <c:v>0.30338266384778001</c:v>
                </c:pt>
                <c:pt idx="411">
                  <c:v>0.30667028199566099</c:v>
                </c:pt>
                <c:pt idx="412">
                  <c:v>0.30861179027438101</c:v>
                </c:pt>
                <c:pt idx="413">
                  <c:v>0.306403674682518</c:v>
                </c:pt>
                <c:pt idx="414">
                  <c:v>0.308301474604041</c:v>
                </c:pt>
                <c:pt idx="415">
                  <c:v>0.310373443983402</c:v>
                </c:pt>
                <c:pt idx="416">
                  <c:v>0.309170785282811</c:v>
                </c:pt>
                <c:pt idx="417">
                  <c:v>0.30737704918032699</c:v>
                </c:pt>
                <c:pt idx="418">
                  <c:v>0.30925569898379501</c:v>
                </c:pt>
                <c:pt idx="419">
                  <c:v>0.30405035577449302</c:v>
                </c:pt>
                <c:pt idx="420">
                  <c:v>0.31028761061946902</c:v>
                </c:pt>
                <c:pt idx="421">
                  <c:v>0.31316317751648898</c:v>
                </c:pt>
                <c:pt idx="422">
                  <c:v>0.31172572745606397</c:v>
                </c:pt>
                <c:pt idx="423">
                  <c:v>0.30212882096069799</c:v>
                </c:pt>
                <c:pt idx="424">
                  <c:v>0.30642504118616098</c:v>
                </c:pt>
                <c:pt idx="425">
                  <c:v>0.29898323715306402</c:v>
                </c:pt>
                <c:pt idx="426">
                  <c:v>0.29880369766177201</c:v>
                </c:pt>
                <c:pt idx="427">
                  <c:v>0.301570113697888</c:v>
                </c:pt>
                <c:pt idx="428">
                  <c:v>0.30187144019528001</c:v>
                </c:pt>
                <c:pt idx="429">
                  <c:v>0.30070118662351603</c:v>
                </c:pt>
                <c:pt idx="430">
                  <c:v>0.29580101631452199</c:v>
                </c:pt>
                <c:pt idx="431">
                  <c:v>0.29809550096604998</c:v>
                </c:pt>
                <c:pt idx="432">
                  <c:v>0.28996181123840697</c:v>
                </c:pt>
                <c:pt idx="433">
                  <c:v>0.29251513483764402</c:v>
                </c:pt>
                <c:pt idx="434">
                  <c:v>0.292962356792144</c:v>
                </c:pt>
                <c:pt idx="435">
                  <c:v>0.29296008869179602</c:v>
                </c:pt>
                <c:pt idx="436">
                  <c:v>0.28893109061312999</c:v>
                </c:pt>
                <c:pt idx="437">
                  <c:v>0.28660924040720398</c:v>
                </c:pt>
                <c:pt idx="438">
                  <c:v>0.29086229086228998</c:v>
                </c:pt>
                <c:pt idx="439">
                  <c:v>0.28675730110775399</c:v>
                </c:pt>
                <c:pt idx="440">
                  <c:v>0.28487027998972497</c:v>
                </c:pt>
                <c:pt idx="441">
                  <c:v>0.28530559167750302</c:v>
                </c:pt>
                <c:pt idx="442">
                  <c:v>0.27922248489624302</c:v>
                </c:pt>
                <c:pt idx="443">
                  <c:v>0.277358981024174</c:v>
                </c:pt>
                <c:pt idx="444">
                  <c:v>0.28137384412153199</c:v>
                </c:pt>
                <c:pt idx="445">
                  <c:v>0.27681121786548901</c:v>
                </c:pt>
                <c:pt idx="446">
                  <c:v>0.27450980392156799</c:v>
                </c:pt>
                <c:pt idx="447">
                  <c:v>0.27048741296197099</c:v>
                </c:pt>
                <c:pt idx="448">
                  <c:v>0.27637645782478898</c:v>
                </c:pt>
                <c:pt idx="449">
                  <c:v>0.27345844504021399</c:v>
                </c:pt>
                <c:pt idx="450">
                  <c:v>0.27536231884057899</c:v>
                </c:pt>
                <c:pt idx="451">
                  <c:v>0.27911179963852301</c:v>
                </c:pt>
                <c:pt idx="452">
                  <c:v>0.28046874999999999</c:v>
                </c:pt>
                <c:pt idx="453">
                  <c:v>0.29711286089238798</c:v>
                </c:pt>
                <c:pt idx="454">
                  <c:v>0.30219088390833498</c:v>
                </c:pt>
                <c:pt idx="455">
                  <c:v>0.3146529562982</c:v>
                </c:pt>
                <c:pt idx="456">
                  <c:v>0.32029023062969603</c:v>
                </c:pt>
                <c:pt idx="457">
                  <c:v>0.31651855723993699</c:v>
                </c:pt>
                <c:pt idx="458">
                  <c:v>0.30955414012738802</c:v>
                </c:pt>
                <c:pt idx="459">
                  <c:v>0.31188244236128698</c:v>
                </c:pt>
                <c:pt idx="460">
                  <c:v>0.31172133231629801</c:v>
                </c:pt>
                <c:pt idx="461">
                  <c:v>0.31100963977676299</c:v>
                </c:pt>
                <c:pt idx="462">
                  <c:v>0.31046569854782102</c:v>
                </c:pt>
                <c:pt idx="463">
                  <c:v>0.30602171767028602</c:v>
                </c:pt>
                <c:pt idx="464">
                  <c:v>0.310050251256281</c:v>
                </c:pt>
                <c:pt idx="465">
                  <c:v>0.30652010991756101</c:v>
                </c:pt>
                <c:pt idx="466">
                  <c:v>0.30852401307518201</c:v>
                </c:pt>
                <c:pt idx="467">
                  <c:v>0.31127146056232802</c:v>
                </c:pt>
                <c:pt idx="468">
                  <c:v>0.314865881173226</c:v>
                </c:pt>
                <c:pt idx="469">
                  <c:v>0.31499623210248601</c:v>
                </c:pt>
                <c:pt idx="470">
                  <c:v>0.31728830645161199</c:v>
                </c:pt>
                <c:pt idx="471">
                  <c:v>0.31395926477893599</c:v>
                </c:pt>
                <c:pt idx="472">
                  <c:v>0.30765480253534799</c:v>
                </c:pt>
                <c:pt idx="473">
                  <c:v>0.315211970074812</c:v>
                </c:pt>
                <c:pt idx="474">
                  <c:v>0.31584183039045</c:v>
                </c:pt>
                <c:pt idx="475">
                  <c:v>0.31585549422980402</c:v>
                </c:pt>
                <c:pt idx="476">
                  <c:v>0.32107716209218001</c:v>
                </c:pt>
                <c:pt idx="477">
                  <c:v>0.32048629073978202</c:v>
                </c:pt>
                <c:pt idx="478">
                  <c:v>0.31912708600770201</c:v>
                </c:pt>
                <c:pt idx="479">
                  <c:v>0.31790281329923198</c:v>
                </c:pt>
                <c:pt idx="480">
                  <c:v>0.31712904046831197</c:v>
                </c:pt>
                <c:pt idx="481">
                  <c:v>0.320338548345729</c:v>
                </c:pt>
                <c:pt idx="482">
                  <c:v>0.31741140215716401</c:v>
                </c:pt>
                <c:pt idx="483">
                  <c:v>0.31619537275064202</c:v>
                </c:pt>
                <c:pt idx="484">
                  <c:v>0.314991000257135</c:v>
                </c:pt>
                <c:pt idx="485">
                  <c:v>0.31958224543080899</c:v>
                </c:pt>
                <c:pt idx="486">
                  <c:v>0.31729243786356398</c:v>
                </c:pt>
                <c:pt idx="487">
                  <c:v>0.32007327924626999</c:v>
                </c:pt>
                <c:pt idx="488">
                  <c:v>0.322117892540427</c:v>
                </c:pt>
                <c:pt idx="489">
                  <c:v>0.32790331056227001</c:v>
                </c:pt>
                <c:pt idx="490">
                  <c:v>0.328054895750857</c:v>
                </c:pt>
                <c:pt idx="491">
                  <c:v>0.32891598197720601</c:v>
                </c:pt>
                <c:pt idx="492">
                  <c:v>0.32747603833865802</c:v>
                </c:pt>
                <c:pt idx="493">
                  <c:v>0.32903572387859198</c:v>
                </c:pt>
                <c:pt idx="494">
                  <c:v>0.32837801964427898</c:v>
                </c:pt>
                <c:pt idx="495">
                  <c:v>0.32928439397940301</c:v>
                </c:pt>
                <c:pt idx="496">
                  <c:v>0.33033112582781399</c:v>
                </c:pt>
                <c:pt idx="497">
                  <c:v>0.33386752136752101</c:v>
                </c:pt>
                <c:pt idx="498">
                  <c:v>0.33727492609513499</c:v>
                </c:pt>
                <c:pt idx="499">
                  <c:v>0.32992189604093702</c:v>
                </c:pt>
                <c:pt idx="500">
                  <c:v>0.33632653061224399</c:v>
                </c:pt>
                <c:pt idx="501">
                  <c:v>0.33893709327548799</c:v>
                </c:pt>
                <c:pt idx="502">
                  <c:v>0.33701211305518097</c:v>
                </c:pt>
                <c:pt idx="503">
                  <c:v>0.33693596325317399</c:v>
                </c:pt>
                <c:pt idx="504">
                  <c:v>0.33848657445077202</c:v>
                </c:pt>
                <c:pt idx="505">
                  <c:v>0.33814713896457699</c:v>
                </c:pt>
                <c:pt idx="506">
                  <c:v>0.336338797814207</c:v>
                </c:pt>
                <c:pt idx="507">
                  <c:v>0.34171270718232</c:v>
                </c:pt>
                <c:pt idx="508">
                  <c:v>0.34258760107816699</c:v>
                </c:pt>
                <c:pt idx="509">
                  <c:v>0.33852767329392802</c:v>
                </c:pt>
                <c:pt idx="510">
                  <c:v>0.33333333333333298</c:v>
                </c:pt>
                <c:pt idx="511">
                  <c:v>0.32382461701003601</c:v>
                </c:pt>
                <c:pt idx="512">
                  <c:v>0.35010427528675703</c:v>
                </c:pt>
                <c:pt idx="513">
                  <c:v>0.35209799322387197</c:v>
                </c:pt>
                <c:pt idx="514">
                  <c:v>0.34656568294593798</c:v>
                </c:pt>
                <c:pt idx="515">
                  <c:v>0.351940457203615</c:v>
                </c:pt>
                <c:pt idx="516">
                  <c:v>0.36744966442952998</c:v>
                </c:pt>
                <c:pt idx="517">
                  <c:v>0.36559750212886699</c:v>
                </c:pt>
                <c:pt idx="518">
                  <c:v>0.36476566911349501</c:v>
                </c:pt>
                <c:pt idx="519">
                  <c:v>0.361990950226244</c:v>
                </c:pt>
                <c:pt idx="520">
                  <c:v>0.36231470923603099</c:v>
                </c:pt>
                <c:pt idx="521">
                  <c:v>0.36897935779816499</c:v>
                </c:pt>
                <c:pt idx="522">
                  <c:v>0.36931004866876599</c:v>
                </c:pt>
                <c:pt idx="523">
                  <c:v>0.36848170556035698</c:v>
                </c:pt>
                <c:pt idx="524">
                  <c:v>0.37252042007001102</c:v>
                </c:pt>
                <c:pt idx="525">
                  <c:v>0.36613603473227202</c:v>
                </c:pt>
                <c:pt idx="526">
                  <c:v>0.36509324009324001</c:v>
                </c:pt>
                <c:pt idx="527">
                  <c:v>0.36270790779106998</c:v>
                </c:pt>
                <c:pt idx="528">
                  <c:v>0.36499999999999999</c:v>
                </c:pt>
                <c:pt idx="529">
                  <c:v>0.367877177443165</c:v>
                </c:pt>
                <c:pt idx="530">
                  <c:v>0.36542412679776898</c:v>
                </c:pt>
                <c:pt idx="531">
                  <c:v>0.367538959129667</c:v>
                </c:pt>
                <c:pt idx="532">
                  <c:v>0.370044052863436</c:v>
                </c:pt>
                <c:pt idx="533">
                  <c:v>0.36524300441826202</c:v>
                </c:pt>
                <c:pt idx="534">
                  <c:v>0.36097992916174698</c:v>
                </c:pt>
                <c:pt idx="535">
                  <c:v>0.36261127596439102</c:v>
                </c:pt>
                <c:pt idx="536">
                  <c:v>0.36049601417183302</c:v>
                </c:pt>
                <c:pt idx="537">
                  <c:v>0.36179104477611901</c:v>
                </c:pt>
                <c:pt idx="538">
                  <c:v>0.36404561824729798</c:v>
                </c:pt>
                <c:pt idx="539">
                  <c:v>0.362284354550862</c:v>
                </c:pt>
                <c:pt idx="540">
                  <c:v>0.35509838998211002</c:v>
                </c:pt>
                <c:pt idx="541">
                  <c:v>0.35773809523809502</c:v>
                </c:pt>
                <c:pt idx="542">
                  <c:v>0.356632956573468</c:v>
                </c:pt>
                <c:pt idx="543">
                  <c:v>0.35501193317422403</c:v>
                </c:pt>
                <c:pt idx="544">
                  <c:v>0.35694986490543301</c:v>
                </c:pt>
                <c:pt idx="545">
                  <c:v>0.361027190332326</c:v>
                </c:pt>
                <c:pt idx="546">
                  <c:v>0.35974499089253098</c:v>
                </c:pt>
                <c:pt idx="547">
                  <c:v>0.35993836671802698</c:v>
                </c:pt>
                <c:pt idx="548">
                  <c:v>0.360385572139303</c:v>
                </c:pt>
                <c:pt idx="549">
                  <c:v>0.362647607209446</c:v>
                </c:pt>
                <c:pt idx="550">
                  <c:v>0.36198243412797898</c:v>
                </c:pt>
                <c:pt idx="551">
                  <c:v>0.36518114780378302</c:v>
                </c:pt>
                <c:pt idx="552">
                  <c:v>0.367100977198697</c:v>
                </c:pt>
                <c:pt idx="553">
                  <c:v>0.36667749269243199</c:v>
                </c:pt>
                <c:pt idx="554">
                  <c:v>0.37154150197628399</c:v>
                </c:pt>
                <c:pt idx="555">
                  <c:v>0.368007850834151</c:v>
                </c:pt>
                <c:pt idx="556">
                  <c:v>0.36754098360655701</c:v>
                </c:pt>
                <c:pt idx="557">
                  <c:v>0.35562015503875899</c:v>
                </c:pt>
                <c:pt idx="558">
                  <c:v>0.35670236936059702</c:v>
                </c:pt>
                <c:pt idx="559">
                  <c:v>0.36282894736842097</c:v>
                </c:pt>
                <c:pt idx="560">
                  <c:v>0.35953947368421002</c:v>
                </c:pt>
                <c:pt idx="561">
                  <c:v>0.35665024630541797</c:v>
                </c:pt>
                <c:pt idx="562">
                  <c:v>0.355715689485751</c:v>
                </c:pt>
                <c:pt idx="563">
                  <c:v>0.35530652603823298</c:v>
                </c:pt>
                <c:pt idx="564">
                  <c:v>0.35943178064089798</c:v>
                </c:pt>
                <c:pt idx="565">
                  <c:v>0.35903375248179997</c:v>
                </c:pt>
                <c:pt idx="566">
                  <c:v>0.35593220338983</c:v>
                </c:pt>
                <c:pt idx="567">
                  <c:v>0.35695364238410598</c:v>
                </c:pt>
                <c:pt idx="568">
                  <c:v>0.35984226092671701</c:v>
                </c:pt>
                <c:pt idx="569">
                  <c:v>0.35989549314173702</c:v>
                </c:pt>
                <c:pt idx="570">
                  <c:v>0.36223821989528798</c:v>
                </c:pt>
                <c:pt idx="571">
                  <c:v>0.36522599802045502</c:v>
                </c:pt>
                <c:pt idx="572">
                  <c:v>0.36062378167641301</c:v>
                </c:pt>
                <c:pt idx="573">
                  <c:v>0.36783854166666602</c:v>
                </c:pt>
                <c:pt idx="574">
                  <c:v>0.38951431328401398</c:v>
                </c:pt>
                <c:pt idx="575">
                  <c:v>0.38279501119283599</c:v>
                </c:pt>
                <c:pt idx="576">
                  <c:v>0.38335999999999998</c:v>
                </c:pt>
                <c:pt idx="577">
                  <c:v>0.37739403453689102</c:v>
                </c:pt>
                <c:pt idx="578">
                  <c:v>0.37585563161169799</c:v>
                </c:pt>
                <c:pt idx="579">
                  <c:v>0.39015030380556398</c:v>
                </c:pt>
                <c:pt idx="580">
                  <c:v>0.38384813384813299</c:v>
                </c:pt>
                <c:pt idx="581">
                  <c:v>0.38771530711732199</c:v>
                </c:pt>
                <c:pt idx="582">
                  <c:v>0.39155844155844099</c:v>
                </c:pt>
                <c:pt idx="583">
                  <c:v>0.39078221356702297</c:v>
                </c:pt>
                <c:pt idx="584">
                  <c:v>0.39138943248532199</c:v>
                </c:pt>
                <c:pt idx="585">
                  <c:v>0.39381985535831598</c:v>
                </c:pt>
                <c:pt idx="586">
                  <c:v>0.38816644993498001</c:v>
                </c:pt>
                <c:pt idx="587">
                  <c:v>0.38851242336237402</c:v>
                </c:pt>
                <c:pt idx="588">
                  <c:v>0.38951795535425399</c:v>
                </c:pt>
                <c:pt idx="589">
                  <c:v>0.39082687338501199</c:v>
                </c:pt>
                <c:pt idx="590">
                  <c:v>0.39151244416081599</c:v>
                </c:pt>
                <c:pt idx="591">
                  <c:v>0.39857651245551601</c:v>
                </c:pt>
                <c:pt idx="592">
                  <c:v>0.39735739606832099</c:v>
                </c:pt>
                <c:pt idx="593">
                  <c:v>0.39980670103092703</c:v>
                </c:pt>
                <c:pt idx="594">
                  <c:v>0.39626288659793801</c:v>
                </c:pt>
                <c:pt idx="595">
                  <c:v>0.39390994493035297</c:v>
                </c:pt>
                <c:pt idx="596">
                  <c:v>0.389748549323017</c:v>
                </c:pt>
                <c:pt idx="597">
                  <c:v>0.38285714285714201</c:v>
                </c:pt>
                <c:pt idx="598">
                  <c:v>0.38139386189258301</c:v>
                </c:pt>
                <c:pt idx="599">
                  <c:v>0.38669709814150599</c:v>
                </c:pt>
                <c:pt idx="600">
                  <c:v>0.38544386422976501</c:v>
                </c:pt>
                <c:pt idx="601">
                  <c:v>0.38651102464331999</c:v>
                </c:pt>
                <c:pt idx="602">
                  <c:v>0.38138626749105098</c:v>
                </c:pt>
                <c:pt idx="603">
                  <c:v>0.38028627195836001</c:v>
                </c:pt>
                <c:pt idx="604">
                  <c:v>0.37846655791190797</c:v>
                </c:pt>
                <c:pt idx="605">
                  <c:v>0.38255472067951601</c:v>
                </c:pt>
                <c:pt idx="606">
                  <c:v>0.38226600985221598</c:v>
                </c:pt>
                <c:pt idx="607">
                  <c:v>0.38050211933485401</c:v>
                </c:pt>
                <c:pt idx="608">
                  <c:v>0.38617090671885101</c:v>
                </c:pt>
                <c:pt idx="609">
                  <c:v>0.38323548597521201</c:v>
                </c:pt>
                <c:pt idx="610">
                  <c:v>0.37959051023724399</c:v>
                </c:pt>
                <c:pt idx="611">
                  <c:v>0.38305528295714703</c:v>
                </c:pt>
                <c:pt idx="612">
                  <c:v>0.38740208877284499</c:v>
                </c:pt>
                <c:pt idx="613">
                  <c:v>0.38992476283938499</c:v>
                </c:pt>
                <c:pt idx="614">
                  <c:v>0.38551859099804298</c:v>
                </c:pt>
                <c:pt idx="615">
                  <c:v>0.387642276422764</c:v>
                </c:pt>
                <c:pt idx="616">
                  <c:v>0.38363754889178597</c:v>
                </c:pt>
                <c:pt idx="617">
                  <c:v>0.38024531956100699</c:v>
                </c:pt>
                <c:pt idx="618">
                  <c:v>0.382069408740359</c:v>
                </c:pt>
                <c:pt idx="619">
                  <c:v>0.38402309913378202</c:v>
                </c:pt>
                <c:pt idx="620">
                  <c:v>0.380713838447088</c:v>
                </c:pt>
                <c:pt idx="621">
                  <c:v>0.388817480719794</c:v>
                </c:pt>
                <c:pt idx="622">
                  <c:v>0.37375681745267803</c:v>
                </c:pt>
                <c:pt idx="623">
                  <c:v>0.38333875691506603</c:v>
                </c:pt>
                <c:pt idx="624">
                  <c:v>0.381853785900783</c:v>
                </c:pt>
                <c:pt idx="625">
                  <c:v>0.37998691955526398</c:v>
                </c:pt>
                <c:pt idx="626">
                  <c:v>0.37964458804523399</c:v>
                </c:pt>
                <c:pt idx="627">
                  <c:v>0.37543859649122802</c:v>
                </c:pt>
                <c:pt idx="628">
                  <c:v>0.38318670576734998</c:v>
                </c:pt>
                <c:pt idx="629">
                  <c:v>0.38282009724473198</c:v>
                </c:pt>
                <c:pt idx="630">
                  <c:v>0.38459016393442602</c:v>
                </c:pt>
                <c:pt idx="631">
                  <c:v>0.38140293637846601</c:v>
                </c:pt>
                <c:pt idx="632">
                  <c:v>0.37639553429027101</c:v>
                </c:pt>
                <c:pt idx="633">
                  <c:v>0.37890748342279701</c:v>
                </c:pt>
                <c:pt idx="634">
                  <c:v>0.37820914214151502</c:v>
                </c:pt>
                <c:pt idx="635">
                  <c:v>0.381369177868083</c:v>
                </c:pt>
                <c:pt idx="636">
                  <c:v>0.38461538461538403</c:v>
                </c:pt>
                <c:pt idx="637">
                  <c:v>0.39102167182662501</c:v>
                </c:pt>
                <c:pt idx="638">
                  <c:v>0.40249609984399298</c:v>
                </c:pt>
                <c:pt idx="639">
                  <c:v>0.39681079423489701</c:v>
                </c:pt>
                <c:pt idx="640">
                  <c:v>0.39103554868624402</c:v>
                </c:pt>
                <c:pt idx="641">
                  <c:v>0.38459167950693302</c:v>
                </c:pt>
                <c:pt idx="642">
                  <c:v>0.38459158415841499</c:v>
                </c:pt>
                <c:pt idx="643">
                  <c:v>0.383359013867488</c:v>
                </c:pt>
                <c:pt idx="644">
                  <c:v>0.38452088452088401</c:v>
                </c:pt>
                <c:pt idx="645">
                  <c:v>0.38413295703982397</c:v>
                </c:pt>
                <c:pt idx="646">
                  <c:v>0.38167456556082102</c:v>
                </c:pt>
                <c:pt idx="647">
                  <c:v>0.38459069020866699</c:v>
                </c:pt>
                <c:pt idx="648">
                  <c:v>0.38089047773805601</c:v>
                </c:pt>
                <c:pt idx="649">
                  <c:v>0.38059457693564103</c:v>
                </c:pt>
                <c:pt idx="650">
                  <c:v>0.37798579728857301</c:v>
                </c:pt>
                <c:pt idx="651">
                  <c:v>0.37399161019683702</c:v>
                </c:pt>
                <c:pt idx="652">
                  <c:v>0.37407763875521299</c:v>
                </c:pt>
                <c:pt idx="653">
                  <c:v>0.37416267942583697</c:v>
                </c:pt>
                <c:pt idx="654">
                  <c:v>0.37559885020760098</c:v>
                </c:pt>
                <c:pt idx="655">
                  <c:v>0.37429289754871098</c:v>
                </c:pt>
                <c:pt idx="656">
                  <c:v>0.37649277184160901</c:v>
                </c:pt>
                <c:pt idx="657">
                  <c:v>0.37694013303769403</c:v>
                </c:pt>
                <c:pt idx="658">
                  <c:v>0.376111817026683</c:v>
                </c:pt>
                <c:pt idx="659">
                  <c:v>0.376635514018691</c:v>
                </c:pt>
                <c:pt idx="660">
                  <c:v>0.370018393623543</c:v>
                </c:pt>
                <c:pt idx="661">
                  <c:v>0.36377200835571399</c:v>
                </c:pt>
              </c:numCache>
            </c:numRef>
          </c:val>
        </c:ser>
        <c:ser>
          <c:idx val="1"/>
          <c:order val="1"/>
          <c:tx>
            <c:strRef>
              <c:f>BACK_TEST!$N$41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BACK_TEST!$A$42:$A$703</c:f>
              <c:numCache>
                <c:formatCode>yyyy/mm/dd</c:formatCode>
                <c:ptCount val="662"/>
                <c:pt idx="0">
                  <c:v>43815</c:v>
                </c:pt>
                <c:pt idx="1">
                  <c:v>43812</c:v>
                </c:pt>
                <c:pt idx="2">
                  <c:v>43811</c:v>
                </c:pt>
                <c:pt idx="3">
                  <c:v>43810</c:v>
                </c:pt>
                <c:pt idx="4">
                  <c:v>43809</c:v>
                </c:pt>
                <c:pt idx="5">
                  <c:v>43808</c:v>
                </c:pt>
                <c:pt idx="6">
                  <c:v>43805</c:v>
                </c:pt>
                <c:pt idx="7">
                  <c:v>43804</c:v>
                </c:pt>
                <c:pt idx="8">
                  <c:v>43803</c:v>
                </c:pt>
                <c:pt idx="9">
                  <c:v>43802</c:v>
                </c:pt>
                <c:pt idx="10">
                  <c:v>43801</c:v>
                </c:pt>
                <c:pt idx="11">
                  <c:v>43798</c:v>
                </c:pt>
                <c:pt idx="12">
                  <c:v>43797</c:v>
                </c:pt>
                <c:pt idx="13">
                  <c:v>43796</c:v>
                </c:pt>
                <c:pt idx="14">
                  <c:v>43795</c:v>
                </c:pt>
                <c:pt idx="15">
                  <c:v>43794</c:v>
                </c:pt>
                <c:pt idx="16">
                  <c:v>43791</c:v>
                </c:pt>
                <c:pt idx="17">
                  <c:v>43790</c:v>
                </c:pt>
                <c:pt idx="18">
                  <c:v>43789</c:v>
                </c:pt>
                <c:pt idx="19">
                  <c:v>43788</c:v>
                </c:pt>
                <c:pt idx="20">
                  <c:v>43787</c:v>
                </c:pt>
                <c:pt idx="21">
                  <c:v>43784</c:v>
                </c:pt>
                <c:pt idx="22">
                  <c:v>43783</c:v>
                </c:pt>
                <c:pt idx="23">
                  <c:v>43782</c:v>
                </c:pt>
                <c:pt idx="24">
                  <c:v>43781</c:v>
                </c:pt>
                <c:pt idx="25">
                  <c:v>43780</c:v>
                </c:pt>
                <c:pt idx="26">
                  <c:v>43777</c:v>
                </c:pt>
                <c:pt idx="27">
                  <c:v>43776</c:v>
                </c:pt>
                <c:pt idx="28">
                  <c:v>43775</c:v>
                </c:pt>
                <c:pt idx="29">
                  <c:v>43774</c:v>
                </c:pt>
                <c:pt idx="30">
                  <c:v>43770</c:v>
                </c:pt>
                <c:pt idx="31">
                  <c:v>43769</c:v>
                </c:pt>
                <c:pt idx="32">
                  <c:v>43768</c:v>
                </c:pt>
                <c:pt idx="33">
                  <c:v>43767</c:v>
                </c:pt>
                <c:pt idx="34">
                  <c:v>43766</c:v>
                </c:pt>
                <c:pt idx="35">
                  <c:v>43763</c:v>
                </c:pt>
                <c:pt idx="36">
                  <c:v>43762</c:v>
                </c:pt>
                <c:pt idx="37">
                  <c:v>43761</c:v>
                </c:pt>
                <c:pt idx="38">
                  <c:v>43759</c:v>
                </c:pt>
                <c:pt idx="39">
                  <c:v>43756</c:v>
                </c:pt>
                <c:pt idx="40">
                  <c:v>43755</c:v>
                </c:pt>
                <c:pt idx="41">
                  <c:v>43754</c:v>
                </c:pt>
                <c:pt idx="42">
                  <c:v>43753</c:v>
                </c:pt>
                <c:pt idx="43">
                  <c:v>43749</c:v>
                </c:pt>
                <c:pt idx="44">
                  <c:v>43748</c:v>
                </c:pt>
                <c:pt idx="45">
                  <c:v>43747</c:v>
                </c:pt>
                <c:pt idx="46">
                  <c:v>43746</c:v>
                </c:pt>
                <c:pt idx="47">
                  <c:v>43745</c:v>
                </c:pt>
                <c:pt idx="48">
                  <c:v>43742</c:v>
                </c:pt>
                <c:pt idx="49">
                  <c:v>43741</c:v>
                </c:pt>
                <c:pt idx="50">
                  <c:v>43740</c:v>
                </c:pt>
                <c:pt idx="51">
                  <c:v>43739</c:v>
                </c:pt>
                <c:pt idx="52">
                  <c:v>43738</c:v>
                </c:pt>
                <c:pt idx="53">
                  <c:v>43735</c:v>
                </c:pt>
                <c:pt idx="54">
                  <c:v>43734</c:v>
                </c:pt>
                <c:pt idx="55">
                  <c:v>43733</c:v>
                </c:pt>
                <c:pt idx="56">
                  <c:v>43732</c:v>
                </c:pt>
                <c:pt idx="57">
                  <c:v>43728</c:v>
                </c:pt>
                <c:pt idx="58">
                  <c:v>43727</c:v>
                </c:pt>
                <c:pt idx="59">
                  <c:v>43726</c:v>
                </c:pt>
                <c:pt idx="60">
                  <c:v>43725</c:v>
                </c:pt>
                <c:pt idx="61">
                  <c:v>43721</c:v>
                </c:pt>
                <c:pt idx="62">
                  <c:v>43720</c:v>
                </c:pt>
                <c:pt idx="63">
                  <c:v>43719</c:v>
                </c:pt>
                <c:pt idx="64">
                  <c:v>43718</c:v>
                </c:pt>
                <c:pt idx="65">
                  <c:v>43717</c:v>
                </c:pt>
                <c:pt idx="66">
                  <c:v>43714</c:v>
                </c:pt>
                <c:pt idx="67">
                  <c:v>43713</c:v>
                </c:pt>
                <c:pt idx="68">
                  <c:v>43712</c:v>
                </c:pt>
                <c:pt idx="69">
                  <c:v>43711</c:v>
                </c:pt>
                <c:pt idx="70">
                  <c:v>43710</c:v>
                </c:pt>
                <c:pt idx="71">
                  <c:v>43707</c:v>
                </c:pt>
                <c:pt idx="72">
                  <c:v>43706</c:v>
                </c:pt>
                <c:pt idx="73">
                  <c:v>43705</c:v>
                </c:pt>
                <c:pt idx="74">
                  <c:v>43704</c:v>
                </c:pt>
                <c:pt idx="75">
                  <c:v>43703</c:v>
                </c:pt>
                <c:pt idx="76">
                  <c:v>43700</c:v>
                </c:pt>
                <c:pt idx="77">
                  <c:v>43699</c:v>
                </c:pt>
                <c:pt idx="78">
                  <c:v>43698</c:v>
                </c:pt>
                <c:pt idx="79">
                  <c:v>43697</c:v>
                </c:pt>
                <c:pt idx="80">
                  <c:v>43696</c:v>
                </c:pt>
                <c:pt idx="81">
                  <c:v>43693</c:v>
                </c:pt>
                <c:pt idx="82">
                  <c:v>43692</c:v>
                </c:pt>
                <c:pt idx="83">
                  <c:v>43691</c:v>
                </c:pt>
                <c:pt idx="84">
                  <c:v>43690</c:v>
                </c:pt>
                <c:pt idx="85">
                  <c:v>43686</c:v>
                </c:pt>
                <c:pt idx="86">
                  <c:v>43685</c:v>
                </c:pt>
                <c:pt idx="87">
                  <c:v>43684</c:v>
                </c:pt>
                <c:pt idx="88">
                  <c:v>43683</c:v>
                </c:pt>
                <c:pt idx="89">
                  <c:v>43682</c:v>
                </c:pt>
                <c:pt idx="90">
                  <c:v>43679</c:v>
                </c:pt>
                <c:pt idx="91">
                  <c:v>43678</c:v>
                </c:pt>
                <c:pt idx="92">
                  <c:v>43677</c:v>
                </c:pt>
                <c:pt idx="93">
                  <c:v>43676</c:v>
                </c:pt>
                <c:pt idx="94">
                  <c:v>43675</c:v>
                </c:pt>
                <c:pt idx="95">
                  <c:v>43672</c:v>
                </c:pt>
                <c:pt idx="96">
                  <c:v>43671</c:v>
                </c:pt>
                <c:pt idx="97">
                  <c:v>43670</c:v>
                </c:pt>
                <c:pt idx="98">
                  <c:v>43669</c:v>
                </c:pt>
                <c:pt idx="99">
                  <c:v>43668</c:v>
                </c:pt>
                <c:pt idx="100">
                  <c:v>43665</c:v>
                </c:pt>
                <c:pt idx="101">
                  <c:v>43664</c:v>
                </c:pt>
                <c:pt idx="102">
                  <c:v>43663</c:v>
                </c:pt>
                <c:pt idx="103">
                  <c:v>43662</c:v>
                </c:pt>
                <c:pt idx="104">
                  <c:v>43658</c:v>
                </c:pt>
                <c:pt idx="105">
                  <c:v>43657</c:v>
                </c:pt>
                <c:pt idx="106">
                  <c:v>43656</c:v>
                </c:pt>
                <c:pt idx="107">
                  <c:v>43655</c:v>
                </c:pt>
                <c:pt idx="108">
                  <c:v>43654</c:v>
                </c:pt>
                <c:pt idx="109">
                  <c:v>43651</c:v>
                </c:pt>
                <c:pt idx="110">
                  <c:v>43650</c:v>
                </c:pt>
                <c:pt idx="111">
                  <c:v>43649</c:v>
                </c:pt>
                <c:pt idx="112">
                  <c:v>43648</c:v>
                </c:pt>
                <c:pt idx="113">
                  <c:v>43647</c:v>
                </c:pt>
                <c:pt idx="114">
                  <c:v>43644</c:v>
                </c:pt>
                <c:pt idx="115">
                  <c:v>43643</c:v>
                </c:pt>
                <c:pt idx="116">
                  <c:v>43642</c:v>
                </c:pt>
                <c:pt idx="117">
                  <c:v>43641</c:v>
                </c:pt>
                <c:pt idx="118">
                  <c:v>43640</c:v>
                </c:pt>
                <c:pt idx="119">
                  <c:v>43637</c:v>
                </c:pt>
                <c:pt idx="120">
                  <c:v>43636</c:v>
                </c:pt>
                <c:pt idx="121">
                  <c:v>43635</c:v>
                </c:pt>
                <c:pt idx="122">
                  <c:v>43634</c:v>
                </c:pt>
                <c:pt idx="123">
                  <c:v>43633</c:v>
                </c:pt>
                <c:pt idx="124">
                  <c:v>43630</c:v>
                </c:pt>
                <c:pt idx="125">
                  <c:v>43629</c:v>
                </c:pt>
                <c:pt idx="126">
                  <c:v>43628</c:v>
                </c:pt>
                <c:pt idx="127">
                  <c:v>43627</c:v>
                </c:pt>
                <c:pt idx="128">
                  <c:v>43626</c:v>
                </c:pt>
                <c:pt idx="129">
                  <c:v>43623</c:v>
                </c:pt>
                <c:pt idx="130">
                  <c:v>43622</c:v>
                </c:pt>
                <c:pt idx="131">
                  <c:v>43621</c:v>
                </c:pt>
                <c:pt idx="132">
                  <c:v>43620</c:v>
                </c:pt>
                <c:pt idx="133">
                  <c:v>43619</c:v>
                </c:pt>
                <c:pt idx="134">
                  <c:v>43616</c:v>
                </c:pt>
                <c:pt idx="135">
                  <c:v>43615</c:v>
                </c:pt>
                <c:pt idx="136">
                  <c:v>43614</c:v>
                </c:pt>
                <c:pt idx="137">
                  <c:v>43613</c:v>
                </c:pt>
                <c:pt idx="138">
                  <c:v>43612</c:v>
                </c:pt>
                <c:pt idx="139">
                  <c:v>43609</c:v>
                </c:pt>
                <c:pt idx="140">
                  <c:v>43608</c:v>
                </c:pt>
                <c:pt idx="141">
                  <c:v>43607</c:v>
                </c:pt>
                <c:pt idx="142">
                  <c:v>43606</c:v>
                </c:pt>
                <c:pt idx="143">
                  <c:v>43605</c:v>
                </c:pt>
                <c:pt idx="144">
                  <c:v>43602</c:v>
                </c:pt>
                <c:pt idx="145">
                  <c:v>43601</c:v>
                </c:pt>
                <c:pt idx="146">
                  <c:v>43600</c:v>
                </c:pt>
                <c:pt idx="147">
                  <c:v>43599</c:v>
                </c:pt>
                <c:pt idx="148">
                  <c:v>43598</c:v>
                </c:pt>
                <c:pt idx="149">
                  <c:v>43595</c:v>
                </c:pt>
                <c:pt idx="150">
                  <c:v>43594</c:v>
                </c:pt>
                <c:pt idx="151">
                  <c:v>43593</c:v>
                </c:pt>
                <c:pt idx="152">
                  <c:v>43592</c:v>
                </c:pt>
                <c:pt idx="153">
                  <c:v>43581</c:v>
                </c:pt>
                <c:pt idx="154">
                  <c:v>43580</c:v>
                </c:pt>
                <c:pt idx="155">
                  <c:v>43579</c:v>
                </c:pt>
                <c:pt idx="156">
                  <c:v>43578</c:v>
                </c:pt>
                <c:pt idx="157">
                  <c:v>43577</c:v>
                </c:pt>
                <c:pt idx="158">
                  <c:v>43574</c:v>
                </c:pt>
                <c:pt idx="159">
                  <c:v>43573</c:v>
                </c:pt>
                <c:pt idx="160">
                  <c:v>43572</c:v>
                </c:pt>
                <c:pt idx="161">
                  <c:v>43571</c:v>
                </c:pt>
                <c:pt idx="162">
                  <c:v>43570</c:v>
                </c:pt>
                <c:pt idx="163">
                  <c:v>43567</c:v>
                </c:pt>
                <c:pt idx="164">
                  <c:v>43566</c:v>
                </c:pt>
                <c:pt idx="165">
                  <c:v>43565</c:v>
                </c:pt>
                <c:pt idx="166">
                  <c:v>43564</c:v>
                </c:pt>
                <c:pt idx="167">
                  <c:v>43563</c:v>
                </c:pt>
                <c:pt idx="168">
                  <c:v>43560</c:v>
                </c:pt>
                <c:pt idx="169">
                  <c:v>43559</c:v>
                </c:pt>
                <c:pt idx="170">
                  <c:v>43558</c:v>
                </c:pt>
                <c:pt idx="171">
                  <c:v>43557</c:v>
                </c:pt>
                <c:pt idx="172">
                  <c:v>43556</c:v>
                </c:pt>
                <c:pt idx="173">
                  <c:v>43553</c:v>
                </c:pt>
                <c:pt idx="174">
                  <c:v>43552</c:v>
                </c:pt>
                <c:pt idx="175">
                  <c:v>43551</c:v>
                </c:pt>
                <c:pt idx="176">
                  <c:v>43550</c:v>
                </c:pt>
                <c:pt idx="177">
                  <c:v>43549</c:v>
                </c:pt>
                <c:pt idx="178">
                  <c:v>43546</c:v>
                </c:pt>
                <c:pt idx="179">
                  <c:v>43544</c:v>
                </c:pt>
                <c:pt idx="180">
                  <c:v>43543</c:v>
                </c:pt>
                <c:pt idx="181">
                  <c:v>43542</c:v>
                </c:pt>
                <c:pt idx="182">
                  <c:v>43539</c:v>
                </c:pt>
                <c:pt idx="183">
                  <c:v>43538</c:v>
                </c:pt>
                <c:pt idx="184">
                  <c:v>43537</c:v>
                </c:pt>
                <c:pt idx="185">
                  <c:v>43536</c:v>
                </c:pt>
                <c:pt idx="186">
                  <c:v>43535</c:v>
                </c:pt>
                <c:pt idx="187">
                  <c:v>43532</c:v>
                </c:pt>
                <c:pt idx="188">
                  <c:v>43531</c:v>
                </c:pt>
                <c:pt idx="189">
                  <c:v>43530</c:v>
                </c:pt>
                <c:pt idx="190">
                  <c:v>43529</c:v>
                </c:pt>
                <c:pt idx="191">
                  <c:v>43528</c:v>
                </c:pt>
                <c:pt idx="192">
                  <c:v>43525</c:v>
                </c:pt>
                <c:pt idx="193">
                  <c:v>43524</c:v>
                </c:pt>
                <c:pt idx="194">
                  <c:v>43523</c:v>
                </c:pt>
                <c:pt idx="195">
                  <c:v>43522</c:v>
                </c:pt>
                <c:pt idx="196">
                  <c:v>43521</c:v>
                </c:pt>
                <c:pt idx="197">
                  <c:v>43518</c:v>
                </c:pt>
                <c:pt idx="198">
                  <c:v>43517</c:v>
                </c:pt>
                <c:pt idx="199">
                  <c:v>43516</c:v>
                </c:pt>
                <c:pt idx="200">
                  <c:v>43515</c:v>
                </c:pt>
                <c:pt idx="201">
                  <c:v>43514</c:v>
                </c:pt>
                <c:pt idx="202">
                  <c:v>43511</c:v>
                </c:pt>
                <c:pt idx="203">
                  <c:v>43510</c:v>
                </c:pt>
                <c:pt idx="204">
                  <c:v>43509</c:v>
                </c:pt>
                <c:pt idx="205">
                  <c:v>43508</c:v>
                </c:pt>
                <c:pt idx="206">
                  <c:v>43504</c:v>
                </c:pt>
                <c:pt idx="207">
                  <c:v>43503</c:v>
                </c:pt>
                <c:pt idx="208">
                  <c:v>43502</c:v>
                </c:pt>
                <c:pt idx="209">
                  <c:v>43501</c:v>
                </c:pt>
                <c:pt idx="210">
                  <c:v>43500</c:v>
                </c:pt>
                <c:pt idx="211">
                  <c:v>43497</c:v>
                </c:pt>
                <c:pt idx="212">
                  <c:v>43496</c:v>
                </c:pt>
                <c:pt idx="213">
                  <c:v>43495</c:v>
                </c:pt>
                <c:pt idx="214">
                  <c:v>43494</c:v>
                </c:pt>
                <c:pt idx="215">
                  <c:v>43493</c:v>
                </c:pt>
                <c:pt idx="216">
                  <c:v>43490</c:v>
                </c:pt>
                <c:pt idx="217">
                  <c:v>43489</c:v>
                </c:pt>
                <c:pt idx="218">
                  <c:v>43488</c:v>
                </c:pt>
                <c:pt idx="219">
                  <c:v>43487</c:v>
                </c:pt>
                <c:pt idx="220">
                  <c:v>43486</c:v>
                </c:pt>
                <c:pt idx="221">
                  <c:v>43483</c:v>
                </c:pt>
                <c:pt idx="222">
                  <c:v>43482</c:v>
                </c:pt>
                <c:pt idx="223">
                  <c:v>43481</c:v>
                </c:pt>
                <c:pt idx="224">
                  <c:v>43480</c:v>
                </c:pt>
                <c:pt idx="225">
                  <c:v>43476</c:v>
                </c:pt>
                <c:pt idx="226">
                  <c:v>43475</c:v>
                </c:pt>
                <c:pt idx="227">
                  <c:v>43474</c:v>
                </c:pt>
                <c:pt idx="228">
                  <c:v>43473</c:v>
                </c:pt>
                <c:pt idx="229">
                  <c:v>43472</c:v>
                </c:pt>
                <c:pt idx="230">
                  <c:v>43469</c:v>
                </c:pt>
                <c:pt idx="231">
                  <c:v>43462</c:v>
                </c:pt>
                <c:pt idx="232">
                  <c:v>43461</c:v>
                </c:pt>
                <c:pt idx="233">
                  <c:v>43460</c:v>
                </c:pt>
                <c:pt idx="234">
                  <c:v>43459</c:v>
                </c:pt>
                <c:pt idx="235">
                  <c:v>43455</c:v>
                </c:pt>
                <c:pt idx="236">
                  <c:v>43454</c:v>
                </c:pt>
                <c:pt idx="237">
                  <c:v>43453</c:v>
                </c:pt>
                <c:pt idx="238">
                  <c:v>43452</c:v>
                </c:pt>
                <c:pt idx="239">
                  <c:v>43451</c:v>
                </c:pt>
                <c:pt idx="240">
                  <c:v>43448</c:v>
                </c:pt>
                <c:pt idx="241">
                  <c:v>43447</c:v>
                </c:pt>
                <c:pt idx="242">
                  <c:v>43446</c:v>
                </c:pt>
                <c:pt idx="243">
                  <c:v>43445</c:v>
                </c:pt>
                <c:pt idx="244">
                  <c:v>43444</c:v>
                </c:pt>
                <c:pt idx="245">
                  <c:v>43441</c:v>
                </c:pt>
                <c:pt idx="246">
                  <c:v>43440</c:v>
                </c:pt>
                <c:pt idx="247">
                  <c:v>43439</c:v>
                </c:pt>
                <c:pt idx="248">
                  <c:v>43438</c:v>
                </c:pt>
                <c:pt idx="249">
                  <c:v>43437</c:v>
                </c:pt>
                <c:pt idx="250">
                  <c:v>43434</c:v>
                </c:pt>
                <c:pt idx="251">
                  <c:v>43433</c:v>
                </c:pt>
                <c:pt idx="252">
                  <c:v>43432</c:v>
                </c:pt>
                <c:pt idx="253">
                  <c:v>43431</c:v>
                </c:pt>
                <c:pt idx="254">
                  <c:v>43430</c:v>
                </c:pt>
                <c:pt idx="255">
                  <c:v>43426</c:v>
                </c:pt>
                <c:pt idx="256">
                  <c:v>43425</c:v>
                </c:pt>
                <c:pt idx="257">
                  <c:v>43424</c:v>
                </c:pt>
                <c:pt idx="258">
                  <c:v>43423</c:v>
                </c:pt>
                <c:pt idx="259">
                  <c:v>43420</c:v>
                </c:pt>
                <c:pt idx="260">
                  <c:v>43419</c:v>
                </c:pt>
                <c:pt idx="261">
                  <c:v>43418</c:v>
                </c:pt>
                <c:pt idx="262">
                  <c:v>43417</c:v>
                </c:pt>
                <c:pt idx="263">
                  <c:v>43416</c:v>
                </c:pt>
                <c:pt idx="264">
                  <c:v>43413</c:v>
                </c:pt>
                <c:pt idx="265">
                  <c:v>43412</c:v>
                </c:pt>
                <c:pt idx="266">
                  <c:v>43411</c:v>
                </c:pt>
                <c:pt idx="267">
                  <c:v>43410</c:v>
                </c:pt>
                <c:pt idx="268">
                  <c:v>43409</c:v>
                </c:pt>
                <c:pt idx="269">
                  <c:v>43406</c:v>
                </c:pt>
                <c:pt idx="270">
                  <c:v>43405</c:v>
                </c:pt>
                <c:pt idx="271">
                  <c:v>43404</c:v>
                </c:pt>
                <c:pt idx="272">
                  <c:v>43403</c:v>
                </c:pt>
                <c:pt idx="273">
                  <c:v>43402</c:v>
                </c:pt>
                <c:pt idx="274">
                  <c:v>43399</c:v>
                </c:pt>
                <c:pt idx="275">
                  <c:v>43398</c:v>
                </c:pt>
                <c:pt idx="276">
                  <c:v>43397</c:v>
                </c:pt>
                <c:pt idx="277">
                  <c:v>43396</c:v>
                </c:pt>
                <c:pt idx="278">
                  <c:v>43395</c:v>
                </c:pt>
                <c:pt idx="279">
                  <c:v>43392</c:v>
                </c:pt>
                <c:pt idx="280">
                  <c:v>43391</c:v>
                </c:pt>
                <c:pt idx="281">
                  <c:v>43390</c:v>
                </c:pt>
                <c:pt idx="282">
                  <c:v>43389</c:v>
                </c:pt>
                <c:pt idx="283">
                  <c:v>43388</c:v>
                </c:pt>
                <c:pt idx="284">
                  <c:v>43385</c:v>
                </c:pt>
                <c:pt idx="285">
                  <c:v>43384</c:v>
                </c:pt>
                <c:pt idx="286">
                  <c:v>43383</c:v>
                </c:pt>
                <c:pt idx="287">
                  <c:v>43382</c:v>
                </c:pt>
                <c:pt idx="288">
                  <c:v>43378</c:v>
                </c:pt>
                <c:pt idx="289">
                  <c:v>43377</c:v>
                </c:pt>
                <c:pt idx="290">
                  <c:v>43376</c:v>
                </c:pt>
                <c:pt idx="291">
                  <c:v>43375</c:v>
                </c:pt>
                <c:pt idx="292">
                  <c:v>43374</c:v>
                </c:pt>
                <c:pt idx="293">
                  <c:v>43371</c:v>
                </c:pt>
                <c:pt idx="294">
                  <c:v>43370</c:v>
                </c:pt>
                <c:pt idx="295">
                  <c:v>43369</c:v>
                </c:pt>
                <c:pt idx="296">
                  <c:v>43368</c:v>
                </c:pt>
                <c:pt idx="297">
                  <c:v>43364</c:v>
                </c:pt>
                <c:pt idx="298">
                  <c:v>43363</c:v>
                </c:pt>
                <c:pt idx="299">
                  <c:v>43362</c:v>
                </c:pt>
                <c:pt idx="300">
                  <c:v>43361</c:v>
                </c:pt>
                <c:pt idx="301">
                  <c:v>43357</c:v>
                </c:pt>
                <c:pt idx="302">
                  <c:v>43356</c:v>
                </c:pt>
                <c:pt idx="303">
                  <c:v>43355</c:v>
                </c:pt>
                <c:pt idx="304">
                  <c:v>43354</c:v>
                </c:pt>
                <c:pt idx="305">
                  <c:v>43353</c:v>
                </c:pt>
                <c:pt idx="306">
                  <c:v>43350</c:v>
                </c:pt>
                <c:pt idx="307">
                  <c:v>43349</c:v>
                </c:pt>
                <c:pt idx="308">
                  <c:v>43348</c:v>
                </c:pt>
                <c:pt idx="309">
                  <c:v>43347</c:v>
                </c:pt>
                <c:pt idx="310">
                  <c:v>43346</c:v>
                </c:pt>
                <c:pt idx="311">
                  <c:v>43343</c:v>
                </c:pt>
                <c:pt idx="312">
                  <c:v>43342</c:v>
                </c:pt>
                <c:pt idx="313">
                  <c:v>43341</c:v>
                </c:pt>
                <c:pt idx="314">
                  <c:v>43340</c:v>
                </c:pt>
                <c:pt idx="315">
                  <c:v>43339</c:v>
                </c:pt>
                <c:pt idx="316">
                  <c:v>43336</c:v>
                </c:pt>
                <c:pt idx="317">
                  <c:v>43335</c:v>
                </c:pt>
                <c:pt idx="318">
                  <c:v>43334</c:v>
                </c:pt>
                <c:pt idx="319">
                  <c:v>43333</c:v>
                </c:pt>
                <c:pt idx="320">
                  <c:v>43332</c:v>
                </c:pt>
                <c:pt idx="321">
                  <c:v>43329</c:v>
                </c:pt>
                <c:pt idx="322">
                  <c:v>43328</c:v>
                </c:pt>
                <c:pt idx="323">
                  <c:v>43327</c:v>
                </c:pt>
                <c:pt idx="324">
                  <c:v>43326</c:v>
                </c:pt>
                <c:pt idx="325">
                  <c:v>43325</c:v>
                </c:pt>
                <c:pt idx="326">
                  <c:v>43322</c:v>
                </c:pt>
                <c:pt idx="327">
                  <c:v>43321</c:v>
                </c:pt>
                <c:pt idx="328">
                  <c:v>43320</c:v>
                </c:pt>
                <c:pt idx="329">
                  <c:v>43319</c:v>
                </c:pt>
                <c:pt idx="330">
                  <c:v>43318</c:v>
                </c:pt>
                <c:pt idx="331">
                  <c:v>43315</c:v>
                </c:pt>
                <c:pt idx="332">
                  <c:v>43314</c:v>
                </c:pt>
                <c:pt idx="333">
                  <c:v>43313</c:v>
                </c:pt>
                <c:pt idx="334">
                  <c:v>43312</c:v>
                </c:pt>
                <c:pt idx="335">
                  <c:v>43311</c:v>
                </c:pt>
                <c:pt idx="336">
                  <c:v>43308</c:v>
                </c:pt>
                <c:pt idx="337">
                  <c:v>43307</c:v>
                </c:pt>
                <c:pt idx="338">
                  <c:v>43306</c:v>
                </c:pt>
                <c:pt idx="339">
                  <c:v>43305</c:v>
                </c:pt>
                <c:pt idx="340">
                  <c:v>43304</c:v>
                </c:pt>
                <c:pt idx="341">
                  <c:v>43301</c:v>
                </c:pt>
                <c:pt idx="342">
                  <c:v>43300</c:v>
                </c:pt>
                <c:pt idx="343">
                  <c:v>43299</c:v>
                </c:pt>
                <c:pt idx="344">
                  <c:v>43298</c:v>
                </c:pt>
                <c:pt idx="345">
                  <c:v>43294</c:v>
                </c:pt>
                <c:pt idx="346">
                  <c:v>43293</c:v>
                </c:pt>
                <c:pt idx="347">
                  <c:v>43292</c:v>
                </c:pt>
                <c:pt idx="348">
                  <c:v>43291</c:v>
                </c:pt>
                <c:pt idx="349">
                  <c:v>43290</c:v>
                </c:pt>
                <c:pt idx="350">
                  <c:v>43287</c:v>
                </c:pt>
                <c:pt idx="351">
                  <c:v>43286</c:v>
                </c:pt>
                <c:pt idx="352">
                  <c:v>43285</c:v>
                </c:pt>
                <c:pt idx="353">
                  <c:v>43284</c:v>
                </c:pt>
                <c:pt idx="354">
                  <c:v>43283</c:v>
                </c:pt>
                <c:pt idx="355">
                  <c:v>43280</c:v>
                </c:pt>
                <c:pt idx="356">
                  <c:v>43279</c:v>
                </c:pt>
                <c:pt idx="357">
                  <c:v>43278</c:v>
                </c:pt>
                <c:pt idx="358">
                  <c:v>43277</c:v>
                </c:pt>
                <c:pt idx="359">
                  <c:v>43276</c:v>
                </c:pt>
                <c:pt idx="360">
                  <c:v>43273</c:v>
                </c:pt>
                <c:pt idx="361">
                  <c:v>43272</c:v>
                </c:pt>
                <c:pt idx="362">
                  <c:v>43271</c:v>
                </c:pt>
                <c:pt idx="363">
                  <c:v>43270</c:v>
                </c:pt>
                <c:pt idx="364">
                  <c:v>43269</c:v>
                </c:pt>
                <c:pt idx="365">
                  <c:v>43266</c:v>
                </c:pt>
                <c:pt idx="366">
                  <c:v>43265</c:v>
                </c:pt>
                <c:pt idx="367">
                  <c:v>43264</c:v>
                </c:pt>
                <c:pt idx="368">
                  <c:v>43263</c:v>
                </c:pt>
                <c:pt idx="369">
                  <c:v>43262</c:v>
                </c:pt>
                <c:pt idx="370">
                  <c:v>43259</c:v>
                </c:pt>
                <c:pt idx="371">
                  <c:v>43258</c:v>
                </c:pt>
                <c:pt idx="372">
                  <c:v>43257</c:v>
                </c:pt>
                <c:pt idx="373">
                  <c:v>43256</c:v>
                </c:pt>
                <c:pt idx="374">
                  <c:v>43255</c:v>
                </c:pt>
                <c:pt idx="375">
                  <c:v>43252</c:v>
                </c:pt>
                <c:pt idx="376">
                  <c:v>43251</c:v>
                </c:pt>
                <c:pt idx="377">
                  <c:v>43250</c:v>
                </c:pt>
                <c:pt idx="378">
                  <c:v>43249</c:v>
                </c:pt>
                <c:pt idx="379">
                  <c:v>43248</c:v>
                </c:pt>
                <c:pt idx="380">
                  <c:v>43245</c:v>
                </c:pt>
                <c:pt idx="381">
                  <c:v>43244</c:v>
                </c:pt>
                <c:pt idx="382">
                  <c:v>43243</c:v>
                </c:pt>
                <c:pt idx="383">
                  <c:v>43242</c:v>
                </c:pt>
                <c:pt idx="384">
                  <c:v>43241</c:v>
                </c:pt>
                <c:pt idx="385">
                  <c:v>43238</c:v>
                </c:pt>
                <c:pt idx="386">
                  <c:v>43237</c:v>
                </c:pt>
                <c:pt idx="387">
                  <c:v>43236</c:v>
                </c:pt>
                <c:pt idx="388">
                  <c:v>43235</c:v>
                </c:pt>
                <c:pt idx="389">
                  <c:v>43234</c:v>
                </c:pt>
                <c:pt idx="390">
                  <c:v>43231</c:v>
                </c:pt>
                <c:pt idx="391">
                  <c:v>43230</c:v>
                </c:pt>
                <c:pt idx="392">
                  <c:v>43229</c:v>
                </c:pt>
                <c:pt idx="393">
                  <c:v>43228</c:v>
                </c:pt>
                <c:pt idx="394">
                  <c:v>43227</c:v>
                </c:pt>
                <c:pt idx="395">
                  <c:v>43222</c:v>
                </c:pt>
                <c:pt idx="396">
                  <c:v>43221</c:v>
                </c:pt>
                <c:pt idx="397">
                  <c:v>43217</c:v>
                </c:pt>
                <c:pt idx="398">
                  <c:v>43216</c:v>
                </c:pt>
                <c:pt idx="399">
                  <c:v>43215</c:v>
                </c:pt>
                <c:pt idx="400">
                  <c:v>43214</c:v>
                </c:pt>
                <c:pt idx="401">
                  <c:v>43213</c:v>
                </c:pt>
                <c:pt idx="402">
                  <c:v>43210</c:v>
                </c:pt>
                <c:pt idx="403">
                  <c:v>43209</c:v>
                </c:pt>
                <c:pt idx="404">
                  <c:v>43208</c:v>
                </c:pt>
                <c:pt idx="405">
                  <c:v>43207</c:v>
                </c:pt>
                <c:pt idx="406">
                  <c:v>43206</c:v>
                </c:pt>
                <c:pt idx="407">
                  <c:v>43203</c:v>
                </c:pt>
                <c:pt idx="408">
                  <c:v>43202</c:v>
                </c:pt>
                <c:pt idx="409">
                  <c:v>43201</c:v>
                </c:pt>
                <c:pt idx="410">
                  <c:v>43200</c:v>
                </c:pt>
                <c:pt idx="411">
                  <c:v>43199</c:v>
                </c:pt>
                <c:pt idx="412">
                  <c:v>43196</c:v>
                </c:pt>
                <c:pt idx="413">
                  <c:v>43195</c:v>
                </c:pt>
                <c:pt idx="414">
                  <c:v>43194</c:v>
                </c:pt>
                <c:pt idx="415">
                  <c:v>43193</c:v>
                </c:pt>
                <c:pt idx="416">
                  <c:v>43192</c:v>
                </c:pt>
                <c:pt idx="417">
                  <c:v>43189</c:v>
                </c:pt>
                <c:pt idx="418">
                  <c:v>43188</c:v>
                </c:pt>
                <c:pt idx="419">
                  <c:v>43187</c:v>
                </c:pt>
                <c:pt idx="420">
                  <c:v>43186</c:v>
                </c:pt>
                <c:pt idx="421">
                  <c:v>43185</c:v>
                </c:pt>
                <c:pt idx="422">
                  <c:v>43182</c:v>
                </c:pt>
                <c:pt idx="423">
                  <c:v>43181</c:v>
                </c:pt>
                <c:pt idx="424">
                  <c:v>43179</c:v>
                </c:pt>
                <c:pt idx="425">
                  <c:v>43178</c:v>
                </c:pt>
                <c:pt idx="426">
                  <c:v>43175</c:v>
                </c:pt>
                <c:pt idx="427">
                  <c:v>43174</c:v>
                </c:pt>
                <c:pt idx="428">
                  <c:v>43173</c:v>
                </c:pt>
                <c:pt idx="429">
                  <c:v>43172</c:v>
                </c:pt>
                <c:pt idx="430">
                  <c:v>43171</c:v>
                </c:pt>
                <c:pt idx="431">
                  <c:v>43168</c:v>
                </c:pt>
                <c:pt idx="432">
                  <c:v>43167</c:v>
                </c:pt>
                <c:pt idx="433">
                  <c:v>43166</c:v>
                </c:pt>
                <c:pt idx="434">
                  <c:v>43165</c:v>
                </c:pt>
                <c:pt idx="435">
                  <c:v>43164</c:v>
                </c:pt>
                <c:pt idx="436">
                  <c:v>43161</c:v>
                </c:pt>
                <c:pt idx="437">
                  <c:v>43160</c:v>
                </c:pt>
                <c:pt idx="438">
                  <c:v>43159</c:v>
                </c:pt>
                <c:pt idx="439">
                  <c:v>43158</c:v>
                </c:pt>
                <c:pt idx="440">
                  <c:v>43157</c:v>
                </c:pt>
                <c:pt idx="441">
                  <c:v>43154</c:v>
                </c:pt>
                <c:pt idx="442">
                  <c:v>43153</c:v>
                </c:pt>
                <c:pt idx="443">
                  <c:v>43152</c:v>
                </c:pt>
                <c:pt idx="444">
                  <c:v>43151</c:v>
                </c:pt>
                <c:pt idx="445">
                  <c:v>43150</c:v>
                </c:pt>
                <c:pt idx="446">
                  <c:v>43147</c:v>
                </c:pt>
                <c:pt idx="447">
                  <c:v>43146</c:v>
                </c:pt>
                <c:pt idx="448">
                  <c:v>43145</c:v>
                </c:pt>
                <c:pt idx="449">
                  <c:v>43144</c:v>
                </c:pt>
                <c:pt idx="450">
                  <c:v>43140</c:v>
                </c:pt>
                <c:pt idx="451">
                  <c:v>43139</c:v>
                </c:pt>
                <c:pt idx="452">
                  <c:v>43138</c:v>
                </c:pt>
                <c:pt idx="453">
                  <c:v>43137</c:v>
                </c:pt>
                <c:pt idx="454">
                  <c:v>43136</c:v>
                </c:pt>
                <c:pt idx="455">
                  <c:v>43133</c:v>
                </c:pt>
                <c:pt idx="456">
                  <c:v>43132</c:v>
                </c:pt>
                <c:pt idx="457">
                  <c:v>43131</c:v>
                </c:pt>
                <c:pt idx="458">
                  <c:v>43130</c:v>
                </c:pt>
                <c:pt idx="459">
                  <c:v>43129</c:v>
                </c:pt>
                <c:pt idx="460">
                  <c:v>43126</c:v>
                </c:pt>
                <c:pt idx="461">
                  <c:v>43125</c:v>
                </c:pt>
                <c:pt idx="462">
                  <c:v>43124</c:v>
                </c:pt>
                <c:pt idx="463">
                  <c:v>43123</c:v>
                </c:pt>
                <c:pt idx="464">
                  <c:v>43122</c:v>
                </c:pt>
                <c:pt idx="465">
                  <c:v>43119</c:v>
                </c:pt>
                <c:pt idx="466">
                  <c:v>43118</c:v>
                </c:pt>
                <c:pt idx="467">
                  <c:v>43117</c:v>
                </c:pt>
                <c:pt idx="468">
                  <c:v>43116</c:v>
                </c:pt>
                <c:pt idx="469">
                  <c:v>43115</c:v>
                </c:pt>
                <c:pt idx="470">
                  <c:v>43112</c:v>
                </c:pt>
                <c:pt idx="471">
                  <c:v>43111</c:v>
                </c:pt>
                <c:pt idx="472">
                  <c:v>43110</c:v>
                </c:pt>
                <c:pt idx="473">
                  <c:v>43109</c:v>
                </c:pt>
                <c:pt idx="474">
                  <c:v>43105</c:v>
                </c:pt>
                <c:pt idx="475">
                  <c:v>43104</c:v>
                </c:pt>
                <c:pt idx="476">
                  <c:v>43098</c:v>
                </c:pt>
                <c:pt idx="477">
                  <c:v>43097</c:v>
                </c:pt>
                <c:pt idx="478">
                  <c:v>43096</c:v>
                </c:pt>
                <c:pt idx="479">
                  <c:v>43095</c:v>
                </c:pt>
                <c:pt idx="480">
                  <c:v>43094</c:v>
                </c:pt>
                <c:pt idx="481">
                  <c:v>43091</c:v>
                </c:pt>
                <c:pt idx="482">
                  <c:v>43090</c:v>
                </c:pt>
                <c:pt idx="483">
                  <c:v>43089</c:v>
                </c:pt>
                <c:pt idx="484">
                  <c:v>43088</c:v>
                </c:pt>
                <c:pt idx="485">
                  <c:v>43087</c:v>
                </c:pt>
                <c:pt idx="486">
                  <c:v>43084</c:v>
                </c:pt>
                <c:pt idx="487">
                  <c:v>43083</c:v>
                </c:pt>
                <c:pt idx="488">
                  <c:v>43082</c:v>
                </c:pt>
                <c:pt idx="489">
                  <c:v>43081</c:v>
                </c:pt>
                <c:pt idx="490">
                  <c:v>43080</c:v>
                </c:pt>
                <c:pt idx="491">
                  <c:v>43077</c:v>
                </c:pt>
                <c:pt idx="492">
                  <c:v>43076</c:v>
                </c:pt>
                <c:pt idx="493">
                  <c:v>43075</c:v>
                </c:pt>
                <c:pt idx="494">
                  <c:v>43074</c:v>
                </c:pt>
                <c:pt idx="495">
                  <c:v>43073</c:v>
                </c:pt>
                <c:pt idx="496">
                  <c:v>43070</c:v>
                </c:pt>
                <c:pt idx="497">
                  <c:v>43069</c:v>
                </c:pt>
                <c:pt idx="498">
                  <c:v>43068</c:v>
                </c:pt>
                <c:pt idx="499">
                  <c:v>43067</c:v>
                </c:pt>
                <c:pt idx="500">
                  <c:v>43066</c:v>
                </c:pt>
                <c:pt idx="501">
                  <c:v>43063</c:v>
                </c:pt>
                <c:pt idx="502">
                  <c:v>43061</c:v>
                </c:pt>
                <c:pt idx="503">
                  <c:v>43060</c:v>
                </c:pt>
                <c:pt idx="504">
                  <c:v>43059</c:v>
                </c:pt>
                <c:pt idx="505">
                  <c:v>43056</c:v>
                </c:pt>
                <c:pt idx="506">
                  <c:v>43055</c:v>
                </c:pt>
                <c:pt idx="507">
                  <c:v>43054</c:v>
                </c:pt>
                <c:pt idx="508">
                  <c:v>43053</c:v>
                </c:pt>
                <c:pt idx="509">
                  <c:v>43052</c:v>
                </c:pt>
                <c:pt idx="510">
                  <c:v>43049</c:v>
                </c:pt>
                <c:pt idx="511">
                  <c:v>43048</c:v>
                </c:pt>
                <c:pt idx="512">
                  <c:v>43047</c:v>
                </c:pt>
                <c:pt idx="513">
                  <c:v>43046</c:v>
                </c:pt>
                <c:pt idx="514">
                  <c:v>43045</c:v>
                </c:pt>
                <c:pt idx="515">
                  <c:v>43041</c:v>
                </c:pt>
                <c:pt idx="516">
                  <c:v>43040</c:v>
                </c:pt>
                <c:pt idx="517">
                  <c:v>43039</c:v>
                </c:pt>
                <c:pt idx="518">
                  <c:v>43038</c:v>
                </c:pt>
                <c:pt idx="519">
                  <c:v>43035</c:v>
                </c:pt>
                <c:pt idx="520">
                  <c:v>43034</c:v>
                </c:pt>
                <c:pt idx="521">
                  <c:v>43033</c:v>
                </c:pt>
                <c:pt idx="522">
                  <c:v>43032</c:v>
                </c:pt>
                <c:pt idx="523">
                  <c:v>43031</c:v>
                </c:pt>
                <c:pt idx="524">
                  <c:v>43028</c:v>
                </c:pt>
                <c:pt idx="525">
                  <c:v>43027</c:v>
                </c:pt>
                <c:pt idx="526">
                  <c:v>43026</c:v>
                </c:pt>
                <c:pt idx="527">
                  <c:v>43025</c:v>
                </c:pt>
                <c:pt idx="528">
                  <c:v>43024</c:v>
                </c:pt>
                <c:pt idx="529">
                  <c:v>43021</c:v>
                </c:pt>
                <c:pt idx="530">
                  <c:v>43020</c:v>
                </c:pt>
                <c:pt idx="531">
                  <c:v>43019</c:v>
                </c:pt>
                <c:pt idx="532">
                  <c:v>43018</c:v>
                </c:pt>
                <c:pt idx="533">
                  <c:v>43014</c:v>
                </c:pt>
                <c:pt idx="534">
                  <c:v>43013</c:v>
                </c:pt>
                <c:pt idx="535">
                  <c:v>43012</c:v>
                </c:pt>
                <c:pt idx="536">
                  <c:v>43011</c:v>
                </c:pt>
                <c:pt idx="537">
                  <c:v>43010</c:v>
                </c:pt>
                <c:pt idx="538">
                  <c:v>43007</c:v>
                </c:pt>
                <c:pt idx="539">
                  <c:v>43006</c:v>
                </c:pt>
                <c:pt idx="540">
                  <c:v>43005</c:v>
                </c:pt>
                <c:pt idx="541">
                  <c:v>43004</c:v>
                </c:pt>
                <c:pt idx="542">
                  <c:v>43003</c:v>
                </c:pt>
                <c:pt idx="543">
                  <c:v>43000</c:v>
                </c:pt>
                <c:pt idx="544">
                  <c:v>42999</c:v>
                </c:pt>
                <c:pt idx="545">
                  <c:v>42998</c:v>
                </c:pt>
                <c:pt idx="546">
                  <c:v>42997</c:v>
                </c:pt>
                <c:pt idx="547">
                  <c:v>42993</c:v>
                </c:pt>
                <c:pt idx="548">
                  <c:v>42992</c:v>
                </c:pt>
                <c:pt idx="549">
                  <c:v>42991</c:v>
                </c:pt>
                <c:pt idx="550">
                  <c:v>42990</c:v>
                </c:pt>
                <c:pt idx="551">
                  <c:v>42989</c:v>
                </c:pt>
                <c:pt idx="552">
                  <c:v>42986</c:v>
                </c:pt>
                <c:pt idx="553">
                  <c:v>42985</c:v>
                </c:pt>
                <c:pt idx="554">
                  <c:v>42984</c:v>
                </c:pt>
                <c:pt idx="555">
                  <c:v>42983</c:v>
                </c:pt>
                <c:pt idx="556">
                  <c:v>42982</c:v>
                </c:pt>
                <c:pt idx="557">
                  <c:v>42979</c:v>
                </c:pt>
                <c:pt idx="558">
                  <c:v>42978</c:v>
                </c:pt>
                <c:pt idx="559">
                  <c:v>42977</c:v>
                </c:pt>
                <c:pt idx="560">
                  <c:v>42976</c:v>
                </c:pt>
                <c:pt idx="561">
                  <c:v>42975</c:v>
                </c:pt>
                <c:pt idx="562">
                  <c:v>42972</c:v>
                </c:pt>
                <c:pt idx="563">
                  <c:v>42971</c:v>
                </c:pt>
                <c:pt idx="564">
                  <c:v>42970</c:v>
                </c:pt>
                <c:pt idx="565">
                  <c:v>42969</c:v>
                </c:pt>
                <c:pt idx="566">
                  <c:v>42968</c:v>
                </c:pt>
                <c:pt idx="567">
                  <c:v>42965</c:v>
                </c:pt>
                <c:pt idx="568">
                  <c:v>42964</c:v>
                </c:pt>
                <c:pt idx="569">
                  <c:v>42963</c:v>
                </c:pt>
                <c:pt idx="570">
                  <c:v>42962</c:v>
                </c:pt>
                <c:pt idx="571">
                  <c:v>42961</c:v>
                </c:pt>
                <c:pt idx="572">
                  <c:v>42957</c:v>
                </c:pt>
                <c:pt idx="573">
                  <c:v>42956</c:v>
                </c:pt>
                <c:pt idx="574">
                  <c:v>42955</c:v>
                </c:pt>
                <c:pt idx="575">
                  <c:v>42954</c:v>
                </c:pt>
                <c:pt idx="576">
                  <c:v>42951</c:v>
                </c:pt>
                <c:pt idx="577">
                  <c:v>42950</c:v>
                </c:pt>
                <c:pt idx="578">
                  <c:v>42949</c:v>
                </c:pt>
                <c:pt idx="579">
                  <c:v>42948</c:v>
                </c:pt>
                <c:pt idx="580">
                  <c:v>42947</c:v>
                </c:pt>
                <c:pt idx="581">
                  <c:v>42944</c:v>
                </c:pt>
                <c:pt idx="582">
                  <c:v>42943</c:v>
                </c:pt>
                <c:pt idx="583">
                  <c:v>42942</c:v>
                </c:pt>
                <c:pt idx="584">
                  <c:v>42941</c:v>
                </c:pt>
                <c:pt idx="585">
                  <c:v>42940</c:v>
                </c:pt>
                <c:pt idx="586">
                  <c:v>42937</c:v>
                </c:pt>
                <c:pt idx="587">
                  <c:v>42936</c:v>
                </c:pt>
                <c:pt idx="588">
                  <c:v>42935</c:v>
                </c:pt>
                <c:pt idx="589">
                  <c:v>42934</c:v>
                </c:pt>
                <c:pt idx="590">
                  <c:v>42930</c:v>
                </c:pt>
                <c:pt idx="591">
                  <c:v>42929</c:v>
                </c:pt>
                <c:pt idx="592">
                  <c:v>42928</c:v>
                </c:pt>
                <c:pt idx="593">
                  <c:v>42927</c:v>
                </c:pt>
                <c:pt idx="594">
                  <c:v>42926</c:v>
                </c:pt>
                <c:pt idx="595">
                  <c:v>42923</c:v>
                </c:pt>
                <c:pt idx="596">
                  <c:v>42922</c:v>
                </c:pt>
                <c:pt idx="597">
                  <c:v>42921</c:v>
                </c:pt>
                <c:pt idx="598">
                  <c:v>42920</c:v>
                </c:pt>
                <c:pt idx="599">
                  <c:v>42919</c:v>
                </c:pt>
                <c:pt idx="600">
                  <c:v>42916</c:v>
                </c:pt>
                <c:pt idx="601">
                  <c:v>42915</c:v>
                </c:pt>
                <c:pt idx="602">
                  <c:v>42914</c:v>
                </c:pt>
                <c:pt idx="603">
                  <c:v>42913</c:v>
                </c:pt>
                <c:pt idx="604">
                  <c:v>42912</c:v>
                </c:pt>
                <c:pt idx="605">
                  <c:v>42909</c:v>
                </c:pt>
                <c:pt idx="606">
                  <c:v>42908</c:v>
                </c:pt>
                <c:pt idx="607">
                  <c:v>42907</c:v>
                </c:pt>
                <c:pt idx="608">
                  <c:v>42906</c:v>
                </c:pt>
                <c:pt idx="609">
                  <c:v>42905</c:v>
                </c:pt>
                <c:pt idx="610">
                  <c:v>42902</c:v>
                </c:pt>
                <c:pt idx="611">
                  <c:v>42901</c:v>
                </c:pt>
                <c:pt idx="612">
                  <c:v>42900</c:v>
                </c:pt>
                <c:pt idx="613">
                  <c:v>42899</c:v>
                </c:pt>
                <c:pt idx="614">
                  <c:v>42898</c:v>
                </c:pt>
                <c:pt idx="615">
                  <c:v>42895</c:v>
                </c:pt>
                <c:pt idx="616">
                  <c:v>42894</c:v>
                </c:pt>
                <c:pt idx="617">
                  <c:v>42893</c:v>
                </c:pt>
                <c:pt idx="618">
                  <c:v>42892</c:v>
                </c:pt>
                <c:pt idx="619">
                  <c:v>42891</c:v>
                </c:pt>
                <c:pt idx="620">
                  <c:v>42888</c:v>
                </c:pt>
                <c:pt idx="621">
                  <c:v>42887</c:v>
                </c:pt>
                <c:pt idx="622">
                  <c:v>42886</c:v>
                </c:pt>
                <c:pt idx="623">
                  <c:v>42885</c:v>
                </c:pt>
                <c:pt idx="624">
                  <c:v>42884</c:v>
                </c:pt>
                <c:pt idx="625">
                  <c:v>42881</c:v>
                </c:pt>
                <c:pt idx="626">
                  <c:v>42880</c:v>
                </c:pt>
                <c:pt idx="627">
                  <c:v>42879</c:v>
                </c:pt>
                <c:pt idx="628">
                  <c:v>42878</c:v>
                </c:pt>
                <c:pt idx="629">
                  <c:v>42877</c:v>
                </c:pt>
                <c:pt idx="630">
                  <c:v>42874</c:v>
                </c:pt>
                <c:pt idx="631">
                  <c:v>42873</c:v>
                </c:pt>
                <c:pt idx="632">
                  <c:v>42872</c:v>
                </c:pt>
                <c:pt idx="633">
                  <c:v>42871</c:v>
                </c:pt>
                <c:pt idx="634">
                  <c:v>42870</c:v>
                </c:pt>
                <c:pt idx="635">
                  <c:v>42867</c:v>
                </c:pt>
                <c:pt idx="636">
                  <c:v>42866</c:v>
                </c:pt>
                <c:pt idx="637">
                  <c:v>42865</c:v>
                </c:pt>
                <c:pt idx="638">
                  <c:v>42864</c:v>
                </c:pt>
                <c:pt idx="639">
                  <c:v>42863</c:v>
                </c:pt>
                <c:pt idx="640">
                  <c:v>42857</c:v>
                </c:pt>
                <c:pt idx="641">
                  <c:v>42856</c:v>
                </c:pt>
                <c:pt idx="642">
                  <c:v>42853</c:v>
                </c:pt>
                <c:pt idx="643">
                  <c:v>42852</c:v>
                </c:pt>
                <c:pt idx="644">
                  <c:v>42851</c:v>
                </c:pt>
                <c:pt idx="645">
                  <c:v>42850</c:v>
                </c:pt>
                <c:pt idx="646">
                  <c:v>42849</c:v>
                </c:pt>
                <c:pt idx="647">
                  <c:v>42846</c:v>
                </c:pt>
                <c:pt idx="648">
                  <c:v>42845</c:v>
                </c:pt>
                <c:pt idx="649">
                  <c:v>42844</c:v>
                </c:pt>
                <c:pt idx="650">
                  <c:v>42843</c:v>
                </c:pt>
                <c:pt idx="651">
                  <c:v>42842</c:v>
                </c:pt>
                <c:pt idx="652">
                  <c:v>42839</c:v>
                </c:pt>
                <c:pt idx="653">
                  <c:v>42838</c:v>
                </c:pt>
                <c:pt idx="654">
                  <c:v>42837</c:v>
                </c:pt>
                <c:pt idx="655">
                  <c:v>42836</c:v>
                </c:pt>
                <c:pt idx="656">
                  <c:v>42835</c:v>
                </c:pt>
                <c:pt idx="657">
                  <c:v>42832</c:v>
                </c:pt>
                <c:pt idx="658">
                  <c:v>42831</c:v>
                </c:pt>
                <c:pt idx="659">
                  <c:v>42830</c:v>
                </c:pt>
                <c:pt idx="660">
                  <c:v>42829</c:v>
                </c:pt>
                <c:pt idx="661">
                  <c:v>42828</c:v>
                </c:pt>
              </c:numCache>
            </c:numRef>
          </c:cat>
          <c:val>
            <c:numRef>
              <c:f>BACK_TEST!$N$42:$N$703</c:f>
              <c:numCache>
                <c:formatCode>General</c:formatCode>
                <c:ptCount val="662"/>
                <c:pt idx="0">
                  <c:v>8.8821458266969605E-2</c:v>
                </c:pt>
                <c:pt idx="1">
                  <c:v>9.4215104650748505E-2</c:v>
                </c:pt>
                <c:pt idx="2">
                  <c:v>8.4012776891367394E-2</c:v>
                </c:pt>
                <c:pt idx="3">
                  <c:v>9.0105694218398896E-2</c:v>
                </c:pt>
                <c:pt idx="4">
                  <c:v>8.6237212338216906E-2</c:v>
                </c:pt>
                <c:pt idx="5">
                  <c:v>8.8201291065971105E-2</c:v>
                </c:pt>
                <c:pt idx="6">
                  <c:v>7.5163591638533006E-2</c:v>
                </c:pt>
                <c:pt idx="7">
                  <c:v>9.8018478472106596E-2</c:v>
                </c:pt>
                <c:pt idx="8">
                  <c:v>8.6934141656787894E-2</c:v>
                </c:pt>
                <c:pt idx="9">
                  <c:v>6.1266183831809498E-2</c:v>
                </c:pt>
                <c:pt idx="10">
                  <c:v>5.1749975540030801E-2</c:v>
                </c:pt>
                <c:pt idx="11">
                  <c:v>4.9005119327744602E-2</c:v>
                </c:pt>
                <c:pt idx="12">
                  <c:v>4.1598152958899397E-2</c:v>
                </c:pt>
                <c:pt idx="13">
                  <c:v>3.7933567551737303E-2</c:v>
                </c:pt>
                <c:pt idx="14">
                  <c:v>4.5605741363179603E-2</c:v>
                </c:pt>
                <c:pt idx="15">
                  <c:v>4.4536179277517199E-2</c:v>
                </c:pt>
                <c:pt idx="16">
                  <c:v>4.7486393194625998E-2</c:v>
                </c:pt>
                <c:pt idx="17">
                  <c:v>3.3995761461266198E-2</c:v>
                </c:pt>
                <c:pt idx="18">
                  <c:v>2.9639636358909299E-2</c:v>
                </c:pt>
                <c:pt idx="19">
                  <c:v>3.4245517658775503E-2</c:v>
                </c:pt>
                <c:pt idx="20">
                  <c:v>4.0082181288518801E-2</c:v>
                </c:pt>
                <c:pt idx="21">
                  <c:v>3.9301685934427302E-2</c:v>
                </c:pt>
                <c:pt idx="22">
                  <c:v>3.7599580592513601E-2</c:v>
                </c:pt>
                <c:pt idx="23">
                  <c:v>3.9599162561789997E-2</c:v>
                </c:pt>
                <c:pt idx="24">
                  <c:v>9.6667059120761997E-2</c:v>
                </c:pt>
                <c:pt idx="25">
                  <c:v>4.0024880897381397E-2</c:v>
                </c:pt>
                <c:pt idx="26">
                  <c:v>3.0567645601381501E-2</c:v>
                </c:pt>
                <c:pt idx="27">
                  <c:v>4.3901601818213697E-2</c:v>
                </c:pt>
                <c:pt idx="28">
                  <c:v>7.0103515775916794E-2</c:v>
                </c:pt>
                <c:pt idx="29">
                  <c:v>0.19918148055153001</c:v>
                </c:pt>
                <c:pt idx="30">
                  <c:v>0.118399318586435</c:v>
                </c:pt>
                <c:pt idx="31">
                  <c:v>0.13942513764116099</c:v>
                </c:pt>
                <c:pt idx="32">
                  <c:v>0.167276646134568</c:v>
                </c:pt>
                <c:pt idx="33">
                  <c:v>7.2456968525407603E-2</c:v>
                </c:pt>
                <c:pt idx="34">
                  <c:v>7.9913189811445601E-2</c:v>
                </c:pt>
                <c:pt idx="35">
                  <c:v>7.5389411427921105E-2</c:v>
                </c:pt>
                <c:pt idx="36">
                  <c:v>7.9144150178542899E-2</c:v>
                </c:pt>
                <c:pt idx="37">
                  <c:v>8.8295364967932999E-3</c:v>
                </c:pt>
                <c:pt idx="38">
                  <c:v>6.1449393120689899E-3</c:v>
                </c:pt>
                <c:pt idx="39">
                  <c:v>5.68346696281788E-3</c:v>
                </c:pt>
                <c:pt idx="40">
                  <c:v>3.0333794109386899E-3</c:v>
                </c:pt>
                <c:pt idx="41">
                  <c:v>4.1717771551732499E-3</c:v>
                </c:pt>
                <c:pt idx="42">
                  <c:v>2.58056305233748E-3</c:v>
                </c:pt>
                <c:pt idx="43">
                  <c:v>1.7586612536933501E-3</c:v>
                </c:pt>
                <c:pt idx="44">
                  <c:v>9.9937187670721794E-2</c:v>
                </c:pt>
                <c:pt idx="45">
                  <c:v>2.3071177794583902E-3</c:v>
                </c:pt>
                <c:pt idx="46">
                  <c:v>2.5022483291908299E-3</c:v>
                </c:pt>
                <c:pt idx="47">
                  <c:v>2.5155508197421401E-3</c:v>
                </c:pt>
                <c:pt idx="48">
                  <c:v>1.1237218707322099E-3</c:v>
                </c:pt>
                <c:pt idx="49">
                  <c:v>1.2353562186855501E-3</c:v>
                </c:pt>
                <c:pt idx="50">
                  <c:v>1.5331511472309999E-3</c:v>
                </c:pt>
                <c:pt idx="51">
                  <c:v>4.0718738024747401E-4</c:v>
                </c:pt>
                <c:pt idx="52">
                  <c:v>9.6892279377216398E-4</c:v>
                </c:pt>
                <c:pt idx="53">
                  <c:v>1.4821471424575801E-2</c:v>
                </c:pt>
                <c:pt idx="54">
                  <c:v>1.3977458450596499E-2</c:v>
                </c:pt>
                <c:pt idx="55">
                  <c:v>1.37497250259926E-2</c:v>
                </c:pt>
                <c:pt idx="56">
                  <c:v>4.5871425595775204E-3</c:v>
                </c:pt>
                <c:pt idx="57">
                  <c:v>4.5783015843412402E-3</c:v>
                </c:pt>
                <c:pt idx="58">
                  <c:v>8.3815291215433001E-3</c:v>
                </c:pt>
                <c:pt idx="59">
                  <c:v>8.5187751937559394E-3</c:v>
                </c:pt>
                <c:pt idx="60">
                  <c:v>3.2009647999878703E-2</c:v>
                </c:pt>
                <c:pt idx="61">
                  <c:v>3.5253530342112503E-2</c:v>
                </c:pt>
                <c:pt idx="62">
                  <c:v>4.2119906147765597E-2</c:v>
                </c:pt>
                <c:pt idx="63">
                  <c:v>4.4920542250366298E-2</c:v>
                </c:pt>
                <c:pt idx="64">
                  <c:v>3.7347504393791302E-2</c:v>
                </c:pt>
                <c:pt idx="65">
                  <c:v>3.9063298754629702E-2</c:v>
                </c:pt>
                <c:pt idx="66">
                  <c:v>2.4950062280699799E-2</c:v>
                </c:pt>
                <c:pt idx="67">
                  <c:v>2.5192941802718902E-2</c:v>
                </c:pt>
                <c:pt idx="68">
                  <c:v>2.7723110353427501E-2</c:v>
                </c:pt>
                <c:pt idx="69">
                  <c:v>1.6384360658961698E-2</c:v>
                </c:pt>
                <c:pt idx="70">
                  <c:v>1.5960786495461302E-2</c:v>
                </c:pt>
                <c:pt idx="71">
                  <c:v>1.32325373177205E-2</c:v>
                </c:pt>
                <c:pt idx="72">
                  <c:v>7.9110756757953208E-3</c:v>
                </c:pt>
                <c:pt idx="73">
                  <c:v>6.0789509986336598E-3</c:v>
                </c:pt>
                <c:pt idx="74">
                  <c:v>5.5506598329567603E-3</c:v>
                </c:pt>
                <c:pt idx="75">
                  <c:v>7.1503355188748501E-3</c:v>
                </c:pt>
                <c:pt idx="76">
                  <c:v>7.8852917533877506E-3</c:v>
                </c:pt>
                <c:pt idx="77">
                  <c:v>6.6116606839661599E-3</c:v>
                </c:pt>
                <c:pt idx="78">
                  <c:v>6.0204344938440896E-3</c:v>
                </c:pt>
                <c:pt idx="79">
                  <c:v>6.4402296331237396E-3</c:v>
                </c:pt>
                <c:pt idx="80">
                  <c:v>6.26422475070996E-3</c:v>
                </c:pt>
                <c:pt idx="81">
                  <c:v>5.2171869246863097E-3</c:v>
                </c:pt>
                <c:pt idx="82">
                  <c:v>5.0411607796634703E-3</c:v>
                </c:pt>
                <c:pt idx="83">
                  <c:v>4.45299696321681E-3</c:v>
                </c:pt>
                <c:pt idx="84">
                  <c:v>4.5957739057846999E-3</c:v>
                </c:pt>
                <c:pt idx="85">
                  <c:v>4.6527952061750496E-3</c:v>
                </c:pt>
                <c:pt idx="86">
                  <c:v>4.7448626455283303E-3</c:v>
                </c:pt>
                <c:pt idx="87">
                  <c:v>5.1030972575001401E-3</c:v>
                </c:pt>
                <c:pt idx="88">
                  <c:v>5.6190788463312399E-3</c:v>
                </c:pt>
                <c:pt idx="89">
                  <c:v>4.6009701901240201E-3</c:v>
                </c:pt>
                <c:pt idx="90">
                  <c:v>4.93299690802487E-3</c:v>
                </c:pt>
                <c:pt idx="91">
                  <c:v>4.8111659177330198E-3</c:v>
                </c:pt>
                <c:pt idx="92">
                  <c:v>4.6725621494222999E-3</c:v>
                </c:pt>
                <c:pt idx="93">
                  <c:v>2.92869324938656E-3</c:v>
                </c:pt>
                <c:pt idx="94">
                  <c:v>3.5087495254133801E-3</c:v>
                </c:pt>
                <c:pt idx="95">
                  <c:v>3.4570561874859899E-3</c:v>
                </c:pt>
                <c:pt idx="96">
                  <c:v>3.1789770283651301E-3</c:v>
                </c:pt>
                <c:pt idx="97">
                  <c:v>3.2841581565707799E-3</c:v>
                </c:pt>
                <c:pt idx="98">
                  <c:v>3.0325791656970499E-3</c:v>
                </c:pt>
                <c:pt idx="99">
                  <c:v>3.2021913003102802E-3</c:v>
                </c:pt>
                <c:pt idx="100">
                  <c:v>3.0981250300008601E-3</c:v>
                </c:pt>
                <c:pt idx="101">
                  <c:v>3.46913629493324E-3</c:v>
                </c:pt>
                <c:pt idx="102">
                  <c:v>4.5539163112201398E-3</c:v>
                </c:pt>
                <c:pt idx="103">
                  <c:v>5.6546982681500999E-3</c:v>
                </c:pt>
                <c:pt idx="104">
                  <c:v>5.7412789446085397E-3</c:v>
                </c:pt>
                <c:pt idx="105">
                  <c:v>6.3484725779948499E-3</c:v>
                </c:pt>
                <c:pt idx="106">
                  <c:v>5.9169153331275698E-3</c:v>
                </c:pt>
                <c:pt idx="107">
                  <c:v>5.2412830286559103E-3</c:v>
                </c:pt>
                <c:pt idx="108">
                  <c:v>5.4643969140476898E-3</c:v>
                </c:pt>
                <c:pt idx="109">
                  <c:v>6.3028343972359596E-3</c:v>
                </c:pt>
                <c:pt idx="110">
                  <c:v>5.9668460872223401E-3</c:v>
                </c:pt>
                <c:pt idx="111">
                  <c:v>5.2616741465530501E-3</c:v>
                </c:pt>
                <c:pt idx="112">
                  <c:v>5.9406060312733096E-3</c:v>
                </c:pt>
                <c:pt idx="113">
                  <c:v>6.0549210027118702E-3</c:v>
                </c:pt>
                <c:pt idx="114">
                  <c:v>7.27281694733999E-3</c:v>
                </c:pt>
                <c:pt idx="115">
                  <c:v>6.5384091467818196E-3</c:v>
                </c:pt>
                <c:pt idx="116">
                  <c:v>8.3401308624844704E-3</c:v>
                </c:pt>
                <c:pt idx="117">
                  <c:v>7.79933426708044E-3</c:v>
                </c:pt>
                <c:pt idx="118">
                  <c:v>1.0182699334627799E-2</c:v>
                </c:pt>
                <c:pt idx="119">
                  <c:v>1.4822261859279999E-2</c:v>
                </c:pt>
                <c:pt idx="120">
                  <c:v>2.3414695081406499E-2</c:v>
                </c:pt>
                <c:pt idx="121">
                  <c:v>3.05658251083437E-2</c:v>
                </c:pt>
                <c:pt idx="122">
                  <c:v>3.8602997636123099E-2</c:v>
                </c:pt>
                <c:pt idx="123">
                  <c:v>5.2051976159094501E-2</c:v>
                </c:pt>
                <c:pt idx="124">
                  <c:v>4.92413030514397E-2</c:v>
                </c:pt>
                <c:pt idx="125">
                  <c:v>4.64935019252571E-2</c:v>
                </c:pt>
                <c:pt idx="126">
                  <c:v>6.4252610624808901E-2</c:v>
                </c:pt>
                <c:pt idx="127">
                  <c:v>4.1490569327775298E-2</c:v>
                </c:pt>
                <c:pt idx="128">
                  <c:v>5.7213297997503E-2</c:v>
                </c:pt>
                <c:pt idx="129">
                  <c:v>3.4939687630059703E-2</c:v>
                </c:pt>
                <c:pt idx="130">
                  <c:v>3.29039192703992E-2</c:v>
                </c:pt>
                <c:pt idx="131">
                  <c:v>3.5745399241698901E-2</c:v>
                </c:pt>
                <c:pt idx="132">
                  <c:v>4.2192509103818103E-2</c:v>
                </c:pt>
                <c:pt idx="133">
                  <c:v>0.23562127874761701</c:v>
                </c:pt>
                <c:pt idx="134">
                  <c:v>0.17960271183875301</c:v>
                </c:pt>
                <c:pt idx="135">
                  <c:v>0.17617188456364</c:v>
                </c:pt>
                <c:pt idx="136">
                  <c:v>0.17246870209785101</c:v>
                </c:pt>
                <c:pt idx="137">
                  <c:v>0.186520012293799</c:v>
                </c:pt>
                <c:pt idx="138">
                  <c:v>0.140273704520437</c:v>
                </c:pt>
                <c:pt idx="139">
                  <c:v>0.101348818985236</c:v>
                </c:pt>
                <c:pt idx="140">
                  <c:v>0.102198237679785</c:v>
                </c:pt>
                <c:pt idx="141">
                  <c:v>8.5779542420319294E-2</c:v>
                </c:pt>
                <c:pt idx="142">
                  <c:v>7.0811557186484103E-2</c:v>
                </c:pt>
                <c:pt idx="143">
                  <c:v>8.1605092011366107E-2</c:v>
                </c:pt>
                <c:pt idx="144">
                  <c:v>8.9226226437251505E-2</c:v>
                </c:pt>
                <c:pt idx="145">
                  <c:v>7.5880428414147702E-2</c:v>
                </c:pt>
                <c:pt idx="146">
                  <c:v>6.7836356679389101E-2</c:v>
                </c:pt>
                <c:pt idx="147">
                  <c:v>3.6460006104470401E-2</c:v>
                </c:pt>
                <c:pt idx="148">
                  <c:v>0.19968353257098101</c:v>
                </c:pt>
                <c:pt idx="149">
                  <c:v>0.184932687597784</c:v>
                </c:pt>
                <c:pt idx="150">
                  <c:v>0.19269028592727599</c:v>
                </c:pt>
                <c:pt idx="151">
                  <c:v>0.189698477393138</c:v>
                </c:pt>
                <c:pt idx="152">
                  <c:v>0.22308449574360401</c:v>
                </c:pt>
                <c:pt idx="153">
                  <c:v>0.19469030631322301</c:v>
                </c:pt>
                <c:pt idx="154">
                  <c:v>0.20568278014635299</c:v>
                </c:pt>
                <c:pt idx="155">
                  <c:v>0.19689251313304301</c:v>
                </c:pt>
                <c:pt idx="156">
                  <c:v>0.18133367595192099</c:v>
                </c:pt>
                <c:pt idx="157">
                  <c:v>0.18664052210966001</c:v>
                </c:pt>
                <c:pt idx="158">
                  <c:v>0.19171383935738001</c:v>
                </c:pt>
                <c:pt idx="159">
                  <c:v>0.18579804057315699</c:v>
                </c:pt>
                <c:pt idx="160">
                  <c:v>0.18953099588174199</c:v>
                </c:pt>
                <c:pt idx="161">
                  <c:v>0.21541724503913201</c:v>
                </c:pt>
                <c:pt idx="162">
                  <c:v>0.22514628960080799</c:v>
                </c:pt>
                <c:pt idx="163">
                  <c:v>0.21684082253689799</c:v>
                </c:pt>
                <c:pt idx="164">
                  <c:v>0.24120425412739199</c:v>
                </c:pt>
                <c:pt idx="165">
                  <c:v>0.26444351399687399</c:v>
                </c:pt>
                <c:pt idx="166">
                  <c:v>0.25890405526618998</c:v>
                </c:pt>
                <c:pt idx="167">
                  <c:v>0.24810712500957599</c:v>
                </c:pt>
                <c:pt idx="168">
                  <c:v>0.24094758190245499</c:v>
                </c:pt>
                <c:pt idx="169">
                  <c:v>0.25261336015131403</c:v>
                </c:pt>
                <c:pt idx="170">
                  <c:v>0.24706013521898099</c:v>
                </c:pt>
                <c:pt idx="171">
                  <c:v>0.24371432380880101</c:v>
                </c:pt>
                <c:pt idx="172">
                  <c:v>0.24889016370050299</c:v>
                </c:pt>
                <c:pt idx="173">
                  <c:v>0.25578613493253199</c:v>
                </c:pt>
                <c:pt idx="174">
                  <c:v>0.254607697059412</c:v>
                </c:pt>
                <c:pt idx="175">
                  <c:v>0.283859759895701</c:v>
                </c:pt>
                <c:pt idx="176">
                  <c:v>0.24686926547160701</c:v>
                </c:pt>
                <c:pt idx="177">
                  <c:v>0.239320639858006</c:v>
                </c:pt>
                <c:pt idx="178">
                  <c:v>0.22390034361358699</c:v>
                </c:pt>
                <c:pt idx="179">
                  <c:v>0.24120990455864999</c:v>
                </c:pt>
                <c:pt idx="180">
                  <c:v>0.227914329718758</c:v>
                </c:pt>
                <c:pt idx="181">
                  <c:v>0.27292272522312699</c:v>
                </c:pt>
                <c:pt idx="182">
                  <c:v>0.26457217134087302</c:v>
                </c:pt>
                <c:pt idx="183">
                  <c:v>0.252850481243727</c:v>
                </c:pt>
                <c:pt idx="184">
                  <c:v>0.27840361537050801</c:v>
                </c:pt>
                <c:pt idx="185">
                  <c:v>0.28133068336155598</c:v>
                </c:pt>
                <c:pt idx="186">
                  <c:v>0.32373336997787</c:v>
                </c:pt>
                <c:pt idx="187">
                  <c:v>0.32804119249850799</c:v>
                </c:pt>
                <c:pt idx="188">
                  <c:v>0.42424986661903902</c:v>
                </c:pt>
                <c:pt idx="189">
                  <c:v>0.41026878069950601</c:v>
                </c:pt>
                <c:pt idx="190">
                  <c:v>0.39884151576346799</c:v>
                </c:pt>
                <c:pt idx="191">
                  <c:v>0.42083599456819498</c:v>
                </c:pt>
                <c:pt idx="192">
                  <c:v>0.45761926726310598</c:v>
                </c:pt>
                <c:pt idx="193">
                  <c:v>0.45508693432800501</c:v>
                </c:pt>
                <c:pt idx="194">
                  <c:v>0.389807164733534</c:v>
                </c:pt>
                <c:pt idx="195">
                  <c:v>0.65280330737384196</c:v>
                </c:pt>
                <c:pt idx="196">
                  <c:v>0.68086160792736905</c:v>
                </c:pt>
                <c:pt idx="197">
                  <c:v>0.68969946314011699</c:v>
                </c:pt>
                <c:pt idx="198">
                  <c:v>0.75115534860825295</c:v>
                </c:pt>
                <c:pt idx="199">
                  <c:v>0.77746639078361202</c:v>
                </c:pt>
                <c:pt idx="200">
                  <c:v>0.77299881283429805</c:v>
                </c:pt>
                <c:pt idx="201">
                  <c:v>0.80501257830620399</c:v>
                </c:pt>
                <c:pt idx="202">
                  <c:v>0.83943231182350997</c:v>
                </c:pt>
                <c:pt idx="203">
                  <c:v>0.88616838923151897</c:v>
                </c:pt>
                <c:pt idx="204">
                  <c:v>0.85500680925775896</c:v>
                </c:pt>
                <c:pt idx="205">
                  <c:v>0.86909077477763497</c:v>
                </c:pt>
                <c:pt idx="206">
                  <c:v>0.83115970940825901</c:v>
                </c:pt>
                <c:pt idx="207">
                  <c:v>0.77450228453824599</c:v>
                </c:pt>
                <c:pt idx="208">
                  <c:v>0.76458830542620304</c:v>
                </c:pt>
                <c:pt idx="209">
                  <c:v>0.41293220273291698</c:v>
                </c:pt>
                <c:pt idx="210">
                  <c:v>0.37473948850074701</c:v>
                </c:pt>
                <c:pt idx="211">
                  <c:v>0.38454222017173001</c:v>
                </c:pt>
                <c:pt idx="212">
                  <c:v>0.39723550717293998</c:v>
                </c:pt>
                <c:pt idx="213">
                  <c:v>0.36884373745410298</c:v>
                </c:pt>
                <c:pt idx="214">
                  <c:v>0.35922607626768999</c:v>
                </c:pt>
                <c:pt idx="215">
                  <c:v>0.37634633790209698</c:v>
                </c:pt>
                <c:pt idx="216">
                  <c:v>0.36715323599212302</c:v>
                </c:pt>
                <c:pt idx="217">
                  <c:v>0.331849443570159</c:v>
                </c:pt>
                <c:pt idx="218">
                  <c:v>0.34625709608722</c:v>
                </c:pt>
                <c:pt idx="219">
                  <c:v>0.34067280168528902</c:v>
                </c:pt>
                <c:pt idx="220">
                  <c:v>0.31540924324867597</c:v>
                </c:pt>
                <c:pt idx="221">
                  <c:v>0.31622826845436802</c:v>
                </c:pt>
                <c:pt idx="222">
                  <c:v>0.31494086095913199</c:v>
                </c:pt>
                <c:pt idx="223">
                  <c:v>0.35022409087384299</c:v>
                </c:pt>
                <c:pt idx="224">
                  <c:v>0.34376222446209198</c:v>
                </c:pt>
                <c:pt idx="225">
                  <c:v>0.37155317171365698</c:v>
                </c:pt>
                <c:pt idx="226">
                  <c:v>0.364046625773218</c:v>
                </c:pt>
                <c:pt idx="227">
                  <c:v>0.30919602030006399</c:v>
                </c:pt>
                <c:pt idx="228">
                  <c:v>0.367377976546506</c:v>
                </c:pt>
                <c:pt idx="229">
                  <c:v>0.33549854246781902</c:v>
                </c:pt>
                <c:pt idx="230">
                  <c:v>0.40688892738641202</c:v>
                </c:pt>
                <c:pt idx="231">
                  <c:v>0.39147713658043598</c:v>
                </c:pt>
                <c:pt idx="232">
                  <c:v>0.31876736058309402</c:v>
                </c:pt>
                <c:pt idx="233">
                  <c:v>0.30555736878946299</c:v>
                </c:pt>
                <c:pt idx="234">
                  <c:v>0.353039636600257</c:v>
                </c:pt>
                <c:pt idx="235">
                  <c:v>0.37257093873972302</c:v>
                </c:pt>
                <c:pt idx="236">
                  <c:v>0.37246683422879201</c:v>
                </c:pt>
                <c:pt idx="237">
                  <c:v>0.408853562905927</c:v>
                </c:pt>
                <c:pt idx="238">
                  <c:v>0.40237783921276998</c:v>
                </c:pt>
                <c:pt idx="239">
                  <c:v>0.42274602411636802</c:v>
                </c:pt>
                <c:pt idx="240">
                  <c:v>0.40426804811816103</c:v>
                </c:pt>
                <c:pt idx="241">
                  <c:v>0.42157785542176002</c:v>
                </c:pt>
                <c:pt idx="242">
                  <c:v>0.42585401297151898</c:v>
                </c:pt>
                <c:pt idx="243">
                  <c:v>0.46739862313557901</c:v>
                </c:pt>
                <c:pt idx="244">
                  <c:v>0.46331633224498697</c:v>
                </c:pt>
                <c:pt idx="245">
                  <c:v>0.48480470373172302</c:v>
                </c:pt>
                <c:pt idx="246">
                  <c:v>0.46728752081931202</c:v>
                </c:pt>
                <c:pt idx="247">
                  <c:v>0.46241326603022997</c:v>
                </c:pt>
                <c:pt idx="248">
                  <c:v>0.44862052260273899</c:v>
                </c:pt>
                <c:pt idx="249">
                  <c:v>0.44548683641131898</c:v>
                </c:pt>
                <c:pt idx="250">
                  <c:v>0.465788637828838</c:v>
                </c:pt>
                <c:pt idx="251">
                  <c:v>0.474273766285496</c:v>
                </c:pt>
                <c:pt idx="252">
                  <c:v>0.47394522046458298</c:v>
                </c:pt>
                <c:pt idx="253">
                  <c:v>0.36756746652171701</c:v>
                </c:pt>
                <c:pt idx="254">
                  <c:v>0.426236391157294</c:v>
                </c:pt>
                <c:pt idx="255">
                  <c:v>0.46123783973675903</c:v>
                </c:pt>
                <c:pt idx="256">
                  <c:v>0.433264747641111</c:v>
                </c:pt>
                <c:pt idx="257">
                  <c:v>0.40178675600500102</c:v>
                </c:pt>
                <c:pt idx="258">
                  <c:v>0.35331938714817601</c:v>
                </c:pt>
                <c:pt idx="259">
                  <c:v>0.34798189262311602</c:v>
                </c:pt>
                <c:pt idx="260">
                  <c:v>0.32885769181563201</c:v>
                </c:pt>
                <c:pt idx="261">
                  <c:v>0.32210475860825499</c:v>
                </c:pt>
                <c:pt idx="262">
                  <c:v>0.40177942336353201</c:v>
                </c:pt>
                <c:pt idx="263">
                  <c:v>0.37407080376896601</c:v>
                </c:pt>
                <c:pt idx="264">
                  <c:v>0.291623091722224</c:v>
                </c:pt>
                <c:pt idx="265">
                  <c:v>0.34501177046629999</c:v>
                </c:pt>
                <c:pt idx="266">
                  <c:v>0.53288645770047804</c:v>
                </c:pt>
                <c:pt idx="267">
                  <c:v>0.61447074908583099</c:v>
                </c:pt>
                <c:pt idx="268">
                  <c:v>0.55471825088874305</c:v>
                </c:pt>
                <c:pt idx="269">
                  <c:v>0.44681441476403999</c:v>
                </c:pt>
                <c:pt idx="270">
                  <c:v>0.42460981287474697</c:v>
                </c:pt>
                <c:pt idx="271">
                  <c:v>0.62515339114827395</c:v>
                </c:pt>
                <c:pt idx="272">
                  <c:v>0.57263754695154101</c:v>
                </c:pt>
                <c:pt idx="273">
                  <c:v>0.57925016387905504</c:v>
                </c:pt>
                <c:pt idx="274">
                  <c:v>0.448145411148823</c:v>
                </c:pt>
                <c:pt idx="275">
                  <c:v>0.72972111830125297</c:v>
                </c:pt>
                <c:pt idx="276">
                  <c:v>0.78953052935643397</c:v>
                </c:pt>
                <c:pt idx="277">
                  <c:v>0.80031841864949105</c:v>
                </c:pt>
                <c:pt idx="278">
                  <c:v>0.78099046314480303</c:v>
                </c:pt>
                <c:pt idx="279">
                  <c:v>0.79779667109249297</c:v>
                </c:pt>
                <c:pt idx="280">
                  <c:v>0.75277290275777198</c:v>
                </c:pt>
                <c:pt idx="281">
                  <c:v>0.72924229274528796</c:v>
                </c:pt>
                <c:pt idx="282">
                  <c:v>0.70500007051564195</c:v>
                </c:pt>
                <c:pt idx="283">
                  <c:v>0.71174111298237996</c:v>
                </c:pt>
                <c:pt idx="284">
                  <c:v>0.73009288126895699</c:v>
                </c:pt>
                <c:pt idx="285">
                  <c:v>0.72306428991254601</c:v>
                </c:pt>
                <c:pt idx="286">
                  <c:v>0.73903098561788705</c:v>
                </c:pt>
                <c:pt idx="287">
                  <c:v>0.76339846620768703</c:v>
                </c:pt>
                <c:pt idx="288">
                  <c:v>0.70621855886715101</c:v>
                </c:pt>
                <c:pt idx="289">
                  <c:v>0.66516086228106697</c:v>
                </c:pt>
                <c:pt idx="290">
                  <c:v>0.66409262457433005</c:v>
                </c:pt>
                <c:pt idx="291">
                  <c:v>0.66107826968458405</c:v>
                </c:pt>
                <c:pt idx="292">
                  <c:v>0.65493237289909401</c:v>
                </c:pt>
                <c:pt idx="293">
                  <c:v>0.66832789712680696</c:v>
                </c:pt>
                <c:pt idx="294">
                  <c:v>0.66110381486800596</c:v>
                </c:pt>
                <c:pt idx="295">
                  <c:v>0.61426427644020498</c:v>
                </c:pt>
                <c:pt idx="296">
                  <c:v>0.651443903593518</c:v>
                </c:pt>
                <c:pt idx="297">
                  <c:v>0.62368175969904804</c:v>
                </c:pt>
                <c:pt idx="298">
                  <c:v>0.60718215121837704</c:v>
                </c:pt>
                <c:pt idx="299">
                  <c:v>0.61631138563378296</c:v>
                </c:pt>
                <c:pt idx="300">
                  <c:v>0.630759725869106</c:v>
                </c:pt>
                <c:pt idx="301">
                  <c:v>0.61614597492039702</c:v>
                </c:pt>
                <c:pt idx="302">
                  <c:v>0.58803305831578501</c:v>
                </c:pt>
                <c:pt idx="303">
                  <c:v>0.576165277169705</c:v>
                </c:pt>
                <c:pt idx="304">
                  <c:v>0.57810312321888102</c:v>
                </c:pt>
                <c:pt idx="305">
                  <c:v>0.59835614181081098</c:v>
                </c:pt>
                <c:pt idx="306">
                  <c:v>0.58203199561558405</c:v>
                </c:pt>
                <c:pt idx="307">
                  <c:v>0.57779414765126802</c:v>
                </c:pt>
                <c:pt idx="308">
                  <c:v>0.59882248955498296</c:v>
                </c:pt>
                <c:pt idx="309">
                  <c:v>0.58836644770704605</c:v>
                </c:pt>
                <c:pt idx="310">
                  <c:v>0.58093837203324095</c:v>
                </c:pt>
                <c:pt idx="311">
                  <c:v>0.57340319973492604</c:v>
                </c:pt>
                <c:pt idx="312">
                  <c:v>0.579870369800073</c:v>
                </c:pt>
                <c:pt idx="313">
                  <c:v>0.59328548547543503</c:v>
                </c:pt>
                <c:pt idx="314">
                  <c:v>0.60129173414889803</c:v>
                </c:pt>
                <c:pt idx="315">
                  <c:v>0.60069353020460303</c:v>
                </c:pt>
                <c:pt idx="316">
                  <c:v>0.60094460753377099</c:v>
                </c:pt>
                <c:pt idx="317">
                  <c:v>0.60006250061713295</c:v>
                </c:pt>
                <c:pt idx="318">
                  <c:v>0.59924051870898398</c:v>
                </c:pt>
                <c:pt idx="319">
                  <c:v>0.59975514618451797</c:v>
                </c:pt>
                <c:pt idx="320">
                  <c:v>0.60134971802634496</c:v>
                </c:pt>
                <c:pt idx="321">
                  <c:v>0.60154843851173401</c:v>
                </c:pt>
                <c:pt idx="322">
                  <c:v>0.59303141428433204</c:v>
                </c:pt>
                <c:pt idx="323">
                  <c:v>0.58047037618805097</c:v>
                </c:pt>
                <c:pt idx="324">
                  <c:v>0.606047018186751</c:v>
                </c:pt>
                <c:pt idx="325">
                  <c:v>0.60696896233827402</c:v>
                </c:pt>
                <c:pt idx="326">
                  <c:v>0.60791540660014098</c:v>
                </c:pt>
                <c:pt idx="327">
                  <c:v>0.60258459773338802</c:v>
                </c:pt>
                <c:pt idx="328">
                  <c:v>0.61122812783771696</c:v>
                </c:pt>
                <c:pt idx="329">
                  <c:v>0.68918828774137697</c:v>
                </c:pt>
                <c:pt idx="330">
                  <c:v>0.65947150510670305</c:v>
                </c:pt>
                <c:pt idx="331">
                  <c:v>0.65764239280103898</c:v>
                </c:pt>
                <c:pt idx="332">
                  <c:v>0.63894804490344104</c:v>
                </c:pt>
                <c:pt idx="333">
                  <c:v>0.64836943938073399</c:v>
                </c:pt>
                <c:pt idx="334">
                  <c:v>0.68911471599334495</c:v>
                </c:pt>
                <c:pt idx="335">
                  <c:v>0.61607648903269097</c:v>
                </c:pt>
                <c:pt idx="336">
                  <c:v>0.62825957491360096</c:v>
                </c:pt>
                <c:pt idx="337">
                  <c:v>0.63687252145885598</c:v>
                </c:pt>
                <c:pt idx="338">
                  <c:v>0.64686593617990396</c:v>
                </c:pt>
                <c:pt idx="339">
                  <c:v>0.62435895192560797</c:v>
                </c:pt>
                <c:pt idx="340">
                  <c:v>0.60178683983578696</c:v>
                </c:pt>
                <c:pt idx="341">
                  <c:v>0.55189197225850095</c:v>
                </c:pt>
                <c:pt idx="342">
                  <c:v>0.54832160839577404</c:v>
                </c:pt>
                <c:pt idx="343">
                  <c:v>0.52290679215180602</c:v>
                </c:pt>
                <c:pt idx="344">
                  <c:v>0.56965156905808401</c:v>
                </c:pt>
                <c:pt idx="345">
                  <c:v>0.55548845577972905</c:v>
                </c:pt>
                <c:pt idx="346">
                  <c:v>0.52747608738489005</c:v>
                </c:pt>
                <c:pt idx="347">
                  <c:v>0.50388953876855502</c:v>
                </c:pt>
                <c:pt idx="348">
                  <c:v>0.54267673187732701</c:v>
                </c:pt>
                <c:pt idx="349">
                  <c:v>0.43947317271302999</c:v>
                </c:pt>
                <c:pt idx="350">
                  <c:v>0.38969868369837302</c:v>
                </c:pt>
                <c:pt idx="351">
                  <c:v>0.38960639275546</c:v>
                </c:pt>
                <c:pt idx="352">
                  <c:v>0.35081312755014898</c:v>
                </c:pt>
                <c:pt idx="353">
                  <c:v>0.25065623871638698</c:v>
                </c:pt>
                <c:pt idx="354">
                  <c:v>0.43393508320937801</c:v>
                </c:pt>
                <c:pt idx="355">
                  <c:v>0.35124872815658897</c:v>
                </c:pt>
                <c:pt idx="356">
                  <c:v>0.32985317274537002</c:v>
                </c:pt>
                <c:pt idx="357">
                  <c:v>0.27398727139114498</c:v>
                </c:pt>
                <c:pt idx="358">
                  <c:v>0.26670019195268801</c:v>
                </c:pt>
                <c:pt idx="359">
                  <c:v>0.25157162127571397</c:v>
                </c:pt>
                <c:pt idx="360">
                  <c:v>0.263976929697402</c:v>
                </c:pt>
                <c:pt idx="361">
                  <c:v>0.31581199131141802</c:v>
                </c:pt>
                <c:pt idx="362">
                  <c:v>0.35548405817411399</c:v>
                </c:pt>
                <c:pt idx="363">
                  <c:v>0.37191148397607898</c:v>
                </c:pt>
                <c:pt idx="364">
                  <c:v>0.39806812056028401</c:v>
                </c:pt>
                <c:pt idx="365">
                  <c:v>0.374822709716089</c:v>
                </c:pt>
                <c:pt idx="366">
                  <c:v>0.38216967144463498</c:v>
                </c:pt>
                <c:pt idx="367">
                  <c:v>0.396176630310837</c:v>
                </c:pt>
                <c:pt idx="368">
                  <c:v>0.38748100831323801</c:v>
                </c:pt>
                <c:pt idx="369">
                  <c:v>0.36390129990854297</c:v>
                </c:pt>
                <c:pt idx="370">
                  <c:v>0.33118229482065997</c:v>
                </c:pt>
                <c:pt idx="371">
                  <c:v>0.29524974322687297</c:v>
                </c:pt>
                <c:pt idx="372">
                  <c:v>0.26559862920118299</c:v>
                </c:pt>
                <c:pt idx="373">
                  <c:v>0.26410086646964498</c:v>
                </c:pt>
                <c:pt idx="374">
                  <c:v>0.32322583849657599</c:v>
                </c:pt>
                <c:pt idx="375">
                  <c:v>0.393293410969974</c:v>
                </c:pt>
                <c:pt idx="376">
                  <c:v>0.34509695174306898</c:v>
                </c:pt>
                <c:pt idx="377">
                  <c:v>0.36332506917179003</c:v>
                </c:pt>
                <c:pt idx="378">
                  <c:v>0.456155325056389</c:v>
                </c:pt>
                <c:pt idx="379">
                  <c:v>0.46595736652803899</c:v>
                </c:pt>
                <c:pt idx="380">
                  <c:v>0.49670775617596202</c:v>
                </c:pt>
                <c:pt idx="381">
                  <c:v>0.517565873906635</c:v>
                </c:pt>
                <c:pt idx="382">
                  <c:v>0.51949749149114599</c:v>
                </c:pt>
                <c:pt idx="383">
                  <c:v>0.51968743631007996</c:v>
                </c:pt>
                <c:pt idx="384">
                  <c:v>0.51845862603818904</c:v>
                </c:pt>
                <c:pt idx="385">
                  <c:v>0.51648151780097096</c:v>
                </c:pt>
                <c:pt idx="386">
                  <c:v>0.51608042456647196</c:v>
                </c:pt>
                <c:pt idx="387">
                  <c:v>0.50653518662557595</c:v>
                </c:pt>
                <c:pt idx="388">
                  <c:v>0.50779521491959201</c:v>
                </c:pt>
                <c:pt idx="389">
                  <c:v>0.55512119138587002</c:v>
                </c:pt>
                <c:pt idx="390">
                  <c:v>0.56728668636412405</c:v>
                </c:pt>
                <c:pt idx="391">
                  <c:v>0.51562095295479704</c:v>
                </c:pt>
                <c:pt idx="392">
                  <c:v>0.53931195033671198</c:v>
                </c:pt>
                <c:pt idx="393">
                  <c:v>0.62075518106095495</c:v>
                </c:pt>
                <c:pt idx="394">
                  <c:v>0.61288389425899503</c:v>
                </c:pt>
                <c:pt idx="395">
                  <c:v>0.62279779798455304</c:v>
                </c:pt>
                <c:pt idx="396">
                  <c:v>0.53984091141813395</c:v>
                </c:pt>
                <c:pt idx="397">
                  <c:v>0.48771230952959799</c:v>
                </c:pt>
                <c:pt idx="398">
                  <c:v>0.491573290683328</c:v>
                </c:pt>
                <c:pt idx="399">
                  <c:v>0.50541449033580299</c:v>
                </c:pt>
                <c:pt idx="400">
                  <c:v>0.45754781949496398</c:v>
                </c:pt>
                <c:pt idx="401">
                  <c:v>0.43703873239206498</c:v>
                </c:pt>
                <c:pt idx="402">
                  <c:v>0.42567331251261298</c:v>
                </c:pt>
                <c:pt idx="403">
                  <c:v>0.40397447587100799</c:v>
                </c:pt>
                <c:pt idx="404">
                  <c:v>0.41102189681373602</c:v>
                </c:pt>
                <c:pt idx="405">
                  <c:v>0.41287247223955398</c:v>
                </c:pt>
                <c:pt idx="406">
                  <c:v>0.38711914150348298</c:v>
                </c:pt>
                <c:pt idx="407">
                  <c:v>0.38850173021571199</c:v>
                </c:pt>
                <c:pt idx="408">
                  <c:v>0.393446983384864</c:v>
                </c:pt>
                <c:pt idx="409">
                  <c:v>0.36638873163500202</c:v>
                </c:pt>
                <c:pt idx="410">
                  <c:v>0.37692251679006999</c:v>
                </c:pt>
                <c:pt idx="411">
                  <c:v>0.36931089832990299</c:v>
                </c:pt>
                <c:pt idx="412">
                  <c:v>0.35750201014849498</c:v>
                </c:pt>
                <c:pt idx="413">
                  <c:v>0.34320861499195998</c:v>
                </c:pt>
                <c:pt idx="414">
                  <c:v>0.35833266350798698</c:v>
                </c:pt>
                <c:pt idx="415">
                  <c:v>0.34747192385537001</c:v>
                </c:pt>
                <c:pt idx="416">
                  <c:v>0.35629131599564601</c:v>
                </c:pt>
                <c:pt idx="417">
                  <c:v>0.32466702474047199</c:v>
                </c:pt>
                <c:pt idx="418">
                  <c:v>0.35609718388906397</c:v>
                </c:pt>
                <c:pt idx="419">
                  <c:v>0.29338879338864199</c:v>
                </c:pt>
                <c:pt idx="420">
                  <c:v>0.30130096130603501</c:v>
                </c:pt>
                <c:pt idx="421">
                  <c:v>0.30724393694202301</c:v>
                </c:pt>
                <c:pt idx="422">
                  <c:v>0.38931732219019499</c:v>
                </c:pt>
                <c:pt idx="423">
                  <c:v>0.26521580624792501</c:v>
                </c:pt>
                <c:pt idx="424">
                  <c:v>0.39497419668693501</c:v>
                </c:pt>
                <c:pt idx="425">
                  <c:v>0.434692631215366</c:v>
                </c:pt>
                <c:pt idx="426">
                  <c:v>0.44533256775062302</c:v>
                </c:pt>
                <c:pt idx="427">
                  <c:v>0.46394085482845099</c:v>
                </c:pt>
                <c:pt idx="428">
                  <c:v>0.421574104031953</c:v>
                </c:pt>
                <c:pt idx="429">
                  <c:v>0.37641532530195299</c:v>
                </c:pt>
                <c:pt idx="430">
                  <c:v>0.46687088415745398</c:v>
                </c:pt>
                <c:pt idx="431">
                  <c:v>0.36658639400881798</c:v>
                </c:pt>
                <c:pt idx="432">
                  <c:v>0.33743524904810501</c:v>
                </c:pt>
                <c:pt idx="433">
                  <c:v>0.33379129265808699</c:v>
                </c:pt>
                <c:pt idx="434">
                  <c:v>0.27464826242882701</c:v>
                </c:pt>
                <c:pt idx="435">
                  <c:v>0.29917140786940599</c:v>
                </c:pt>
                <c:pt idx="436">
                  <c:v>0.34916234953668501</c:v>
                </c:pt>
                <c:pt idx="437">
                  <c:v>0.46100801311859202</c:v>
                </c:pt>
                <c:pt idx="438">
                  <c:v>0.439691609243615</c:v>
                </c:pt>
                <c:pt idx="439">
                  <c:v>0.30835241395115298</c:v>
                </c:pt>
                <c:pt idx="440">
                  <c:v>0.23912019022243</c:v>
                </c:pt>
                <c:pt idx="441">
                  <c:v>0.123175279175454</c:v>
                </c:pt>
                <c:pt idx="442">
                  <c:v>0.13596901938387401</c:v>
                </c:pt>
                <c:pt idx="443">
                  <c:v>0.11437095194083501</c:v>
                </c:pt>
                <c:pt idx="444">
                  <c:v>8.3676149679936404E-2</c:v>
                </c:pt>
                <c:pt idx="445">
                  <c:v>2.0094556698704399E-2</c:v>
                </c:pt>
                <c:pt idx="446">
                  <c:v>3.6125002914596102E-3</c:v>
                </c:pt>
                <c:pt idx="447">
                  <c:v>4.3189142770128103E-3</c:v>
                </c:pt>
                <c:pt idx="448">
                  <c:v>1.3509461547222201E-3</c:v>
                </c:pt>
                <c:pt idx="449">
                  <c:v>1.9863184452817398E-3</c:v>
                </c:pt>
                <c:pt idx="450">
                  <c:v>5.2281385415746898E-3</c:v>
                </c:pt>
                <c:pt idx="451">
                  <c:v>2.1189462832809898E-3</c:v>
                </c:pt>
                <c:pt idx="452">
                  <c:v>3.0430251399788999E-2</c:v>
                </c:pt>
                <c:pt idx="453">
                  <c:v>0.118004585574902</c:v>
                </c:pt>
                <c:pt idx="454">
                  <c:v>0.18067546950442501</c:v>
                </c:pt>
                <c:pt idx="455">
                  <c:v>0.26326696086066198</c:v>
                </c:pt>
                <c:pt idx="456">
                  <c:v>0.29620692092058798</c:v>
                </c:pt>
                <c:pt idx="457">
                  <c:v>0.22798310728559801</c:v>
                </c:pt>
                <c:pt idx="458">
                  <c:v>0.28896384047895801</c:v>
                </c:pt>
                <c:pt idx="459">
                  <c:v>0.338697297689045</c:v>
                </c:pt>
                <c:pt idx="460">
                  <c:v>0.350082161819045</c:v>
                </c:pt>
                <c:pt idx="461">
                  <c:v>0.42452051274118302</c:v>
                </c:pt>
                <c:pt idx="462">
                  <c:v>0.54044033407454495</c:v>
                </c:pt>
                <c:pt idx="463">
                  <c:v>0.70947058260460305</c:v>
                </c:pt>
                <c:pt idx="464">
                  <c:v>0.66515445671817097</c:v>
                </c:pt>
                <c:pt idx="465">
                  <c:v>0.64569624464828101</c:v>
                </c:pt>
                <c:pt idx="466">
                  <c:v>0.71842996398254499</c:v>
                </c:pt>
                <c:pt idx="467">
                  <c:v>0.74238623172020402</c:v>
                </c:pt>
                <c:pt idx="468">
                  <c:v>0.73070322961280298</c:v>
                </c:pt>
                <c:pt idx="469">
                  <c:v>0.71421540551501494</c:v>
                </c:pt>
                <c:pt idx="470">
                  <c:v>0.643553112108874</c:v>
                </c:pt>
                <c:pt idx="471">
                  <c:v>0.671445713939963</c:v>
                </c:pt>
                <c:pt idx="472">
                  <c:v>0.64135955859036098</c:v>
                </c:pt>
                <c:pt idx="473">
                  <c:v>0.62615936070823097</c:v>
                </c:pt>
                <c:pt idx="474">
                  <c:v>0.61668520035762997</c:v>
                </c:pt>
                <c:pt idx="475">
                  <c:v>0.59515441336317598</c:v>
                </c:pt>
                <c:pt idx="476">
                  <c:v>0.62559645414869203</c:v>
                </c:pt>
                <c:pt idx="477">
                  <c:v>0.62184983233880897</c:v>
                </c:pt>
                <c:pt idx="478">
                  <c:v>0.56559586028237097</c:v>
                </c:pt>
                <c:pt idx="479">
                  <c:v>0.59125957921327799</c:v>
                </c:pt>
                <c:pt idx="480">
                  <c:v>0.66476747021758997</c:v>
                </c:pt>
                <c:pt idx="481">
                  <c:v>0.64907634180316198</c:v>
                </c:pt>
                <c:pt idx="482">
                  <c:v>0.59659263927184203</c:v>
                </c:pt>
                <c:pt idx="483">
                  <c:v>0.77402122739595303</c:v>
                </c:pt>
                <c:pt idx="484">
                  <c:v>0.78977099551207697</c:v>
                </c:pt>
                <c:pt idx="485">
                  <c:v>0.77865397281403803</c:v>
                </c:pt>
                <c:pt idx="486">
                  <c:v>0.79296484873196704</c:v>
                </c:pt>
                <c:pt idx="487">
                  <c:v>0.85954737715700902</c:v>
                </c:pt>
                <c:pt idx="488">
                  <c:v>0.88156888888834395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2"/>
          <c:order val="2"/>
          <c:tx>
            <c:strRef>
              <c:f>BACK_TEST!$O$41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BACK_TEST!$A$42:$A$703</c:f>
              <c:numCache>
                <c:formatCode>yyyy/mm/dd</c:formatCode>
                <c:ptCount val="662"/>
                <c:pt idx="0">
                  <c:v>43815</c:v>
                </c:pt>
                <c:pt idx="1">
                  <c:v>43812</c:v>
                </c:pt>
                <c:pt idx="2">
                  <c:v>43811</c:v>
                </c:pt>
                <c:pt idx="3">
                  <c:v>43810</c:v>
                </c:pt>
                <c:pt idx="4">
                  <c:v>43809</c:v>
                </c:pt>
                <c:pt idx="5">
                  <c:v>43808</c:v>
                </c:pt>
                <c:pt idx="6">
                  <c:v>43805</c:v>
                </c:pt>
                <c:pt idx="7">
                  <c:v>43804</c:v>
                </c:pt>
                <c:pt idx="8">
                  <c:v>43803</c:v>
                </c:pt>
                <c:pt idx="9">
                  <c:v>43802</c:v>
                </c:pt>
                <c:pt idx="10">
                  <c:v>43801</c:v>
                </c:pt>
                <c:pt idx="11">
                  <c:v>43798</c:v>
                </c:pt>
                <c:pt idx="12">
                  <c:v>43797</c:v>
                </c:pt>
                <c:pt idx="13">
                  <c:v>43796</c:v>
                </c:pt>
                <c:pt idx="14">
                  <c:v>43795</c:v>
                </c:pt>
                <c:pt idx="15">
                  <c:v>43794</c:v>
                </c:pt>
                <c:pt idx="16">
                  <c:v>43791</c:v>
                </c:pt>
                <c:pt idx="17">
                  <c:v>43790</c:v>
                </c:pt>
                <c:pt idx="18">
                  <c:v>43789</c:v>
                </c:pt>
                <c:pt idx="19">
                  <c:v>43788</c:v>
                </c:pt>
                <c:pt idx="20">
                  <c:v>43787</c:v>
                </c:pt>
                <c:pt idx="21">
                  <c:v>43784</c:v>
                </c:pt>
                <c:pt idx="22">
                  <c:v>43783</c:v>
                </c:pt>
                <c:pt idx="23">
                  <c:v>43782</c:v>
                </c:pt>
                <c:pt idx="24">
                  <c:v>43781</c:v>
                </c:pt>
                <c:pt idx="25">
                  <c:v>43780</c:v>
                </c:pt>
                <c:pt idx="26">
                  <c:v>43777</c:v>
                </c:pt>
                <c:pt idx="27">
                  <c:v>43776</c:v>
                </c:pt>
                <c:pt idx="28">
                  <c:v>43775</c:v>
                </c:pt>
                <c:pt idx="29">
                  <c:v>43774</c:v>
                </c:pt>
                <c:pt idx="30">
                  <c:v>43770</c:v>
                </c:pt>
                <c:pt idx="31">
                  <c:v>43769</c:v>
                </c:pt>
                <c:pt idx="32">
                  <c:v>43768</c:v>
                </c:pt>
                <c:pt idx="33">
                  <c:v>43767</c:v>
                </c:pt>
                <c:pt idx="34">
                  <c:v>43766</c:v>
                </c:pt>
                <c:pt idx="35">
                  <c:v>43763</c:v>
                </c:pt>
                <c:pt idx="36">
                  <c:v>43762</c:v>
                </c:pt>
                <c:pt idx="37">
                  <c:v>43761</c:v>
                </c:pt>
                <c:pt idx="38">
                  <c:v>43759</c:v>
                </c:pt>
                <c:pt idx="39">
                  <c:v>43756</c:v>
                </c:pt>
                <c:pt idx="40">
                  <c:v>43755</c:v>
                </c:pt>
                <c:pt idx="41">
                  <c:v>43754</c:v>
                </c:pt>
                <c:pt idx="42">
                  <c:v>43753</c:v>
                </c:pt>
                <c:pt idx="43">
                  <c:v>43749</c:v>
                </c:pt>
                <c:pt idx="44">
                  <c:v>43748</c:v>
                </c:pt>
                <c:pt idx="45">
                  <c:v>43747</c:v>
                </c:pt>
                <c:pt idx="46">
                  <c:v>43746</c:v>
                </c:pt>
                <c:pt idx="47">
                  <c:v>43745</c:v>
                </c:pt>
                <c:pt idx="48">
                  <c:v>43742</c:v>
                </c:pt>
                <c:pt idx="49">
                  <c:v>43741</c:v>
                </c:pt>
                <c:pt idx="50">
                  <c:v>43740</c:v>
                </c:pt>
                <c:pt idx="51">
                  <c:v>43739</c:v>
                </c:pt>
                <c:pt idx="52">
                  <c:v>43738</c:v>
                </c:pt>
                <c:pt idx="53">
                  <c:v>43735</c:v>
                </c:pt>
                <c:pt idx="54">
                  <c:v>43734</c:v>
                </c:pt>
                <c:pt idx="55">
                  <c:v>43733</c:v>
                </c:pt>
                <c:pt idx="56">
                  <c:v>43732</c:v>
                </c:pt>
                <c:pt idx="57">
                  <c:v>43728</c:v>
                </c:pt>
                <c:pt idx="58">
                  <c:v>43727</c:v>
                </c:pt>
                <c:pt idx="59">
                  <c:v>43726</c:v>
                </c:pt>
                <c:pt idx="60">
                  <c:v>43725</c:v>
                </c:pt>
                <c:pt idx="61">
                  <c:v>43721</c:v>
                </c:pt>
                <c:pt idx="62">
                  <c:v>43720</c:v>
                </c:pt>
                <c:pt idx="63">
                  <c:v>43719</c:v>
                </c:pt>
                <c:pt idx="64">
                  <c:v>43718</c:v>
                </c:pt>
                <c:pt idx="65">
                  <c:v>43717</c:v>
                </c:pt>
                <c:pt idx="66">
                  <c:v>43714</c:v>
                </c:pt>
                <c:pt idx="67">
                  <c:v>43713</c:v>
                </c:pt>
                <c:pt idx="68">
                  <c:v>43712</c:v>
                </c:pt>
                <c:pt idx="69">
                  <c:v>43711</c:v>
                </c:pt>
                <c:pt idx="70">
                  <c:v>43710</c:v>
                </c:pt>
                <c:pt idx="71">
                  <c:v>43707</c:v>
                </c:pt>
                <c:pt idx="72">
                  <c:v>43706</c:v>
                </c:pt>
                <c:pt idx="73">
                  <c:v>43705</c:v>
                </c:pt>
                <c:pt idx="74">
                  <c:v>43704</c:v>
                </c:pt>
                <c:pt idx="75">
                  <c:v>43703</c:v>
                </c:pt>
                <c:pt idx="76">
                  <c:v>43700</c:v>
                </c:pt>
                <c:pt idx="77">
                  <c:v>43699</c:v>
                </c:pt>
                <c:pt idx="78">
                  <c:v>43698</c:v>
                </c:pt>
                <c:pt idx="79">
                  <c:v>43697</c:v>
                </c:pt>
                <c:pt idx="80">
                  <c:v>43696</c:v>
                </c:pt>
                <c:pt idx="81">
                  <c:v>43693</c:v>
                </c:pt>
                <c:pt idx="82">
                  <c:v>43692</c:v>
                </c:pt>
                <c:pt idx="83">
                  <c:v>43691</c:v>
                </c:pt>
                <c:pt idx="84">
                  <c:v>43690</c:v>
                </c:pt>
                <c:pt idx="85">
                  <c:v>43686</c:v>
                </c:pt>
                <c:pt idx="86">
                  <c:v>43685</c:v>
                </c:pt>
                <c:pt idx="87">
                  <c:v>43684</c:v>
                </c:pt>
                <c:pt idx="88">
                  <c:v>43683</c:v>
                </c:pt>
                <c:pt idx="89">
                  <c:v>43682</c:v>
                </c:pt>
                <c:pt idx="90">
                  <c:v>43679</c:v>
                </c:pt>
                <c:pt idx="91">
                  <c:v>43678</c:v>
                </c:pt>
                <c:pt idx="92">
                  <c:v>43677</c:v>
                </c:pt>
                <c:pt idx="93">
                  <c:v>43676</c:v>
                </c:pt>
                <c:pt idx="94">
                  <c:v>43675</c:v>
                </c:pt>
                <c:pt idx="95">
                  <c:v>43672</c:v>
                </c:pt>
                <c:pt idx="96">
                  <c:v>43671</c:v>
                </c:pt>
                <c:pt idx="97">
                  <c:v>43670</c:v>
                </c:pt>
                <c:pt idx="98">
                  <c:v>43669</c:v>
                </c:pt>
                <c:pt idx="99">
                  <c:v>43668</c:v>
                </c:pt>
                <c:pt idx="100">
                  <c:v>43665</c:v>
                </c:pt>
                <c:pt idx="101">
                  <c:v>43664</c:v>
                </c:pt>
                <c:pt idx="102">
                  <c:v>43663</c:v>
                </c:pt>
                <c:pt idx="103">
                  <c:v>43662</c:v>
                </c:pt>
                <c:pt idx="104">
                  <c:v>43658</c:v>
                </c:pt>
                <c:pt idx="105">
                  <c:v>43657</c:v>
                </c:pt>
                <c:pt idx="106">
                  <c:v>43656</c:v>
                </c:pt>
                <c:pt idx="107">
                  <c:v>43655</c:v>
                </c:pt>
                <c:pt idx="108">
                  <c:v>43654</c:v>
                </c:pt>
                <c:pt idx="109">
                  <c:v>43651</c:v>
                </c:pt>
                <c:pt idx="110">
                  <c:v>43650</c:v>
                </c:pt>
                <c:pt idx="111">
                  <c:v>43649</c:v>
                </c:pt>
                <c:pt idx="112">
                  <c:v>43648</c:v>
                </c:pt>
                <c:pt idx="113">
                  <c:v>43647</c:v>
                </c:pt>
                <c:pt idx="114">
                  <c:v>43644</c:v>
                </c:pt>
                <c:pt idx="115">
                  <c:v>43643</c:v>
                </c:pt>
                <c:pt idx="116">
                  <c:v>43642</c:v>
                </c:pt>
                <c:pt idx="117">
                  <c:v>43641</c:v>
                </c:pt>
                <c:pt idx="118">
                  <c:v>43640</c:v>
                </c:pt>
                <c:pt idx="119">
                  <c:v>43637</c:v>
                </c:pt>
                <c:pt idx="120">
                  <c:v>43636</c:v>
                </c:pt>
                <c:pt idx="121">
                  <c:v>43635</c:v>
                </c:pt>
                <c:pt idx="122">
                  <c:v>43634</c:v>
                </c:pt>
                <c:pt idx="123">
                  <c:v>43633</c:v>
                </c:pt>
                <c:pt idx="124">
                  <c:v>43630</c:v>
                </c:pt>
                <c:pt idx="125">
                  <c:v>43629</c:v>
                </c:pt>
                <c:pt idx="126">
                  <c:v>43628</c:v>
                </c:pt>
                <c:pt idx="127">
                  <c:v>43627</c:v>
                </c:pt>
                <c:pt idx="128">
                  <c:v>43626</c:v>
                </c:pt>
                <c:pt idx="129">
                  <c:v>43623</c:v>
                </c:pt>
                <c:pt idx="130">
                  <c:v>43622</c:v>
                </c:pt>
                <c:pt idx="131">
                  <c:v>43621</c:v>
                </c:pt>
                <c:pt idx="132">
                  <c:v>43620</c:v>
                </c:pt>
                <c:pt idx="133">
                  <c:v>43619</c:v>
                </c:pt>
                <c:pt idx="134">
                  <c:v>43616</c:v>
                </c:pt>
                <c:pt idx="135">
                  <c:v>43615</c:v>
                </c:pt>
                <c:pt idx="136">
                  <c:v>43614</c:v>
                </c:pt>
                <c:pt idx="137">
                  <c:v>43613</c:v>
                </c:pt>
                <c:pt idx="138">
                  <c:v>43612</c:v>
                </c:pt>
                <c:pt idx="139">
                  <c:v>43609</c:v>
                </c:pt>
                <c:pt idx="140">
                  <c:v>43608</c:v>
                </c:pt>
                <c:pt idx="141">
                  <c:v>43607</c:v>
                </c:pt>
                <c:pt idx="142">
                  <c:v>43606</c:v>
                </c:pt>
                <c:pt idx="143">
                  <c:v>43605</c:v>
                </c:pt>
                <c:pt idx="144">
                  <c:v>43602</c:v>
                </c:pt>
                <c:pt idx="145">
                  <c:v>43601</c:v>
                </c:pt>
                <c:pt idx="146">
                  <c:v>43600</c:v>
                </c:pt>
                <c:pt idx="147">
                  <c:v>43599</c:v>
                </c:pt>
                <c:pt idx="148">
                  <c:v>43598</c:v>
                </c:pt>
                <c:pt idx="149">
                  <c:v>43595</c:v>
                </c:pt>
                <c:pt idx="150">
                  <c:v>43594</c:v>
                </c:pt>
                <c:pt idx="151">
                  <c:v>43593</c:v>
                </c:pt>
                <c:pt idx="152">
                  <c:v>43592</c:v>
                </c:pt>
                <c:pt idx="153">
                  <c:v>43581</c:v>
                </c:pt>
                <c:pt idx="154">
                  <c:v>43580</c:v>
                </c:pt>
                <c:pt idx="155">
                  <c:v>43579</c:v>
                </c:pt>
                <c:pt idx="156">
                  <c:v>43578</c:v>
                </c:pt>
                <c:pt idx="157">
                  <c:v>43577</c:v>
                </c:pt>
                <c:pt idx="158">
                  <c:v>43574</c:v>
                </c:pt>
                <c:pt idx="159">
                  <c:v>43573</c:v>
                </c:pt>
                <c:pt idx="160">
                  <c:v>43572</c:v>
                </c:pt>
                <c:pt idx="161">
                  <c:v>43571</c:v>
                </c:pt>
                <c:pt idx="162">
                  <c:v>43570</c:v>
                </c:pt>
                <c:pt idx="163">
                  <c:v>43567</c:v>
                </c:pt>
                <c:pt idx="164">
                  <c:v>43566</c:v>
                </c:pt>
                <c:pt idx="165">
                  <c:v>43565</c:v>
                </c:pt>
                <c:pt idx="166">
                  <c:v>43564</c:v>
                </c:pt>
                <c:pt idx="167">
                  <c:v>43563</c:v>
                </c:pt>
                <c:pt idx="168">
                  <c:v>43560</c:v>
                </c:pt>
                <c:pt idx="169">
                  <c:v>43559</c:v>
                </c:pt>
                <c:pt idx="170">
                  <c:v>43558</c:v>
                </c:pt>
                <c:pt idx="171">
                  <c:v>43557</c:v>
                </c:pt>
                <c:pt idx="172">
                  <c:v>43556</c:v>
                </c:pt>
                <c:pt idx="173">
                  <c:v>43553</c:v>
                </c:pt>
                <c:pt idx="174">
                  <c:v>43552</c:v>
                </c:pt>
                <c:pt idx="175">
                  <c:v>43551</c:v>
                </c:pt>
                <c:pt idx="176">
                  <c:v>43550</c:v>
                </c:pt>
                <c:pt idx="177">
                  <c:v>43549</c:v>
                </c:pt>
                <c:pt idx="178">
                  <c:v>43546</c:v>
                </c:pt>
                <c:pt idx="179">
                  <c:v>43544</c:v>
                </c:pt>
                <c:pt idx="180">
                  <c:v>43543</c:v>
                </c:pt>
                <c:pt idx="181">
                  <c:v>43542</c:v>
                </c:pt>
                <c:pt idx="182">
                  <c:v>43539</c:v>
                </c:pt>
                <c:pt idx="183">
                  <c:v>43538</c:v>
                </c:pt>
                <c:pt idx="184">
                  <c:v>43537</c:v>
                </c:pt>
                <c:pt idx="185">
                  <c:v>43536</c:v>
                </c:pt>
                <c:pt idx="186">
                  <c:v>43535</c:v>
                </c:pt>
                <c:pt idx="187">
                  <c:v>43532</c:v>
                </c:pt>
                <c:pt idx="188">
                  <c:v>43531</c:v>
                </c:pt>
                <c:pt idx="189">
                  <c:v>43530</c:v>
                </c:pt>
                <c:pt idx="190">
                  <c:v>43529</c:v>
                </c:pt>
                <c:pt idx="191">
                  <c:v>43528</c:v>
                </c:pt>
                <c:pt idx="192">
                  <c:v>43525</c:v>
                </c:pt>
                <c:pt idx="193">
                  <c:v>43524</c:v>
                </c:pt>
                <c:pt idx="194">
                  <c:v>43523</c:v>
                </c:pt>
                <c:pt idx="195">
                  <c:v>43522</c:v>
                </c:pt>
                <c:pt idx="196">
                  <c:v>43521</c:v>
                </c:pt>
                <c:pt idx="197">
                  <c:v>43518</c:v>
                </c:pt>
                <c:pt idx="198">
                  <c:v>43517</c:v>
                </c:pt>
                <c:pt idx="199">
                  <c:v>43516</c:v>
                </c:pt>
                <c:pt idx="200">
                  <c:v>43515</c:v>
                </c:pt>
                <c:pt idx="201">
                  <c:v>43514</c:v>
                </c:pt>
                <c:pt idx="202">
                  <c:v>43511</c:v>
                </c:pt>
                <c:pt idx="203">
                  <c:v>43510</c:v>
                </c:pt>
                <c:pt idx="204">
                  <c:v>43509</c:v>
                </c:pt>
                <c:pt idx="205">
                  <c:v>43508</c:v>
                </c:pt>
                <c:pt idx="206">
                  <c:v>43504</c:v>
                </c:pt>
                <c:pt idx="207">
                  <c:v>43503</c:v>
                </c:pt>
                <c:pt idx="208">
                  <c:v>43502</c:v>
                </c:pt>
                <c:pt idx="209">
                  <c:v>43501</c:v>
                </c:pt>
                <c:pt idx="210">
                  <c:v>43500</c:v>
                </c:pt>
                <c:pt idx="211">
                  <c:v>43497</c:v>
                </c:pt>
                <c:pt idx="212">
                  <c:v>43496</c:v>
                </c:pt>
                <c:pt idx="213">
                  <c:v>43495</c:v>
                </c:pt>
                <c:pt idx="214">
                  <c:v>43494</c:v>
                </c:pt>
                <c:pt idx="215">
                  <c:v>43493</c:v>
                </c:pt>
                <c:pt idx="216">
                  <c:v>43490</c:v>
                </c:pt>
                <c:pt idx="217">
                  <c:v>43489</c:v>
                </c:pt>
                <c:pt idx="218">
                  <c:v>43488</c:v>
                </c:pt>
                <c:pt idx="219">
                  <c:v>43487</c:v>
                </c:pt>
                <c:pt idx="220">
                  <c:v>43486</c:v>
                </c:pt>
                <c:pt idx="221">
                  <c:v>43483</c:v>
                </c:pt>
                <c:pt idx="222">
                  <c:v>43482</c:v>
                </c:pt>
                <c:pt idx="223">
                  <c:v>43481</c:v>
                </c:pt>
                <c:pt idx="224">
                  <c:v>43480</c:v>
                </c:pt>
                <c:pt idx="225">
                  <c:v>43476</c:v>
                </c:pt>
                <c:pt idx="226">
                  <c:v>43475</c:v>
                </c:pt>
                <c:pt idx="227">
                  <c:v>43474</c:v>
                </c:pt>
                <c:pt idx="228">
                  <c:v>43473</c:v>
                </c:pt>
                <c:pt idx="229">
                  <c:v>43472</c:v>
                </c:pt>
                <c:pt idx="230">
                  <c:v>43469</c:v>
                </c:pt>
                <c:pt idx="231">
                  <c:v>43462</c:v>
                </c:pt>
                <c:pt idx="232">
                  <c:v>43461</c:v>
                </c:pt>
                <c:pt idx="233">
                  <c:v>43460</c:v>
                </c:pt>
                <c:pt idx="234">
                  <c:v>43459</c:v>
                </c:pt>
                <c:pt idx="235">
                  <c:v>43455</c:v>
                </c:pt>
                <c:pt idx="236">
                  <c:v>43454</c:v>
                </c:pt>
                <c:pt idx="237">
                  <c:v>43453</c:v>
                </c:pt>
                <c:pt idx="238">
                  <c:v>43452</c:v>
                </c:pt>
                <c:pt idx="239">
                  <c:v>43451</c:v>
                </c:pt>
                <c:pt idx="240">
                  <c:v>43448</c:v>
                </c:pt>
                <c:pt idx="241">
                  <c:v>43447</c:v>
                </c:pt>
                <c:pt idx="242">
                  <c:v>43446</c:v>
                </c:pt>
                <c:pt idx="243">
                  <c:v>43445</c:v>
                </c:pt>
                <c:pt idx="244">
                  <c:v>43444</c:v>
                </c:pt>
                <c:pt idx="245">
                  <c:v>43441</c:v>
                </c:pt>
                <c:pt idx="246">
                  <c:v>43440</c:v>
                </c:pt>
                <c:pt idx="247">
                  <c:v>43439</c:v>
                </c:pt>
                <c:pt idx="248">
                  <c:v>43438</c:v>
                </c:pt>
                <c:pt idx="249">
                  <c:v>43437</c:v>
                </c:pt>
                <c:pt idx="250">
                  <c:v>43434</c:v>
                </c:pt>
                <c:pt idx="251">
                  <c:v>43433</c:v>
                </c:pt>
                <c:pt idx="252">
                  <c:v>43432</c:v>
                </c:pt>
                <c:pt idx="253">
                  <c:v>43431</c:v>
                </c:pt>
                <c:pt idx="254">
                  <c:v>43430</c:v>
                </c:pt>
                <c:pt idx="255">
                  <c:v>43426</c:v>
                </c:pt>
                <c:pt idx="256">
                  <c:v>43425</c:v>
                </c:pt>
                <c:pt idx="257">
                  <c:v>43424</c:v>
                </c:pt>
                <c:pt idx="258">
                  <c:v>43423</c:v>
                </c:pt>
                <c:pt idx="259">
                  <c:v>43420</c:v>
                </c:pt>
                <c:pt idx="260">
                  <c:v>43419</c:v>
                </c:pt>
                <c:pt idx="261">
                  <c:v>43418</c:v>
                </c:pt>
                <c:pt idx="262">
                  <c:v>43417</c:v>
                </c:pt>
                <c:pt idx="263">
                  <c:v>43416</c:v>
                </c:pt>
                <c:pt idx="264">
                  <c:v>43413</c:v>
                </c:pt>
                <c:pt idx="265">
                  <c:v>43412</c:v>
                </c:pt>
                <c:pt idx="266">
                  <c:v>43411</c:v>
                </c:pt>
                <c:pt idx="267">
                  <c:v>43410</c:v>
                </c:pt>
                <c:pt idx="268">
                  <c:v>43409</c:v>
                </c:pt>
                <c:pt idx="269">
                  <c:v>43406</c:v>
                </c:pt>
                <c:pt idx="270">
                  <c:v>43405</c:v>
                </c:pt>
                <c:pt idx="271">
                  <c:v>43404</c:v>
                </c:pt>
                <c:pt idx="272">
                  <c:v>43403</c:v>
                </c:pt>
                <c:pt idx="273">
                  <c:v>43402</c:v>
                </c:pt>
                <c:pt idx="274">
                  <c:v>43399</c:v>
                </c:pt>
                <c:pt idx="275">
                  <c:v>43398</c:v>
                </c:pt>
                <c:pt idx="276">
                  <c:v>43397</c:v>
                </c:pt>
                <c:pt idx="277">
                  <c:v>43396</c:v>
                </c:pt>
                <c:pt idx="278">
                  <c:v>43395</c:v>
                </c:pt>
                <c:pt idx="279">
                  <c:v>43392</c:v>
                </c:pt>
                <c:pt idx="280">
                  <c:v>43391</c:v>
                </c:pt>
                <c:pt idx="281">
                  <c:v>43390</c:v>
                </c:pt>
                <c:pt idx="282">
                  <c:v>43389</c:v>
                </c:pt>
                <c:pt idx="283">
                  <c:v>43388</c:v>
                </c:pt>
                <c:pt idx="284">
                  <c:v>43385</c:v>
                </c:pt>
                <c:pt idx="285">
                  <c:v>43384</c:v>
                </c:pt>
                <c:pt idx="286">
                  <c:v>43383</c:v>
                </c:pt>
                <c:pt idx="287">
                  <c:v>43382</c:v>
                </c:pt>
                <c:pt idx="288">
                  <c:v>43378</c:v>
                </c:pt>
                <c:pt idx="289">
                  <c:v>43377</c:v>
                </c:pt>
                <c:pt idx="290">
                  <c:v>43376</c:v>
                </c:pt>
                <c:pt idx="291">
                  <c:v>43375</c:v>
                </c:pt>
                <c:pt idx="292">
                  <c:v>43374</c:v>
                </c:pt>
                <c:pt idx="293">
                  <c:v>43371</c:v>
                </c:pt>
                <c:pt idx="294">
                  <c:v>43370</c:v>
                </c:pt>
                <c:pt idx="295">
                  <c:v>43369</c:v>
                </c:pt>
                <c:pt idx="296">
                  <c:v>43368</c:v>
                </c:pt>
                <c:pt idx="297">
                  <c:v>43364</c:v>
                </c:pt>
                <c:pt idx="298">
                  <c:v>43363</c:v>
                </c:pt>
                <c:pt idx="299">
                  <c:v>43362</c:v>
                </c:pt>
                <c:pt idx="300">
                  <c:v>43361</c:v>
                </c:pt>
                <c:pt idx="301">
                  <c:v>43357</c:v>
                </c:pt>
                <c:pt idx="302">
                  <c:v>43356</c:v>
                </c:pt>
                <c:pt idx="303">
                  <c:v>43355</c:v>
                </c:pt>
                <c:pt idx="304">
                  <c:v>43354</c:v>
                </c:pt>
                <c:pt idx="305">
                  <c:v>43353</c:v>
                </c:pt>
                <c:pt idx="306">
                  <c:v>43350</c:v>
                </c:pt>
                <c:pt idx="307">
                  <c:v>43349</c:v>
                </c:pt>
                <c:pt idx="308">
                  <c:v>43348</c:v>
                </c:pt>
                <c:pt idx="309">
                  <c:v>43347</c:v>
                </c:pt>
                <c:pt idx="310">
                  <c:v>43346</c:v>
                </c:pt>
                <c:pt idx="311">
                  <c:v>43343</c:v>
                </c:pt>
                <c:pt idx="312">
                  <c:v>43342</c:v>
                </c:pt>
                <c:pt idx="313">
                  <c:v>43341</c:v>
                </c:pt>
                <c:pt idx="314">
                  <c:v>43340</c:v>
                </c:pt>
                <c:pt idx="315">
                  <c:v>43339</c:v>
                </c:pt>
                <c:pt idx="316">
                  <c:v>43336</c:v>
                </c:pt>
                <c:pt idx="317">
                  <c:v>43335</c:v>
                </c:pt>
                <c:pt idx="318">
                  <c:v>43334</c:v>
                </c:pt>
                <c:pt idx="319">
                  <c:v>43333</c:v>
                </c:pt>
                <c:pt idx="320">
                  <c:v>43332</c:v>
                </c:pt>
                <c:pt idx="321">
                  <c:v>43329</c:v>
                </c:pt>
                <c:pt idx="322">
                  <c:v>43328</c:v>
                </c:pt>
                <c:pt idx="323">
                  <c:v>43327</c:v>
                </c:pt>
                <c:pt idx="324">
                  <c:v>43326</c:v>
                </c:pt>
                <c:pt idx="325">
                  <c:v>43325</c:v>
                </c:pt>
                <c:pt idx="326">
                  <c:v>43322</c:v>
                </c:pt>
                <c:pt idx="327">
                  <c:v>43321</c:v>
                </c:pt>
                <c:pt idx="328">
                  <c:v>43320</c:v>
                </c:pt>
                <c:pt idx="329">
                  <c:v>43319</c:v>
                </c:pt>
                <c:pt idx="330">
                  <c:v>43318</c:v>
                </c:pt>
                <c:pt idx="331">
                  <c:v>43315</c:v>
                </c:pt>
                <c:pt idx="332">
                  <c:v>43314</c:v>
                </c:pt>
                <c:pt idx="333">
                  <c:v>43313</c:v>
                </c:pt>
                <c:pt idx="334">
                  <c:v>43312</c:v>
                </c:pt>
                <c:pt idx="335">
                  <c:v>43311</c:v>
                </c:pt>
                <c:pt idx="336">
                  <c:v>43308</c:v>
                </c:pt>
                <c:pt idx="337">
                  <c:v>43307</c:v>
                </c:pt>
                <c:pt idx="338">
                  <c:v>43306</c:v>
                </c:pt>
                <c:pt idx="339">
                  <c:v>43305</c:v>
                </c:pt>
                <c:pt idx="340">
                  <c:v>43304</c:v>
                </c:pt>
                <c:pt idx="341">
                  <c:v>43301</c:v>
                </c:pt>
                <c:pt idx="342">
                  <c:v>43300</c:v>
                </c:pt>
                <c:pt idx="343">
                  <c:v>43299</c:v>
                </c:pt>
                <c:pt idx="344">
                  <c:v>43298</c:v>
                </c:pt>
                <c:pt idx="345">
                  <c:v>43294</c:v>
                </c:pt>
                <c:pt idx="346">
                  <c:v>43293</c:v>
                </c:pt>
                <c:pt idx="347">
                  <c:v>43292</c:v>
                </c:pt>
                <c:pt idx="348">
                  <c:v>43291</c:v>
                </c:pt>
                <c:pt idx="349">
                  <c:v>43290</c:v>
                </c:pt>
                <c:pt idx="350">
                  <c:v>43287</c:v>
                </c:pt>
                <c:pt idx="351">
                  <c:v>43286</c:v>
                </c:pt>
                <c:pt idx="352">
                  <c:v>43285</c:v>
                </c:pt>
                <c:pt idx="353">
                  <c:v>43284</c:v>
                </c:pt>
                <c:pt idx="354">
                  <c:v>43283</c:v>
                </c:pt>
                <c:pt idx="355">
                  <c:v>43280</c:v>
                </c:pt>
                <c:pt idx="356">
                  <c:v>43279</c:v>
                </c:pt>
                <c:pt idx="357">
                  <c:v>43278</c:v>
                </c:pt>
                <c:pt idx="358">
                  <c:v>43277</c:v>
                </c:pt>
                <c:pt idx="359">
                  <c:v>43276</c:v>
                </c:pt>
                <c:pt idx="360">
                  <c:v>43273</c:v>
                </c:pt>
                <c:pt idx="361">
                  <c:v>43272</c:v>
                </c:pt>
                <c:pt idx="362">
                  <c:v>43271</c:v>
                </c:pt>
                <c:pt idx="363">
                  <c:v>43270</c:v>
                </c:pt>
                <c:pt idx="364">
                  <c:v>43269</c:v>
                </c:pt>
                <c:pt idx="365">
                  <c:v>43266</c:v>
                </c:pt>
                <c:pt idx="366">
                  <c:v>43265</c:v>
                </c:pt>
                <c:pt idx="367">
                  <c:v>43264</c:v>
                </c:pt>
                <c:pt idx="368">
                  <c:v>43263</c:v>
                </c:pt>
                <c:pt idx="369">
                  <c:v>43262</c:v>
                </c:pt>
                <c:pt idx="370">
                  <c:v>43259</c:v>
                </c:pt>
                <c:pt idx="371">
                  <c:v>43258</c:v>
                </c:pt>
                <c:pt idx="372">
                  <c:v>43257</c:v>
                </c:pt>
                <c:pt idx="373">
                  <c:v>43256</c:v>
                </c:pt>
                <c:pt idx="374">
                  <c:v>43255</c:v>
                </c:pt>
                <c:pt idx="375">
                  <c:v>43252</c:v>
                </c:pt>
                <c:pt idx="376">
                  <c:v>43251</c:v>
                </c:pt>
                <c:pt idx="377">
                  <c:v>43250</c:v>
                </c:pt>
                <c:pt idx="378">
                  <c:v>43249</c:v>
                </c:pt>
                <c:pt idx="379">
                  <c:v>43248</c:v>
                </c:pt>
                <c:pt idx="380">
                  <c:v>43245</c:v>
                </c:pt>
                <c:pt idx="381">
                  <c:v>43244</c:v>
                </c:pt>
                <c:pt idx="382">
                  <c:v>43243</c:v>
                </c:pt>
                <c:pt idx="383">
                  <c:v>43242</c:v>
                </c:pt>
                <c:pt idx="384">
                  <c:v>43241</c:v>
                </c:pt>
                <c:pt idx="385">
                  <c:v>43238</c:v>
                </c:pt>
                <c:pt idx="386">
                  <c:v>43237</c:v>
                </c:pt>
                <c:pt idx="387">
                  <c:v>43236</c:v>
                </c:pt>
                <c:pt idx="388">
                  <c:v>43235</c:v>
                </c:pt>
                <c:pt idx="389">
                  <c:v>43234</c:v>
                </c:pt>
                <c:pt idx="390">
                  <c:v>43231</c:v>
                </c:pt>
                <c:pt idx="391">
                  <c:v>43230</c:v>
                </c:pt>
                <c:pt idx="392">
                  <c:v>43229</c:v>
                </c:pt>
                <c:pt idx="393">
                  <c:v>43228</c:v>
                </c:pt>
                <c:pt idx="394">
                  <c:v>43227</c:v>
                </c:pt>
                <c:pt idx="395">
                  <c:v>43222</c:v>
                </c:pt>
                <c:pt idx="396">
                  <c:v>43221</c:v>
                </c:pt>
                <c:pt idx="397">
                  <c:v>43217</c:v>
                </c:pt>
                <c:pt idx="398">
                  <c:v>43216</c:v>
                </c:pt>
                <c:pt idx="399">
                  <c:v>43215</c:v>
                </c:pt>
                <c:pt idx="400">
                  <c:v>43214</c:v>
                </c:pt>
                <c:pt idx="401">
                  <c:v>43213</c:v>
                </c:pt>
                <c:pt idx="402">
                  <c:v>43210</c:v>
                </c:pt>
                <c:pt idx="403">
                  <c:v>43209</c:v>
                </c:pt>
                <c:pt idx="404">
                  <c:v>43208</c:v>
                </c:pt>
                <c:pt idx="405">
                  <c:v>43207</c:v>
                </c:pt>
                <c:pt idx="406">
                  <c:v>43206</c:v>
                </c:pt>
                <c:pt idx="407">
                  <c:v>43203</c:v>
                </c:pt>
                <c:pt idx="408">
                  <c:v>43202</c:v>
                </c:pt>
                <c:pt idx="409">
                  <c:v>43201</c:v>
                </c:pt>
                <c:pt idx="410">
                  <c:v>43200</c:v>
                </c:pt>
                <c:pt idx="411">
                  <c:v>43199</c:v>
                </c:pt>
                <c:pt idx="412">
                  <c:v>43196</c:v>
                </c:pt>
                <c:pt idx="413">
                  <c:v>43195</c:v>
                </c:pt>
                <c:pt idx="414">
                  <c:v>43194</c:v>
                </c:pt>
                <c:pt idx="415">
                  <c:v>43193</c:v>
                </c:pt>
                <c:pt idx="416">
                  <c:v>43192</c:v>
                </c:pt>
                <c:pt idx="417">
                  <c:v>43189</c:v>
                </c:pt>
                <c:pt idx="418">
                  <c:v>43188</c:v>
                </c:pt>
                <c:pt idx="419">
                  <c:v>43187</c:v>
                </c:pt>
                <c:pt idx="420">
                  <c:v>43186</c:v>
                </c:pt>
                <c:pt idx="421">
                  <c:v>43185</c:v>
                </c:pt>
                <c:pt idx="422">
                  <c:v>43182</c:v>
                </c:pt>
                <c:pt idx="423">
                  <c:v>43181</c:v>
                </c:pt>
                <c:pt idx="424">
                  <c:v>43179</c:v>
                </c:pt>
                <c:pt idx="425">
                  <c:v>43178</c:v>
                </c:pt>
                <c:pt idx="426">
                  <c:v>43175</c:v>
                </c:pt>
                <c:pt idx="427">
                  <c:v>43174</c:v>
                </c:pt>
                <c:pt idx="428">
                  <c:v>43173</c:v>
                </c:pt>
                <c:pt idx="429">
                  <c:v>43172</c:v>
                </c:pt>
                <c:pt idx="430">
                  <c:v>43171</c:v>
                </c:pt>
                <c:pt idx="431">
                  <c:v>43168</c:v>
                </c:pt>
                <c:pt idx="432">
                  <c:v>43167</c:v>
                </c:pt>
                <c:pt idx="433">
                  <c:v>43166</c:v>
                </c:pt>
                <c:pt idx="434">
                  <c:v>43165</c:v>
                </c:pt>
                <c:pt idx="435">
                  <c:v>43164</c:v>
                </c:pt>
                <c:pt idx="436">
                  <c:v>43161</c:v>
                </c:pt>
                <c:pt idx="437">
                  <c:v>43160</c:v>
                </c:pt>
                <c:pt idx="438">
                  <c:v>43159</c:v>
                </c:pt>
                <c:pt idx="439">
                  <c:v>43158</c:v>
                </c:pt>
                <c:pt idx="440">
                  <c:v>43157</c:v>
                </c:pt>
                <c:pt idx="441">
                  <c:v>43154</c:v>
                </c:pt>
                <c:pt idx="442">
                  <c:v>43153</c:v>
                </c:pt>
                <c:pt idx="443">
                  <c:v>43152</c:v>
                </c:pt>
                <c:pt idx="444">
                  <c:v>43151</c:v>
                </c:pt>
                <c:pt idx="445">
                  <c:v>43150</c:v>
                </c:pt>
                <c:pt idx="446">
                  <c:v>43147</c:v>
                </c:pt>
                <c:pt idx="447">
                  <c:v>43146</c:v>
                </c:pt>
                <c:pt idx="448">
                  <c:v>43145</c:v>
                </c:pt>
                <c:pt idx="449">
                  <c:v>43144</c:v>
                </c:pt>
                <c:pt idx="450">
                  <c:v>43140</c:v>
                </c:pt>
                <c:pt idx="451">
                  <c:v>43139</c:v>
                </c:pt>
                <c:pt idx="452">
                  <c:v>43138</c:v>
                </c:pt>
                <c:pt idx="453">
                  <c:v>43137</c:v>
                </c:pt>
                <c:pt idx="454">
                  <c:v>43136</c:v>
                </c:pt>
                <c:pt idx="455">
                  <c:v>43133</c:v>
                </c:pt>
                <c:pt idx="456">
                  <c:v>43132</c:v>
                </c:pt>
                <c:pt idx="457">
                  <c:v>43131</c:v>
                </c:pt>
                <c:pt idx="458">
                  <c:v>43130</c:v>
                </c:pt>
                <c:pt idx="459">
                  <c:v>43129</c:v>
                </c:pt>
                <c:pt idx="460">
                  <c:v>43126</c:v>
                </c:pt>
                <c:pt idx="461">
                  <c:v>43125</c:v>
                </c:pt>
                <c:pt idx="462">
                  <c:v>43124</c:v>
                </c:pt>
                <c:pt idx="463">
                  <c:v>43123</c:v>
                </c:pt>
                <c:pt idx="464">
                  <c:v>43122</c:v>
                </c:pt>
                <c:pt idx="465">
                  <c:v>43119</c:v>
                </c:pt>
                <c:pt idx="466">
                  <c:v>43118</c:v>
                </c:pt>
                <c:pt idx="467">
                  <c:v>43117</c:v>
                </c:pt>
                <c:pt idx="468">
                  <c:v>43116</c:v>
                </c:pt>
                <c:pt idx="469">
                  <c:v>43115</c:v>
                </c:pt>
                <c:pt idx="470">
                  <c:v>43112</c:v>
                </c:pt>
                <c:pt idx="471">
                  <c:v>43111</c:v>
                </c:pt>
                <c:pt idx="472">
                  <c:v>43110</c:v>
                </c:pt>
                <c:pt idx="473">
                  <c:v>43109</c:v>
                </c:pt>
                <c:pt idx="474">
                  <c:v>43105</c:v>
                </c:pt>
                <c:pt idx="475">
                  <c:v>43104</c:v>
                </c:pt>
                <c:pt idx="476">
                  <c:v>43098</c:v>
                </c:pt>
                <c:pt idx="477">
                  <c:v>43097</c:v>
                </c:pt>
                <c:pt idx="478">
                  <c:v>43096</c:v>
                </c:pt>
                <c:pt idx="479">
                  <c:v>43095</c:v>
                </c:pt>
                <c:pt idx="480">
                  <c:v>43094</c:v>
                </c:pt>
                <c:pt idx="481">
                  <c:v>43091</c:v>
                </c:pt>
                <c:pt idx="482">
                  <c:v>43090</c:v>
                </c:pt>
                <c:pt idx="483">
                  <c:v>43089</c:v>
                </c:pt>
                <c:pt idx="484">
                  <c:v>43088</c:v>
                </c:pt>
                <c:pt idx="485">
                  <c:v>43087</c:v>
                </c:pt>
                <c:pt idx="486">
                  <c:v>43084</c:v>
                </c:pt>
                <c:pt idx="487">
                  <c:v>43083</c:v>
                </c:pt>
                <c:pt idx="488">
                  <c:v>43082</c:v>
                </c:pt>
                <c:pt idx="489">
                  <c:v>43081</c:v>
                </c:pt>
                <c:pt idx="490">
                  <c:v>43080</c:v>
                </c:pt>
                <c:pt idx="491">
                  <c:v>43077</c:v>
                </c:pt>
                <c:pt idx="492">
                  <c:v>43076</c:v>
                </c:pt>
                <c:pt idx="493">
                  <c:v>43075</c:v>
                </c:pt>
                <c:pt idx="494">
                  <c:v>43074</c:v>
                </c:pt>
                <c:pt idx="495">
                  <c:v>43073</c:v>
                </c:pt>
                <c:pt idx="496">
                  <c:v>43070</c:v>
                </c:pt>
                <c:pt idx="497">
                  <c:v>43069</c:v>
                </c:pt>
                <c:pt idx="498">
                  <c:v>43068</c:v>
                </c:pt>
                <c:pt idx="499">
                  <c:v>43067</c:v>
                </c:pt>
                <c:pt idx="500">
                  <c:v>43066</c:v>
                </c:pt>
                <c:pt idx="501">
                  <c:v>43063</c:v>
                </c:pt>
                <c:pt idx="502">
                  <c:v>43061</c:v>
                </c:pt>
                <c:pt idx="503">
                  <c:v>43060</c:v>
                </c:pt>
                <c:pt idx="504">
                  <c:v>43059</c:v>
                </c:pt>
                <c:pt idx="505">
                  <c:v>43056</c:v>
                </c:pt>
                <c:pt idx="506">
                  <c:v>43055</c:v>
                </c:pt>
                <c:pt idx="507">
                  <c:v>43054</c:v>
                </c:pt>
                <c:pt idx="508">
                  <c:v>43053</c:v>
                </c:pt>
                <c:pt idx="509">
                  <c:v>43052</c:v>
                </c:pt>
                <c:pt idx="510">
                  <c:v>43049</c:v>
                </c:pt>
                <c:pt idx="511">
                  <c:v>43048</c:v>
                </c:pt>
                <c:pt idx="512">
                  <c:v>43047</c:v>
                </c:pt>
                <c:pt idx="513">
                  <c:v>43046</c:v>
                </c:pt>
                <c:pt idx="514">
                  <c:v>43045</c:v>
                </c:pt>
                <c:pt idx="515">
                  <c:v>43041</c:v>
                </c:pt>
                <c:pt idx="516">
                  <c:v>43040</c:v>
                </c:pt>
                <c:pt idx="517">
                  <c:v>43039</c:v>
                </c:pt>
                <c:pt idx="518">
                  <c:v>43038</c:v>
                </c:pt>
                <c:pt idx="519">
                  <c:v>43035</c:v>
                </c:pt>
                <c:pt idx="520">
                  <c:v>43034</c:v>
                </c:pt>
                <c:pt idx="521">
                  <c:v>43033</c:v>
                </c:pt>
                <c:pt idx="522">
                  <c:v>43032</c:v>
                </c:pt>
                <c:pt idx="523">
                  <c:v>43031</c:v>
                </c:pt>
                <c:pt idx="524">
                  <c:v>43028</c:v>
                </c:pt>
                <c:pt idx="525">
                  <c:v>43027</c:v>
                </c:pt>
                <c:pt idx="526">
                  <c:v>43026</c:v>
                </c:pt>
                <c:pt idx="527">
                  <c:v>43025</c:v>
                </c:pt>
                <c:pt idx="528">
                  <c:v>43024</c:v>
                </c:pt>
                <c:pt idx="529">
                  <c:v>43021</c:v>
                </c:pt>
                <c:pt idx="530">
                  <c:v>43020</c:v>
                </c:pt>
                <c:pt idx="531">
                  <c:v>43019</c:v>
                </c:pt>
                <c:pt idx="532">
                  <c:v>43018</c:v>
                </c:pt>
                <c:pt idx="533">
                  <c:v>43014</c:v>
                </c:pt>
                <c:pt idx="534">
                  <c:v>43013</c:v>
                </c:pt>
                <c:pt idx="535">
                  <c:v>43012</c:v>
                </c:pt>
                <c:pt idx="536">
                  <c:v>43011</c:v>
                </c:pt>
                <c:pt idx="537">
                  <c:v>43010</c:v>
                </c:pt>
                <c:pt idx="538">
                  <c:v>43007</c:v>
                </c:pt>
                <c:pt idx="539">
                  <c:v>43006</c:v>
                </c:pt>
                <c:pt idx="540">
                  <c:v>43005</c:v>
                </c:pt>
                <c:pt idx="541">
                  <c:v>43004</c:v>
                </c:pt>
                <c:pt idx="542">
                  <c:v>43003</c:v>
                </c:pt>
                <c:pt idx="543">
                  <c:v>43000</c:v>
                </c:pt>
                <c:pt idx="544">
                  <c:v>42999</c:v>
                </c:pt>
                <c:pt idx="545">
                  <c:v>42998</c:v>
                </c:pt>
                <c:pt idx="546">
                  <c:v>42997</c:v>
                </c:pt>
                <c:pt idx="547">
                  <c:v>42993</c:v>
                </c:pt>
                <c:pt idx="548">
                  <c:v>42992</c:v>
                </c:pt>
                <c:pt idx="549">
                  <c:v>42991</c:v>
                </c:pt>
                <c:pt idx="550">
                  <c:v>42990</c:v>
                </c:pt>
                <c:pt idx="551">
                  <c:v>42989</c:v>
                </c:pt>
                <c:pt idx="552">
                  <c:v>42986</c:v>
                </c:pt>
                <c:pt idx="553">
                  <c:v>42985</c:v>
                </c:pt>
                <c:pt idx="554">
                  <c:v>42984</c:v>
                </c:pt>
                <c:pt idx="555">
                  <c:v>42983</c:v>
                </c:pt>
                <c:pt idx="556">
                  <c:v>42982</c:v>
                </c:pt>
                <c:pt idx="557">
                  <c:v>42979</c:v>
                </c:pt>
                <c:pt idx="558">
                  <c:v>42978</c:v>
                </c:pt>
                <c:pt idx="559">
                  <c:v>42977</c:v>
                </c:pt>
                <c:pt idx="560">
                  <c:v>42976</c:v>
                </c:pt>
                <c:pt idx="561">
                  <c:v>42975</c:v>
                </c:pt>
                <c:pt idx="562">
                  <c:v>42972</c:v>
                </c:pt>
                <c:pt idx="563">
                  <c:v>42971</c:v>
                </c:pt>
                <c:pt idx="564">
                  <c:v>42970</c:v>
                </c:pt>
                <c:pt idx="565">
                  <c:v>42969</c:v>
                </c:pt>
                <c:pt idx="566">
                  <c:v>42968</c:v>
                </c:pt>
                <c:pt idx="567">
                  <c:v>42965</c:v>
                </c:pt>
                <c:pt idx="568">
                  <c:v>42964</c:v>
                </c:pt>
                <c:pt idx="569">
                  <c:v>42963</c:v>
                </c:pt>
                <c:pt idx="570">
                  <c:v>42962</c:v>
                </c:pt>
                <c:pt idx="571">
                  <c:v>42961</c:v>
                </c:pt>
                <c:pt idx="572">
                  <c:v>42957</c:v>
                </c:pt>
                <c:pt idx="573">
                  <c:v>42956</c:v>
                </c:pt>
                <c:pt idx="574">
                  <c:v>42955</c:v>
                </c:pt>
                <c:pt idx="575">
                  <c:v>42954</c:v>
                </c:pt>
                <c:pt idx="576">
                  <c:v>42951</c:v>
                </c:pt>
                <c:pt idx="577">
                  <c:v>42950</c:v>
                </c:pt>
                <c:pt idx="578">
                  <c:v>42949</c:v>
                </c:pt>
                <c:pt idx="579">
                  <c:v>42948</c:v>
                </c:pt>
                <c:pt idx="580">
                  <c:v>42947</c:v>
                </c:pt>
                <c:pt idx="581">
                  <c:v>42944</c:v>
                </c:pt>
                <c:pt idx="582">
                  <c:v>42943</c:v>
                </c:pt>
                <c:pt idx="583">
                  <c:v>42942</c:v>
                </c:pt>
                <c:pt idx="584">
                  <c:v>42941</c:v>
                </c:pt>
                <c:pt idx="585">
                  <c:v>42940</c:v>
                </c:pt>
                <c:pt idx="586">
                  <c:v>42937</c:v>
                </c:pt>
                <c:pt idx="587">
                  <c:v>42936</c:v>
                </c:pt>
                <c:pt idx="588">
                  <c:v>42935</c:v>
                </c:pt>
                <c:pt idx="589">
                  <c:v>42934</c:v>
                </c:pt>
                <c:pt idx="590">
                  <c:v>42930</c:v>
                </c:pt>
                <c:pt idx="591">
                  <c:v>42929</c:v>
                </c:pt>
                <c:pt idx="592">
                  <c:v>42928</c:v>
                </c:pt>
                <c:pt idx="593">
                  <c:v>42927</c:v>
                </c:pt>
                <c:pt idx="594">
                  <c:v>42926</c:v>
                </c:pt>
                <c:pt idx="595">
                  <c:v>42923</c:v>
                </c:pt>
                <c:pt idx="596">
                  <c:v>42922</c:v>
                </c:pt>
                <c:pt idx="597">
                  <c:v>42921</c:v>
                </c:pt>
                <c:pt idx="598">
                  <c:v>42920</c:v>
                </c:pt>
                <c:pt idx="599">
                  <c:v>42919</c:v>
                </c:pt>
                <c:pt idx="600">
                  <c:v>42916</c:v>
                </c:pt>
                <c:pt idx="601">
                  <c:v>42915</c:v>
                </c:pt>
                <c:pt idx="602">
                  <c:v>42914</c:v>
                </c:pt>
                <c:pt idx="603">
                  <c:v>42913</c:v>
                </c:pt>
                <c:pt idx="604">
                  <c:v>42912</c:v>
                </c:pt>
                <c:pt idx="605">
                  <c:v>42909</c:v>
                </c:pt>
                <c:pt idx="606">
                  <c:v>42908</c:v>
                </c:pt>
                <c:pt idx="607">
                  <c:v>42907</c:v>
                </c:pt>
                <c:pt idx="608">
                  <c:v>42906</c:v>
                </c:pt>
                <c:pt idx="609">
                  <c:v>42905</c:v>
                </c:pt>
                <c:pt idx="610">
                  <c:v>42902</c:v>
                </c:pt>
                <c:pt idx="611">
                  <c:v>42901</c:v>
                </c:pt>
                <c:pt idx="612">
                  <c:v>42900</c:v>
                </c:pt>
                <c:pt idx="613">
                  <c:v>42899</c:v>
                </c:pt>
                <c:pt idx="614">
                  <c:v>42898</c:v>
                </c:pt>
                <c:pt idx="615">
                  <c:v>42895</c:v>
                </c:pt>
                <c:pt idx="616">
                  <c:v>42894</c:v>
                </c:pt>
                <c:pt idx="617">
                  <c:v>42893</c:v>
                </c:pt>
                <c:pt idx="618">
                  <c:v>42892</c:v>
                </c:pt>
                <c:pt idx="619">
                  <c:v>42891</c:v>
                </c:pt>
                <c:pt idx="620">
                  <c:v>42888</c:v>
                </c:pt>
                <c:pt idx="621">
                  <c:v>42887</c:v>
                </c:pt>
                <c:pt idx="622">
                  <c:v>42886</c:v>
                </c:pt>
                <c:pt idx="623">
                  <c:v>42885</c:v>
                </c:pt>
                <c:pt idx="624">
                  <c:v>42884</c:v>
                </c:pt>
                <c:pt idx="625">
                  <c:v>42881</c:v>
                </c:pt>
                <c:pt idx="626">
                  <c:v>42880</c:v>
                </c:pt>
                <c:pt idx="627">
                  <c:v>42879</c:v>
                </c:pt>
                <c:pt idx="628">
                  <c:v>42878</c:v>
                </c:pt>
                <c:pt idx="629">
                  <c:v>42877</c:v>
                </c:pt>
                <c:pt idx="630">
                  <c:v>42874</c:v>
                </c:pt>
                <c:pt idx="631">
                  <c:v>42873</c:v>
                </c:pt>
                <c:pt idx="632">
                  <c:v>42872</c:v>
                </c:pt>
                <c:pt idx="633">
                  <c:v>42871</c:v>
                </c:pt>
                <c:pt idx="634">
                  <c:v>42870</c:v>
                </c:pt>
                <c:pt idx="635">
                  <c:v>42867</c:v>
                </c:pt>
                <c:pt idx="636">
                  <c:v>42866</c:v>
                </c:pt>
                <c:pt idx="637">
                  <c:v>42865</c:v>
                </c:pt>
                <c:pt idx="638">
                  <c:v>42864</c:v>
                </c:pt>
                <c:pt idx="639">
                  <c:v>42863</c:v>
                </c:pt>
                <c:pt idx="640">
                  <c:v>42857</c:v>
                </c:pt>
                <c:pt idx="641">
                  <c:v>42856</c:v>
                </c:pt>
                <c:pt idx="642">
                  <c:v>42853</c:v>
                </c:pt>
                <c:pt idx="643">
                  <c:v>42852</c:v>
                </c:pt>
                <c:pt idx="644">
                  <c:v>42851</c:v>
                </c:pt>
                <c:pt idx="645">
                  <c:v>42850</c:v>
                </c:pt>
                <c:pt idx="646">
                  <c:v>42849</c:v>
                </c:pt>
                <c:pt idx="647">
                  <c:v>42846</c:v>
                </c:pt>
                <c:pt idx="648">
                  <c:v>42845</c:v>
                </c:pt>
                <c:pt idx="649">
                  <c:v>42844</c:v>
                </c:pt>
                <c:pt idx="650">
                  <c:v>42843</c:v>
                </c:pt>
                <c:pt idx="651">
                  <c:v>42842</c:v>
                </c:pt>
                <c:pt idx="652">
                  <c:v>42839</c:v>
                </c:pt>
                <c:pt idx="653">
                  <c:v>42838</c:v>
                </c:pt>
                <c:pt idx="654">
                  <c:v>42837</c:v>
                </c:pt>
                <c:pt idx="655">
                  <c:v>42836</c:v>
                </c:pt>
                <c:pt idx="656">
                  <c:v>42835</c:v>
                </c:pt>
                <c:pt idx="657">
                  <c:v>42832</c:v>
                </c:pt>
                <c:pt idx="658">
                  <c:v>42831</c:v>
                </c:pt>
                <c:pt idx="659">
                  <c:v>42830</c:v>
                </c:pt>
                <c:pt idx="660">
                  <c:v>42829</c:v>
                </c:pt>
                <c:pt idx="661">
                  <c:v>42828</c:v>
                </c:pt>
              </c:numCache>
            </c:numRef>
          </c:cat>
          <c:val>
            <c:numRef>
              <c:f>BACK_TEST!$O$42:$O$703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BACK_TEST!$G$41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BACK_TEST!$A$42:$A$703</c:f>
              <c:numCache>
                <c:formatCode>yyyy/mm/dd</c:formatCode>
                <c:ptCount val="662"/>
                <c:pt idx="0">
                  <c:v>43815</c:v>
                </c:pt>
                <c:pt idx="1">
                  <c:v>43812</c:v>
                </c:pt>
                <c:pt idx="2">
                  <c:v>43811</c:v>
                </c:pt>
                <c:pt idx="3">
                  <c:v>43810</c:v>
                </c:pt>
                <c:pt idx="4">
                  <c:v>43809</c:v>
                </c:pt>
                <c:pt idx="5">
                  <c:v>43808</c:v>
                </c:pt>
                <c:pt idx="6">
                  <c:v>43805</c:v>
                </c:pt>
                <c:pt idx="7">
                  <c:v>43804</c:v>
                </c:pt>
                <c:pt idx="8">
                  <c:v>43803</c:v>
                </c:pt>
                <c:pt idx="9">
                  <c:v>43802</c:v>
                </c:pt>
                <c:pt idx="10">
                  <c:v>43801</c:v>
                </c:pt>
                <c:pt idx="11">
                  <c:v>43798</c:v>
                </c:pt>
                <c:pt idx="12">
                  <c:v>43797</c:v>
                </c:pt>
                <c:pt idx="13">
                  <c:v>43796</c:v>
                </c:pt>
                <c:pt idx="14">
                  <c:v>43795</c:v>
                </c:pt>
                <c:pt idx="15">
                  <c:v>43794</c:v>
                </c:pt>
                <c:pt idx="16">
                  <c:v>43791</c:v>
                </c:pt>
                <c:pt idx="17">
                  <c:v>43790</c:v>
                </c:pt>
                <c:pt idx="18">
                  <c:v>43789</c:v>
                </c:pt>
                <c:pt idx="19">
                  <c:v>43788</c:v>
                </c:pt>
                <c:pt idx="20">
                  <c:v>43787</c:v>
                </c:pt>
                <c:pt idx="21">
                  <c:v>43784</c:v>
                </c:pt>
                <c:pt idx="22">
                  <c:v>43783</c:v>
                </c:pt>
                <c:pt idx="23">
                  <c:v>43782</c:v>
                </c:pt>
                <c:pt idx="24">
                  <c:v>43781</c:v>
                </c:pt>
                <c:pt idx="25">
                  <c:v>43780</c:v>
                </c:pt>
                <c:pt idx="26">
                  <c:v>43777</c:v>
                </c:pt>
                <c:pt idx="27">
                  <c:v>43776</c:v>
                </c:pt>
                <c:pt idx="28">
                  <c:v>43775</c:v>
                </c:pt>
                <c:pt idx="29">
                  <c:v>43774</c:v>
                </c:pt>
                <c:pt idx="30">
                  <c:v>43770</c:v>
                </c:pt>
                <c:pt idx="31">
                  <c:v>43769</c:v>
                </c:pt>
                <c:pt idx="32">
                  <c:v>43768</c:v>
                </c:pt>
                <c:pt idx="33">
                  <c:v>43767</c:v>
                </c:pt>
                <c:pt idx="34">
                  <c:v>43766</c:v>
                </c:pt>
                <c:pt idx="35">
                  <c:v>43763</c:v>
                </c:pt>
                <c:pt idx="36">
                  <c:v>43762</c:v>
                </c:pt>
                <c:pt idx="37">
                  <c:v>43761</c:v>
                </c:pt>
                <c:pt idx="38">
                  <c:v>43759</c:v>
                </c:pt>
                <c:pt idx="39">
                  <c:v>43756</c:v>
                </c:pt>
                <c:pt idx="40">
                  <c:v>43755</c:v>
                </c:pt>
                <c:pt idx="41">
                  <c:v>43754</c:v>
                </c:pt>
                <c:pt idx="42">
                  <c:v>43753</c:v>
                </c:pt>
                <c:pt idx="43">
                  <c:v>43749</c:v>
                </c:pt>
                <c:pt idx="44">
                  <c:v>43748</c:v>
                </c:pt>
                <c:pt idx="45">
                  <c:v>43747</c:v>
                </c:pt>
                <c:pt idx="46">
                  <c:v>43746</c:v>
                </c:pt>
                <c:pt idx="47">
                  <c:v>43745</c:v>
                </c:pt>
                <c:pt idx="48">
                  <c:v>43742</c:v>
                </c:pt>
                <c:pt idx="49">
                  <c:v>43741</c:v>
                </c:pt>
                <c:pt idx="50">
                  <c:v>43740</c:v>
                </c:pt>
                <c:pt idx="51">
                  <c:v>43739</c:v>
                </c:pt>
                <c:pt idx="52">
                  <c:v>43738</c:v>
                </c:pt>
                <c:pt idx="53">
                  <c:v>43735</c:v>
                </c:pt>
                <c:pt idx="54">
                  <c:v>43734</c:v>
                </c:pt>
                <c:pt idx="55">
                  <c:v>43733</c:v>
                </c:pt>
                <c:pt idx="56">
                  <c:v>43732</c:v>
                </c:pt>
                <c:pt idx="57">
                  <c:v>43728</c:v>
                </c:pt>
                <c:pt idx="58">
                  <c:v>43727</c:v>
                </c:pt>
                <c:pt idx="59">
                  <c:v>43726</c:v>
                </c:pt>
                <c:pt idx="60">
                  <c:v>43725</c:v>
                </c:pt>
                <c:pt idx="61">
                  <c:v>43721</c:v>
                </c:pt>
                <c:pt idx="62">
                  <c:v>43720</c:v>
                </c:pt>
                <c:pt idx="63">
                  <c:v>43719</c:v>
                </c:pt>
                <c:pt idx="64">
                  <c:v>43718</c:v>
                </c:pt>
                <c:pt idx="65">
                  <c:v>43717</c:v>
                </c:pt>
                <c:pt idx="66">
                  <c:v>43714</c:v>
                </c:pt>
                <c:pt idx="67">
                  <c:v>43713</c:v>
                </c:pt>
                <c:pt idx="68">
                  <c:v>43712</c:v>
                </c:pt>
                <c:pt idx="69">
                  <c:v>43711</c:v>
                </c:pt>
                <c:pt idx="70">
                  <c:v>43710</c:v>
                </c:pt>
                <c:pt idx="71">
                  <c:v>43707</c:v>
                </c:pt>
                <c:pt idx="72">
                  <c:v>43706</c:v>
                </c:pt>
                <c:pt idx="73">
                  <c:v>43705</c:v>
                </c:pt>
                <c:pt idx="74">
                  <c:v>43704</c:v>
                </c:pt>
                <c:pt idx="75">
                  <c:v>43703</c:v>
                </c:pt>
                <c:pt idx="76">
                  <c:v>43700</c:v>
                </c:pt>
                <c:pt idx="77">
                  <c:v>43699</c:v>
                </c:pt>
                <c:pt idx="78">
                  <c:v>43698</c:v>
                </c:pt>
                <c:pt idx="79">
                  <c:v>43697</c:v>
                </c:pt>
                <c:pt idx="80">
                  <c:v>43696</c:v>
                </c:pt>
                <c:pt idx="81">
                  <c:v>43693</c:v>
                </c:pt>
                <c:pt idx="82">
                  <c:v>43692</c:v>
                </c:pt>
                <c:pt idx="83">
                  <c:v>43691</c:v>
                </c:pt>
                <c:pt idx="84">
                  <c:v>43690</c:v>
                </c:pt>
                <c:pt idx="85">
                  <c:v>43686</c:v>
                </c:pt>
                <c:pt idx="86">
                  <c:v>43685</c:v>
                </c:pt>
                <c:pt idx="87">
                  <c:v>43684</c:v>
                </c:pt>
                <c:pt idx="88">
                  <c:v>43683</c:v>
                </c:pt>
                <c:pt idx="89">
                  <c:v>43682</c:v>
                </c:pt>
                <c:pt idx="90">
                  <c:v>43679</c:v>
                </c:pt>
                <c:pt idx="91">
                  <c:v>43678</c:v>
                </c:pt>
                <c:pt idx="92">
                  <c:v>43677</c:v>
                </c:pt>
                <c:pt idx="93">
                  <c:v>43676</c:v>
                </c:pt>
                <c:pt idx="94">
                  <c:v>43675</c:v>
                </c:pt>
                <c:pt idx="95">
                  <c:v>43672</c:v>
                </c:pt>
                <c:pt idx="96">
                  <c:v>43671</c:v>
                </c:pt>
                <c:pt idx="97">
                  <c:v>43670</c:v>
                </c:pt>
                <c:pt idx="98">
                  <c:v>43669</c:v>
                </c:pt>
                <c:pt idx="99">
                  <c:v>43668</c:v>
                </c:pt>
                <c:pt idx="100">
                  <c:v>43665</c:v>
                </c:pt>
                <c:pt idx="101">
                  <c:v>43664</c:v>
                </c:pt>
                <c:pt idx="102">
                  <c:v>43663</c:v>
                </c:pt>
                <c:pt idx="103">
                  <c:v>43662</c:v>
                </c:pt>
                <c:pt idx="104">
                  <c:v>43658</c:v>
                </c:pt>
                <c:pt idx="105">
                  <c:v>43657</c:v>
                </c:pt>
                <c:pt idx="106">
                  <c:v>43656</c:v>
                </c:pt>
                <c:pt idx="107">
                  <c:v>43655</c:v>
                </c:pt>
                <c:pt idx="108">
                  <c:v>43654</c:v>
                </c:pt>
                <c:pt idx="109">
                  <c:v>43651</c:v>
                </c:pt>
                <c:pt idx="110">
                  <c:v>43650</c:v>
                </c:pt>
                <c:pt idx="111">
                  <c:v>43649</c:v>
                </c:pt>
                <c:pt idx="112">
                  <c:v>43648</c:v>
                </c:pt>
                <c:pt idx="113">
                  <c:v>43647</c:v>
                </c:pt>
                <c:pt idx="114">
                  <c:v>43644</c:v>
                </c:pt>
                <c:pt idx="115">
                  <c:v>43643</c:v>
                </c:pt>
                <c:pt idx="116">
                  <c:v>43642</c:v>
                </c:pt>
                <c:pt idx="117">
                  <c:v>43641</c:v>
                </c:pt>
                <c:pt idx="118">
                  <c:v>43640</c:v>
                </c:pt>
                <c:pt idx="119">
                  <c:v>43637</c:v>
                </c:pt>
                <c:pt idx="120">
                  <c:v>43636</c:v>
                </c:pt>
                <c:pt idx="121">
                  <c:v>43635</c:v>
                </c:pt>
                <c:pt idx="122">
                  <c:v>43634</c:v>
                </c:pt>
                <c:pt idx="123">
                  <c:v>43633</c:v>
                </c:pt>
                <c:pt idx="124">
                  <c:v>43630</c:v>
                </c:pt>
                <c:pt idx="125">
                  <c:v>43629</c:v>
                </c:pt>
                <c:pt idx="126">
                  <c:v>43628</c:v>
                </c:pt>
                <c:pt idx="127">
                  <c:v>43627</c:v>
                </c:pt>
                <c:pt idx="128">
                  <c:v>43626</c:v>
                </c:pt>
                <c:pt idx="129">
                  <c:v>43623</c:v>
                </c:pt>
                <c:pt idx="130">
                  <c:v>43622</c:v>
                </c:pt>
                <c:pt idx="131">
                  <c:v>43621</c:v>
                </c:pt>
                <c:pt idx="132">
                  <c:v>43620</c:v>
                </c:pt>
                <c:pt idx="133">
                  <c:v>43619</c:v>
                </c:pt>
                <c:pt idx="134">
                  <c:v>43616</c:v>
                </c:pt>
                <c:pt idx="135">
                  <c:v>43615</c:v>
                </c:pt>
                <c:pt idx="136">
                  <c:v>43614</c:v>
                </c:pt>
                <c:pt idx="137">
                  <c:v>43613</c:v>
                </c:pt>
                <c:pt idx="138">
                  <c:v>43612</c:v>
                </c:pt>
                <c:pt idx="139">
                  <c:v>43609</c:v>
                </c:pt>
                <c:pt idx="140">
                  <c:v>43608</c:v>
                </c:pt>
                <c:pt idx="141">
                  <c:v>43607</c:v>
                </c:pt>
                <c:pt idx="142">
                  <c:v>43606</c:v>
                </c:pt>
                <c:pt idx="143">
                  <c:v>43605</c:v>
                </c:pt>
                <c:pt idx="144">
                  <c:v>43602</c:v>
                </c:pt>
                <c:pt idx="145">
                  <c:v>43601</c:v>
                </c:pt>
                <c:pt idx="146">
                  <c:v>43600</c:v>
                </c:pt>
                <c:pt idx="147">
                  <c:v>43599</c:v>
                </c:pt>
                <c:pt idx="148">
                  <c:v>43598</c:v>
                </c:pt>
                <c:pt idx="149">
                  <c:v>43595</c:v>
                </c:pt>
                <c:pt idx="150">
                  <c:v>43594</c:v>
                </c:pt>
                <c:pt idx="151">
                  <c:v>43593</c:v>
                </c:pt>
                <c:pt idx="152">
                  <c:v>43592</c:v>
                </c:pt>
                <c:pt idx="153">
                  <c:v>43581</c:v>
                </c:pt>
                <c:pt idx="154">
                  <c:v>43580</c:v>
                </c:pt>
                <c:pt idx="155">
                  <c:v>43579</c:v>
                </c:pt>
                <c:pt idx="156">
                  <c:v>43578</c:v>
                </c:pt>
                <c:pt idx="157">
                  <c:v>43577</c:v>
                </c:pt>
                <c:pt idx="158">
                  <c:v>43574</c:v>
                </c:pt>
                <c:pt idx="159">
                  <c:v>43573</c:v>
                </c:pt>
                <c:pt idx="160">
                  <c:v>43572</c:v>
                </c:pt>
                <c:pt idx="161">
                  <c:v>43571</c:v>
                </c:pt>
                <c:pt idx="162">
                  <c:v>43570</c:v>
                </c:pt>
                <c:pt idx="163">
                  <c:v>43567</c:v>
                </c:pt>
                <c:pt idx="164">
                  <c:v>43566</c:v>
                </c:pt>
                <c:pt idx="165">
                  <c:v>43565</c:v>
                </c:pt>
                <c:pt idx="166">
                  <c:v>43564</c:v>
                </c:pt>
                <c:pt idx="167">
                  <c:v>43563</c:v>
                </c:pt>
                <c:pt idx="168">
                  <c:v>43560</c:v>
                </c:pt>
                <c:pt idx="169">
                  <c:v>43559</c:v>
                </c:pt>
                <c:pt idx="170">
                  <c:v>43558</c:v>
                </c:pt>
                <c:pt idx="171">
                  <c:v>43557</c:v>
                </c:pt>
                <c:pt idx="172">
                  <c:v>43556</c:v>
                </c:pt>
                <c:pt idx="173">
                  <c:v>43553</c:v>
                </c:pt>
                <c:pt idx="174">
                  <c:v>43552</c:v>
                </c:pt>
                <c:pt idx="175">
                  <c:v>43551</c:v>
                </c:pt>
                <c:pt idx="176">
                  <c:v>43550</c:v>
                </c:pt>
                <c:pt idx="177">
                  <c:v>43549</c:v>
                </c:pt>
                <c:pt idx="178">
                  <c:v>43546</c:v>
                </c:pt>
                <c:pt idx="179">
                  <c:v>43544</c:v>
                </c:pt>
                <c:pt idx="180">
                  <c:v>43543</c:v>
                </c:pt>
                <c:pt idx="181">
                  <c:v>43542</c:v>
                </c:pt>
                <c:pt idx="182">
                  <c:v>43539</c:v>
                </c:pt>
                <c:pt idx="183">
                  <c:v>43538</c:v>
                </c:pt>
                <c:pt idx="184">
                  <c:v>43537</c:v>
                </c:pt>
                <c:pt idx="185">
                  <c:v>43536</c:v>
                </c:pt>
                <c:pt idx="186">
                  <c:v>43535</c:v>
                </c:pt>
                <c:pt idx="187">
                  <c:v>43532</c:v>
                </c:pt>
                <c:pt idx="188">
                  <c:v>43531</c:v>
                </c:pt>
                <c:pt idx="189">
                  <c:v>43530</c:v>
                </c:pt>
                <c:pt idx="190">
                  <c:v>43529</c:v>
                </c:pt>
                <c:pt idx="191">
                  <c:v>43528</c:v>
                </c:pt>
                <c:pt idx="192">
                  <c:v>43525</c:v>
                </c:pt>
                <c:pt idx="193">
                  <c:v>43524</c:v>
                </c:pt>
                <c:pt idx="194">
                  <c:v>43523</c:v>
                </c:pt>
                <c:pt idx="195">
                  <c:v>43522</c:v>
                </c:pt>
                <c:pt idx="196">
                  <c:v>43521</c:v>
                </c:pt>
                <c:pt idx="197">
                  <c:v>43518</c:v>
                </c:pt>
                <c:pt idx="198">
                  <c:v>43517</c:v>
                </c:pt>
                <c:pt idx="199">
                  <c:v>43516</c:v>
                </c:pt>
                <c:pt idx="200">
                  <c:v>43515</c:v>
                </c:pt>
                <c:pt idx="201">
                  <c:v>43514</c:v>
                </c:pt>
                <c:pt idx="202">
                  <c:v>43511</c:v>
                </c:pt>
                <c:pt idx="203">
                  <c:v>43510</c:v>
                </c:pt>
                <c:pt idx="204">
                  <c:v>43509</c:v>
                </c:pt>
                <c:pt idx="205">
                  <c:v>43508</c:v>
                </c:pt>
                <c:pt idx="206">
                  <c:v>43504</c:v>
                </c:pt>
                <c:pt idx="207">
                  <c:v>43503</c:v>
                </c:pt>
                <c:pt idx="208">
                  <c:v>43502</c:v>
                </c:pt>
                <c:pt idx="209">
                  <c:v>43501</c:v>
                </c:pt>
                <c:pt idx="210">
                  <c:v>43500</c:v>
                </c:pt>
                <c:pt idx="211">
                  <c:v>43497</c:v>
                </c:pt>
                <c:pt idx="212">
                  <c:v>43496</c:v>
                </c:pt>
                <c:pt idx="213">
                  <c:v>43495</c:v>
                </c:pt>
                <c:pt idx="214">
                  <c:v>43494</c:v>
                </c:pt>
                <c:pt idx="215">
                  <c:v>43493</c:v>
                </c:pt>
                <c:pt idx="216">
                  <c:v>43490</c:v>
                </c:pt>
                <c:pt idx="217">
                  <c:v>43489</c:v>
                </c:pt>
                <c:pt idx="218">
                  <c:v>43488</c:v>
                </c:pt>
                <c:pt idx="219">
                  <c:v>43487</c:v>
                </c:pt>
                <c:pt idx="220">
                  <c:v>43486</c:v>
                </c:pt>
                <c:pt idx="221">
                  <c:v>43483</c:v>
                </c:pt>
                <c:pt idx="222">
                  <c:v>43482</c:v>
                </c:pt>
                <c:pt idx="223">
                  <c:v>43481</c:v>
                </c:pt>
                <c:pt idx="224">
                  <c:v>43480</c:v>
                </c:pt>
                <c:pt idx="225">
                  <c:v>43476</c:v>
                </c:pt>
                <c:pt idx="226">
                  <c:v>43475</c:v>
                </c:pt>
                <c:pt idx="227">
                  <c:v>43474</c:v>
                </c:pt>
                <c:pt idx="228">
                  <c:v>43473</c:v>
                </c:pt>
                <c:pt idx="229">
                  <c:v>43472</c:v>
                </c:pt>
                <c:pt idx="230">
                  <c:v>43469</c:v>
                </c:pt>
                <c:pt idx="231">
                  <c:v>43462</c:v>
                </c:pt>
                <c:pt idx="232">
                  <c:v>43461</c:v>
                </c:pt>
                <c:pt idx="233">
                  <c:v>43460</c:v>
                </c:pt>
                <c:pt idx="234">
                  <c:v>43459</c:v>
                </c:pt>
                <c:pt idx="235">
                  <c:v>43455</c:v>
                </c:pt>
                <c:pt idx="236">
                  <c:v>43454</c:v>
                </c:pt>
                <c:pt idx="237">
                  <c:v>43453</c:v>
                </c:pt>
                <c:pt idx="238">
                  <c:v>43452</c:v>
                </c:pt>
                <c:pt idx="239">
                  <c:v>43451</c:v>
                </c:pt>
                <c:pt idx="240">
                  <c:v>43448</c:v>
                </c:pt>
                <c:pt idx="241">
                  <c:v>43447</c:v>
                </c:pt>
                <c:pt idx="242">
                  <c:v>43446</c:v>
                </c:pt>
                <c:pt idx="243">
                  <c:v>43445</c:v>
                </c:pt>
                <c:pt idx="244">
                  <c:v>43444</c:v>
                </c:pt>
                <c:pt idx="245">
                  <c:v>43441</c:v>
                </c:pt>
                <c:pt idx="246">
                  <c:v>43440</c:v>
                </c:pt>
                <c:pt idx="247">
                  <c:v>43439</c:v>
                </c:pt>
                <c:pt idx="248">
                  <c:v>43438</c:v>
                </c:pt>
                <c:pt idx="249">
                  <c:v>43437</c:v>
                </c:pt>
                <c:pt idx="250">
                  <c:v>43434</c:v>
                </c:pt>
                <c:pt idx="251">
                  <c:v>43433</c:v>
                </c:pt>
                <c:pt idx="252">
                  <c:v>43432</c:v>
                </c:pt>
                <c:pt idx="253">
                  <c:v>43431</c:v>
                </c:pt>
                <c:pt idx="254">
                  <c:v>43430</c:v>
                </c:pt>
                <c:pt idx="255">
                  <c:v>43426</c:v>
                </c:pt>
                <c:pt idx="256">
                  <c:v>43425</c:v>
                </c:pt>
                <c:pt idx="257">
                  <c:v>43424</c:v>
                </c:pt>
                <c:pt idx="258">
                  <c:v>43423</c:v>
                </c:pt>
                <c:pt idx="259">
                  <c:v>43420</c:v>
                </c:pt>
                <c:pt idx="260">
                  <c:v>43419</c:v>
                </c:pt>
                <c:pt idx="261">
                  <c:v>43418</c:v>
                </c:pt>
                <c:pt idx="262">
                  <c:v>43417</c:v>
                </c:pt>
                <c:pt idx="263">
                  <c:v>43416</c:v>
                </c:pt>
                <c:pt idx="264">
                  <c:v>43413</c:v>
                </c:pt>
                <c:pt idx="265">
                  <c:v>43412</c:v>
                </c:pt>
                <c:pt idx="266">
                  <c:v>43411</c:v>
                </c:pt>
                <c:pt idx="267">
                  <c:v>43410</c:v>
                </c:pt>
                <c:pt idx="268">
                  <c:v>43409</c:v>
                </c:pt>
                <c:pt idx="269">
                  <c:v>43406</c:v>
                </c:pt>
                <c:pt idx="270">
                  <c:v>43405</c:v>
                </c:pt>
                <c:pt idx="271">
                  <c:v>43404</c:v>
                </c:pt>
                <c:pt idx="272">
                  <c:v>43403</c:v>
                </c:pt>
                <c:pt idx="273">
                  <c:v>43402</c:v>
                </c:pt>
                <c:pt idx="274">
                  <c:v>43399</c:v>
                </c:pt>
                <c:pt idx="275">
                  <c:v>43398</c:v>
                </c:pt>
                <c:pt idx="276">
                  <c:v>43397</c:v>
                </c:pt>
                <c:pt idx="277">
                  <c:v>43396</c:v>
                </c:pt>
                <c:pt idx="278">
                  <c:v>43395</c:v>
                </c:pt>
                <c:pt idx="279">
                  <c:v>43392</c:v>
                </c:pt>
                <c:pt idx="280">
                  <c:v>43391</c:v>
                </c:pt>
                <c:pt idx="281">
                  <c:v>43390</c:v>
                </c:pt>
                <c:pt idx="282">
                  <c:v>43389</c:v>
                </c:pt>
                <c:pt idx="283">
                  <c:v>43388</c:v>
                </c:pt>
                <c:pt idx="284">
                  <c:v>43385</c:v>
                </c:pt>
                <c:pt idx="285">
                  <c:v>43384</c:v>
                </c:pt>
                <c:pt idx="286">
                  <c:v>43383</c:v>
                </c:pt>
                <c:pt idx="287">
                  <c:v>43382</c:v>
                </c:pt>
                <c:pt idx="288">
                  <c:v>43378</c:v>
                </c:pt>
                <c:pt idx="289">
                  <c:v>43377</c:v>
                </c:pt>
                <c:pt idx="290">
                  <c:v>43376</c:v>
                </c:pt>
                <c:pt idx="291">
                  <c:v>43375</c:v>
                </c:pt>
                <c:pt idx="292">
                  <c:v>43374</c:v>
                </c:pt>
                <c:pt idx="293">
                  <c:v>43371</c:v>
                </c:pt>
                <c:pt idx="294">
                  <c:v>43370</c:v>
                </c:pt>
                <c:pt idx="295">
                  <c:v>43369</c:v>
                </c:pt>
                <c:pt idx="296">
                  <c:v>43368</c:v>
                </c:pt>
                <c:pt idx="297">
                  <c:v>43364</c:v>
                </c:pt>
                <c:pt idx="298">
                  <c:v>43363</c:v>
                </c:pt>
                <c:pt idx="299">
                  <c:v>43362</c:v>
                </c:pt>
                <c:pt idx="300">
                  <c:v>43361</c:v>
                </c:pt>
                <c:pt idx="301">
                  <c:v>43357</c:v>
                </c:pt>
                <c:pt idx="302">
                  <c:v>43356</c:v>
                </c:pt>
                <c:pt idx="303">
                  <c:v>43355</c:v>
                </c:pt>
                <c:pt idx="304">
                  <c:v>43354</c:v>
                </c:pt>
                <c:pt idx="305">
                  <c:v>43353</c:v>
                </c:pt>
                <c:pt idx="306">
                  <c:v>43350</c:v>
                </c:pt>
                <c:pt idx="307">
                  <c:v>43349</c:v>
                </c:pt>
                <c:pt idx="308">
                  <c:v>43348</c:v>
                </c:pt>
                <c:pt idx="309">
                  <c:v>43347</c:v>
                </c:pt>
                <c:pt idx="310">
                  <c:v>43346</c:v>
                </c:pt>
                <c:pt idx="311">
                  <c:v>43343</c:v>
                </c:pt>
                <c:pt idx="312">
                  <c:v>43342</c:v>
                </c:pt>
                <c:pt idx="313">
                  <c:v>43341</c:v>
                </c:pt>
                <c:pt idx="314">
                  <c:v>43340</c:v>
                </c:pt>
                <c:pt idx="315">
                  <c:v>43339</c:v>
                </c:pt>
                <c:pt idx="316">
                  <c:v>43336</c:v>
                </c:pt>
                <c:pt idx="317">
                  <c:v>43335</c:v>
                </c:pt>
                <c:pt idx="318">
                  <c:v>43334</c:v>
                </c:pt>
                <c:pt idx="319">
                  <c:v>43333</c:v>
                </c:pt>
                <c:pt idx="320">
                  <c:v>43332</c:v>
                </c:pt>
                <c:pt idx="321">
                  <c:v>43329</c:v>
                </c:pt>
                <c:pt idx="322">
                  <c:v>43328</c:v>
                </c:pt>
                <c:pt idx="323">
                  <c:v>43327</c:v>
                </c:pt>
                <c:pt idx="324">
                  <c:v>43326</c:v>
                </c:pt>
                <c:pt idx="325">
                  <c:v>43325</c:v>
                </c:pt>
                <c:pt idx="326">
                  <c:v>43322</c:v>
                </c:pt>
                <c:pt idx="327">
                  <c:v>43321</c:v>
                </c:pt>
                <c:pt idx="328">
                  <c:v>43320</c:v>
                </c:pt>
                <c:pt idx="329">
                  <c:v>43319</c:v>
                </c:pt>
                <c:pt idx="330">
                  <c:v>43318</c:v>
                </c:pt>
                <c:pt idx="331">
                  <c:v>43315</c:v>
                </c:pt>
                <c:pt idx="332">
                  <c:v>43314</c:v>
                </c:pt>
                <c:pt idx="333">
                  <c:v>43313</c:v>
                </c:pt>
                <c:pt idx="334">
                  <c:v>43312</c:v>
                </c:pt>
                <c:pt idx="335">
                  <c:v>43311</c:v>
                </c:pt>
                <c:pt idx="336">
                  <c:v>43308</c:v>
                </c:pt>
                <c:pt idx="337">
                  <c:v>43307</c:v>
                </c:pt>
                <c:pt idx="338">
                  <c:v>43306</c:v>
                </c:pt>
                <c:pt idx="339">
                  <c:v>43305</c:v>
                </c:pt>
                <c:pt idx="340">
                  <c:v>43304</c:v>
                </c:pt>
                <c:pt idx="341">
                  <c:v>43301</c:v>
                </c:pt>
                <c:pt idx="342">
                  <c:v>43300</c:v>
                </c:pt>
                <c:pt idx="343">
                  <c:v>43299</c:v>
                </c:pt>
                <c:pt idx="344">
                  <c:v>43298</c:v>
                </c:pt>
                <c:pt idx="345">
                  <c:v>43294</c:v>
                </c:pt>
                <c:pt idx="346">
                  <c:v>43293</c:v>
                </c:pt>
                <c:pt idx="347">
                  <c:v>43292</c:v>
                </c:pt>
                <c:pt idx="348">
                  <c:v>43291</c:v>
                </c:pt>
                <c:pt idx="349">
                  <c:v>43290</c:v>
                </c:pt>
                <c:pt idx="350">
                  <c:v>43287</c:v>
                </c:pt>
                <c:pt idx="351">
                  <c:v>43286</c:v>
                </c:pt>
                <c:pt idx="352">
                  <c:v>43285</c:v>
                </c:pt>
                <c:pt idx="353">
                  <c:v>43284</c:v>
                </c:pt>
                <c:pt idx="354">
                  <c:v>43283</c:v>
                </c:pt>
                <c:pt idx="355">
                  <c:v>43280</c:v>
                </c:pt>
                <c:pt idx="356">
                  <c:v>43279</c:v>
                </c:pt>
                <c:pt idx="357">
                  <c:v>43278</c:v>
                </c:pt>
                <c:pt idx="358">
                  <c:v>43277</c:v>
                </c:pt>
                <c:pt idx="359">
                  <c:v>43276</c:v>
                </c:pt>
                <c:pt idx="360">
                  <c:v>43273</c:v>
                </c:pt>
                <c:pt idx="361">
                  <c:v>43272</c:v>
                </c:pt>
                <c:pt idx="362">
                  <c:v>43271</c:v>
                </c:pt>
                <c:pt idx="363">
                  <c:v>43270</c:v>
                </c:pt>
                <c:pt idx="364">
                  <c:v>43269</c:v>
                </c:pt>
                <c:pt idx="365">
                  <c:v>43266</c:v>
                </c:pt>
                <c:pt idx="366">
                  <c:v>43265</c:v>
                </c:pt>
                <c:pt idx="367">
                  <c:v>43264</c:v>
                </c:pt>
                <c:pt idx="368">
                  <c:v>43263</c:v>
                </c:pt>
                <c:pt idx="369">
                  <c:v>43262</c:v>
                </c:pt>
                <c:pt idx="370">
                  <c:v>43259</c:v>
                </c:pt>
                <c:pt idx="371">
                  <c:v>43258</c:v>
                </c:pt>
                <c:pt idx="372">
                  <c:v>43257</c:v>
                </c:pt>
                <c:pt idx="373">
                  <c:v>43256</c:v>
                </c:pt>
                <c:pt idx="374">
                  <c:v>43255</c:v>
                </c:pt>
                <c:pt idx="375">
                  <c:v>43252</c:v>
                </c:pt>
                <c:pt idx="376">
                  <c:v>43251</c:v>
                </c:pt>
                <c:pt idx="377">
                  <c:v>43250</c:v>
                </c:pt>
                <c:pt idx="378">
                  <c:v>43249</c:v>
                </c:pt>
                <c:pt idx="379">
                  <c:v>43248</c:v>
                </c:pt>
                <c:pt idx="380">
                  <c:v>43245</c:v>
                </c:pt>
                <c:pt idx="381">
                  <c:v>43244</c:v>
                </c:pt>
                <c:pt idx="382">
                  <c:v>43243</c:v>
                </c:pt>
                <c:pt idx="383">
                  <c:v>43242</c:v>
                </c:pt>
                <c:pt idx="384">
                  <c:v>43241</c:v>
                </c:pt>
                <c:pt idx="385">
                  <c:v>43238</c:v>
                </c:pt>
                <c:pt idx="386">
                  <c:v>43237</c:v>
                </c:pt>
                <c:pt idx="387">
                  <c:v>43236</c:v>
                </c:pt>
                <c:pt idx="388">
                  <c:v>43235</c:v>
                </c:pt>
                <c:pt idx="389">
                  <c:v>43234</c:v>
                </c:pt>
                <c:pt idx="390">
                  <c:v>43231</c:v>
                </c:pt>
                <c:pt idx="391">
                  <c:v>43230</c:v>
                </c:pt>
                <c:pt idx="392">
                  <c:v>43229</c:v>
                </c:pt>
                <c:pt idx="393">
                  <c:v>43228</c:v>
                </c:pt>
                <c:pt idx="394">
                  <c:v>43227</c:v>
                </c:pt>
                <c:pt idx="395">
                  <c:v>43222</c:v>
                </c:pt>
                <c:pt idx="396">
                  <c:v>43221</c:v>
                </c:pt>
                <c:pt idx="397">
                  <c:v>43217</c:v>
                </c:pt>
                <c:pt idx="398">
                  <c:v>43216</c:v>
                </c:pt>
                <c:pt idx="399">
                  <c:v>43215</c:v>
                </c:pt>
                <c:pt idx="400">
                  <c:v>43214</c:v>
                </c:pt>
                <c:pt idx="401">
                  <c:v>43213</c:v>
                </c:pt>
                <c:pt idx="402">
                  <c:v>43210</c:v>
                </c:pt>
                <c:pt idx="403">
                  <c:v>43209</c:v>
                </c:pt>
                <c:pt idx="404">
                  <c:v>43208</c:v>
                </c:pt>
                <c:pt idx="405">
                  <c:v>43207</c:v>
                </c:pt>
                <c:pt idx="406">
                  <c:v>43206</c:v>
                </c:pt>
                <c:pt idx="407">
                  <c:v>43203</c:v>
                </c:pt>
                <c:pt idx="408">
                  <c:v>43202</c:v>
                </c:pt>
                <c:pt idx="409">
                  <c:v>43201</c:v>
                </c:pt>
                <c:pt idx="410">
                  <c:v>43200</c:v>
                </c:pt>
                <c:pt idx="411">
                  <c:v>43199</c:v>
                </c:pt>
                <c:pt idx="412">
                  <c:v>43196</c:v>
                </c:pt>
                <c:pt idx="413">
                  <c:v>43195</c:v>
                </c:pt>
                <c:pt idx="414">
                  <c:v>43194</c:v>
                </c:pt>
                <c:pt idx="415">
                  <c:v>43193</c:v>
                </c:pt>
                <c:pt idx="416">
                  <c:v>43192</c:v>
                </c:pt>
                <c:pt idx="417">
                  <c:v>43189</c:v>
                </c:pt>
                <c:pt idx="418">
                  <c:v>43188</c:v>
                </c:pt>
                <c:pt idx="419">
                  <c:v>43187</c:v>
                </c:pt>
                <c:pt idx="420">
                  <c:v>43186</c:v>
                </c:pt>
                <c:pt idx="421">
                  <c:v>43185</c:v>
                </c:pt>
                <c:pt idx="422">
                  <c:v>43182</c:v>
                </c:pt>
                <c:pt idx="423">
                  <c:v>43181</c:v>
                </c:pt>
                <c:pt idx="424">
                  <c:v>43179</c:v>
                </c:pt>
                <c:pt idx="425">
                  <c:v>43178</c:v>
                </c:pt>
                <c:pt idx="426">
                  <c:v>43175</c:v>
                </c:pt>
                <c:pt idx="427">
                  <c:v>43174</c:v>
                </c:pt>
                <c:pt idx="428">
                  <c:v>43173</c:v>
                </c:pt>
                <c:pt idx="429">
                  <c:v>43172</c:v>
                </c:pt>
                <c:pt idx="430">
                  <c:v>43171</c:v>
                </c:pt>
                <c:pt idx="431">
                  <c:v>43168</c:v>
                </c:pt>
                <c:pt idx="432">
                  <c:v>43167</c:v>
                </c:pt>
                <c:pt idx="433">
                  <c:v>43166</c:v>
                </c:pt>
                <c:pt idx="434">
                  <c:v>43165</c:v>
                </c:pt>
                <c:pt idx="435">
                  <c:v>43164</c:v>
                </c:pt>
                <c:pt idx="436">
                  <c:v>43161</c:v>
                </c:pt>
                <c:pt idx="437">
                  <c:v>43160</c:v>
                </c:pt>
                <c:pt idx="438">
                  <c:v>43159</c:v>
                </c:pt>
                <c:pt idx="439">
                  <c:v>43158</c:v>
                </c:pt>
                <c:pt idx="440">
                  <c:v>43157</c:v>
                </c:pt>
                <c:pt idx="441">
                  <c:v>43154</c:v>
                </c:pt>
                <c:pt idx="442">
                  <c:v>43153</c:v>
                </c:pt>
                <c:pt idx="443">
                  <c:v>43152</c:v>
                </c:pt>
                <c:pt idx="444">
                  <c:v>43151</c:v>
                </c:pt>
                <c:pt idx="445">
                  <c:v>43150</c:v>
                </c:pt>
                <c:pt idx="446">
                  <c:v>43147</c:v>
                </c:pt>
                <c:pt idx="447">
                  <c:v>43146</c:v>
                </c:pt>
                <c:pt idx="448">
                  <c:v>43145</c:v>
                </c:pt>
                <c:pt idx="449">
                  <c:v>43144</c:v>
                </c:pt>
                <c:pt idx="450">
                  <c:v>43140</c:v>
                </c:pt>
                <c:pt idx="451">
                  <c:v>43139</c:v>
                </c:pt>
                <c:pt idx="452">
                  <c:v>43138</c:v>
                </c:pt>
                <c:pt idx="453">
                  <c:v>43137</c:v>
                </c:pt>
                <c:pt idx="454">
                  <c:v>43136</c:v>
                </c:pt>
                <c:pt idx="455">
                  <c:v>43133</c:v>
                </c:pt>
                <c:pt idx="456">
                  <c:v>43132</c:v>
                </c:pt>
                <c:pt idx="457">
                  <c:v>43131</c:v>
                </c:pt>
                <c:pt idx="458">
                  <c:v>43130</c:v>
                </c:pt>
                <c:pt idx="459">
                  <c:v>43129</c:v>
                </c:pt>
                <c:pt idx="460">
                  <c:v>43126</c:v>
                </c:pt>
                <c:pt idx="461">
                  <c:v>43125</c:v>
                </c:pt>
                <c:pt idx="462">
                  <c:v>43124</c:v>
                </c:pt>
                <c:pt idx="463">
                  <c:v>43123</c:v>
                </c:pt>
                <c:pt idx="464">
                  <c:v>43122</c:v>
                </c:pt>
                <c:pt idx="465">
                  <c:v>43119</c:v>
                </c:pt>
                <c:pt idx="466">
                  <c:v>43118</c:v>
                </c:pt>
                <c:pt idx="467">
                  <c:v>43117</c:v>
                </c:pt>
                <c:pt idx="468">
                  <c:v>43116</c:v>
                </c:pt>
                <c:pt idx="469">
                  <c:v>43115</c:v>
                </c:pt>
                <c:pt idx="470">
                  <c:v>43112</c:v>
                </c:pt>
                <c:pt idx="471">
                  <c:v>43111</c:v>
                </c:pt>
                <c:pt idx="472">
                  <c:v>43110</c:v>
                </c:pt>
                <c:pt idx="473">
                  <c:v>43109</c:v>
                </c:pt>
                <c:pt idx="474">
                  <c:v>43105</c:v>
                </c:pt>
                <c:pt idx="475">
                  <c:v>43104</c:v>
                </c:pt>
                <c:pt idx="476">
                  <c:v>43098</c:v>
                </c:pt>
                <c:pt idx="477">
                  <c:v>43097</c:v>
                </c:pt>
                <c:pt idx="478">
                  <c:v>43096</c:v>
                </c:pt>
                <c:pt idx="479">
                  <c:v>43095</c:v>
                </c:pt>
                <c:pt idx="480">
                  <c:v>43094</c:v>
                </c:pt>
                <c:pt idx="481">
                  <c:v>43091</c:v>
                </c:pt>
                <c:pt idx="482">
                  <c:v>43090</c:v>
                </c:pt>
                <c:pt idx="483">
                  <c:v>43089</c:v>
                </c:pt>
                <c:pt idx="484">
                  <c:v>43088</c:v>
                </c:pt>
                <c:pt idx="485">
                  <c:v>43087</c:v>
                </c:pt>
                <c:pt idx="486">
                  <c:v>43084</c:v>
                </c:pt>
                <c:pt idx="487">
                  <c:v>43083</c:v>
                </c:pt>
                <c:pt idx="488">
                  <c:v>43082</c:v>
                </c:pt>
                <c:pt idx="489">
                  <c:v>43081</c:v>
                </c:pt>
                <c:pt idx="490">
                  <c:v>43080</c:v>
                </c:pt>
                <c:pt idx="491">
                  <c:v>43077</c:v>
                </c:pt>
                <c:pt idx="492">
                  <c:v>43076</c:v>
                </c:pt>
                <c:pt idx="493">
                  <c:v>43075</c:v>
                </c:pt>
                <c:pt idx="494">
                  <c:v>43074</c:v>
                </c:pt>
                <c:pt idx="495">
                  <c:v>43073</c:v>
                </c:pt>
                <c:pt idx="496">
                  <c:v>43070</c:v>
                </c:pt>
                <c:pt idx="497">
                  <c:v>43069</c:v>
                </c:pt>
                <c:pt idx="498">
                  <c:v>43068</c:v>
                </c:pt>
                <c:pt idx="499">
                  <c:v>43067</c:v>
                </c:pt>
                <c:pt idx="500">
                  <c:v>43066</c:v>
                </c:pt>
                <c:pt idx="501">
                  <c:v>43063</c:v>
                </c:pt>
                <c:pt idx="502">
                  <c:v>43061</c:v>
                </c:pt>
                <c:pt idx="503">
                  <c:v>43060</c:v>
                </c:pt>
                <c:pt idx="504">
                  <c:v>43059</c:v>
                </c:pt>
                <c:pt idx="505">
                  <c:v>43056</c:v>
                </c:pt>
                <c:pt idx="506">
                  <c:v>43055</c:v>
                </c:pt>
                <c:pt idx="507">
                  <c:v>43054</c:v>
                </c:pt>
                <c:pt idx="508">
                  <c:v>43053</c:v>
                </c:pt>
                <c:pt idx="509">
                  <c:v>43052</c:v>
                </c:pt>
                <c:pt idx="510">
                  <c:v>43049</c:v>
                </c:pt>
                <c:pt idx="511">
                  <c:v>43048</c:v>
                </c:pt>
                <c:pt idx="512">
                  <c:v>43047</c:v>
                </c:pt>
                <c:pt idx="513">
                  <c:v>43046</c:v>
                </c:pt>
                <c:pt idx="514">
                  <c:v>43045</c:v>
                </c:pt>
                <c:pt idx="515">
                  <c:v>43041</c:v>
                </c:pt>
                <c:pt idx="516">
                  <c:v>43040</c:v>
                </c:pt>
                <c:pt idx="517">
                  <c:v>43039</c:v>
                </c:pt>
                <c:pt idx="518">
                  <c:v>43038</c:v>
                </c:pt>
                <c:pt idx="519">
                  <c:v>43035</c:v>
                </c:pt>
                <c:pt idx="520">
                  <c:v>43034</c:v>
                </c:pt>
                <c:pt idx="521">
                  <c:v>43033</c:v>
                </c:pt>
                <c:pt idx="522">
                  <c:v>43032</c:v>
                </c:pt>
                <c:pt idx="523">
                  <c:v>43031</c:v>
                </c:pt>
                <c:pt idx="524">
                  <c:v>43028</c:v>
                </c:pt>
                <c:pt idx="525">
                  <c:v>43027</c:v>
                </c:pt>
                <c:pt idx="526">
                  <c:v>43026</c:v>
                </c:pt>
                <c:pt idx="527">
                  <c:v>43025</c:v>
                </c:pt>
                <c:pt idx="528">
                  <c:v>43024</c:v>
                </c:pt>
                <c:pt idx="529">
                  <c:v>43021</c:v>
                </c:pt>
                <c:pt idx="530">
                  <c:v>43020</c:v>
                </c:pt>
                <c:pt idx="531">
                  <c:v>43019</c:v>
                </c:pt>
                <c:pt idx="532">
                  <c:v>43018</c:v>
                </c:pt>
                <c:pt idx="533">
                  <c:v>43014</c:v>
                </c:pt>
                <c:pt idx="534">
                  <c:v>43013</c:v>
                </c:pt>
                <c:pt idx="535">
                  <c:v>43012</c:v>
                </c:pt>
                <c:pt idx="536">
                  <c:v>43011</c:v>
                </c:pt>
                <c:pt idx="537">
                  <c:v>43010</c:v>
                </c:pt>
                <c:pt idx="538">
                  <c:v>43007</c:v>
                </c:pt>
                <c:pt idx="539">
                  <c:v>43006</c:v>
                </c:pt>
                <c:pt idx="540">
                  <c:v>43005</c:v>
                </c:pt>
                <c:pt idx="541">
                  <c:v>43004</c:v>
                </c:pt>
                <c:pt idx="542">
                  <c:v>43003</c:v>
                </c:pt>
                <c:pt idx="543">
                  <c:v>43000</c:v>
                </c:pt>
                <c:pt idx="544">
                  <c:v>42999</c:v>
                </c:pt>
                <c:pt idx="545">
                  <c:v>42998</c:v>
                </c:pt>
                <c:pt idx="546">
                  <c:v>42997</c:v>
                </c:pt>
                <c:pt idx="547">
                  <c:v>42993</c:v>
                </c:pt>
                <c:pt idx="548">
                  <c:v>42992</c:v>
                </c:pt>
                <c:pt idx="549">
                  <c:v>42991</c:v>
                </c:pt>
                <c:pt idx="550">
                  <c:v>42990</c:v>
                </c:pt>
                <c:pt idx="551">
                  <c:v>42989</c:v>
                </c:pt>
                <c:pt idx="552">
                  <c:v>42986</c:v>
                </c:pt>
                <c:pt idx="553">
                  <c:v>42985</c:v>
                </c:pt>
                <c:pt idx="554">
                  <c:v>42984</c:v>
                </c:pt>
                <c:pt idx="555">
                  <c:v>42983</c:v>
                </c:pt>
                <c:pt idx="556">
                  <c:v>42982</c:v>
                </c:pt>
                <c:pt idx="557">
                  <c:v>42979</c:v>
                </c:pt>
                <c:pt idx="558">
                  <c:v>42978</c:v>
                </c:pt>
                <c:pt idx="559">
                  <c:v>42977</c:v>
                </c:pt>
                <c:pt idx="560">
                  <c:v>42976</c:v>
                </c:pt>
                <c:pt idx="561">
                  <c:v>42975</c:v>
                </c:pt>
                <c:pt idx="562">
                  <c:v>42972</c:v>
                </c:pt>
                <c:pt idx="563">
                  <c:v>42971</c:v>
                </c:pt>
                <c:pt idx="564">
                  <c:v>42970</c:v>
                </c:pt>
                <c:pt idx="565">
                  <c:v>42969</c:v>
                </c:pt>
                <c:pt idx="566">
                  <c:v>42968</c:v>
                </c:pt>
                <c:pt idx="567">
                  <c:v>42965</c:v>
                </c:pt>
                <c:pt idx="568">
                  <c:v>42964</c:v>
                </c:pt>
                <c:pt idx="569">
                  <c:v>42963</c:v>
                </c:pt>
                <c:pt idx="570">
                  <c:v>42962</c:v>
                </c:pt>
                <c:pt idx="571">
                  <c:v>42961</c:v>
                </c:pt>
                <c:pt idx="572">
                  <c:v>42957</c:v>
                </c:pt>
                <c:pt idx="573">
                  <c:v>42956</c:v>
                </c:pt>
                <c:pt idx="574">
                  <c:v>42955</c:v>
                </c:pt>
                <c:pt idx="575">
                  <c:v>42954</c:v>
                </c:pt>
                <c:pt idx="576">
                  <c:v>42951</c:v>
                </c:pt>
                <c:pt idx="577">
                  <c:v>42950</c:v>
                </c:pt>
                <c:pt idx="578">
                  <c:v>42949</c:v>
                </c:pt>
                <c:pt idx="579">
                  <c:v>42948</c:v>
                </c:pt>
                <c:pt idx="580">
                  <c:v>42947</c:v>
                </c:pt>
                <c:pt idx="581">
                  <c:v>42944</c:v>
                </c:pt>
                <c:pt idx="582">
                  <c:v>42943</c:v>
                </c:pt>
                <c:pt idx="583">
                  <c:v>42942</c:v>
                </c:pt>
                <c:pt idx="584">
                  <c:v>42941</c:v>
                </c:pt>
                <c:pt idx="585">
                  <c:v>42940</c:v>
                </c:pt>
                <c:pt idx="586">
                  <c:v>42937</c:v>
                </c:pt>
                <c:pt idx="587">
                  <c:v>42936</c:v>
                </c:pt>
                <c:pt idx="588">
                  <c:v>42935</c:v>
                </c:pt>
                <c:pt idx="589">
                  <c:v>42934</c:v>
                </c:pt>
                <c:pt idx="590">
                  <c:v>42930</c:v>
                </c:pt>
                <c:pt idx="591">
                  <c:v>42929</c:v>
                </c:pt>
                <c:pt idx="592">
                  <c:v>42928</c:v>
                </c:pt>
                <c:pt idx="593">
                  <c:v>42927</c:v>
                </c:pt>
                <c:pt idx="594">
                  <c:v>42926</c:v>
                </c:pt>
                <c:pt idx="595">
                  <c:v>42923</c:v>
                </c:pt>
                <c:pt idx="596">
                  <c:v>42922</c:v>
                </c:pt>
                <c:pt idx="597">
                  <c:v>42921</c:v>
                </c:pt>
                <c:pt idx="598">
                  <c:v>42920</c:v>
                </c:pt>
                <c:pt idx="599">
                  <c:v>42919</c:v>
                </c:pt>
                <c:pt idx="600">
                  <c:v>42916</c:v>
                </c:pt>
                <c:pt idx="601">
                  <c:v>42915</c:v>
                </c:pt>
                <c:pt idx="602">
                  <c:v>42914</c:v>
                </c:pt>
                <c:pt idx="603">
                  <c:v>42913</c:v>
                </c:pt>
                <c:pt idx="604">
                  <c:v>42912</c:v>
                </c:pt>
                <c:pt idx="605">
                  <c:v>42909</c:v>
                </c:pt>
                <c:pt idx="606">
                  <c:v>42908</c:v>
                </c:pt>
                <c:pt idx="607">
                  <c:v>42907</c:v>
                </c:pt>
                <c:pt idx="608">
                  <c:v>42906</c:v>
                </c:pt>
                <c:pt idx="609">
                  <c:v>42905</c:v>
                </c:pt>
                <c:pt idx="610">
                  <c:v>42902</c:v>
                </c:pt>
                <c:pt idx="611">
                  <c:v>42901</c:v>
                </c:pt>
                <c:pt idx="612">
                  <c:v>42900</c:v>
                </c:pt>
                <c:pt idx="613">
                  <c:v>42899</c:v>
                </c:pt>
                <c:pt idx="614">
                  <c:v>42898</c:v>
                </c:pt>
                <c:pt idx="615">
                  <c:v>42895</c:v>
                </c:pt>
                <c:pt idx="616">
                  <c:v>42894</c:v>
                </c:pt>
                <c:pt idx="617">
                  <c:v>42893</c:v>
                </c:pt>
                <c:pt idx="618">
                  <c:v>42892</c:v>
                </c:pt>
                <c:pt idx="619">
                  <c:v>42891</c:v>
                </c:pt>
                <c:pt idx="620">
                  <c:v>42888</c:v>
                </c:pt>
                <c:pt idx="621">
                  <c:v>42887</c:v>
                </c:pt>
                <c:pt idx="622">
                  <c:v>42886</c:v>
                </c:pt>
                <c:pt idx="623">
                  <c:v>42885</c:v>
                </c:pt>
                <c:pt idx="624">
                  <c:v>42884</c:v>
                </c:pt>
                <c:pt idx="625">
                  <c:v>42881</c:v>
                </c:pt>
                <c:pt idx="626">
                  <c:v>42880</c:v>
                </c:pt>
                <c:pt idx="627">
                  <c:v>42879</c:v>
                </c:pt>
                <c:pt idx="628">
                  <c:v>42878</c:v>
                </c:pt>
                <c:pt idx="629">
                  <c:v>42877</c:v>
                </c:pt>
                <c:pt idx="630">
                  <c:v>42874</c:v>
                </c:pt>
                <c:pt idx="631">
                  <c:v>42873</c:v>
                </c:pt>
                <c:pt idx="632">
                  <c:v>42872</c:v>
                </c:pt>
                <c:pt idx="633">
                  <c:v>42871</c:v>
                </c:pt>
                <c:pt idx="634">
                  <c:v>42870</c:v>
                </c:pt>
                <c:pt idx="635">
                  <c:v>42867</c:v>
                </c:pt>
                <c:pt idx="636">
                  <c:v>42866</c:v>
                </c:pt>
                <c:pt idx="637">
                  <c:v>42865</c:v>
                </c:pt>
                <c:pt idx="638">
                  <c:v>42864</c:v>
                </c:pt>
                <c:pt idx="639">
                  <c:v>42863</c:v>
                </c:pt>
                <c:pt idx="640">
                  <c:v>42857</c:v>
                </c:pt>
                <c:pt idx="641">
                  <c:v>42856</c:v>
                </c:pt>
                <c:pt idx="642">
                  <c:v>42853</c:v>
                </c:pt>
                <c:pt idx="643">
                  <c:v>42852</c:v>
                </c:pt>
                <c:pt idx="644">
                  <c:v>42851</c:v>
                </c:pt>
                <c:pt idx="645">
                  <c:v>42850</c:v>
                </c:pt>
                <c:pt idx="646">
                  <c:v>42849</c:v>
                </c:pt>
                <c:pt idx="647">
                  <c:v>42846</c:v>
                </c:pt>
                <c:pt idx="648">
                  <c:v>42845</c:v>
                </c:pt>
                <c:pt idx="649">
                  <c:v>42844</c:v>
                </c:pt>
                <c:pt idx="650">
                  <c:v>42843</c:v>
                </c:pt>
                <c:pt idx="651">
                  <c:v>42842</c:v>
                </c:pt>
                <c:pt idx="652">
                  <c:v>42839</c:v>
                </c:pt>
                <c:pt idx="653">
                  <c:v>42838</c:v>
                </c:pt>
                <c:pt idx="654">
                  <c:v>42837</c:v>
                </c:pt>
                <c:pt idx="655">
                  <c:v>42836</c:v>
                </c:pt>
                <c:pt idx="656">
                  <c:v>42835</c:v>
                </c:pt>
                <c:pt idx="657">
                  <c:v>42832</c:v>
                </c:pt>
                <c:pt idx="658">
                  <c:v>42831</c:v>
                </c:pt>
                <c:pt idx="659">
                  <c:v>42830</c:v>
                </c:pt>
                <c:pt idx="660">
                  <c:v>42829</c:v>
                </c:pt>
                <c:pt idx="661">
                  <c:v>42828</c:v>
                </c:pt>
              </c:numCache>
            </c:numRef>
          </c:cat>
          <c:val>
            <c:numRef>
              <c:f>BACK_TEST!$G$42:$G$703</c:f>
              <c:numCache>
                <c:formatCode>General</c:formatCode>
                <c:ptCount val="662"/>
                <c:pt idx="0">
                  <c:v>0.30150127599758397</c:v>
                </c:pt>
                <c:pt idx="1">
                  <c:v>0.30108488896948998</c:v>
                </c:pt>
                <c:pt idx="2">
                  <c:v>0.30073763580445501</c:v>
                </c:pt>
                <c:pt idx="3">
                  <c:v>0.30033492450345201</c:v>
                </c:pt>
                <c:pt idx="4">
                  <c:v>0.29994261584555598</c:v>
                </c:pt>
                <c:pt idx="5">
                  <c:v>0.29952133308865397</c:v>
                </c:pt>
                <c:pt idx="6">
                  <c:v>0.29909931775538101</c:v>
                </c:pt>
                <c:pt idx="7">
                  <c:v>0.29871917533005199</c:v>
                </c:pt>
                <c:pt idx="8">
                  <c:v>0.29833251708187702</c:v>
                </c:pt>
                <c:pt idx="9">
                  <c:v>0.29798706446807899</c:v>
                </c:pt>
                <c:pt idx="10">
                  <c:v>0.29768746710944699</c:v>
                </c:pt>
                <c:pt idx="11">
                  <c:v>0.29736120264793298</c:v>
                </c:pt>
                <c:pt idx="12">
                  <c:v>0.29707578645421301</c:v>
                </c:pt>
                <c:pt idx="13">
                  <c:v>0.29705873155957102</c:v>
                </c:pt>
                <c:pt idx="14">
                  <c:v>0.29707765991278101</c:v>
                </c:pt>
                <c:pt idx="15">
                  <c:v>0.29713243430414499</c:v>
                </c:pt>
                <c:pt idx="16">
                  <c:v>0.297216586545692</c:v>
                </c:pt>
                <c:pt idx="17">
                  <c:v>0.29726349059259599</c:v>
                </c:pt>
                <c:pt idx="18">
                  <c:v>0.29735720713625502</c:v>
                </c:pt>
                <c:pt idx="19">
                  <c:v>0.29741181593601301</c:v>
                </c:pt>
                <c:pt idx="20">
                  <c:v>0.297450500543883</c:v>
                </c:pt>
                <c:pt idx="21">
                  <c:v>0.297563538215532</c:v>
                </c:pt>
                <c:pt idx="22">
                  <c:v>0.29764967719607799</c:v>
                </c:pt>
                <c:pt idx="23">
                  <c:v>0.297622696764547</c:v>
                </c:pt>
                <c:pt idx="24">
                  <c:v>0.29762379068558398</c:v>
                </c:pt>
                <c:pt idx="25">
                  <c:v>0.29753746558355199</c:v>
                </c:pt>
                <c:pt idx="26">
                  <c:v>0.29737170541779201</c:v>
                </c:pt>
                <c:pt idx="27">
                  <c:v>0.29703881486693101</c:v>
                </c:pt>
                <c:pt idx="28">
                  <c:v>0.29673556857651401</c:v>
                </c:pt>
                <c:pt idx="29">
                  <c:v>0.29658363637831497</c:v>
                </c:pt>
                <c:pt idx="30">
                  <c:v>0.29642983780126397</c:v>
                </c:pt>
                <c:pt idx="31">
                  <c:v>0.29634714353614899</c:v>
                </c:pt>
                <c:pt idx="32">
                  <c:v>0.29620745309302299</c:v>
                </c:pt>
                <c:pt idx="33">
                  <c:v>0.296183349300218</c:v>
                </c:pt>
                <c:pt idx="34">
                  <c:v>0.296231840419652</c:v>
                </c:pt>
                <c:pt idx="35">
                  <c:v>0.296311986139142</c:v>
                </c:pt>
                <c:pt idx="36">
                  <c:v>0.29632402590026402</c:v>
                </c:pt>
                <c:pt idx="37">
                  <c:v>0.29641435190494297</c:v>
                </c:pt>
                <c:pt idx="38">
                  <c:v>0.29646604317347902</c:v>
                </c:pt>
                <c:pt idx="39">
                  <c:v>0.29653080545982802</c:v>
                </c:pt>
                <c:pt idx="40">
                  <c:v>0.29658533433971701</c:v>
                </c:pt>
                <c:pt idx="41">
                  <c:v>0.29667446628285499</c:v>
                </c:pt>
                <c:pt idx="42">
                  <c:v>0.29673692855853701</c:v>
                </c:pt>
                <c:pt idx="43">
                  <c:v>0.29677619326217403</c:v>
                </c:pt>
                <c:pt idx="44">
                  <c:v>0.29679793434221202</c:v>
                </c:pt>
                <c:pt idx="45">
                  <c:v>0.296810983522454</c:v>
                </c:pt>
                <c:pt idx="46">
                  <c:v>0.296887024110706</c:v>
                </c:pt>
                <c:pt idx="47">
                  <c:v>0.29685050058464602</c:v>
                </c:pt>
                <c:pt idx="48">
                  <c:v>0.29681848439644798</c:v>
                </c:pt>
                <c:pt idx="49">
                  <c:v>0.29680447110911301</c:v>
                </c:pt>
                <c:pt idx="50">
                  <c:v>0.29685424883983202</c:v>
                </c:pt>
                <c:pt idx="51">
                  <c:v>0.29693015104652798</c:v>
                </c:pt>
                <c:pt idx="52">
                  <c:v>0.29704992250883999</c:v>
                </c:pt>
                <c:pt idx="53">
                  <c:v>0.29718021310600701</c:v>
                </c:pt>
                <c:pt idx="54">
                  <c:v>0.29729349712667802</c:v>
                </c:pt>
                <c:pt idx="55">
                  <c:v>0.29740122939913699</c:v>
                </c:pt>
                <c:pt idx="56">
                  <c:v>0.297470023100114</c:v>
                </c:pt>
                <c:pt idx="57">
                  <c:v>0.29760218560616802</c:v>
                </c:pt>
                <c:pt idx="58">
                  <c:v>0.29772131291710002</c:v>
                </c:pt>
                <c:pt idx="59">
                  <c:v>0.29783400444305103</c:v>
                </c:pt>
                <c:pt idx="60">
                  <c:v>0.297981515877701</c:v>
                </c:pt>
                <c:pt idx="61">
                  <c:v>0.29804916571676598</c:v>
                </c:pt>
                <c:pt idx="62">
                  <c:v>0.29802538298848202</c:v>
                </c:pt>
                <c:pt idx="63">
                  <c:v>0.29805210481420202</c:v>
                </c:pt>
                <c:pt idx="64">
                  <c:v>0.29808905791538798</c:v>
                </c:pt>
                <c:pt idx="65">
                  <c:v>0.29807134438234301</c:v>
                </c:pt>
                <c:pt idx="66">
                  <c:v>0.29810611619493599</c:v>
                </c:pt>
                <c:pt idx="67">
                  <c:v>0.29814347674360703</c:v>
                </c:pt>
                <c:pt idx="68">
                  <c:v>0.29814135102419798</c:v>
                </c:pt>
                <c:pt idx="69">
                  <c:v>0.29814506030431698</c:v>
                </c:pt>
                <c:pt idx="70">
                  <c:v>0.29808604303500003</c:v>
                </c:pt>
                <c:pt idx="71">
                  <c:v>0.29803406735584398</c:v>
                </c:pt>
                <c:pt idx="72">
                  <c:v>0.29795220725081401</c:v>
                </c:pt>
                <c:pt idx="73">
                  <c:v>0.29787309979750198</c:v>
                </c:pt>
                <c:pt idx="74">
                  <c:v>0.29775358796117501</c:v>
                </c:pt>
                <c:pt idx="75">
                  <c:v>0.29805363254026701</c:v>
                </c:pt>
                <c:pt idx="76">
                  <c:v>0.29849746635094898</c:v>
                </c:pt>
                <c:pt idx="77">
                  <c:v>0.29880182004914302</c:v>
                </c:pt>
                <c:pt idx="78">
                  <c:v>0.29910721265665402</c:v>
                </c:pt>
                <c:pt idx="79">
                  <c:v>0.29959046607069101</c:v>
                </c:pt>
                <c:pt idx="80">
                  <c:v>0.300151812058426</c:v>
                </c:pt>
                <c:pt idx="81">
                  <c:v>0.30076843162136202</c:v>
                </c:pt>
                <c:pt idx="82">
                  <c:v>0.30138685244580699</c:v>
                </c:pt>
                <c:pt idx="83">
                  <c:v>0.30202109291514601</c:v>
                </c:pt>
                <c:pt idx="84">
                  <c:v>0.30259084726179603</c:v>
                </c:pt>
                <c:pt idx="85">
                  <c:v>0.30312138273637901</c:v>
                </c:pt>
                <c:pt idx="86">
                  <c:v>0.30373416600067299</c:v>
                </c:pt>
                <c:pt idx="87">
                  <c:v>0.30429412768432901</c:v>
                </c:pt>
                <c:pt idx="88">
                  <c:v>0.30466949755671502</c:v>
                </c:pt>
                <c:pt idx="89">
                  <c:v>0.30496648759919998</c:v>
                </c:pt>
                <c:pt idx="90">
                  <c:v>0.30527113034834102</c:v>
                </c:pt>
                <c:pt idx="91">
                  <c:v>0.305575859945663</c:v>
                </c:pt>
                <c:pt idx="92">
                  <c:v>0.30590608329878699</c:v>
                </c:pt>
                <c:pt idx="93">
                  <c:v>0.30617163210584097</c:v>
                </c:pt>
                <c:pt idx="94">
                  <c:v>0.306402179464416</c:v>
                </c:pt>
                <c:pt idx="95">
                  <c:v>0.306674699052012</c:v>
                </c:pt>
                <c:pt idx="96">
                  <c:v>0.30687923284042401</c:v>
                </c:pt>
                <c:pt idx="97">
                  <c:v>0.30711105775854902</c:v>
                </c:pt>
                <c:pt idx="98">
                  <c:v>0.30747873461265501</c:v>
                </c:pt>
                <c:pt idx="99">
                  <c:v>0.30783922251846702</c:v>
                </c:pt>
                <c:pt idx="100">
                  <c:v>0.308249931344037</c:v>
                </c:pt>
                <c:pt idx="101">
                  <c:v>0.30880066963149599</c:v>
                </c:pt>
                <c:pt idx="102">
                  <c:v>0.30933158908533898</c:v>
                </c:pt>
                <c:pt idx="103">
                  <c:v>0.30978509749057498</c:v>
                </c:pt>
                <c:pt idx="104">
                  <c:v>0.31016817102528499</c:v>
                </c:pt>
                <c:pt idx="105">
                  <c:v>0.31048310652202699</c:v>
                </c:pt>
                <c:pt idx="106">
                  <c:v>0.31071888986837598</c:v>
                </c:pt>
                <c:pt idx="107">
                  <c:v>0.31102610652807</c:v>
                </c:pt>
                <c:pt idx="108">
                  <c:v>0.31129898436738201</c:v>
                </c:pt>
                <c:pt idx="109">
                  <c:v>0.31149280643096999</c:v>
                </c:pt>
                <c:pt idx="110">
                  <c:v>0.31165709044896001</c:v>
                </c:pt>
                <c:pt idx="111">
                  <c:v>0.31194003316212598</c:v>
                </c:pt>
                <c:pt idx="112">
                  <c:v>0.31219767577095697</c:v>
                </c:pt>
                <c:pt idx="113">
                  <c:v>0.31248763687231301</c:v>
                </c:pt>
                <c:pt idx="114">
                  <c:v>0.312800408700185</c:v>
                </c:pt>
                <c:pt idx="115">
                  <c:v>0.31317978356584503</c:v>
                </c:pt>
                <c:pt idx="116">
                  <c:v>0.31357035925545501</c:v>
                </c:pt>
                <c:pt idx="117">
                  <c:v>0.31393919707391299</c:v>
                </c:pt>
                <c:pt idx="118">
                  <c:v>0.31437479137059399</c:v>
                </c:pt>
                <c:pt idx="119">
                  <c:v>0.31484930476379802</c:v>
                </c:pt>
                <c:pt idx="120">
                  <c:v>0.31533415043387297</c:v>
                </c:pt>
                <c:pt idx="121">
                  <c:v>0.31579787621774702</c:v>
                </c:pt>
                <c:pt idx="122">
                  <c:v>0.31633806475749998</c:v>
                </c:pt>
                <c:pt idx="123">
                  <c:v>0.31691722233764003</c:v>
                </c:pt>
                <c:pt idx="124">
                  <c:v>0.31752443631926602</c:v>
                </c:pt>
                <c:pt idx="125">
                  <c:v>0.31813702113692699</c:v>
                </c:pt>
                <c:pt idx="126">
                  <c:v>0.31878370538075101</c:v>
                </c:pt>
                <c:pt idx="127">
                  <c:v>0.31946585893162399</c:v>
                </c:pt>
                <c:pt idx="128">
                  <c:v>0.32007912578611097</c:v>
                </c:pt>
                <c:pt idx="129">
                  <c:v>0.32060148330292498</c:v>
                </c:pt>
                <c:pt idx="130">
                  <c:v>0.32115977784754901</c:v>
                </c:pt>
                <c:pt idx="131">
                  <c:v>0.32182560545746403</c:v>
                </c:pt>
                <c:pt idx="132">
                  <c:v>0.32233571148283302</c:v>
                </c:pt>
                <c:pt idx="133">
                  <c:v>0.32288148593933402</c:v>
                </c:pt>
                <c:pt idx="134">
                  <c:v>0.32350986498809298</c:v>
                </c:pt>
                <c:pt idx="135">
                  <c:v>0.32405860784385698</c:v>
                </c:pt>
                <c:pt idx="136">
                  <c:v>0.32455255031125002</c:v>
                </c:pt>
                <c:pt idx="137">
                  <c:v>0.32485331506806298</c:v>
                </c:pt>
                <c:pt idx="138">
                  <c:v>0.32507590544947801</c:v>
                </c:pt>
                <c:pt idx="139">
                  <c:v>0.32527611899797199</c:v>
                </c:pt>
                <c:pt idx="140">
                  <c:v>0.32551479517103798</c:v>
                </c:pt>
                <c:pt idx="141">
                  <c:v>0.32583198484519199</c:v>
                </c:pt>
                <c:pt idx="142">
                  <c:v>0.32610721122081898</c:v>
                </c:pt>
                <c:pt idx="143">
                  <c:v>0.32643429421641801</c:v>
                </c:pt>
                <c:pt idx="144">
                  <c:v>0.32671390008387802</c:v>
                </c:pt>
                <c:pt idx="145">
                  <c:v>0.32695652307117601</c:v>
                </c:pt>
                <c:pt idx="146">
                  <c:v>0.32718538963039701</c:v>
                </c:pt>
                <c:pt idx="147">
                  <c:v>0.32736724662315903</c:v>
                </c:pt>
                <c:pt idx="148">
                  <c:v>0.32758274813518101</c:v>
                </c:pt>
                <c:pt idx="149">
                  <c:v>0.32789232865746698</c:v>
                </c:pt>
                <c:pt idx="150">
                  <c:v>0.32783251431360799</c:v>
                </c:pt>
                <c:pt idx="151">
                  <c:v>0.32772682307218698</c:v>
                </c:pt>
                <c:pt idx="152">
                  <c:v>0.32776946306787103</c:v>
                </c:pt>
                <c:pt idx="153">
                  <c:v>0.32781331824549997</c:v>
                </c:pt>
                <c:pt idx="154">
                  <c:v>0.32769434765556299</c:v>
                </c:pt>
                <c:pt idx="155">
                  <c:v>0.32759355654584499</c:v>
                </c:pt>
                <c:pt idx="156">
                  <c:v>0.32740528253052098</c:v>
                </c:pt>
                <c:pt idx="157">
                  <c:v>0.32735437068354101</c:v>
                </c:pt>
                <c:pt idx="158">
                  <c:v>0.32723384805982197</c:v>
                </c:pt>
                <c:pt idx="159">
                  <c:v>0.32706192983736898</c:v>
                </c:pt>
                <c:pt idx="160">
                  <c:v>0.32695642263601998</c:v>
                </c:pt>
                <c:pt idx="161">
                  <c:v>0.32676910762689498</c:v>
                </c:pt>
                <c:pt idx="162">
                  <c:v>0.32660016293344502</c:v>
                </c:pt>
                <c:pt idx="163">
                  <c:v>0.32638759631083603</c:v>
                </c:pt>
                <c:pt idx="164">
                  <c:v>0.32636612196764497</c:v>
                </c:pt>
                <c:pt idx="165">
                  <c:v>0.326305340728199</c:v>
                </c:pt>
                <c:pt idx="166">
                  <c:v>0.326305980661242</c:v>
                </c:pt>
                <c:pt idx="167">
                  <c:v>0.326297744034729</c:v>
                </c:pt>
                <c:pt idx="168">
                  <c:v>0.32629528870138103</c:v>
                </c:pt>
                <c:pt idx="169">
                  <c:v>0.32628838029534302</c:v>
                </c:pt>
                <c:pt idx="170">
                  <c:v>0.32633681645391199</c:v>
                </c:pt>
                <c:pt idx="171">
                  <c:v>0.32636715014867301</c:v>
                </c:pt>
                <c:pt idx="172">
                  <c:v>0.32647613446207502</c:v>
                </c:pt>
                <c:pt idx="173">
                  <c:v>0.326509284661956</c:v>
                </c:pt>
                <c:pt idx="174">
                  <c:v>0.32642132999953999</c:v>
                </c:pt>
                <c:pt idx="175">
                  <c:v>0.32625126561161599</c:v>
                </c:pt>
                <c:pt idx="176">
                  <c:v>0.326031588217367</c:v>
                </c:pt>
                <c:pt idx="177">
                  <c:v>0.32589243624609898</c:v>
                </c:pt>
                <c:pt idx="178">
                  <c:v>0.32573047856121601</c:v>
                </c:pt>
                <c:pt idx="179">
                  <c:v>0.32556428440853902</c:v>
                </c:pt>
                <c:pt idx="180">
                  <c:v>0.32549471161076698</c:v>
                </c:pt>
                <c:pt idx="181">
                  <c:v>0.32549598537267199</c:v>
                </c:pt>
                <c:pt idx="182">
                  <c:v>0.32547712988261202</c:v>
                </c:pt>
                <c:pt idx="183">
                  <c:v>0.32542051344913397</c:v>
                </c:pt>
                <c:pt idx="184">
                  <c:v>0.32532705777112297</c:v>
                </c:pt>
                <c:pt idx="185">
                  <c:v>0.32512785416429502</c:v>
                </c:pt>
                <c:pt idx="186">
                  <c:v>0.32486834184386798</c:v>
                </c:pt>
                <c:pt idx="187">
                  <c:v>0.32461232435259402</c:v>
                </c:pt>
                <c:pt idx="188">
                  <c:v>0.32429605754680002</c:v>
                </c:pt>
                <c:pt idx="189">
                  <c:v>0.323992883078904</c:v>
                </c:pt>
                <c:pt idx="190">
                  <c:v>0.32368311017497398</c:v>
                </c:pt>
                <c:pt idx="191">
                  <c:v>0.32328339110235099</c:v>
                </c:pt>
                <c:pt idx="192">
                  <c:v>0.32311133125534403</c:v>
                </c:pt>
                <c:pt idx="193">
                  <c:v>0.32280546101732699</c:v>
                </c:pt>
                <c:pt idx="194">
                  <c:v>0.322603469863044</c:v>
                </c:pt>
                <c:pt idx="195">
                  <c:v>0.322440165854739</c:v>
                </c:pt>
                <c:pt idx="196">
                  <c:v>0.32204511579096001</c:v>
                </c:pt>
                <c:pt idx="197">
                  <c:v>0.32156723096784001</c:v>
                </c:pt>
                <c:pt idx="198">
                  <c:v>0.32130559207165099</c:v>
                </c:pt>
                <c:pt idx="199">
                  <c:v>0.32108742241072802</c:v>
                </c:pt>
                <c:pt idx="200">
                  <c:v>0.320801949126787</c:v>
                </c:pt>
                <c:pt idx="201">
                  <c:v>0.32042143883430901</c:v>
                </c:pt>
                <c:pt idx="202">
                  <c:v>0.320383246560277</c:v>
                </c:pt>
                <c:pt idx="203">
                  <c:v>0.32035453806902098</c:v>
                </c:pt>
                <c:pt idx="204">
                  <c:v>0.32040379343733699</c:v>
                </c:pt>
                <c:pt idx="205">
                  <c:v>0.32046475118587803</c:v>
                </c:pt>
                <c:pt idx="206">
                  <c:v>0.32045493448214302</c:v>
                </c:pt>
                <c:pt idx="207">
                  <c:v>0.32057791154312398</c:v>
                </c:pt>
                <c:pt idx="208">
                  <c:v>0.32070114099380698</c:v>
                </c:pt>
                <c:pt idx="209">
                  <c:v>0.32087068517475398</c:v>
                </c:pt>
                <c:pt idx="210">
                  <c:v>0.32104316202031002</c:v>
                </c:pt>
                <c:pt idx="211">
                  <c:v>0.32140444407212299</c:v>
                </c:pt>
                <c:pt idx="212">
                  <c:v>0.32187401908530799</c:v>
                </c:pt>
                <c:pt idx="213">
                  <c:v>0.32239971764547598</c:v>
                </c:pt>
                <c:pt idx="214">
                  <c:v>0.32289600849800199</c:v>
                </c:pt>
                <c:pt idx="215">
                  <c:v>0.32340482875606003</c:v>
                </c:pt>
                <c:pt idx="216">
                  <c:v>0.32390641084882299</c:v>
                </c:pt>
                <c:pt idx="217">
                  <c:v>0.32431492479087398</c:v>
                </c:pt>
                <c:pt idx="218">
                  <c:v>0.32473611216771497</c:v>
                </c:pt>
                <c:pt idx="219">
                  <c:v>0.32521842795526901</c:v>
                </c:pt>
                <c:pt idx="220">
                  <c:v>0.32568465294127502</c:v>
                </c:pt>
                <c:pt idx="221">
                  <c:v>0.32616290208363702</c:v>
                </c:pt>
                <c:pt idx="222">
                  <c:v>0.32659402491927397</c:v>
                </c:pt>
                <c:pt idx="223">
                  <c:v>0.32691414464132401</c:v>
                </c:pt>
                <c:pt idx="224">
                  <c:v>0.32737726487644903</c:v>
                </c:pt>
                <c:pt idx="225">
                  <c:v>0.32790874072935899</c:v>
                </c:pt>
                <c:pt idx="226">
                  <c:v>0.32856069885792699</c:v>
                </c:pt>
                <c:pt idx="227">
                  <c:v>0.329109162366861</c:v>
                </c:pt>
                <c:pt idx="228">
                  <c:v>0.329696133667364</c:v>
                </c:pt>
                <c:pt idx="229">
                  <c:v>0.33047317451320102</c:v>
                </c:pt>
                <c:pt idx="230">
                  <c:v>0.33111232124381901</c:v>
                </c:pt>
                <c:pt idx="231">
                  <c:v>0.33173992515381101</c:v>
                </c:pt>
                <c:pt idx="232">
                  <c:v>0.33213975971839199</c:v>
                </c:pt>
                <c:pt idx="233">
                  <c:v>0.33260615727241799</c:v>
                </c:pt>
                <c:pt idx="234">
                  <c:v>0.33317468539448297</c:v>
                </c:pt>
                <c:pt idx="235">
                  <c:v>0.33364758772814501</c:v>
                </c:pt>
                <c:pt idx="236">
                  <c:v>0.33410904065494101</c:v>
                </c:pt>
                <c:pt idx="237">
                  <c:v>0.33455856072267398</c:v>
                </c:pt>
                <c:pt idx="238">
                  <c:v>0.33492848501432099</c:v>
                </c:pt>
                <c:pt idx="239">
                  <c:v>0.33509918570413499</c:v>
                </c:pt>
                <c:pt idx="240">
                  <c:v>0.33524597748589302</c:v>
                </c:pt>
                <c:pt idx="241">
                  <c:v>0.33538429732400898</c:v>
                </c:pt>
                <c:pt idx="242">
                  <c:v>0.33551801249990798</c:v>
                </c:pt>
                <c:pt idx="243">
                  <c:v>0.33558190406496202</c:v>
                </c:pt>
                <c:pt idx="244">
                  <c:v>0.33562414580383798</c:v>
                </c:pt>
                <c:pt idx="245">
                  <c:v>0.33573005696296099</c:v>
                </c:pt>
                <c:pt idx="246">
                  <c:v>0.33589073223664501</c:v>
                </c:pt>
                <c:pt idx="247">
                  <c:v>0.33600881793779103</c:v>
                </c:pt>
                <c:pt idx="248">
                  <c:v>0.33613804149773602</c:v>
                </c:pt>
                <c:pt idx="249">
                  <c:v>0.33639000928678298</c:v>
                </c:pt>
                <c:pt idx="250">
                  <c:v>0.33676910032413998</c:v>
                </c:pt>
                <c:pt idx="251">
                  <c:v>0.337188497430777</c:v>
                </c:pt>
                <c:pt idx="252">
                  <c:v>0.33752328678634202</c:v>
                </c:pt>
                <c:pt idx="253">
                  <c:v>0.33796967533768202</c:v>
                </c:pt>
                <c:pt idx="254">
                  <c:v>0.33812705109256702</c:v>
                </c:pt>
                <c:pt idx="255">
                  <c:v>0.338299944528622</c:v>
                </c:pt>
                <c:pt idx="256">
                  <c:v>0.33846363731643098</c:v>
                </c:pt>
                <c:pt idx="257">
                  <c:v>0.33865442089182901</c:v>
                </c:pt>
                <c:pt idx="258">
                  <c:v>0.338909082709409</c:v>
                </c:pt>
                <c:pt idx="259">
                  <c:v>0.33912159729390701</c:v>
                </c:pt>
                <c:pt idx="260">
                  <c:v>0.339507568381336</c:v>
                </c:pt>
                <c:pt idx="261">
                  <c:v>0.33983541149016799</c:v>
                </c:pt>
                <c:pt idx="262">
                  <c:v>0.34020717111718002</c:v>
                </c:pt>
                <c:pt idx="263">
                  <c:v>0.34062935239893999</c:v>
                </c:pt>
                <c:pt idx="264">
                  <c:v>0.34101573552138797</c:v>
                </c:pt>
                <c:pt idx="265">
                  <c:v>0.34138034115195698</c:v>
                </c:pt>
                <c:pt idx="266">
                  <c:v>0.34183246151747199</c:v>
                </c:pt>
                <c:pt idx="267">
                  <c:v>0.34205189102183298</c:v>
                </c:pt>
                <c:pt idx="268">
                  <c:v>0.34242573489412298</c:v>
                </c:pt>
                <c:pt idx="269">
                  <c:v>0.34263624198253001</c:v>
                </c:pt>
                <c:pt idx="270">
                  <c:v>0.34275319196590198</c:v>
                </c:pt>
                <c:pt idx="271">
                  <c:v>0.34303894508619998</c:v>
                </c:pt>
                <c:pt idx="272">
                  <c:v>0.34336875085007501</c:v>
                </c:pt>
                <c:pt idx="273">
                  <c:v>0.34344904191838699</c:v>
                </c:pt>
                <c:pt idx="274">
                  <c:v>0.34347634208149003</c:v>
                </c:pt>
                <c:pt idx="275">
                  <c:v>0.34346634944121501</c:v>
                </c:pt>
                <c:pt idx="276">
                  <c:v>0.34347696262404498</c:v>
                </c:pt>
                <c:pt idx="277">
                  <c:v>0.34313035823187399</c:v>
                </c:pt>
                <c:pt idx="278">
                  <c:v>0.34286433518324699</c:v>
                </c:pt>
                <c:pt idx="279">
                  <c:v>0.34254224230827701</c:v>
                </c:pt>
                <c:pt idx="280">
                  <c:v>0.34217944542464201</c:v>
                </c:pt>
                <c:pt idx="281">
                  <c:v>0.341813021856468</c:v>
                </c:pt>
                <c:pt idx="282">
                  <c:v>0.341406465182792</c:v>
                </c:pt>
                <c:pt idx="283">
                  <c:v>0.340904890201911</c:v>
                </c:pt>
                <c:pt idx="284">
                  <c:v>0.340481990364293</c:v>
                </c:pt>
                <c:pt idx="285">
                  <c:v>0.34006139027752702</c:v>
                </c:pt>
                <c:pt idx="286">
                  <c:v>0.33948600588796102</c:v>
                </c:pt>
                <c:pt idx="287">
                  <c:v>0.33896343360464198</c:v>
                </c:pt>
                <c:pt idx="288">
                  <c:v>0.33842442189918498</c:v>
                </c:pt>
                <c:pt idx="289">
                  <c:v>0.33792354134267799</c:v>
                </c:pt>
                <c:pt idx="290">
                  <c:v>0.337349627006373</c:v>
                </c:pt>
                <c:pt idx="291">
                  <c:v>0.33680196915900301</c:v>
                </c:pt>
                <c:pt idx="292">
                  <c:v>0.33641132780178701</c:v>
                </c:pt>
                <c:pt idx="293">
                  <c:v>0.33596497011628501</c:v>
                </c:pt>
                <c:pt idx="294">
                  <c:v>0.335631783060169</c:v>
                </c:pt>
                <c:pt idx="295">
                  <c:v>0.335256054219985</c:v>
                </c:pt>
                <c:pt idx="296">
                  <c:v>0.33492188011097002</c:v>
                </c:pt>
                <c:pt idx="297">
                  <c:v>0.33468515148235201</c:v>
                </c:pt>
                <c:pt idx="298">
                  <c:v>0.33452813287827898</c:v>
                </c:pt>
                <c:pt idx="299">
                  <c:v>0.33419647936261498</c:v>
                </c:pt>
                <c:pt idx="300">
                  <c:v>0.33365025240742002</c:v>
                </c:pt>
                <c:pt idx="301">
                  <c:v>0.33303686029767599</c:v>
                </c:pt>
                <c:pt idx="302">
                  <c:v>0.332412694551666</c:v>
                </c:pt>
                <c:pt idx="303">
                  <c:v>0.33177862005643199</c:v>
                </c:pt>
                <c:pt idx="304">
                  <c:v>0.33096230424363199</c:v>
                </c:pt>
                <c:pt idx="305">
                  <c:v>0.33024667565333499</c:v>
                </c:pt>
                <c:pt idx="306">
                  <c:v>0.32961984796850602</c:v>
                </c:pt>
                <c:pt idx="307">
                  <c:v>0.32912484370078099</c:v>
                </c:pt>
                <c:pt idx="308">
                  <c:v>0.328565030889934</c:v>
                </c:pt>
                <c:pt idx="309">
                  <c:v>0.327985921333668</c:v>
                </c:pt>
                <c:pt idx="310">
                  <c:v>0.32748898541541299</c:v>
                </c:pt>
                <c:pt idx="311">
                  <c:v>0.32694943187585901</c:v>
                </c:pt>
                <c:pt idx="312">
                  <c:v>0.32647938797206399</c:v>
                </c:pt>
                <c:pt idx="313">
                  <c:v>0.32611056847213599</c:v>
                </c:pt>
                <c:pt idx="314">
                  <c:v>0.32573134002825199</c:v>
                </c:pt>
                <c:pt idx="315">
                  <c:v>0.32535044654510797</c:v>
                </c:pt>
                <c:pt idx="316">
                  <c:v>0.32517474637421701</c:v>
                </c:pt>
                <c:pt idx="317">
                  <c:v>0.32510422965689101</c:v>
                </c:pt>
                <c:pt idx="318">
                  <c:v>0.32509726896559399</c:v>
                </c:pt>
                <c:pt idx="319">
                  <c:v>0.32512925875387</c:v>
                </c:pt>
                <c:pt idx="320">
                  <c:v>0.32509865200239602</c:v>
                </c:pt>
                <c:pt idx="321">
                  <c:v>0.32498293884465901</c:v>
                </c:pt>
                <c:pt idx="322">
                  <c:v>0.324747489736466</c:v>
                </c:pt>
                <c:pt idx="323">
                  <c:v>0.32444241560405701</c:v>
                </c:pt>
                <c:pt idx="324">
                  <c:v>0.32403198704445202</c:v>
                </c:pt>
                <c:pt idx="325">
                  <c:v>0.32364973432615102</c:v>
                </c:pt>
                <c:pt idx="326">
                  <c:v>0.32330270731797101</c:v>
                </c:pt>
                <c:pt idx="327">
                  <c:v>0.32297943856470601</c:v>
                </c:pt>
                <c:pt idx="328">
                  <c:v>0.32260795233865103</c:v>
                </c:pt>
                <c:pt idx="329">
                  <c:v>0.322636663723811</c:v>
                </c:pt>
                <c:pt idx="330">
                  <c:v>0.322558299704856</c:v>
                </c:pt>
                <c:pt idx="331">
                  <c:v>0.32231376141741602</c:v>
                </c:pt>
                <c:pt idx="332">
                  <c:v>0.32202729703771599</c:v>
                </c:pt>
                <c:pt idx="333">
                  <c:v>0.32173647600417199</c:v>
                </c:pt>
                <c:pt idx="334">
                  <c:v>0.32147844742844001</c:v>
                </c:pt>
                <c:pt idx="335">
                  <c:v>0.321076864171224</c:v>
                </c:pt>
                <c:pt idx="336">
                  <c:v>0.32074338504782002</c:v>
                </c:pt>
                <c:pt idx="337">
                  <c:v>0.32040636869879702</c:v>
                </c:pt>
                <c:pt idx="338">
                  <c:v>0.320074089168982</c:v>
                </c:pt>
                <c:pt idx="339">
                  <c:v>0.31974708796937801</c:v>
                </c:pt>
                <c:pt idx="340">
                  <c:v>0.31944032313840798</c:v>
                </c:pt>
                <c:pt idx="341">
                  <c:v>0.31911916241816202</c:v>
                </c:pt>
                <c:pt idx="342">
                  <c:v>0.318826696744411</c:v>
                </c:pt>
                <c:pt idx="343">
                  <c:v>0.31848730035330403</c:v>
                </c:pt>
                <c:pt idx="344">
                  <c:v>0.318216952170087</c:v>
                </c:pt>
                <c:pt idx="345">
                  <c:v>0.31791344863809201</c:v>
                </c:pt>
                <c:pt idx="346">
                  <c:v>0.31771687842407498</c:v>
                </c:pt>
                <c:pt idx="347">
                  <c:v>0.317572043793928</c:v>
                </c:pt>
                <c:pt idx="348">
                  <c:v>0.31742120132121998</c:v>
                </c:pt>
                <c:pt idx="349">
                  <c:v>0.31710291078656</c:v>
                </c:pt>
                <c:pt idx="350">
                  <c:v>0.316859359895379</c:v>
                </c:pt>
                <c:pt idx="351">
                  <c:v>0.31657071012061699</c:v>
                </c:pt>
                <c:pt idx="352">
                  <c:v>0.31623315138257302</c:v>
                </c:pt>
                <c:pt idx="353">
                  <c:v>0.315879347628783</c:v>
                </c:pt>
                <c:pt idx="354">
                  <c:v>0.31562600317614298</c:v>
                </c:pt>
                <c:pt idx="355">
                  <c:v>0.31535649614243599</c:v>
                </c:pt>
                <c:pt idx="356">
                  <c:v>0.315021382733567</c:v>
                </c:pt>
                <c:pt idx="357">
                  <c:v>0.31470983270825198</c:v>
                </c:pt>
                <c:pt idx="358">
                  <c:v>0.31437960776249002</c:v>
                </c:pt>
                <c:pt idx="359">
                  <c:v>0.313929101515734</c:v>
                </c:pt>
                <c:pt idx="360">
                  <c:v>0.313521066877192</c:v>
                </c:pt>
                <c:pt idx="361">
                  <c:v>0.313218144939861</c:v>
                </c:pt>
                <c:pt idx="362">
                  <c:v>0.31293249357739</c:v>
                </c:pt>
                <c:pt idx="363">
                  <c:v>0.312626502001566</c:v>
                </c:pt>
                <c:pt idx="364">
                  <c:v>0.31239941294255202</c:v>
                </c:pt>
                <c:pt idx="365">
                  <c:v>0.31215439892462898</c:v>
                </c:pt>
                <c:pt idx="366">
                  <c:v>0.31184284764320103</c:v>
                </c:pt>
                <c:pt idx="367">
                  <c:v>0.31147837441861498</c:v>
                </c:pt>
                <c:pt idx="368">
                  <c:v>0.31105829845291799</c:v>
                </c:pt>
                <c:pt idx="369">
                  <c:v>0.31051075481500401</c:v>
                </c:pt>
                <c:pt idx="370">
                  <c:v>0.31005541306296402</c:v>
                </c:pt>
                <c:pt idx="371">
                  <c:v>0.30946606628344703</c:v>
                </c:pt>
                <c:pt idx="372">
                  <c:v>0.30884263742472401</c:v>
                </c:pt>
                <c:pt idx="373">
                  <c:v>0.30816043730885201</c:v>
                </c:pt>
                <c:pt idx="374">
                  <c:v>0.30759353312155102</c:v>
                </c:pt>
                <c:pt idx="375">
                  <c:v>0.30709575542435102</c:v>
                </c:pt>
                <c:pt idx="376">
                  <c:v>0.30658567962939598</c:v>
                </c:pt>
                <c:pt idx="377">
                  <c:v>0.306156701284377</c:v>
                </c:pt>
                <c:pt idx="378">
                  <c:v>0.30572230373220199</c:v>
                </c:pt>
                <c:pt idx="379">
                  <c:v>0.305542365828401</c:v>
                </c:pt>
                <c:pt idx="380">
                  <c:v>0.305334465183349</c:v>
                </c:pt>
                <c:pt idx="381">
                  <c:v>0.30522261475884399</c:v>
                </c:pt>
                <c:pt idx="382">
                  <c:v>0.30514310868635602</c:v>
                </c:pt>
                <c:pt idx="383">
                  <c:v>0.30505145461143401</c:v>
                </c:pt>
                <c:pt idx="384">
                  <c:v>0.30487520563405501</c:v>
                </c:pt>
                <c:pt idx="385">
                  <c:v>0.30473256293005502</c:v>
                </c:pt>
                <c:pt idx="386">
                  <c:v>0.30464953112162202</c:v>
                </c:pt>
                <c:pt idx="387">
                  <c:v>0.304507358476795</c:v>
                </c:pt>
                <c:pt idx="388">
                  <c:v>0.30433554581274402</c:v>
                </c:pt>
                <c:pt idx="389">
                  <c:v>0.30417257978040102</c:v>
                </c:pt>
                <c:pt idx="390">
                  <c:v>0.304103526361925</c:v>
                </c:pt>
                <c:pt idx="391">
                  <c:v>0.303748470177295</c:v>
                </c:pt>
                <c:pt idx="392">
                  <c:v>0.30332879035163102</c:v>
                </c:pt>
                <c:pt idx="393">
                  <c:v>0.30295318606862998</c:v>
                </c:pt>
                <c:pt idx="394">
                  <c:v>0.30265920314359301</c:v>
                </c:pt>
                <c:pt idx="395">
                  <c:v>0.30235698840279501</c:v>
                </c:pt>
                <c:pt idx="396">
                  <c:v>0.30215282003802502</c:v>
                </c:pt>
                <c:pt idx="397">
                  <c:v>0.30197433230835702</c:v>
                </c:pt>
                <c:pt idx="398">
                  <c:v>0.301800668530463</c:v>
                </c:pt>
                <c:pt idx="399">
                  <c:v>0.30182475719826801</c:v>
                </c:pt>
                <c:pt idx="400">
                  <c:v>0.30182990498524398</c:v>
                </c:pt>
                <c:pt idx="401">
                  <c:v>0.30176323670866501</c:v>
                </c:pt>
                <c:pt idx="402">
                  <c:v>0.30175945828032502</c:v>
                </c:pt>
                <c:pt idx="403">
                  <c:v>0.30172697782587599</c:v>
                </c:pt>
                <c:pt idx="404">
                  <c:v>0.30163991225901698</c:v>
                </c:pt>
                <c:pt idx="405">
                  <c:v>0.301642225081305</c:v>
                </c:pt>
                <c:pt idx="406">
                  <c:v>0.30177159711586998</c:v>
                </c:pt>
                <c:pt idx="407">
                  <c:v>0.30194265436897599</c:v>
                </c:pt>
                <c:pt idx="408">
                  <c:v>0.302054301052743</c:v>
                </c:pt>
                <c:pt idx="409">
                  <c:v>0.30219705774073402</c:v>
                </c:pt>
                <c:pt idx="410">
                  <c:v>0.302367323783296</c:v>
                </c:pt>
                <c:pt idx="411">
                  <c:v>0.30258331820440298</c:v>
                </c:pt>
                <c:pt idx="412">
                  <c:v>0.30272494694930802</c:v>
                </c:pt>
                <c:pt idx="413">
                  <c:v>0.30287776680226602</c:v>
                </c:pt>
                <c:pt idx="414">
                  <c:v>0.30308728970703902</c:v>
                </c:pt>
                <c:pt idx="415">
                  <c:v>0.303348647519815</c:v>
                </c:pt>
                <c:pt idx="416">
                  <c:v>0.30358440021004801</c:v>
                </c:pt>
                <c:pt idx="417">
                  <c:v>0.30384766949930597</c:v>
                </c:pt>
                <c:pt idx="418">
                  <c:v>0.30411565602141699</c:v>
                </c:pt>
                <c:pt idx="419">
                  <c:v>0.30437938968668099</c:v>
                </c:pt>
                <c:pt idx="420">
                  <c:v>0.30470375853827802</c:v>
                </c:pt>
                <c:pt idx="421">
                  <c:v>0.30495704898307802</c:v>
                </c:pt>
                <c:pt idx="422">
                  <c:v>0.305185954960562</c:v>
                </c:pt>
                <c:pt idx="423">
                  <c:v>0.30548117887938098</c:v>
                </c:pt>
                <c:pt idx="424">
                  <c:v>0.30594979361450703</c:v>
                </c:pt>
                <c:pt idx="425">
                  <c:v>0.30626308501257099</c:v>
                </c:pt>
                <c:pt idx="426">
                  <c:v>0.30676099559202702</c:v>
                </c:pt>
                <c:pt idx="427">
                  <c:v>0.30729610753354297</c:v>
                </c:pt>
                <c:pt idx="428">
                  <c:v>0.30776866752497301</c:v>
                </c:pt>
                <c:pt idx="429">
                  <c:v>0.30823619449907902</c:v>
                </c:pt>
                <c:pt idx="430">
                  <c:v>0.30873999967010901</c:v>
                </c:pt>
                <c:pt idx="431">
                  <c:v>0.30930461463877601</c:v>
                </c:pt>
                <c:pt idx="432">
                  <c:v>0.30981452526341802</c:v>
                </c:pt>
                <c:pt idx="433">
                  <c:v>0.31050453720933702</c:v>
                </c:pt>
                <c:pt idx="434">
                  <c:v>0.311172170092544</c:v>
                </c:pt>
                <c:pt idx="435">
                  <c:v>0.31177970764590102</c:v>
                </c:pt>
                <c:pt idx="436">
                  <c:v>0.31231801757445499</c:v>
                </c:pt>
                <c:pt idx="437">
                  <c:v>0.31278326459307998</c:v>
                </c:pt>
                <c:pt idx="438">
                  <c:v>0.313629865058141</c:v>
                </c:pt>
                <c:pt idx="439">
                  <c:v>0.31444634108962899</c:v>
                </c:pt>
                <c:pt idx="440">
                  <c:v>0.31524378618080501</c:v>
                </c:pt>
                <c:pt idx="441">
                  <c:v>0.31613805521032301</c:v>
                </c:pt>
                <c:pt idx="442">
                  <c:v>0.317233309513684</c:v>
                </c:pt>
                <c:pt idx="443">
                  <c:v>0.31838497641011898</c:v>
                </c:pt>
                <c:pt idx="444">
                  <c:v>0.31955039891797599</c:v>
                </c:pt>
                <c:pt idx="445">
                  <c:v>0.32062529366603898</c:v>
                </c:pt>
                <c:pt idx="446">
                  <c:v>0.32176534021764602</c:v>
                </c:pt>
                <c:pt idx="447">
                  <c:v>0.32302493426933399</c:v>
                </c:pt>
                <c:pt idx="448">
                  <c:v>0.324342569412091</c:v>
                </c:pt>
                <c:pt idx="449">
                  <c:v>0.32557063938189901</c:v>
                </c:pt>
                <c:pt idx="450">
                  <c:v>0.32689146571562999</c:v>
                </c:pt>
                <c:pt idx="451">
                  <c:v>0.32810178192751899</c:v>
                </c:pt>
                <c:pt idx="452">
                  <c:v>0.329248201133582</c:v>
                </c:pt>
                <c:pt idx="453">
                  <c:v>0.330344723237463</c:v>
                </c:pt>
                <c:pt idx="454">
                  <c:v>0.33124988509223102</c:v>
                </c:pt>
                <c:pt idx="455">
                  <c:v>0.33212570233936201</c:v>
                </c:pt>
                <c:pt idx="456">
                  <c:v>0.33280265127935599</c:v>
                </c:pt>
                <c:pt idx="457">
                  <c:v>0.33343263432602199</c:v>
                </c:pt>
                <c:pt idx="458">
                  <c:v>0.334146307601002</c:v>
                </c:pt>
                <c:pt idx="459">
                  <c:v>0.334888825791547</c:v>
                </c:pt>
                <c:pt idx="460">
                  <c:v>0.33554345894888699</c:v>
                </c:pt>
                <c:pt idx="461">
                  <c:v>0.33622199153086102</c:v>
                </c:pt>
                <c:pt idx="462">
                  <c:v>0.33688180985612898</c:v>
                </c:pt>
                <c:pt idx="463">
                  <c:v>0.33756614780583899</c:v>
                </c:pt>
                <c:pt idx="464">
                  <c:v>0.33833979981353302</c:v>
                </c:pt>
                <c:pt idx="465">
                  <c:v>0.339036254524127</c:v>
                </c:pt>
                <c:pt idx="466">
                  <c:v>0.33968396492498798</c:v>
                </c:pt>
                <c:pt idx="467">
                  <c:v>0.34034015268716</c:v>
                </c:pt>
                <c:pt idx="468">
                  <c:v>0.340944972633975</c:v>
                </c:pt>
                <c:pt idx="469">
                  <c:v>0.34148025332732201</c:v>
                </c:pt>
                <c:pt idx="470">
                  <c:v>0.34203963509802798</c:v>
                </c:pt>
                <c:pt idx="471">
                  <c:v>0.34262282021643797</c:v>
                </c:pt>
                <c:pt idx="472">
                  <c:v>0.34323329656461898</c:v>
                </c:pt>
                <c:pt idx="473">
                  <c:v>0.34393041075372099</c:v>
                </c:pt>
                <c:pt idx="474">
                  <c:v>0.34453272544791402</c:v>
                </c:pt>
                <c:pt idx="475">
                  <c:v>0.34515680247216801</c:v>
                </c:pt>
                <c:pt idx="476">
                  <c:v>0.34577182833747699</c:v>
                </c:pt>
                <c:pt idx="477">
                  <c:v>0.346359881480298</c:v>
                </c:pt>
                <c:pt idx="478">
                  <c:v>0.34698141063308402</c:v>
                </c:pt>
                <c:pt idx="479">
                  <c:v>0.34761541605554702</c:v>
                </c:pt>
                <c:pt idx="480">
                  <c:v>0.34833059857124099</c:v>
                </c:pt>
                <c:pt idx="481">
                  <c:v>0.34900898270945202</c:v>
                </c:pt>
                <c:pt idx="482">
                  <c:v>0.34963834851292902</c:v>
                </c:pt>
                <c:pt idx="483">
                  <c:v>0.35014779855135097</c:v>
                </c:pt>
                <c:pt idx="484">
                  <c:v>0.35068789183948301</c:v>
                </c:pt>
                <c:pt idx="485">
                  <c:v>0.35132573113430099</c:v>
                </c:pt>
                <c:pt idx="486">
                  <c:v>0.351858494177679</c:v>
                </c:pt>
                <c:pt idx="487">
                  <c:v>0.35238326495690397</c:v>
                </c:pt>
                <c:pt idx="488">
                  <c:v>0.35285849709343098</c:v>
                </c:pt>
                <c:pt idx="489">
                  <c:v>0.35330101220673499</c:v>
                </c:pt>
                <c:pt idx="490">
                  <c:v>0.353721391807783</c:v>
                </c:pt>
                <c:pt idx="491">
                  <c:v>0.35413444323086202</c:v>
                </c:pt>
                <c:pt idx="492">
                  <c:v>0.354494659516364</c:v>
                </c:pt>
                <c:pt idx="493">
                  <c:v>0.35488769423696997</c:v>
                </c:pt>
                <c:pt idx="494">
                  <c:v>0.35529844806427802</c:v>
                </c:pt>
                <c:pt idx="495">
                  <c:v>0.35571868104424398</c:v>
                </c:pt>
                <c:pt idx="496">
                  <c:v>0.356158065389789</c:v>
                </c:pt>
                <c:pt idx="497">
                  <c:v>0.35662333035235799</c:v>
                </c:pt>
                <c:pt idx="498">
                  <c:v>0.35698008048981</c:v>
                </c:pt>
                <c:pt idx="499">
                  <c:v>0.35738759536409698</c:v>
                </c:pt>
                <c:pt idx="500">
                  <c:v>0.35818216092733801</c:v>
                </c:pt>
                <c:pt idx="501">
                  <c:v>0.35880174066841197</c:v>
                </c:pt>
                <c:pt idx="502">
                  <c:v>0.35939404609140602</c:v>
                </c:pt>
                <c:pt idx="503">
                  <c:v>0.35993247171116199</c:v>
                </c:pt>
                <c:pt idx="504">
                  <c:v>0.360451400622609</c:v>
                </c:pt>
                <c:pt idx="505">
                  <c:v>0.36114025034733999</c:v>
                </c:pt>
                <c:pt idx="506">
                  <c:v>0.36174959694578701</c:v>
                </c:pt>
                <c:pt idx="507">
                  <c:v>0.36243461706982899</c:v>
                </c:pt>
                <c:pt idx="508">
                  <c:v>0.36309922686151003</c:v>
                </c:pt>
                <c:pt idx="509">
                  <c:v>0.36374182169469499</c:v>
                </c:pt>
                <c:pt idx="510">
                  <c:v>0.36444664515058001</c:v>
                </c:pt>
                <c:pt idx="511">
                  <c:v>0.36525313211091298</c:v>
                </c:pt>
                <c:pt idx="512">
                  <c:v>0.36611102321657901</c:v>
                </c:pt>
                <c:pt idx="513">
                  <c:v>0.36662313185758799</c:v>
                </c:pt>
                <c:pt idx="514">
                  <c:v>0.36712206468599301</c:v>
                </c:pt>
                <c:pt idx="515">
                  <c:v>0.367712213891847</c:v>
                </c:pt>
                <c:pt idx="516">
                  <c:v>0.36823984038461</c:v>
                </c:pt>
                <c:pt idx="517">
                  <c:v>0.36865486502495598</c:v>
                </c:pt>
                <c:pt idx="518">
                  <c:v>0.36907833027748199</c:v>
                </c:pt>
                <c:pt idx="519">
                  <c:v>0.36954554403638101</c:v>
                </c:pt>
                <c:pt idx="520">
                  <c:v>0.37000250318800398</c:v>
                </c:pt>
                <c:pt idx="521">
                  <c:v>0.37042377299726198</c:v>
                </c:pt>
                <c:pt idx="522">
                  <c:v>0.370700695550926</c:v>
                </c:pt>
                <c:pt idx="523">
                  <c:v>0.370881323473438</c:v>
                </c:pt>
                <c:pt idx="524">
                  <c:v>0.37105348555786799</c:v>
                </c:pt>
                <c:pt idx="525">
                  <c:v>0.37124250793215402</c:v>
                </c:pt>
                <c:pt idx="526">
                  <c:v>0.37149994565878802</c:v>
                </c:pt>
                <c:pt idx="527">
                  <c:v>0.37178551611945498</c:v>
                </c:pt>
                <c:pt idx="528">
                  <c:v>0.372034560915455</c:v>
                </c:pt>
                <c:pt idx="529">
                  <c:v>0.37223837787489999</c:v>
                </c:pt>
                <c:pt idx="530">
                  <c:v>0.37237956961448299</c:v>
                </c:pt>
                <c:pt idx="531">
                  <c:v>0.37260797753290598</c:v>
                </c:pt>
                <c:pt idx="532">
                  <c:v>0.372804338209207</c:v>
                </c:pt>
                <c:pt idx="533">
                  <c:v>0.37294377909549298</c:v>
                </c:pt>
                <c:pt idx="534">
                  <c:v>0.37322281779283401</c:v>
                </c:pt>
                <c:pt idx="535">
                  <c:v>0.37351955855034702</c:v>
                </c:pt>
                <c:pt idx="536">
                  <c:v>0.373745948340651</c:v>
                </c:pt>
                <c:pt idx="537">
                  <c:v>0.37404673859112197</c:v>
                </c:pt>
                <c:pt idx="538">
                  <c:v>0.37438821917774501</c:v>
                </c:pt>
                <c:pt idx="539">
                  <c:v>0.37473327443897297</c:v>
                </c:pt>
                <c:pt idx="540">
                  <c:v>0.375043064258269</c:v>
                </c:pt>
                <c:pt idx="541">
                  <c:v>0.37547698274414398</c:v>
                </c:pt>
                <c:pt idx="542">
                  <c:v>0.37582230879285999</c:v>
                </c:pt>
                <c:pt idx="543">
                  <c:v>0.37613714029936102</c:v>
                </c:pt>
                <c:pt idx="544">
                  <c:v>0.37649790664024302</c:v>
                </c:pt>
                <c:pt idx="545">
                  <c:v>0.37685888309662002</c:v>
                </c:pt>
                <c:pt idx="546">
                  <c:v>0.37712137173815102</c:v>
                </c:pt>
                <c:pt idx="547">
                  <c:v>0.37750900493584699</c:v>
                </c:pt>
                <c:pt idx="548">
                  <c:v>0.37769325094564299</c:v>
                </c:pt>
                <c:pt idx="549">
                  <c:v>0.37799929340931998</c:v>
                </c:pt>
                <c:pt idx="550">
                  <c:v>0.37825537579187102</c:v>
                </c:pt>
                <c:pt idx="551">
                  <c:v>0.37849543559756799</c:v>
                </c:pt>
                <c:pt idx="552">
                  <c:v>0.37868828146745398</c:v>
                </c:pt>
                <c:pt idx="553">
                  <c:v>0.37879944972468799</c:v>
                </c:pt>
                <c:pt idx="554">
                  <c:v>0.37901957256568702</c:v>
                </c:pt>
                <c:pt idx="555">
                  <c:v>0.37916995383593299</c:v>
                </c:pt>
                <c:pt idx="556">
                  <c:v>0.37939105134393603</c:v>
                </c:pt>
                <c:pt idx="557">
                  <c:v>0.37957587738089499</c:v>
                </c:pt>
                <c:pt idx="558">
                  <c:v>0.37985288243758197</c:v>
                </c:pt>
                <c:pt idx="559">
                  <c:v>0.38014895062507797</c:v>
                </c:pt>
                <c:pt idx="560">
                  <c:v>0.38035401988871897</c:v>
                </c:pt>
                <c:pt idx="561">
                  <c:v>0.38064508261117103</c:v>
                </c:pt>
                <c:pt idx="562">
                  <c:v>0.38101795112197001</c:v>
                </c:pt>
                <c:pt idx="563">
                  <c:v>0.38148869755318199</c:v>
                </c:pt>
                <c:pt idx="564">
                  <c:v>0.38211789187059197</c:v>
                </c:pt>
                <c:pt idx="565">
                  <c:v>0.382616278718512</c:v>
                </c:pt>
                <c:pt idx="566">
                  <c:v>0.38304296933457099</c:v>
                </c:pt>
                <c:pt idx="567">
                  <c:v>0.38342509568279898</c:v>
                </c:pt>
                <c:pt idx="568">
                  <c:v>0.38379360157312398</c:v>
                </c:pt>
                <c:pt idx="569">
                  <c:v>0.38410715827899999</c:v>
                </c:pt>
                <c:pt idx="570">
                  <c:v>0.38443549683072198</c:v>
                </c:pt>
                <c:pt idx="571">
                  <c:v>0.38472742665931597</c:v>
                </c:pt>
                <c:pt idx="572">
                  <c:v>0.38494674089318798</c:v>
                </c:pt>
                <c:pt idx="573">
                  <c:v>0.38526629967361797</c:v>
                </c:pt>
                <c:pt idx="574">
                  <c:v>0.38544032548790302</c:v>
                </c:pt>
                <c:pt idx="575">
                  <c:v>0.38532139566992502</c:v>
                </c:pt>
                <c:pt idx="576">
                  <c:v>0.38525727281786798</c:v>
                </c:pt>
                <c:pt idx="577">
                  <c:v>0.38513236095382603</c:v>
                </c:pt>
                <c:pt idx="578">
                  <c:v>0.38508814234340299</c:v>
                </c:pt>
                <c:pt idx="579">
                  <c:v>0.38506556964759198</c:v>
                </c:pt>
                <c:pt idx="580">
                  <c:v>0.384871550266286</c:v>
                </c:pt>
                <c:pt idx="581">
                  <c:v>0.38474414711562699</c:v>
                </c:pt>
                <c:pt idx="582">
                  <c:v>0.38459451331195099</c:v>
                </c:pt>
                <c:pt idx="583">
                  <c:v>0.38439960253167399</c:v>
                </c:pt>
                <c:pt idx="584">
                  <c:v>0.38420399724446902</c:v>
                </c:pt>
                <c:pt idx="585">
                  <c:v>0.38400727833158099</c:v>
                </c:pt>
                <c:pt idx="586">
                  <c:v>0.38368992550845099</c:v>
                </c:pt>
                <c:pt idx="587">
                  <c:v>0.38336466628739402</c:v>
                </c:pt>
                <c:pt idx="588">
                  <c:v>0.383074583204981</c:v>
                </c:pt>
                <c:pt idx="589">
                  <c:v>0.38272735312770001</c:v>
                </c:pt>
                <c:pt idx="590">
                  <c:v>0.38234752721791798</c:v>
                </c:pt>
                <c:pt idx="591">
                  <c:v>0.38207985419419699</c:v>
                </c:pt>
                <c:pt idx="592">
                  <c:v>0.38164259017364899</c:v>
                </c:pt>
                <c:pt idx="593">
                  <c:v>0.38126697217956002</c:v>
                </c:pt>
                <c:pt idx="594">
                  <c:v>0.380801290908583</c:v>
                </c:pt>
                <c:pt idx="595">
                  <c:v>0.38047920776781202</c:v>
                </c:pt>
                <c:pt idx="596">
                  <c:v>0.38013202529108198</c:v>
                </c:pt>
                <c:pt idx="597">
                  <c:v>0.37988916027200098</c:v>
                </c:pt>
                <c:pt idx="598">
                  <c:v>0.379733779694573</c:v>
                </c:pt>
                <c:pt idx="599">
                  <c:v>0.37957298259550898</c:v>
                </c:pt>
                <c:pt idx="600">
                  <c:v>0.37941325054788999</c:v>
                </c:pt>
                <c:pt idx="601">
                  <c:v>0.379226165597702</c:v>
                </c:pt>
                <c:pt idx="602">
                  <c:v>0.37897208258020498</c:v>
                </c:pt>
                <c:pt idx="603">
                  <c:v>0.37882576163364601</c:v>
                </c:pt>
                <c:pt idx="604">
                  <c:v>0.37866339222862599</c:v>
                </c:pt>
                <c:pt idx="605">
                  <c:v>0.37852392808658603</c:v>
                </c:pt>
                <c:pt idx="606">
                  <c:v>0.37838926182594301</c:v>
                </c:pt>
                <c:pt idx="607">
                  <c:v>0.37818039593879299</c:v>
                </c:pt>
                <c:pt idx="608">
                  <c:v>0.37801812664232698</c:v>
                </c:pt>
                <c:pt idx="609">
                  <c:v>0.37777687789648901</c:v>
                </c:pt>
                <c:pt idx="610">
                  <c:v>0.37757392151713498</c:v>
                </c:pt>
                <c:pt idx="611">
                  <c:v>0.37737644637015599</c:v>
                </c:pt>
                <c:pt idx="612">
                  <c:v>0.377102516656875</c:v>
                </c:pt>
                <c:pt idx="613">
                  <c:v>0.37683351401665399</c:v>
                </c:pt>
                <c:pt idx="614">
                  <c:v>0.37645721221425699</c:v>
                </c:pt>
                <c:pt idx="615">
                  <c:v>0.37616679748222498</c:v>
                </c:pt>
                <c:pt idx="616">
                  <c:v>0.37581076877140601</c:v>
                </c:pt>
                <c:pt idx="617">
                  <c:v>0.37551434099551501</c:v>
                </c:pt>
                <c:pt idx="618">
                  <c:v>0.37524351672916001</c:v>
                </c:pt>
                <c:pt idx="619">
                  <c:v>0.37488991708485198</c:v>
                </c:pt>
                <c:pt idx="620">
                  <c:v>0.37451405354084599</c:v>
                </c:pt>
                <c:pt idx="621">
                  <c:v>0.37412097405104899</c:v>
                </c:pt>
                <c:pt idx="622">
                  <c:v>0.37364501651801202</c:v>
                </c:pt>
                <c:pt idx="623">
                  <c:v>0.37336098345730301</c:v>
                </c:pt>
                <c:pt idx="624">
                  <c:v>0.37290191717409299</c:v>
                </c:pt>
                <c:pt idx="625">
                  <c:v>0.372362919693628</c:v>
                </c:pt>
                <c:pt idx="626">
                  <c:v>0.37193427455570799</c:v>
                </c:pt>
                <c:pt idx="627">
                  <c:v>0.37138300987607498</c:v>
                </c:pt>
                <c:pt idx="628">
                  <c:v>0.37080599813395998</c:v>
                </c:pt>
                <c:pt idx="629">
                  <c:v>0.37018293283304998</c:v>
                </c:pt>
                <c:pt idx="630">
                  <c:v>0.369558538897934</c:v>
                </c:pt>
                <c:pt idx="631">
                  <c:v>0.36877691586087402</c:v>
                </c:pt>
                <c:pt idx="632">
                  <c:v>0.36803138264104002</c:v>
                </c:pt>
                <c:pt idx="633">
                  <c:v>0.36730365691827399</c:v>
                </c:pt>
                <c:pt idx="634">
                  <c:v>0.36649503540017297</c:v>
                </c:pt>
                <c:pt idx="635">
                  <c:v>0.36565570362840999</c:v>
                </c:pt>
                <c:pt idx="636">
                  <c:v>0.36475104543709902</c:v>
                </c:pt>
                <c:pt idx="637">
                  <c:v>0.36378473416151003</c:v>
                </c:pt>
                <c:pt idx="638">
                  <c:v>0.36272631064724598</c:v>
                </c:pt>
                <c:pt idx="639">
                  <c:v>0.36157558392467198</c:v>
                </c:pt>
                <c:pt idx="640">
                  <c:v>0.36055159906307699</c:v>
                </c:pt>
                <c:pt idx="641">
                  <c:v>0.35956420684160001</c:v>
                </c:pt>
                <c:pt idx="642">
                  <c:v>0.35871954471128098</c:v>
                </c:pt>
                <c:pt idx="643">
                  <c:v>0.357834256478958</c:v>
                </c:pt>
                <c:pt idx="644">
                  <c:v>0.357005910614619</c:v>
                </c:pt>
                <c:pt idx="645">
                  <c:v>0.35619246442855501</c:v>
                </c:pt>
                <c:pt idx="646">
                  <c:v>0.35536279868506698</c:v>
                </c:pt>
                <c:pt idx="647">
                  <c:v>0.35454017227435802</c:v>
                </c:pt>
                <c:pt idx="648">
                  <c:v>0.35370241121868701</c:v>
                </c:pt>
                <c:pt idx="649">
                  <c:v>0.352973310266123</c:v>
                </c:pt>
                <c:pt idx="650">
                  <c:v>0.35223601864683901</c:v>
                </c:pt>
                <c:pt idx="651">
                  <c:v>0.351555329315275</c:v>
                </c:pt>
                <c:pt idx="652">
                  <c:v>0.35090010613022699</c:v>
                </c:pt>
                <c:pt idx="653">
                  <c:v>0.35018517490485901</c:v>
                </c:pt>
                <c:pt idx="654">
                  <c:v>0.34946151191494301</c:v>
                </c:pt>
                <c:pt idx="655">
                  <c:v>0.34855899931809098</c:v>
                </c:pt>
                <c:pt idx="656">
                  <c:v>0.347676228769214</c:v>
                </c:pt>
                <c:pt idx="657">
                  <c:v>0.346751051062199</c:v>
                </c:pt>
                <c:pt idx="658">
                  <c:v>0.34582256089885</c:v>
                </c:pt>
                <c:pt idx="659">
                  <c:v>0.34486521445590801</c:v>
                </c:pt>
                <c:pt idx="660">
                  <c:v>0.34391971859839499</c:v>
                </c:pt>
                <c:pt idx="661">
                  <c:v>0.34307328094599299</c:v>
                </c:pt>
              </c:numCache>
            </c:numRef>
          </c:val>
        </c:ser>
        <c:marker val="1"/>
        <c:axId val="49459968"/>
        <c:axId val="49461504"/>
      </c:lineChart>
      <c:dateAx>
        <c:axId val="49459968"/>
        <c:scaling>
          <c:orientation val="minMax"/>
        </c:scaling>
        <c:axPos val="b"/>
        <c:numFmt formatCode="yyyy/mm/dd" sourceLinked="1"/>
        <c:tickLblPos val="nextTo"/>
        <c:crossAx val="49461504"/>
        <c:crosses val="autoZero"/>
        <c:auto val="1"/>
        <c:lblOffset val="100"/>
      </c:dateAx>
      <c:valAx>
        <c:axId val="49461504"/>
        <c:scaling>
          <c:orientation val="minMax"/>
          <c:max val="0.37187315636981794"/>
          <c:min val="0.16305997451006124"/>
        </c:scaling>
        <c:axPos val="l"/>
        <c:majorGridlines/>
        <c:numFmt formatCode="General" sourceLinked="1"/>
        <c:majorTickMark val="none"/>
        <c:tickLblPos val="nextTo"/>
        <c:crossAx val="49459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E-2"/>
          <c:w val="0.11146820076747002"/>
          <c:h val="0.1504558576043829"/>
        </c:manualLayout>
      </c:layout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3E-2"/>
          <c:w val="0.87885104561634764"/>
          <c:h val="0.79822145785874832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CLOSE_1951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2859</c:v>
                </c:pt>
                <c:pt idx="1">
                  <c:v>2865</c:v>
                </c:pt>
                <c:pt idx="2">
                  <c:v>2874</c:v>
                </c:pt>
                <c:pt idx="3">
                  <c:v>2908</c:v>
                </c:pt>
                <c:pt idx="4">
                  <c:v>2907</c:v>
                </c:pt>
                <c:pt idx="5">
                  <c:v>2883</c:v>
                </c:pt>
                <c:pt idx="6">
                  <c:v>2864</c:v>
                </c:pt>
                <c:pt idx="7">
                  <c:v>2856</c:v>
                </c:pt>
                <c:pt idx="8">
                  <c:v>2849</c:v>
                </c:pt>
                <c:pt idx="9">
                  <c:v>2877</c:v>
                </c:pt>
                <c:pt idx="10">
                  <c:v>2850</c:v>
                </c:pt>
                <c:pt idx="11">
                  <c:v>2889</c:v>
                </c:pt>
                <c:pt idx="12">
                  <c:v>2899</c:v>
                </c:pt>
                <c:pt idx="13">
                  <c:v>2845</c:v>
                </c:pt>
                <c:pt idx="14">
                  <c:v>2855</c:v>
                </c:pt>
                <c:pt idx="15">
                  <c:v>2922</c:v>
                </c:pt>
                <c:pt idx="16">
                  <c:v>2895</c:v>
                </c:pt>
                <c:pt idx="17">
                  <c:v>2900</c:v>
                </c:pt>
                <c:pt idx="18">
                  <c:v>2840</c:v>
                </c:pt>
                <c:pt idx="19">
                  <c:v>2818</c:v>
                </c:pt>
                <c:pt idx="20">
                  <c:v>2763</c:v>
                </c:pt>
                <c:pt idx="21">
                  <c:v>2789</c:v>
                </c:pt>
                <c:pt idx="22">
                  <c:v>2887</c:v>
                </c:pt>
                <c:pt idx="23">
                  <c:v>2787</c:v>
                </c:pt>
                <c:pt idx="24">
                  <c:v>2737</c:v>
                </c:pt>
                <c:pt idx="25">
                  <c:v>2757</c:v>
                </c:pt>
                <c:pt idx="26">
                  <c:v>2752</c:v>
                </c:pt>
                <c:pt idx="27">
                  <c:v>2783</c:v>
                </c:pt>
                <c:pt idx="28">
                  <c:v>2800</c:v>
                </c:pt>
                <c:pt idx="29">
                  <c:v>2755</c:v>
                </c:pt>
                <c:pt idx="30">
                  <c:v>2773</c:v>
                </c:pt>
                <c:pt idx="31">
                  <c:v>2778</c:v>
                </c:pt>
                <c:pt idx="32">
                  <c:v>2784</c:v>
                </c:pt>
                <c:pt idx="33">
                  <c:v>2744</c:v>
                </c:pt>
                <c:pt idx="34">
                  <c:v>2779</c:v>
                </c:pt>
                <c:pt idx="35">
                  <c:v>2763</c:v>
                </c:pt>
                <c:pt idx="36">
                  <c:v>2751</c:v>
                </c:pt>
                <c:pt idx="37">
                  <c:v>2721</c:v>
                </c:pt>
                <c:pt idx="38">
                  <c:v>2693</c:v>
                </c:pt>
                <c:pt idx="39">
                  <c:v>2670</c:v>
                </c:pt>
                <c:pt idx="40">
                  <c:v>2655</c:v>
                </c:pt>
                <c:pt idx="41">
                  <c:v>2637</c:v>
                </c:pt>
                <c:pt idx="42">
                  <c:v>2576</c:v>
                </c:pt>
                <c:pt idx="43">
                  <c:v>2554</c:v>
                </c:pt>
                <c:pt idx="44">
                  <c:v>2558</c:v>
                </c:pt>
                <c:pt idx="45">
                  <c:v>2554</c:v>
                </c:pt>
                <c:pt idx="46">
                  <c:v>2545</c:v>
                </c:pt>
                <c:pt idx="47">
                  <c:v>2563</c:v>
                </c:pt>
                <c:pt idx="48">
                  <c:v>2548</c:v>
                </c:pt>
                <c:pt idx="49">
                  <c:v>2629</c:v>
                </c:pt>
                <c:pt idx="50">
                  <c:v>2626</c:v>
                </c:pt>
                <c:pt idx="51">
                  <c:v>2620</c:v>
                </c:pt>
                <c:pt idx="52">
                  <c:v>2615</c:v>
                </c:pt>
                <c:pt idx="53">
                  <c:v>2646</c:v>
                </c:pt>
                <c:pt idx="54">
                  <c:v>2668</c:v>
                </c:pt>
                <c:pt idx="55">
                  <c:v>2640</c:v>
                </c:pt>
                <c:pt idx="56">
                  <c:v>2647</c:v>
                </c:pt>
                <c:pt idx="57">
                  <c:v>2658</c:v>
                </c:pt>
                <c:pt idx="58">
                  <c:v>2609</c:v>
                </c:pt>
                <c:pt idx="59">
                  <c:v>2628</c:v>
                </c:pt>
                <c:pt idx="60">
                  <c:v>2590</c:v>
                </c:pt>
                <c:pt idx="61">
                  <c:v>2613</c:v>
                </c:pt>
                <c:pt idx="62">
                  <c:v>2573</c:v>
                </c:pt>
                <c:pt idx="63">
                  <c:v>2573</c:v>
                </c:pt>
                <c:pt idx="64">
                  <c:v>2591</c:v>
                </c:pt>
                <c:pt idx="65">
                  <c:v>2555</c:v>
                </c:pt>
                <c:pt idx="66">
                  <c:v>2565</c:v>
                </c:pt>
                <c:pt idx="67">
                  <c:v>2565</c:v>
                </c:pt>
                <c:pt idx="68">
                  <c:v>2545</c:v>
                </c:pt>
                <c:pt idx="69">
                  <c:v>2564</c:v>
                </c:pt>
                <c:pt idx="70">
                  <c:v>2560</c:v>
                </c:pt>
                <c:pt idx="71">
                  <c:v>2493</c:v>
                </c:pt>
                <c:pt idx="72">
                  <c:v>2496</c:v>
                </c:pt>
                <c:pt idx="73">
                  <c:v>2470</c:v>
                </c:pt>
                <c:pt idx="74">
                  <c:v>2457</c:v>
                </c:pt>
                <c:pt idx="75">
                  <c:v>2447</c:v>
                </c:pt>
                <c:pt idx="76">
                  <c:v>2431</c:v>
                </c:pt>
                <c:pt idx="77">
                  <c:v>2404</c:v>
                </c:pt>
                <c:pt idx="78">
                  <c:v>2390</c:v>
                </c:pt>
                <c:pt idx="79">
                  <c:v>2338</c:v>
                </c:pt>
                <c:pt idx="80">
                  <c:v>2290</c:v>
                </c:pt>
                <c:pt idx="81">
                  <c:v>2337</c:v>
                </c:pt>
                <c:pt idx="82">
                  <c:v>2377</c:v>
                </c:pt>
                <c:pt idx="83">
                  <c:v>2379</c:v>
                </c:pt>
                <c:pt idx="84">
                  <c:v>2580</c:v>
                </c:pt>
                <c:pt idx="85">
                  <c:v>2566</c:v>
                </c:pt>
                <c:pt idx="86">
                  <c:v>2517</c:v>
                </c:pt>
                <c:pt idx="87">
                  <c:v>2547</c:v>
                </c:pt>
                <c:pt idx="88">
                  <c:v>2520</c:v>
                </c:pt>
                <c:pt idx="89">
                  <c:v>2552</c:v>
                </c:pt>
                <c:pt idx="90">
                  <c:v>2615</c:v>
                </c:pt>
                <c:pt idx="91">
                  <c:v>2627</c:v>
                </c:pt>
                <c:pt idx="92">
                  <c:v>2633</c:v>
                </c:pt>
                <c:pt idx="93">
                  <c:v>2606</c:v>
                </c:pt>
                <c:pt idx="94">
                  <c:v>2612</c:v>
                </c:pt>
                <c:pt idx="95">
                  <c:v>2629</c:v>
                </c:pt>
                <c:pt idx="96">
                  <c:v>2623</c:v>
                </c:pt>
                <c:pt idx="97">
                  <c:v>2605</c:v>
                </c:pt>
                <c:pt idx="98">
                  <c:v>2596</c:v>
                </c:pt>
                <c:pt idx="99">
                  <c:v>2616</c:v>
                </c:pt>
                <c:pt idx="100">
                  <c:v>2585</c:v>
                </c:pt>
                <c:pt idx="101">
                  <c:v>2666</c:v>
                </c:pt>
                <c:pt idx="102">
                  <c:v>2629</c:v>
                </c:pt>
                <c:pt idx="103">
                  <c:v>2656</c:v>
                </c:pt>
                <c:pt idx="104">
                  <c:v>2655</c:v>
                </c:pt>
                <c:pt idx="105">
                  <c:v>2655</c:v>
                </c:pt>
                <c:pt idx="106">
                  <c:v>2652</c:v>
                </c:pt>
                <c:pt idx="107">
                  <c:v>2678</c:v>
                </c:pt>
                <c:pt idx="108">
                  <c:v>2726</c:v>
                </c:pt>
                <c:pt idx="109">
                  <c:v>2728</c:v>
                </c:pt>
                <c:pt idx="110">
                  <c:v>2695</c:v>
                </c:pt>
                <c:pt idx="111">
                  <c:v>2719</c:v>
                </c:pt>
                <c:pt idx="112">
                  <c:v>2703</c:v>
                </c:pt>
                <c:pt idx="113">
                  <c:v>2682</c:v>
                </c:pt>
                <c:pt idx="114">
                  <c:v>2677</c:v>
                </c:pt>
                <c:pt idx="115">
                  <c:v>2661</c:v>
                </c:pt>
                <c:pt idx="116">
                  <c:v>2657</c:v>
                </c:pt>
                <c:pt idx="117">
                  <c:v>2652</c:v>
                </c:pt>
                <c:pt idx="118">
                  <c:v>2649</c:v>
                </c:pt>
                <c:pt idx="119">
                  <c:v>2674</c:v>
                </c:pt>
                <c:pt idx="120">
                  <c:v>2672</c:v>
                </c:pt>
                <c:pt idx="121">
                  <c:v>2658</c:v>
                </c:pt>
                <c:pt idx="122">
                  <c:v>2675</c:v>
                </c:pt>
                <c:pt idx="123">
                  <c:v>2719</c:v>
                </c:pt>
                <c:pt idx="124">
                  <c:v>2673</c:v>
                </c:pt>
                <c:pt idx="125">
                  <c:v>2687</c:v>
                </c:pt>
                <c:pt idx="126">
                  <c:v>2674</c:v>
                </c:pt>
                <c:pt idx="127">
                  <c:v>2628</c:v>
                </c:pt>
                <c:pt idx="128">
                  <c:v>2602</c:v>
                </c:pt>
                <c:pt idx="129">
                  <c:v>2581</c:v>
                </c:pt>
                <c:pt idx="130">
                  <c:v>2595</c:v>
                </c:pt>
                <c:pt idx="131">
                  <c:v>2522</c:v>
                </c:pt>
                <c:pt idx="132">
                  <c:v>2528</c:v>
                </c:pt>
                <c:pt idx="133">
                  <c:v>2553</c:v>
                </c:pt>
                <c:pt idx="134">
                  <c:v>2566</c:v>
                </c:pt>
                <c:pt idx="135">
                  <c:v>2513</c:v>
                </c:pt>
                <c:pt idx="136">
                  <c:v>2473</c:v>
                </c:pt>
                <c:pt idx="137">
                  <c:v>2455</c:v>
                </c:pt>
                <c:pt idx="138">
                  <c:v>2452</c:v>
                </c:pt>
                <c:pt idx="139">
                  <c:v>2473</c:v>
                </c:pt>
                <c:pt idx="140">
                  <c:v>2489</c:v>
                </c:pt>
                <c:pt idx="141">
                  <c:v>2464</c:v>
                </c:pt>
                <c:pt idx="142">
                  <c:v>2554</c:v>
                </c:pt>
                <c:pt idx="143">
                  <c:v>2534</c:v>
                </c:pt>
                <c:pt idx="144">
                  <c:v>2543</c:v>
                </c:pt>
                <c:pt idx="145">
                  <c:v>2600</c:v>
                </c:pt>
                <c:pt idx="146">
                  <c:v>2820</c:v>
                </c:pt>
                <c:pt idx="147">
                  <c:v>2852</c:v>
                </c:pt>
                <c:pt idx="148">
                  <c:v>2897</c:v>
                </c:pt>
                <c:pt idx="149">
                  <c:v>2904</c:v>
                </c:pt>
                <c:pt idx="150">
                  <c:v>2948</c:v>
                </c:pt>
                <c:pt idx="151">
                  <c:v>3010</c:v>
                </c:pt>
                <c:pt idx="152">
                  <c:v>3030</c:v>
                </c:pt>
                <c:pt idx="153">
                  <c:v>3040</c:v>
                </c:pt>
                <c:pt idx="154">
                  <c:v>3030</c:v>
                </c:pt>
                <c:pt idx="155">
                  <c:v>3065</c:v>
                </c:pt>
                <c:pt idx="156">
                  <c:v>3070</c:v>
                </c:pt>
                <c:pt idx="157">
                  <c:v>3050</c:v>
                </c:pt>
                <c:pt idx="158">
                  <c:v>3040</c:v>
                </c:pt>
                <c:pt idx="159">
                  <c:v>3085</c:v>
                </c:pt>
                <c:pt idx="160">
                  <c:v>3125</c:v>
                </c:pt>
                <c:pt idx="161">
                  <c:v>3120</c:v>
                </c:pt>
                <c:pt idx="162">
                  <c:v>3090</c:v>
                </c:pt>
                <c:pt idx="163">
                  <c:v>3085</c:v>
                </c:pt>
                <c:pt idx="164">
                  <c:v>3060</c:v>
                </c:pt>
                <c:pt idx="165">
                  <c:v>3090</c:v>
                </c:pt>
                <c:pt idx="166">
                  <c:v>3100</c:v>
                </c:pt>
                <c:pt idx="167">
                  <c:v>3080</c:v>
                </c:pt>
                <c:pt idx="168">
                  <c:v>3075</c:v>
                </c:pt>
                <c:pt idx="169">
                  <c:v>3055</c:v>
                </c:pt>
                <c:pt idx="170">
                  <c:v>3060</c:v>
                </c:pt>
                <c:pt idx="171">
                  <c:v>3090</c:v>
                </c:pt>
                <c:pt idx="172">
                  <c:v>3055</c:v>
                </c:pt>
                <c:pt idx="173">
                  <c:v>2954</c:v>
                </c:pt>
                <c:pt idx="174">
                  <c:v>3000</c:v>
                </c:pt>
                <c:pt idx="175">
                  <c:v>2999</c:v>
                </c:pt>
                <c:pt idx="176">
                  <c:v>2931</c:v>
                </c:pt>
                <c:pt idx="177">
                  <c:v>2970</c:v>
                </c:pt>
                <c:pt idx="178">
                  <c:v>2978</c:v>
                </c:pt>
                <c:pt idx="179">
                  <c:v>3000</c:v>
                </c:pt>
                <c:pt idx="180">
                  <c:v>2989</c:v>
                </c:pt>
                <c:pt idx="181">
                  <c:v>2981</c:v>
                </c:pt>
                <c:pt idx="182">
                  <c:v>2958</c:v>
                </c:pt>
                <c:pt idx="183">
                  <c:v>2984</c:v>
                </c:pt>
                <c:pt idx="184">
                  <c:v>3020</c:v>
                </c:pt>
                <c:pt idx="185">
                  <c:v>3005</c:v>
                </c:pt>
                <c:pt idx="186">
                  <c:v>2987</c:v>
                </c:pt>
                <c:pt idx="187">
                  <c:v>3070</c:v>
                </c:pt>
                <c:pt idx="188">
                  <c:v>3055</c:v>
                </c:pt>
                <c:pt idx="189">
                  <c:v>3010</c:v>
                </c:pt>
                <c:pt idx="190">
                  <c:v>3005</c:v>
                </c:pt>
                <c:pt idx="191">
                  <c:v>3040</c:v>
                </c:pt>
                <c:pt idx="192">
                  <c:v>3005</c:v>
                </c:pt>
                <c:pt idx="193">
                  <c:v>2954</c:v>
                </c:pt>
                <c:pt idx="194">
                  <c:v>2877</c:v>
                </c:pt>
                <c:pt idx="195">
                  <c:v>2869</c:v>
                </c:pt>
                <c:pt idx="196">
                  <c:v>2853</c:v>
                </c:pt>
                <c:pt idx="197">
                  <c:v>2875</c:v>
                </c:pt>
                <c:pt idx="198">
                  <c:v>2918</c:v>
                </c:pt>
                <c:pt idx="199">
                  <c:v>2907</c:v>
                </c:pt>
                <c:pt idx="200">
                  <c:v>2809</c:v>
                </c:pt>
                <c:pt idx="201">
                  <c:v>2773</c:v>
                </c:pt>
                <c:pt idx="202">
                  <c:v>2792</c:v>
                </c:pt>
                <c:pt idx="203">
                  <c:v>2789</c:v>
                </c:pt>
                <c:pt idx="204">
                  <c:v>2802</c:v>
                </c:pt>
                <c:pt idx="205">
                  <c:v>2719</c:v>
                </c:pt>
                <c:pt idx="206">
                  <c:v>2706</c:v>
                </c:pt>
                <c:pt idx="207">
                  <c:v>2722</c:v>
                </c:pt>
                <c:pt idx="208">
                  <c:v>2714</c:v>
                </c:pt>
                <c:pt idx="209">
                  <c:v>2737</c:v>
                </c:pt>
                <c:pt idx="210">
                  <c:v>2657</c:v>
                </c:pt>
                <c:pt idx="211">
                  <c:v>2670</c:v>
                </c:pt>
                <c:pt idx="212">
                  <c:v>2623</c:v>
                </c:pt>
                <c:pt idx="213">
                  <c:v>2652</c:v>
                </c:pt>
                <c:pt idx="214">
                  <c:v>2632</c:v>
                </c:pt>
                <c:pt idx="215">
                  <c:v>2666</c:v>
                </c:pt>
                <c:pt idx="216">
                  <c:v>2667</c:v>
                </c:pt>
                <c:pt idx="217">
                  <c:v>2658</c:v>
                </c:pt>
                <c:pt idx="218">
                  <c:v>2661</c:v>
                </c:pt>
                <c:pt idx="219">
                  <c:v>2703</c:v>
                </c:pt>
                <c:pt idx="220">
                  <c:v>2676</c:v>
                </c:pt>
                <c:pt idx="221">
                  <c:v>2636</c:v>
                </c:pt>
                <c:pt idx="222">
                  <c:v>2654</c:v>
                </c:pt>
                <c:pt idx="223">
                  <c:v>2670</c:v>
                </c:pt>
                <c:pt idx="224">
                  <c:v>2669</c:v>
                </c:pt>
                <c:pt idx="225">
                  <c:v>2649</c:v>
                </c:pt>
                <c:pt idx="226">
                  <c:v>2644</c:v>
                </c:pt>
                <c:pt idx="227">
                  <c:v>2632</c:v>
                </c:pt>
                <c:pt idx="228">
                  <c:v>2656</c:v>
                </c:pt>
                <c:pt idx="229">
                  <c:v>2558</c:v>
                </c:pt>
                <c:pt idx="230">
                  <c:v>2578</c:v>
                </c:pt>
                <c:pt idx="231">
                  <c:v>2546</c:v>
                </c:pt>
                <c:pt idx="232">
                  <c:v>2423</c:v>
                </c:pt>
                <c:pt idx="233">
                  <c:v>2334</c:v>
                </c:pt>
                <c:pt idx="234">
                  <c:v>2435</c:v>
                </c:pt>
                <c:pt idx="235">
                  <c:v>2509</c:v>
                </c:pt>
                <c:pt idx="236">
                  <c:v>2566</c:v>
                </c:pt>
                <c:pt idx="237">
                  <c:v>2580</c:v>
                </c:pt>
                <c:pt idx="238">
                  <c:v>2650</c:v>
                </c:pt>
                <c:pt idx="239">
                  <c:v>2636</c:v>
                </c:pt>
                <c:pt idx="240">
                  <c:v>2628</c:v>
                </c:pt>
                <c:pt idx="241">
                  <c:v>2573</c:v>
                </c:pt>
                <c:pt idx="242">
                  <c:v>2512</c:v>
                </c:pt>
                <c:pt idx="243">
                  <c:v>2588</c:v>
                </c:pt>
                <c:pt idx="244">
                  <c:v>2669</c:v>
                </c:pt>
                <c:pt idx="245">
                  <c:v>2673</c:v>
                </c:pt>
                <c:pt idx="246">
                  <c:v>2720</c:v>
                </c:pt>
                <c:pt idx="247">
                  <c:v>2741</c:v>
                </c:pt>
                <c:pt idx="248">
                  <c:v>2835</c:v>
                </c:pt>
                <c:pt idx="249">
                  <c:v>2860</c:v>
                </c:pt>
                <c:pt idx="250">
                  <c:v>2847</c:v>
                </c:pt>
                <c:pt idx="251">
                  <c:v>2821</c:v>
                </c:pt>
                <c:pt idx="252">
                  <c:v>2828</c:v>
                </c:pt>
                <c:pt idx="253">
                  <c:v>2842</c:v>
                </c:pt>
                <c:pt idx="254">
                  <c:v>2779</c:v>
                </c:pt>
                <c:pt idx="255">
                  <c:v>2772</c:v>
                </c:pt>
                <c:pt idx="256">
                  <c:v>2782</c:v>
                </c:pt>
                <c:pt idx="257">
                  <c:v>2812</c:v>
                </c:pt>
                <c:pt idx="258">
                  <c:v>2839</c:v>
                </c:pt>
                <c:pt idx="259">
                  <c:v>2885</c:v>
                </c:pt>
                <c:pt idx="260">
                  <c:v>2835</c:v>
                </c:pt>
                <c:pt idx="261">
                  <c:v>2866</c:v>
                </c:pt>
                <c:pt idx="262">
                  <c:v>2960</c:v>
                </c:pt>
                <c:pt idx="263">
                  <c:v>2924</c:v>
                </c:pt>
                <c:pt idx="264">
                  <c:v>2904</c:v>
                </c:pt>
                <c:pt idx="265">
                  <c:v>2902</c:v>
                </c:pt>
                <c:pt idx="266">
                  <c:v>2931</c:v>
                </c:pt>
                <c:pt idx="267">
                  <c:v>2843</c:v>
                </c:pt>
                <c:pt idx="268">
                  <c:v>2931</c:v>
                </c:pt>
                <c:pt idx="269">
                  <c:v>3045</c:v>
                </c:pt>
                <c:pt idx="270">
                  <c:v>3040</c:v>
                </c:pt>
                <c:pt idx="271">
                  <c:v>2980</c:v>
                </c:pt>
                <c:pt idx="272">
                  <c:v>2943</c:v>
                </c:pt>
                <c:pt idx="273">
                  <c:v>2970</c:v>
                </c:pt>
                <c:pt idx="274">
                  <c:v>3025</c:v>
                </c:pt>
                <c:pt idx="275">
                  <c:v>3120</c:v>
                </c:pt>
                <c:pt idx="276">
                  <c:v>3075</c:v>
                </c:pt>
                <c:pt idx="277">
                  <c:v>3120</c:v>
                </c:pt>
                <c:pt idx="278">
                  <c:v>3110</c:v>
                </c:pt>
                <c:pt idx="279">
                  <c:v>3120</c:v>
                </c:pt>
                <c:pt idx="280">
                  <c:v>3150</c:v>
                </c:pt>
                <c:pt idx="281">
                  <c:v>3090</c:v>
                </c:pt>
                <c:pt idx="282">
                  <c:v>3075</c:v>
                </c:pt>
                <c:pt idx="283">
                  <c:v>3165</c:v>
                </c:pt>
                <c:pt idx="284">
                  <c:v>3195</c:v>
                </c:pt>
                <c:pt idx="285">
                  <c:v>3325</c:v>
                </c:pt>
                <c:pt idx="286">
                  <c:v>3305</c:v>
                </c:pt>
                <c:pt idx="287">
                  <c:v>3260</c:v>
                </c:pt>
                <c:pt idx="288">
                  <c:v>3285</c:v>
                </c:pt>
                <c:pt idx="289">
                  <c:v>3265</c:v>
                </c:pt>
                <c:pt idx="290">
                  <c:v>3325</c:v>
                </c:pt>
                <c:pt idx="291">
                  <c:v>3315</c:v>
                </c:pt>
                <c:pt idx="292">
                  <c:v>3325</c:v>
                </c:pt>
                <c:pt idx="293">
                  <c:v>3245</c:v>
                </c:pt>
                <c:pt idx="294">
                  <c:v>3405</c:v>
                </c:pt>
                <c:pt idx="295">
                  <c:v>3375</c:v>
                </c:pt>
                <c:pt idx="296">
                  <c:v>3335</c:v>
                </c:pt>
                <c:pt idx="297">
                  <c:v>3305</c:v>
                </c:pt>
                <c:pt idx="298">
                  <c:v>3260</c:v>
                </c:pt>
                <c:pt idx="299">
                  <c:v>3260</c:v>
                </c:pt>
                <c:pt idx="300">
                  <c:v>3145</c:v>
                </c:pt>
                <c:pt idx="301">
                  <c:v>3140</c:v>
                </c:pt>
                <c:pt idx="302">
                  <c:v>3140</c:v>
                </c:pt>
                <c:pt idx="303">
                  <c:v>3115</c:v>
                </c:pt>
                <c:pt idx="304">
                  <c:v>3115</c:v>
                </c:pt>
                <c:pt idx="305">
                  <c:v>3105</c:v>
                </c:pt>
                <c:pt idx="306">
                  <c:v>3085</c:v>
                </c:pt>
                <c:pt idx="307">
                  <c:v>3075</c:v>
                </c:pt>
                <c:pt idx="308">
                  <c:v>3065</c:v>
                </c:pt>
                <c:pt idx="309">
                  <c:v>3125</c:v>
                </c:pt>
                <c:pt idx="310">
                  <c:v>3110</c:v>
                </c:pt>
                <c:pt idx="311">
                  <c:v>3100</c:v>
                </c:pt>
                <c:pt idx="312">
                  <c:v>2984</c:v>
                </c:pt>
                <c:pt idx="313">
                  <c:v>2970</c:v>
                </c:pt>
                <c:pt idx="314">
                  <c:v>2979</c:v>
                </c:pt>
                <c:pt idx="315">
                  <c:v>2956</c:v>
                </c:pt>
                <c:pt idx="316">
                  <c:v>2912</c:v>
                </c:pt>
                <c:pt idx="317">
                  <c:v>2871</c:v>
                </c:pt>
                <c:pt idx="318">
                  <c:v>2916</c:v>
                </c:pt>
                <c:pt idx="319">
                  <c:v>2917</c:v>
                </c:pt>
                <c:pt idx="320">
                  <c:v>2920</c:v>
                </c:pt>
                <c:pt idx="321">
                  <c:v>2954</c:v>
                </c:pt>
                <c:pt idx="322">
                  <c:v>2957</c:v>
                </c:pt>
                <c:pt idx="323">
                  <c:v>3025</c:v>
                </c:pt>
                <c:pt idx="324">
                  <c:v>2934</c:v>
                </c:pt>
                <c:pt idx="325">
                  <c:v>2984</c:v>
                </c:pt>
                <c:pt idx="326">
                  <c:v>2976</c:v>
                </c:pt>
                <c:pt idx="327">
                  <c:v>3010</c:v>
                </c:pt>
                <c:pt idx="328">
                  <c:v>3025</c:v>
                </c:pt>
                <c:pt idx="329">
                  <c:v>2954</c:v>
                </c:pt>
                <c:pt idx="330">
                  <c:v>3015</c:v>
                </c:pt>
                <c:pt idx="331">
                  <c:v>2985</c:v>
                </c:pt>
                <c:pt idx="332">
                  <c:v>2990</c:v>
                </c:pt>
                <c:pt idx="333">
                  <c:v>3025</c:v>
                </c:pt>
                <c:pt idx="334">
                  <c:v>3160</c:v>
                </c:pt>
                <c:pt idx="335">
                  <c:v>3155</c:v>
                </c:pt>
                <c:pt idx="336">
                  <c:v>3150</c:v>
                </c:pt>
                <c:pt idx="337">
                  <c:v>2976</c:v>
                </c:pt>
                <c:pt idx="338">
                  <c:v>2974</c:v>
                </c:pt>
                <c:pt idx="339">
                  <c:v>2948</c:v>
                </c:pt>
                <c:pt idx="340">
                  <c:v>2981</c:v>
                </c:pt>
                <c:pt idx="341">
                  <c:v>2948</c:v>
                </c:pt>
                <c:pt idx="342">
                  <c:v>2959</c:v>
                </c:pt>
                <c:pt idx="343">
                  <c:v>2960</c:v>
                </c:pt>
                <c:pt idx="344">
                  <c:v>2935</c:v>
                </c:pt>
                <c:pt idx="345">
                  <c:v>2929</c:v>
                </c:pt>
                <c:pt idx="346">
                  <c:v>2887</c:v>
                </c:pt>
                <c:pt idx="347">
                  <c:v>2905</c:v>
                </c:pt>
                <c:pt idx="348">
                  <c:v>2929</c:v>
                </c:pt>
                <c:pt idx="349">
                  <c:v>2858</c:v>
                </c:pt>
                <c:pt idx="350">
                  <c:v>2831</c:v>
                </c:pt>
                <c:pt idx="351">
                  <c:v>2849</c:v>
                </c:pt>
                <c:pt idx="352">
                  <c:v>2818</c:v>
                </c:pt>
                <c:pt idx="353">
                  <c:v>2827</c:v>
                </c:pt>
                <c:pt idx="354">
                  <c:v>2909</c:v>
                </c:pt>
                <c:pt idx="355">
                  <c:v>2908</c:v>
                </c:pt>
                <c:pt idx="356">
                  <c:v>2962</c:v>
                </c:pt>
                <c:pt idx="357">
                  <c:v>2951</c:v>
                </c:pt>
                <c:pt idx="358">
                  <c:v>2999</c:v>
                </c:pt>
                <c:pt idx="359">
                  <c:v>3035</c:v>
                </c:pt>
                <c:pt idx="360">
                  <c:v>3025</c:v>
                </c:pt>
                <c:pt idx="361">
                  <c:v>2986</c:v>
                </c:pt>
                <c:pt idx="362">
                  <c:v>2999</c:v>
                </c:pt>
                <c:pt idx="363">
                  <c:v>3020</c:v>
                </c:pt>
                <c:pt idx="364">
                  <c:v>2974</c:v>
                </c:pt>
                <c:pt idx="365">
                  <c:v>2974</c:v>
                </c:pt>
                <c:pt idx="366">
                  <c:v>2988</c:v>
                </c:pt>
                <c:pt idx="367">
                  <c:v>2959</c:v>
                </c:pt>
                <c:pt idx="368">
                  <c:v>2937</c:v>
                </c:pt>
                <c:pt idx="369">
                  <c:v>2917</c:v>
                </c:pt>
                <c:pt idx="370">
                  <c:v>2919</c:v>
                </c:pt>
                <c:pt idx="371">
                  <c:v>2896</c:v>
                </c:pt>
                <c:pt idx="372">
                  <c:v>2912</c:v>
                </c:pt>
                <c:pt idx="373">
                  <c:v>2943</c:v>
                </c:pt>
                <c:pt idx="374">
                  <c:v>2867</c:v>
                </c:pt>
                <c:pt idx="375">
                  <c:v>2850</c:v>
                </c:pt>
                <c:pt idx="376">
                  <c:v>2877</c:v>
                </c:pt>
                <c:pt idx="377">
                  <c:v>2932</c:v>
                </c:pt>
                <c:pt idx="378">
                  <c:v>2891</c:v>
                </c:pt>
                <c:pt idx="379">
                  <c:v>2872</c:v>
                </c:pt>
                <c:pt idx="380">
                  <c:v>2870</c:v>
                </c:pt>
                <c:pt idx="381">
                  <c:v>2881</c:v>
                </c:pt>
                <c:pt idx="382">
                  <c:v>2921</c:v>
                </c:pt>
                <c:pt idx="383">
                  <c:v>2937</c:v>
                </c:pt>
                <c:pt idx="384">
                  <c:v>2941</c:v>
                </c:pt>
                <c:pt idx="385">
                  <c:v>2936</c:v>
                </c:pt>
                <c:pt idx="386">
                  <c:v>2920</c:v>
                </c:pt>
                <c:pt idx="387">
                  <c:v>2915</c:v>
                </c:pt>
                <c:pt idx="388">
                  <c:v>2969</c:v>
                </c:pt>
                <c:pt idx="389">
                  <c:v>2919</c:v>
                </c:pt>
                <c:pt idx="390">
                  <c:v>2969</c:v>
                </c:pt>
                <c:pt idx="391">
                  <c:v>2822</c:v>
                </c:pt>
                <c:pt idx="392">
                  <c:v>2773</c:v>
                </c:pt>
                <c:pt idx="393">
                  <c:v>2818</c:v>
                </c:pt>
                <c:pt idx="394">
                  <c:v>2815</c:v>
                </c:pt>
                <c:pt idx="395">
                  <c:v>2794</c:v>
                </c:pt>
                <c:pt idx="396">
                  <c:v>2850</c:v>
                </c:pt>
                <c:pt idx="397">
                  <c:v>2825</c:v>
                </c:pt>
                <c:pt idx="398">
                  <c:v>2856</c:v>
                </c:pt>
                <c:pt idx="399">
                  <c:v>2804</c:v>
                </c:pt>
                <c:pt idx="400">
                  <c:v>2777</c:v>
                </c:pt>
                <c:pt idx="401">
                  <c:v>2789</c:v>
                </c:pt>
                <c:pt idx="402">
                  <c:v>2787</c:v>
                </c:pt>
                <c:pt idx="403">
                  <c:v>2826</c:v>
                </c:pt>
                <c:pt idx="404">
                  <c:v>2818</c:v>
                </c:pt>
                <c:pt idx="405">
                  <c:v>2779</c:v>
                </c:pt>
                <c:pt idx="406">
                  <c:v>2764</c:v>
                </c:pt>
                <c:pt idx="407">
                  <c:v>2765</c:v>
                </c:pt>
                <c:pt idx="408">
                  <c:v>2785</c:v>
                </c:pt>
                <c:pt idx="409">
                  <c:v>2853</c:v>
                </c:pt>
                <c:pt idx="410">
                  <c:v>2831</c:v>
                </c:pt>
                <c:pt idx="411">
                  <c:v>2728</c:v>
                </c:pt>
                <c:pt idx="412">
                  <c:v>2716</c:v>
                </c:pt>
                <c:pt idx="413">
                  <c:v>2753</c:v>
                </c:pt>
                <c:pt idx="414">
                  <c:v>2768</c:v>
                </c:pt>
                <c:pt idx="415">
                  <c:v>2796</c:v>
                </c:pt>
                <c:pt idx="416">
                  <c:v>2846</c:v>
                </c:pt>
                <c:pt idx="417">
                  <c:v>2805</c:v>
                </c:pt>
                <c:pt idx="418">
                  <c:v>2691</c:v>
                </c:pt>
                <c:pt idx="419">
                  <c:v>2743</c:v>
                </c:pt>
                <c:pt idx="420">
                  <c:v>2650</c:v>
                </c:pt>
                <c:pt idx="421">
                  <c:v>2630</c:v>
                </c:pt>
                <c:pt idx="422">
                  <c:v>2685</c:v>
                </c:pt>
                <c:pt idx="423">
                  <c:v>2678</c:v>
                </c:pt>
                <c:pt idx="424">
                  <c:v>2666</c:v>
                </c:pt>
                <c:pt idx="425">
                  <c:v>2669</c:v>
                </c:pt>
                <c:pt idx="426">
                  <c:v>2693</c:v>
                </c:pt>
                <c:pt idx="427">
                  <c:v>2694</c:v>
                </c:pt>
                <c:pt idx="428">
                  <c:v>2699</c:v>
                </c:pt>
                <c:pt idx="429">
                  <c:v>2706</c:v>
                </c:pt>
                <c:pt idx="430">
                  <c:v>2750</c:v>
                </c:pt>
                <c:pt idx="431">
                  <c:v>2721</c:v>
                </c:pt>
                <c:pt idx="432">
                  <c:v>2767</c:v>
                </c:pt>
                <c:pt idx="433">
                  <c:v>2771</c:v>
                </c:pt>
                <c:pt idx="434">
                  <c:v>2741</c:v>
                </c:pt>
                <c:pt idx="435">
                  <c:v>2718</c:v>
                </c:pt>
                <c:pt idx="436">
                  <c:v>2789</c:v>
                </c:pt>
                <c:pt idx="437">
                  <c:v>2859</c:v>
                </c:pt>
                <c:pt idx="438">
                  <c:v>2910</c:v>
                </c:pt>
                <c:pt idx="439">
                  <c:v>2881</c:v>
                </c:pt>
                <c:pt idx="440">
                  <c:v>2854</c:v>
                </c:pt>
                <c:pt idx="441">
                  <c:v>2827</c:v>
                </c:pt>
                <c:pt idx="442">
                  <c:v>2864</c:v>
                </c:pt>
                <c:pt idx="443">
                  <c:v>2842</c:v>
                </c:pt>
                <c:pt idx="444">
                  <c:v>2838</c:v>
                </c:pt>
                <c:pt idx="445">
                  <c:v>2741</c:v>
                </c:pt>
                <c:pt idx="446">
                  <c:v>2692</c:v>
                </c:pt>
                <c:pt idx="447">
                  <c:v>2697</c:v>
                </c:pt>
                <c:pt idx="448">
                  <c:v>2671</c:v>
                </c:pt>
                <c:pt idx="449">
                  <c:v>2685</c:v>
                </c:pt>
                <c:pt idx="450">
                  <c:v>2739</c:v>
                </c:pt>
                <c:pt idx="451">
                  <c:v>2664</c:v>
                </c:pt>
                <c:pt idx="452">
                  <c:v>2610</c:v>
                </c:pt>
                <c:pt idx="453">
                  <c:v>2795</c:v>
                </c:pt>
                <c:pt idx="454">
                  <c:v>2900</c:v>
                </c:pt>
                <c:pt idx="455">
                  <c:v>2940</c:v>
                </c:pt>
                <c:pt idx="456">
                  <c:v>2828</c:v>
                </c:pt>
                <c:pt idx="457">
                  <c:v>2842</c:v>
                </c:pt>
                <c:pt idx="458">
                  <c:v>2942</c:v>
                </c:pt>
                <c:pt idx="459">
                  <c:v>2900</c:v>
                </c:pt>
                <c:pt idx="460">
                  <c:v>2883</c:v>
                </c:pt>
                <c:pt idx="461">
                  <c:v>2921</c:v>
                </c:pt>
                <c:pt idx="462">
                  <c:v>2935</c:v>
                </c:pt>
                <c:pt idx="463">
                  <c:v>2948</c:v>
                </c:pt>
                <c:pt idx="464">
                  <c:v>2964</c:v>
                </c:pt>
                <c:pt idx="465">
                  <c:v>2910</c:v>
                </c:pt>
                <c:pt idx="466">
                  <c:v>2973</c:v>
                </c:pt>
                <c:pt idx="467">
                  <c:v>3050</c:v>
                </c:pt>
                <c:pt idx="468">
                  <c:v>3015</c:v>
                </c:pt>
                <c:pt idx="469">
                  <c:v>2972</c:v>
                </c:pt>
                <c:pt idx="470">
                  <c:v>2936</c:v>
                </c:pt>
                <c:pt idx="471">
                  <c:v>2954</c:v>
                </c:pt>
                <c:pt idx="472">
                  <c:v>2993</c:v>
                </c:pt>
                <c:pt idx="473">
                  <c:v>3000</c:v>
                </c:pt>
                <c:pt idx="474">
                  <c:v>2994</c:v>
                </c:pt>
                <c:pt idx="475">
                  <c:v>2917</c:v>
                </c:pt>
                <c:pt idx="476">
                  <c:v>2929</c:v>
                </c:pt>
                <c:pt idx="477">
                  <c:v>3010</c:v>
                </c:pt>
                <c:pt idx="478">
                  <c:v>2987</c:v>
                </c:pt>
                <c:pt idx="479">
                  <c:v>2988</c:v>
                </c:pt>
                <c:pt idx="480">
                  <c:v>2947</c:v>
                </c:pt>
                <c:pt idx="481">
                  <c:v>2926</c:v>
                </c:pt>
                <c:pt idx="482">
                  <c:v>2917</c:v>
                </c:pt>
                <c:pt idx="483">
                  <c:v>2868</c:v>
                </c:pt>
                <c:pt idx="484">
                  <c:v>2837</c:v>
                </c:pt>
                <c:pt idx="485">
                  <c:v>2861</c:v>
                </c:pt>
                <c:pt idx="486">
                  <c:v>2724</c:v>
                </c:pt>
                <c:pt idx="487">
                  <c:v>2623</c:v>
                </c:pt>
                <c:pt idx="488">
                  <c:v>2634</c:v>
                </c:pt>
                <c:pt idx="489">
                  <c:v>2634</c:v>
                </c:pt>
                <c:pt idx="490">
                  <c:v>2658</c:v>
                </c:pt>
                <c:pt idx="491">
                  <c:v>2631</c:v>
                </c:pt>
                <c:pt idx="492">
                  <c:v>2605</c:v>
                </c:pt>
                <c:pt idx="493">
                  <c:v>2662</c:v>
                </c:pt>
                <c:pt idx="494">
                  <c:v>2678</c:v>
                </c:pt>
                <c:pt idx="495">
                  <c:v>2671</c:v>
                </c:pt>
                <c:pt idx="496">
                  <c:v>2698</c:v>
                </c:pt>
                <c:pt idx="497">
                  <c:v>2658</c:v>
                </c:pt>
                <c:pt idx="498">
                  <c:v>2609</c:v>
                </c:pt>
                <c:pt idx="499">
                  <c:v>2629</c:v>
                </c:pt>
                <c:pt idx="500">
                  <c:v>2665</c:v>
                </c:pt>
                <c:pt idx="501">
                  <c:v>2649</c:v>
                </c:pt>
                <c:pt idx="502">
                  <c:v>2599</c:v>
                </c:pt>
                <c:pt idx="503">
                  <c:v>2580</c:v>
                </c:pt>
                <c:pt idx="504">
                  <c:v>2529</c:v>
                </c:pt>
                <c:pt idx="505">
                  <c:v>2497</c:v>
                </c:pt>
                <c:pt idx="506">
                  <c:v>2465</c:v>
                </c:pt>
                <c:pt idx="507">
                  <c:v>2526</c:v>
                </c:pt>
                <c:pt idx="508">
                  <c:v>2502</c:v>
                </c:pt>
                <c:pt idx="509">
                  <c:v>2393</c:v>
                </c:pt>
                <c:pt idx="510">
                  <c:v>2413</c:v>
                </c:pt>
                <c:pt idx="511">
                  <c:v>2416</c:v>
                </c:pt>
                <c:pt idx="512">
                  <c:v>2452</c:v>
                </c:pt>
                <c:pt idx="513">
                  <c:v>2504</c:v>
                </c:pt>
                <c:pt idx="514">
                  <c:v>2493</c:v>
                </c:pt>
                <c:pt idx="515">
                  <c:v>2508</c:v>
                </c:pt>
                <c:pt idx="516">
                  <c:v>2461</c:v>
                </c:pt>
                <c:pt idx="517">
                  <c:v>2429</c:v>
                </c:pt>
                <c:pt idx="518">
                  <c:v>2402</c:v>
                </c:pt>
                <c:pt idx="519">
                  <c:v>2403</c:v>
                </c:pt>
                <c:pt idx="520">
                  <c:v>2411</c:v>
                </c:pt>
                <c:pt idx="521">
                  <c:v>2397</c:v>
                </c:pt>
                <c:pt idx="522">
                  <c:v>2357</c:v>
                </c:pt>
                <c:pt idx="523">
                  <c:v>2369</c:v>
                </c:pt>
                <c:pt idx="524">
                  <c:v>2358</c:v>
                </c:pt>
                <c:pt idx="525">
                  <c:v>2385</c:v>
                </c:pt>
                <c:pt idx="526">
                  <c:v>2440</c:v>
                </c:pt>
                <c:pt idx="527">
                  <c:v>2440</c:v>
                </c:pt>
                <c:pt idx="528">
                  <c:v>2435</c:v>
                </c:pt>
                <c:pt idx="529">
                  <c:v>2378</c:v>
                </c:pt>
                <c:pt idx="530">
                  <c:v>2351</c:v>
                </c:pt>
                <c:pt idx="531">
                  <c:v>2314</c:v>
                </c:pt>
                <c:pt idx="532">
                  <c:v>2206</c:v>
                </c:pt>
                <c:pt idx="533">
                  <c:v>2224</c:v>
                </c:pt>
                <c:pt idx="534">
                  <c:v>2220</c:v>
                </c:pt>
                <c:pt idx="535">
                  <c:v>2227</c:v>
                </c:pt>
                <c:pt idx="536">
                  <c:v>2209</c:v>
                </c:pt>
                <c:pt idx="537">
                  <c:v>2235</c:v>
                </c:pt>
                <c:pt idx="538">
                  <c:v>2211</c:v>
                </c:pt>
                <c:pt idx="539">
                  <c:v>2195</c:v>
                </c:pt>
                <c:pt idx="540">
                  <c:v>2202</c:v>
                </c:pt>
                <c:pt idx="541">
                  <c:v>2197</c:v>
                </c:pt>
                <c:pt idx="542">
                  <c:v>2196</c:v>
                </c:pt>
                <c:pt idx="543">
                  <c:v>2156</c:v>
                </c:pt>
                <c:pt idx="544">
                  <c:v>2122</c:v>
                </c:pt>
                <c:pt idx="545">
                  <c:v>2091</c:v>
                </c:pt>
                <c:pt idx="546">
                  <c:v>2042</c:v>
                </c:pt>
                <c:pt idx="547">
                  <c:v>2044</c:v>
                </c:pt>
                <c:pt idx="548">
                  <c:v>2058</c:v>
                </c:pt>
                <c:pt idx="549">
                  <c:v>2064</c:v>
                </c:pt>
                <c:pt idx="550">
                  <c:v>2090</c:v>
                </c:pt>
                <c:pt idx="551">
                  <c:v>2057</c:v>
                </c:pt>
                <c:pt idx="552">
                  <c:v>2070</c:v>
                </c:pt>
                <c:pt idx="553">
                  <c:v>2066</c:v>
                </c:pt>
                <c:pt idx="554">
                  <c:v>2080</c:v>
                </c:pt>
                <c:pt idx="555">
                  <c:v>2085</c:v>
                </c:pt>
                <c:pt idx="556">
                  <c:v>2102</c:v>
                </c:pt>
                <c:pt idx="557">
                  <c:v>2070</c:v>
                </c:pt>
                <c:pt idx="558">
                  <c:v>2062</c:v>
                </c:pt>
                <c:pt idx="559">
                  <c:v>2029</c:v>
                </c:pt>
                <c:pt idx="560">
                  <c:v>2032</c:v>
                </c:pt>
                <c:pt idx="561">
                  <c:v>2013</c:v>
                </c:pt>
                <c:pt idx="562">
                  <c:v>2024</c:v>
                </c:pt>
                <c:pt idx="563">
                  <c:v>2049</c:v>
                </c:pt>
                <c:pt idx="564">
                  <c:v>2027</c:v>
                </c:pt>
                <c:pt idx="565">
                  <c:v>2044</c:v>
                </c:pt>
                <c:pt idx="566">
                  <c:v>2023</c:v>
                </c:pt>
                <c:pt idx="567">
                  <c:v>2043</c:v>
                </c:pt>
                <c:pt idx="568">
                  <c:v>2043</c:v>
                </c:pt>
                <c:pt idx="569">
                  <c:v>2054</c:v>
                </c:pt>
                <c:pt idx="570">
                  <c:v>2079</c:v>
                </c:pt>
                <c:pt idx="571">
                  <c:v>2094</c:v>
                </c:pt>
                <c:pt idx="572">
                  <c:v>2048</c:v>
                </c:pt>
                <c:pt idx="573">
                  <c:v>2037</c:v>
                </c:pt>
                <c:pt idx="574">
                  <c:v>2044</c:v>
                </c:pt>
                <c:pt idx="575">
                  <c:v>1946</c:v>
                </c:pt>
                <c:pt idx="576">
                  <c:v>1949</c:v>
                </c:pt>
                <c:pt idx="577">
                  <c:v>1944</c:v>
                </c:pt>
                <c:pt idx="578">
                  <c:v>1922</c:v>
                </c:pt>
                <c:pt idx="579">
                  <c:v>1884</c:v>
                </c:pt>
                <c:pt idx="580">
                  <c:v>1894</c:v>
                </c:pt>
                <c:pt idx="581">
                  <c:v>1896</c:v>
                </c:pt>
                <c:pt idx="582">
                  <c:v>1868</c:v>
                </c:pt>
                <c:pt idx="583">
                  <c:v>1865</c:v>
                </c:pt>
                <c:pt idx="584">
                  <c:v>1886</c:v>
                </c:pt>
                <c:pt idx="585">
                  <c:v>1908</c:v>
                </c:pt>
                <c:pt idx="586">
                  <c:v>1920</c:v>
                </c:pt>
                <c:pt idx="587">
                  <c:v>1917</c:v>
                </c:pt>
                <c:pt idx="588">
                  <c:v>1897</c:v>
                </c:pt>
                <c:pt idx="589">
                  <c:v>1890</c:v>
                </c:pt>
                <c:pt idx="590">
                  <c:v>1884</c:v>
                </c:pt>
                <c:pt idx="591">
                  <c:v>1885</c:v>
                </c:pt>
                <c:pt idx="592">
                  <c:v>1904</c:v>
                </c:pt>
                <c:pt idx="593">
                  <c:v>1856</c:v>
                </c:pt>
                <c:pt idx="594">
                  <c:v>1878</c:v>
                </c:pt>
                <c:pt idx="595">
                  <c:v>1903</c:v>
                </c:pt>
                <c:pt idx="596">
                  <c:v>1896</c:v>
                </c:pt>
                <c:pt idx="597">
                  <c:v>1881</c:v>
                </c:pt>
                <c:pt idx="598">
                  <c:v>1892</c:v>
                </c:pt>
                <c:pt idx="599">
                  <c:v>1889</c:v>
                </c:pt>
                <c:pt idx="600">
                  <c:v>1915</c:v>
                </c:pt>
                <c:pt idx="601">
                  <c:v>1910</c:v>
                </c:pt>
                <c:pt idx="602">
                  <c:v>1935</c:v>
                </c:pt>
                <c:pt idx="603">
                  <c:v>1944</c:v>
                </c:pt>
                <c:pt idx="604">
                  <c:v>1940</c:v>
                </c:pt>
                <c:pt idx="605">
                  <c:v>1943</c:v>
                </c:pt>
                <c:pt idx="606">
                  <c:v>1940</c:v>
                </c:pt>
                <c:pt idx="607">
                  <c:v>1934</c:v>
                </c:pt>
                <c:pt idx="608">
                  <c:v>1927</c:v>
                </c:pt>
                <c:pt idx="609">
                  <c:v>1907</c:v>
                </c:pt>
                <c:pt idx="610">
                  <c:v>1911</c:v>
                </c:pt>
                <c:pt idx="611">
                  <c:v>1916</c:v>
                </c:pt>
                <c:pt idx="612">
                  <c:v>1937</c:v>
                </c:pt>
                <c:pt idx="613">
                  <c:v>1891</c:v>
                </c:pt>
                <c:pt idx="614">
                  <c:v>1833</c:v>
                </c:pt>
                <c:pt idx="615">
                  <c:v>1841</c:v>
                </c:pt>
                <c:pt idx="616">
                  <c:v>1832</c:v>
                </c:pt>
                <c:pt idx="617">
                  <c:v>1831</c:v>
                </c:pt>
                <c:pt idx="618">
                  <c:v>1858</c:v>
                </c:pt>
                <c:pt idx="619">
                  <c:v>1845</c:v>
                </c:pt>
                <c:pt idx="620">
                  <c:v>1840</c:v>
                </c:pt>
                <c:pt idx="621">
                  <c:v>1840</c:v>
                </c:pt>
                <c:pt idx="622">
                  <c:v>1857</c:v>
                </c:pt>
                <c:pt idx="623">
                  <c:v>1862</c:v>
                </c:pt>
                <c:pt idx="624">
                  <c:v>1873</c:v>
                </c:pt>
                <c:pt idx="625">
                  <c:v>1877</c:v>
                </c:pt>
                <c:pt idx="626">
                  <c:v>1867</c:v>
                </c:pt>
                <c:pt idx="627">
                  <c:v>1894</c:v>
                </c:pt>
                <c:pt idx="628">
                  <c:v>1884</c:v>
                </c:pt>
                <c:pt idx="629">
                  <c:v>1882</c:v>
                </c:pt>
                <c:pt idx="630">
                  <c:v>1880</c:v>
                </c:pt>
                <c:pt idx="631">
                  <c:v>1895</c:v>
                </c:pt>
                <c:pt idx="632">
                  <c:v>1862</c:v>
                </c:pt>
                <c:pt idx="633">
                  <c:v>1844</c:v>
                </c:pt>
                <c:pt idx="634">
                  <c:v>1829</c:v>
                </c:pt>
                <c:pt idx="635">
                  <c:v>1826</c:v>
                </c:pt>
                <c:pt idx="636">
                  <c:v>1835</c:v>
                </c:pt>
                <c:pt idx="637">
                  <c:v>1748</c:v>
                </c:pt>
                <c:pt idx="638">
                  <c:v>1730</c:v>
                </c:pt>
                <c:pt idx="639">
                  <c:v>1690</c:v>
                </c:pt>
                <c:pt idx="640">
                  <c:v>1689</c:v>
                </c:pt>
                <c:pt idx="641">
                  <c:v>1684</c:v>
                </c:pt>
                <c:pt idx="642">
                  <c:v>1663</c:v>
                </c:pt>
                <c:pt idx="643">
                  <c:v>1673</c:v>
                </c:pt>
                <c:pt idx="644">
                  <c:v>1649</c:v>
                </c:pt>
                <c:pt idx="645">
                  <c:v>1637</c:v>
                </c:pt>
                <c:pt idx="646">
                  <c:v>1596</c:v>
                </c:pt>
                <c:pt idx="647">
                  <c:v>1590</c:v>
                </c:pt>
                <c:pt idx="648">
                  <c:v>1578</c:v>
                </c:pt>
                <c:pt idx="649">
                  <c:v>1575</c:v>
                </c:pt>
                <c:pt idx="650">
                  <c:v>1575</c:v>
                </c:pt>
                <c:pt idx="651">
                  <c:v>1569</c:v>
                </c:pt>
                <c:pt idx="652">
                  <c:v>1593</c:v>
                </c:pt>
                <c:pt idx="653">
                  <c:v>1612</c:v>
                </c:pt>
                <c:pt idx="654">
                  <c:v>1612</c:v>
                </c:pt>
                <c:pt idx="655">
                  <c:v>1600</c:v>
                </c:pt>
                <c:pt idx="656">
                  <c:v>1586</c:v>
                </c:pt>
                <c:pt idx="657">
                  <c:v>1568</c:v>
                </c:pt>
                <c:pt idx="658">
                  <c:v>1613</c:v>
                </c:pt>
                <c:pt idx="659">
                  <c:v>1613</c:v>
                </c:pt>
                <c:pt idx="660">
                  <c:v>1625</c:v>
                </c:pt>
                <c:pt idx="661">
                  <c:v>1611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1405.9187116564417</c:v>
                </c:pt>
                <c:pt idx="1">
                  <c:v>1348.2653374233128</c:v>
                </c:pt>
                <c:pt idx="2">
                  <c:v>1358.1487730061349</c:v>
                </c:pt>
                <c:pt idx="3">
                  <c:v>1382.0337423312883</c:v>
                </c:pt>
                <c:pt idx="4">
                  <c:v>1396.0352760736196</c:v>
                </c:pt>
                <c:pt idx="5">
                  <c:v>1382.8573619631902</c:v>
                </c:pt>
                <c:pt idx="6">
                  <c:v>1383.6809815950919</c:v>
                </c:pt>
                <c:pt idx="7">
                  <c:v>1344.9708588957055</c:v>
                </c:pt>
                <c:pt idx="8">
                  <c:v>1356.5015337423313</c:v>
                </c:pt>
                <c:pt idx="9">
                  <c:v>1366.3849693251534</c:v>
                </c:pt>
                <c:pt idx="10">
                  <c:v>1342.5</c:v>
                </c:pt>
                <c:pt idx="11">
                  <c:v>1354.8542944785277</c:v>
                </c:pt>
                <c:pt idx="12">
                  <c:v>1364.7377300613496</c:v>
                </c:pt>
                <c:pt idx="13">
                  <c:v>1337.5582822085889</c:v>
                </c:pt>
                <c:pt idx="14">
                  <c:v>1326.8512269938649</c:v>
                </c:pt>
                <c:pt idx="15">
                  <c:v>1322.7331288343557</c:v>
                </c:pt>
                <c:pt idx="16">
                  <c:v>1314.4969325153374</c:v>
                </c:pt>
                <c:pt idx="17">
                  <c:v>1314.4969325153374</c:v>
                </c:pt>
                <c:pt idx="18">
                  <c:v>1335.9110429447853</c:v>
                </c:pt>
                <c:pt idx="19">
                  <c:v>1335.0874233128834</c:v>
                </c:pt>
                <c:pt idx="20">
                  <c:v>1336.734662576687</c:v>
                </c:pt>
                <c:pt idx="21">
                  <c:v>1333.4401840490798</c:v>
                </c:pt>
                <c:pt idx="22">
                  <c:v>1358.9723926380368</c:v>
                </c:pt>
                <c:pt idx="23">
                  <c:v>1373.7975460122698</c:v>
                </c:pt>
                <c:pt idx="24">
                  <c:v>1371.3266871165645</c:v>
                </c:pt>
                <c:pt idx="25">
                  <c:v>1350.7361963190183</c:v>
                </c:pt>
                <c:pt idx="26">
                  <c:v>1323.5567484662577</c:v>
                </c:pt>
                <c:pt idx="27">
                  <c:v>1326.0276073619632</c:v>
                </c:pt>
                <c:pt idx="28">
                  <c:v>1298.0245398773006</c:v>
                </c:pt>
                <c:pt idx="29">
                  <c:v>1243.6656441717791</c:v>
                </c:pt>
                <c:pt idx="30">
                  <c:v>1233.782208588957</c:v>
                </c:pt>
                <c:pt idx="31">
                  <c:v>1246.1365030674847</c:v>
                </c:pt>
                <c:pt idx="32">
                  <c:v>1268.3742331288342</c:v>
                </c:pt>
                <c:pt idx="33">
                  <c:v>1256.8435582822085</c:v>
                </c:pt>
                <c:pt idx="34">
                  <c:v>1232.9585889570551</c:v>
                </c:pt>
                <c:pt idx="35">
                  <c:v>1256.0199386503066</c:v>
                </c:pt>
                <c:pt idx="36">
                  <c:v>1237.0766871165645</c:v>
                </c:pt>
                <c:pt idx="37">
                  <c:v>1240.3711656441717</c:v>
                </c:pt>
                <c:pt idx="38">
                  <c:v>1237.0766871165645</c:v>
                </c:pt>
                <c:pt idx="39">
                  <c:v>1226.3696319018404</c:v>
                </c:pt>
                <c:pt idx="40">
                  <c:v>1230.4877300613496</c:v>
                </c:pt>
                <c:pt idx="41">
                  <c:v>1227.1932515337423</c:v>
                </c:pt>
                <c:pt idx="42">
                  <c:v>1199.1901840490798</c:v>
                </c:pt>
                <c:pt idx="43">
                  <c:v>1168.7162576687117</c:v>
                </c:pt>
                <c:pt idx="44">
                  <c:v>1153.0674846625766</c:v>
                </c:pt>
                <c:pt idx="45">
                  <c:v>1176.95245398773</c:v>
                </c:pt>
                <c:pt idx="46">
                  <c:v>1159.6564417177913</c:v>
                </c:pt>
                <c:pt idx="47">
                  <c:v>1158.8328220858896</c:v>
                </c:pt>
                <c:pt idx="48">
                  <c:v>1155.5383435582821</c:v>
                </c:pt>
                <c:pt idx="49">
                  <c:v>1190.9539877300613</c:v>
                </c:pt>
                <c:pt idx="50">
                  <c:v>1213.1917177914111</c:v>
                </c:pt>
                <c:pt idx="51">
                  <c:v>1176.1288343558281</c:v>
                </c:pt>
                <c:pt idx="52">
                  <c:v>1182.717791411043</c:v>
                </c:pt>
                <c:pt idx="53">
                  <c:v>1214.0153374233128</c:v>
                </c:pt>
                <c:pt idx="54">
                  <c:v>1197.5429447852759</c:v>
                </c:pt>
                <c:pt idx="55">
                  <c:v>1214.8389570552147</c:v>
                </c:pt>
                <c:pt idx="56">
                  <c:v>1204.9555214723925</c:v>
                </c:pt>
                <c:pt idx="57">
                  <c:v>1205.7791411042945</c:v>
                </c:pt>
                <c:pt idx="58">
                  <c:v>1208.25</c:v>
                </c:pt>
                <c:pt idx="59">
                  <c:v>1223.075153374233</c:v>
                </c:pt>
                <c:pt idx="60">
                  <c:v>1237.0766871165645</c:v>
                </c:pt>
                <c:pt idx="61">
                  <c:v>1222.2515337423313</c:v>
                </c:pt>
                <c:pt idx="62">
                  <c:v>1209.8972392638036</c:v>
                </c:pt>
                <c:pt idx="63">
                  <c:v>1184.3650306748466</c:v>
                </c:pt>
                <c:pt idx="64">
                  <c:v>1148.9493865030674</c:v>
                </c:pt>
                <c:pt idx="65">
                  <c:v>1145.65490797546</c:v>
                </c:pt>
                <c:pt idx="66">
                  <c:v>1135.7714723926381</c:v>
                </c:pt>
                <c:pt idx="67">
                  <c:v>1107.7684049079753</c:v>
                </c:pt>
                <c:pt idx="68">
                  <c:v>1118.4754601226994</c:v>
                </c:pt>
                <c:pt idx="69">
                  <c:v>1116.0046012269938</c:v>
                </c:pt>
                <c:pt idx="70">
                  <c:v>1123.4171779141104</c:v>
                </c:pt>
                <c:pt idx="71">
                  <c:v>1108.5920245398772</c:v>
                </c:pt>
                <c:pt idx="72">
                  <c:v>1108.5920245398772</c:v>
                </c:pt>
                <c:pt idx="73">
                  <c:v>1106.9447852760736</c:v>
                </c:pt>
                <c:pt idx="74">
                  <c:v>1088.8251533742332</c:v>
                </c:pt>
                <c:pt idx="75">
                  <c:v>1117.6518404907974</c:v>
                </c:pt>
                <c:pt idx="76">
                  <c:v>1117.6518404907974</c:v>
                </c:pt>
                <c:pt idx="77">
                  <c:v>1111.0628834355828</c:v>
                </c:pt>
                <c:pt idx="78">
                  <c:v>1110.2392638036808</c:v>
                </c:pt>
                <c:pt idx="79">
                  <c:v>1114.3573619631902</c:v>
                </c:pt>
                <c:pt idx="80">
                  <c:v>1102.8266871165645</c:v>
                </c:pt>
                <c:pt idx="81">
                  <c:v>1111.8865030674847</c:v>
                </c:pt>
                <c:pt idx="82">
                  <c:v>1114.3573619631902</c:v>
                </c:pt>
                <c:pt idx="83">
                  <c:v>1092.1196319018404</c:v>
                </c:pt>
                <c:pt idx="84">
                  <c:v>1111.0628834355828</c:v>
                </c:pt>
                <c:pt idx="85">
                  <c:v>1102.0030674846626</c:v>
                </c:pt>
                <c:pt idx="86">
                  <c:v>1102.8266871165645</c:v>
                </c:pt>
                <c:pt idx="87">
                  <c:v>1118.4754601226994</c:v>
                </c:pt>
                <c:pt idx="88">
                  <c:v>1120.9463190184049</c:v>
                </c:pt>
                <c:pt idx="89">
                  <c:v>1148.1257668711655</c:v>
                </c:pt>
                <c:pt idx="90">
                  <c:v>1174.4815950920245</c:v>
                </c:pt>
                <c:pt idx="91">
                  <c:v>1262.6088957055215</c:v>
                </c:pt>
                <c:pt idx="92">
                  <c:v>1252.7254601226994</c:v>
                </c:pt>
                <c:pt idx="93">
                  <c:v>1247.7837423312883</c:v>
                </c:pt>
                <c:pt idx="94">
                  <c:v>1270.0214723926381</c:v>
                </c:pt>
                <c:pt idx="95">
                  <c:v>1287.3174846625766</c:v>
                </c:pt>
                <c:pt idx="96">
                  <c:v>1280.7285276073619</c:v>
                </c:pt>
                <c:pt idx="97">
                  <c:v>1277.4340490797545</c:v>
                </c:pt>
                <c:pt idx="98">
                  <c:v>1254.372699386503</c:v>
                </c:pt>
                <c:pt idx="99">
                  <c:v>1256.0199386503066</c:v>
                </c:pt>
                <c:pt idx="100">
                  <c:v>1223.075153374233</c:v>
                </c:pt>
                <c:pt idx="101">
                  <c:v>1246.1365030674847</c:v>
                </c:pt>
                <c:pt idx="102">
                  <c:v>1250.2546012269938</c:v>
                </c:pt>
                <c:pt idx="103">
                  <c:v>1235.4294478527606</c:v>
                </c:pt>
                <c:pt idx="104">
                  <c:v>1228.016871165644</c:v>
                </c:pt>
                <c:pt idx="105">
                  <c:v>1223.075153374233</c:v>
                </c:pt>
                <c:pt idx="106">
                  <c:v>1256.0199386503066</c:v>
                </c:pt>
                <c:pt idx="107">
                  <c:v>1271.6687116564417</c:v>
                </c:pt>
                <c:pt idx="108">
                  <c:v>1272.4923312883434</c:v>
                </c:pt>
                <c:pt idx="109">
                  <c:v>1270.8450920245398</c:v>
                </c:pt>
                <c:pt idx="110">
                  <c:v>1264.2561349693251</c:v>
                </c:pt>
                <c:pt idx="111">
                  <c:v>1277.4340490797545</c:v>
                </c:pt>
                <c:pt idx="112">
                  <c:v>1278.2576687116564</c:v>
                </c:pt>
                <c:pt idx="113">
                  <c:v>1247.7837423312883</c:v>
                </c:pt>
                <c:pt idx="114">
                  <c:v>1251.0782208588957</c:v>
                </c:pt>
                <c:pt idx="115">
                  <c:v>1220.6042944785277</c:v>
                </c:pt>
                <c:pt idx="116">
                  <c:v>1214.8389570552147</c:v>
                </c:pt>
                <c:pt idx="117">
                  <c:v>1223.8987730061349</c:v>
                </c:pt>
                <c:pt idx="118">
                  <c:v>1214.0153374233128</c:v>
                </c:pt>
                <c:pt idx="119">
                  <c:v>1209.8972392638036</c:v>
                </c:pt>
                <c:pt idx="120">
                  <c:v>1204.9555214723925</c:v>
                </c:pt>
                <c:pt idx="121">
                  <c:v>1182.717791411043</c:v>
                </c:pt>
                <c:pt idx="122">
                  <c:v>1178.5996932515336</c:v>
                </c:pt>
                <c:pt idx="123">
                  <c:v>1183.5414110429447</c:v>
                </c:pt>
                <c:pt idx="124">
                  <c:v>1186.8358895705521</c:v>
                </c:pt>
                <c:pt idx="125">
                  <c:v>1191.7776073619632</c:v>
                </c:pt>
                <c:pt idx="126">
                  <c:v>1179.4233128834355</c:v>
                </c:pt>
                <c:pt idx="127">
                  <c:v>1167.0690184049079</c:v>
                </c:pt>
                <c:pt idx="128">
                  <c:v>1153.0674846625766</c:v>
                </c:pt>
                <c:pt idx="129">
                  <c:v>1153.0674846625766</c:v>
                </c:pt>
                <c:pt idx="130">
                  <c:v>1153.0674846625766</c:v>
                </c:pt>
                <c:pt idx="131">
                  <c:v>1127.5352760736196</c:v>
                </c:pt>
                <c:pt idx="132">
                  <c:v>1104.4739263803681</c:v>
                </c:pt>
                <c:pt idx="133">
                  <c:v>1134.9478527607362</c:v>
                </c:pt>
                <c:pt idx="134">
                  <c:v>1153.8911042944785</c:v>
                </c:pt>
                <c:pt idx="135">
                  <c:v>1136.5950920245398</c:v>
                </c:pt>
                <c:pt idx="136">
                  <c:v>1148.9493865030674</c:v>
                </c:pt>
                <c:pt idx="137">
                  <c:v>1147.3021472392638</c:v>
                </c:pt>
                <c:pt idx="138">
                  <c:v>1155.5383435582821</c:v>
                </c:pt>
                <c:pt idx="139">
                  <c:v>1158.0092024539877</c:v>
                </c:pt>
                <c:pt idx="140">
                  <c:v>1189.3067484662577</c:v>
                </c:pt>
                <c:pt idx="141">
                  <c:v>1186.8358895705521</c:v>
                </c:pt>
                <c:pt idx="142">
                  <c:v>1186.0122699386502</c:v>
                </c:pt>
                <c:pt idx="143">
                  <c:v>1221.4279141104294</c:v>
                </c:pt>
                <c:pt idx="144">
                  <c:v>1219.7806748466257</c:v>
                </c:pt>
                <c:pt idx="145">
                  <c:v>1244.4892638036808</c:v>
                </c:pt>
                <c:pt idx="146">
                  <c:v>1248.6073619631902</c:v>
                </c:pt>
                <c:pt idx="147">
                  <c:v>1243.6656441717791</c:v>
                </c:pt>
                <c:pt idx="148">
                  <c:v>1331.7929447852759</c:v>
                </c:pt>
                <c:pt idx="149">
                  <c:v>1382.8573619631902</c:v>
                </c:pt>
                <c:pt idx="150">
                  <c:v>1372.9739263803681</c:v>
                </c:pt>
                <c:pt idx="151">
                  <c:v>1412.5076687116564</c:v>
                </c:pt>
                <c:pt idx="152">
                  <c:v>1470.1610429447853</c:v>
                </c:pt>
                <c:pt idx="153">
                  <c:v>1466.0429447852759</c:v>
                </c:pt>
                <c:pt idx="154">
                  <c:v>1464.3957055214723</c:v>
                </c:pt>
                <c:pt idx="155">
                  <c:v>1485.8098159509202</c:v>
                </c:pt>
                <c:pt idx="156">
                  <c:v>1486.6334355828221</c:v>
                </c:pt>
                <c:pt idx="157">
                  <c:v>1498.9877300613496</c:v>
                </c:pt>
                <c:pt idx="158">
                  <c:v>1489.1042944785274</c:v>
                </c:pt>
                <c:pt idx="159">
                  <c:v>1503.1058282208589</c:v>
                </c:pt>
                <c:pt idx="160">
                  <c:v>1493.2223926380368</c:v>
                </c:pt>
                <c:pt idx="161">
                  <c:v>1516.2837423312883</c:v>
                </c:pt>
                <c:pt idx="162">
                  <c:v>1481.6917177914111</c:v>
                </c:pt>
                <c:pt idx="163">
                  <c:v>1492.3987730061349</c:v>
                </c:pt>
                <c:pt idx="164">
                  <c:v>1491.575153374233</c:v>
                </c:pt>
                <c:pt idx="165">
                  <c:v>1505.5766871165642</c:v>
                </c:pt>
                <c:pt idx="166">
                  <c:v>1505.5766871165642</c:v>
                </c:pt>
                <c:pt idx="167">
                  <c:v>1497.340490797546</c:v>
                </c:pt>
                <c:pt idx="168">
                  <c:v>1486.6334355828221</c:v>
                </c:pt>
                <c:pt idx="169">
                  <c:v>1498.1641104294479</c:v>
                </c:pt>
                <c:pt idx="170">
                  <c:v>1472.6319018404906</c:v>
                </c:pt>
                <c:pt idx="171">
                  <c:v>1462.7484662576687</c:v>
                </c:pt>
                <c:pt idx="172">
                  <c:v>1417.4493865030674</c:v>
                </c:pt>
                <c:pt idx="173">
                  <c:v>1387.7990797546013</c:v>
                </c:pt>
                <c:pt idx="174">
                  <c:v>1416.6257668711655</c:v>
                </c:pt>
                <c:pt idx="175">
                  <c:v>1433.0981595092023</c:v>
                </c:pt>
                <c:pt idx="176">
                  <c:v>1403.4478527607362</c:v>
                </c:pt>
                <c:pt idx="177">
                  <c:v>1444.6288343558281</c:v>
                </c:pt>
                <c:pt idx="178">
                  <c:v>1444.6288343558281</c:v>
                </c:pt>
                <c:pt idx="179">
                  <c:v>1456.1595092024538</c:v>
                </c:pt>
                <c:pt idx="180">
                  <c:v>1450.3941717791411</c:v>
                </c:pt>
                <c:pt idx="181">
                  <c:v>1424.0383435582821</c:v>
                </c:pt>
                <c:pt idx="182">
                  <c:v>1400.1533742331287</c:v>
                </c:pt>
                <c:pt idx="183">
                  <c:v>1411.6840490797545</c:v>
                </c:pt>
                <c:pt idx="184">
                  <c:v>1418.2730061349694</c:v>
                </c:pt>
                <c:pt idx="185">
                  <c:v>1377.0920245398772</c:v>
                </c:pt>
                <c:pt idx="186">
                  <c:v>1344.1472392638036</c:v>
                </c:pt>
                <c:pt idx="187">
                  <c:v>1396.8588957055215</c:v>
                </c:pt>
                <c:pt idx="188">
                  <c:v>1400.9769938650306</c:v>
                </c:pt>
                <c:pt idx="189">
                  <c:v>1396.0352760736196</c:v>
                </c:pt>
                <c:pt idx="190">
                  <c:v>1400.1533742331287</c:v>
                </c:pt>
                <c:pt idx="191">
                  <c:v>1348.2653374233128</c:v>
                </c:pt>
                <c:pt idx="192">
                  <c:v>1353.2070552147238</c:v>
                </c:pt>
                <c:pt idx="193">
                  <c:v>1355.6779141104294</c:v>
                </c:pt>
                <c:pt idx="194">
                  <c:v>1353.2070552147238</c:v>
                </c:pt>
                <c:pt idx="195">
                  <c:v>1368.032208588957</c:v>
                </c:pt>
                <c:pt idx="196">
                  <c:v>1360.6196319018404</c:v>
                </c:pt>
                <c:pt idx="197">
                  <c:v>1359.7960122699385</c:v>
                </c:pt>
                <c:pt idx="198">
                  <c:v>1368.8558282208589</c:v>
                </c:pt>
                <c:pt idx="199">
                  <c:v>1360.6196319018404</c:v>
                </c:pt>
                <c:pt idx="200">
                  <c:v>1358.1487730061349</c:v>
                </c:pt>
                <c:pt idx="201">
                  <c:v>1325.2039877300613</c:v>
                </c:pt>
                <c:pt idx="202">
                  <c:v>1339.2055214723925</c:v>
                </c:pt>
                <c:pt idx="203">
                  <c:v>1321.0858895705521</c:v>
                </c:pt>
                <c:pt idx="204">
                  <c:v>1298.8481595092023</c:v>
                </c:pt>
                <c:pt idx="205">
                  <c:v>1255.1963190184049</c:v>
                </c:pt>
                <c:pt idx="206">
                  <c:v>1293.9064417177913</c:v>
                </c:pt>
                <c:pt idx="207">
                  <c:v>1336.734662576687</c:v>
                </c:pt>
                <c:pt idx="208">
                  <c:v>1335.9110429447853</c:v>
                </c:pt>
                <c:pt idx="209">
                  <c:v>1310.3788343558281</c:v>
                </c:pt>
                <c:pt idx="210">
                  <c:v>1279.0812883435583</c:v>
                </c:pt>
                <c:pt idx="211">
                  <c:v>1270.8450920245398</c:v>
                </c:pt>
                <c:pt idx="212">
                  <c:v>1264.2561349693251</c:v>
                </c:pt>
                <c:pt idx="213">
                  <c:v>1263.4325153374232</c:v>
                </c:pt>
                <c:pt idx="214">
                  <c:v>1259.314417177914</c:v>
                </c:pt>
                <c:pt idx="215">
                  <c:v>1270.0214723926381</c:v>
                </c:pt>
                <c:pt idx="216">
                  <c:v>1251.9018404907974</c:v>
                </c:pt>
                <c:pt idx="217">
                  <c:v>1240.3711656441717</c:v>
                </c:pt>
                <c:pt idx="218">
                  <c:v>1229.6641104294479</c:v>
                </c:pt>
                <c:pt idx="219">
                  <c:v>1241.1947852760736</c:v>
                </c:pt>
                <c:pt idx="220">
                  <c:v>1214.8389570552147</c:v>
                </c:pt>
                <c:pt idx="221">
                  <c:v>1193.4248466257668</c:v>
                </c:pt>
                <c:pt idx="222">
                  <c:v>1194.2484662576687</c:v>
                </c:pt>
                <c:pt idx="223">
                  <c:v>1208.25</c:v>
                </c:pt>
                <c:pt idx="224">
                  <c:v>1199.1901840490798</c:v>
                </c:pt>
                <c:pt idx="225">
                  <c:v>1176.1288343558281</c:v>
                </c:pt>
                <c:pt idx="226">
                  <c:v>1167.0690184049079</c:v>
                </c:pt>
                <c:pt idx="227">
                  <c:v>1184.3650306748466</c:v>
                </c:pt>
                <c:pt idx="228">
                  <c:v>1180.2469325153374</c:v>
                </c:pt>
                <c:pt idx="229">
                  <c:v>1134.1242331288342</c:v>
                </c:pt>
                <c:pt idx="230">
                  <c:v>1179.4233128834355</c:v>
                </c:pt>
                <c:pt idx="231">
                  <c:v>1170.3634969325153</c:v>
                </c:pt>
                <c:pt idx="232">
                  <c:v>1125.064417177914</c:v>
                </c:pt>
                <c:pt idx="233">
                  <c:v>1109.4156441717791</c:v>
                </c:pt>
                <c:pt idx="234">
                  <c:v>1158.0092024539877</c:v>
                </c:pt>
                <c:pt idx="235">
                  <c:v>1159.6564417177913</c:v>
                </c:pt>
                <c:pt idx="236">
                  <c:v>1188.4831288343557</c:v>
                </c:pt>
                <c:pt idx="237">
                  <c:v>1203.3082822085889</c:v>
                </c:pt>
                <c:pt idx="238">
                  <c:v>1181.8941717791411</c:v>
                </c:pt>
                <c:pt idx="239">
                  <c:v>1181.8941717791411</c:v>
                </c:pt>
                <c:pt idx="240">
                  <c:v>1197.5429447852759</c:v>
                </c:pt>
                <c:pt idx="241">
                  <c:v>1186.0122699386502</c:v>
                </c:pt>
                <c:pt idx="242">
                  <c:v>1169.5398773006134</c:v>
                </c:pt>
                <c:pt idx="243">
                  <c:v>1188.4831288343557</c:v>
                </c:pt>
                <c:pt idx="244">
                  <c:v>1211.5444785276072</c:v>
                </c:pt>
                <c:pt idx="245">
                  <c:v>1246.9601226993864</c:v>
                </c:pt>
                <c:pt idx="246">
                  <c:v>1275.7868098159508</c:v>
                </c:pt>
                <c:pt idx="247">
                  <c:v>1287.3174846625766</c:v>
                </c:pt>
                <c:pt idx="248">
                  <c:v>1337.5582822085889</c:v>
                </c:pt>
                <c:pt idx="249">
                  <c:v>1317.7914110429447</c:v>
                </c:pt>
                <c:pt idx="250">
                  <c:v>1344.9708588957055</c:v>
                </c:pt>
                <c:pt idx="251">
                  <c:v>1339.2055214723925</c:v>
                </c:pt>
                <c:pt idx="252">
                  <c:v>1349.9125766871166</c:v>
                </c:pt>
                <c:pt idx="253">
                  <c:v>1329.3220858895704</c:v>
                </c:pt>
                <c:pt idx="254">
                  <c:v>1312.0260736196319</c:v>
                </c:pt>
                <c:pt idx="255">
                  <c:v>1337.5582822085889</c:v>
                </c:pt>
                <c:pt idx="256">
                  <c:v>1326.0276073619632</c:v>
                </c:pt>
                <c:pt idx="257">
                  <c:v>1311.20245398773</c:v>
                </c:pt>
                <c:pt idx="258">
                  <c:v>1295.5536809815951</c:v>
                </c:pt>
                <c:pt idx="259">
                  <c:v>1309.5552147239264</c:v>
                </c:pt>
                <c:pt idx="260">
                  <c:v>1293.0828220858896</c:v>
                </c:pt>
                <c:pt idx="261">
                  <c:v>1256.0199386503066</c:v>
                </c:pt>
                <c:pt idx="262">
                  <c:v>1285.670245398773</c:v>
                </c:pt>
                <c:pt idx="263">
                  <c:v>1268.3742331288342</c:v>
                </c:pt>
                <c:pt idx="264">
                  <c:v>1259.314417177914</c:v>
                </c:pt>
                <c:pt idx="265">
                  <c:v>1255.1963190184049</c:v>
                </c:pt>
                <c:pt idx="266">
                  <c:v>1273.3159509202453</c:v>
                </c:pt>
                <c:pt idx="267">
                  <c:v>1265.9033742331287</c:v>
                </c:pt>
                <c:pt idx="268">
                  <c:v>1321.0858895705521</c:v>
                </c:pt>
                <c:pt idx="269">
                  <c:v>1300.4953987730062</c:v>
                </c:pt>
                <c:pt idx="270">
                  <c:v>1229.6641104294479</c:v>
                </c:pt>
                <c:pt idx="271">
                  <c:v>1209.8972392638036</c:v>
                </c:pt>
                <c:pt idx="272">
                  <c:v>1202.484662576687</c:v>
                </c:pt>
                <c:pt idx="273">
                  <c:v>1194.2484662576687</c:v>
                </c:pt>
                <c:pt idx="274">
                  <c:v>1205.7791411042945</c:v>
                </c:pt>
                <c:pt idx="275">
                  <c:v>1255.1963190184049</c:v>
                </c:pt>
                <c:pt idx="276">
                  <c:v>1278.2576687116564</c:v>
                </c:pt>
                <c:pt idx="277">
                  <c:v>1324.3803680981594</c:v>
                </c:pt>
                <c:pt idx="278">
                  <c:v>1316.967791411043</c:v>
                </c:pt>
                <c:pt idx="279">
                  <c:v>1355.6779141104294</c:v>
                </c:pt>
                <c:pt idx="280">
                  <c:v>1355.6779141104294</c:v>
                </c:pt>
                <c:pt idx="281">
                  <c:v>1329.3220858895704</c:v>
                </c:pt>
                <c:pt idx="282">
                  <c:v>1314.4969325153374</c:v>
                </c:pt>
                <c:pt idx="283">
                  <c:v>1326.8512269938649</c:v>
                </c:pt>
                <c:pt idx="284">
                  <c:v>1294.7300613496932</c:v>
                </c:pt>
                <c:pt idx="285">
                  <c:v>1333.4401840490798</c:v>
                </c:pt>
                <c:pt idx="286">
                  <c:v>1338.3819018404906</c:v>
                </c:pt>
                <c:pt idx="287">
                  <c:v>1362.266871165644</c:v>
                </c:pt>
                <c:pt idx="288">
                  <c:v>1447.9233128834355</c:v>
                </c:pt>
                <c:pt idx="289">
                  <c:v>1459.4539877300613</c:v>
                </c:pt>
                <c:pt idx="290">
                  <c:v>1462.7484662576687</c:v>
                </c:pt>
                <c:pt idx="291">
                  <c:v>1442.1579754601225</c:v>
                </c:pt>
                <c:pt idx="292">
                  <c:v>1441.3343558282209</c:v>
                </c:pt>
                <c:pt idx="293">
                  <c:v>1408.3895705521472</c:v>
                </c:pt>
                <c:pt idx="294">
                  <c:v>1432.2745398773006</c:v>
                </c:pt>
                <c:pt idx="295">
                  <c:v>1447.9233128834355</c:v>
                </c:pt>
                <c:pt idx="296">
                  <c:v>1447.9233128834355</c:v>
                </c:pt>
                <c:pt idx="297">
                  <c:v>1425.6855828220857</c:v>
                </c:pt>
                <c:pt idx="298">
                  <c:v>1418.2730061349694</c:v>
                </c:pt>
                <c:pt idx="299">
                  <c:v>1391.9171779141104</c:v>
                </c:pt>
                <c:pt idx="300">
                  <c:v>1326.8512269938649</c:v>
                </c:pt>
                <c:pt idx="301">
                  <c:v>1296.3773006134968</c:v>
                </c:pt>
                <c:pt idx="302">
                  <c:v>1298.8481595092023</c:v>
                </c:pt>
                <c:pt idx="303">
                  <c:v>1312.0260736196319</c:v>
                </c:pt>
                <c:pt idx="304">
                  <c:v>1335.9110429447853</c:v>
                </c:pt>
                <c:pt idx="305">
                  <c:v>1340.8527607361962</c:v>
                </c:pt>
                <c:pt idx="306">
                  <c:v>1366.3849693251534</c:v>
                </c:pt>
                <c:pt idx="307">
                  <c:v>1381.2101226993864</c:v>
                </c:pt>
                <c:pt idx="308">
                  <c:v>1395.2116564417177</c:v>
                </c:pt>
                <c:pt idx="309">
                  <c:v>1413.3312883435583</c:v>
                </c:pt>
                <c:pt idx="310">
                  <c:v>1438.0398773006134</c:v>
                </c:pt>
                <c:pt idx="311">
                  <c:v>1461.9248466257668</c:v>
                </c:pt>
                <c:pt idx="312">
                  <c:v>1463.5720858895704</c:v>
                </c:pt>
                <c:pt idx="313">
                  <c:v>1459.4539877300613</c:v>
                </c:pt>
                <c:pt idx="314">
                  <c:v>1438.8634969325153</c:v>
                </c:pt>
                <c:pt idx="315">
                  <c:v>1421.5674846625766</c:v>
                </c:pt>
                <c:pt idx="316">
                  <c:v>1425.6855828220857</c:v>
                </c:pt>
                <c:pt idx="317">
                  <c:v>1426.5092024539877</c:v>
                </c:pt>
                <c:pt idx="318">
                  <c:v>1396.8588957055215</c:v>
                </c:pt>
                <c:pt idx="319">
                  <c:v>1375.4447852760736</c:v>
                </c:pt>
                <c:pt idx="320">
                  <c:v>1395.2116564417177</c:v>
                </c:pt>
                <c:pt idx="321">
                  <c:v>1389.4463190184049</c:v>
                </c:pt>
                <c:pt idx="322">
                  <c:v>1393.564417177914</c:v>
                </c:pt>
                <c:pt idx="323">
                  <c:v>1410.8604294478528</c:v>
                </c:pt>
                <c:pt idx="324">
                  <c:v>1385.3282208588957</c:v>
                </c:pt>
                <c:pt idx="325">
                  <c:v>1414.15490797546</c:v>
                </c:pt>
                <c:pt idx="326">
                  <c:v>1437.2162576687117</c:v>
                </c:pt>
                <c:pt idx="327">
                  <c:v>1432.2745398773006</c:v>
                </c:pt>
                <c:pt idx="328">
                  <c:v>1457.8067484662577</c:v>
                </c:pt>
                <c:pt idx="329">
                  <c:v>1456.1595092024538</c:v>
                </c:pt>
                <c:pt idx="330">
                  <c:v>1456.9831288343557</c:v>
                </c:pt>
                <c:pt idx="331">
                  <c:v>1478.3972392638036</c:v>
                </c:pt>
                <c:pt idx="332">
                  <c:v>1512.9892638036808</c:v>
                </c:pt>
                <c:pt idx="333">
                  <c:v>1498.9877300613496</c:v>
                </c:pt>
                <c:pt idx="334">
                  <c:v>1484.9861963190183</c:v>
                </c:pt>
                <c:pt idx="335">
                  <c:v>1471.8082822085889</c:v>
                </c:pt>
                <c:pt idx="336">
                  <c:v>1460.2776073619632</c:v>
                </c:pt>
                <c:pt idx="337">
                  <c:v>1447.0996932515336</c:v>
                </c:pt>
                <c:pt idx="338">
                  <c:v>1412.5076687116564</c:v>
                </c:pt>
                <c:pt idx="339">
                  <c:v>1412.5076687116564</c:v>
                </c:pt>
                <c:pt idx="340">
                  <c:v>1433.0981595092023</c:v>
                </c:pt>
                <c:pt idx="341">
                  <c:v>1438.8634969325153</c:v>
                </c:pt>
                <c:pt idx="342">
                  <c:v>1428.1564417177913</c:v>
                </c:pt>
                <c:pt idx="343">
                  <c:v>1417.4493865030674</c:v>
                </c:pt>
                <c:pt idx="344">
                  <c:v>1388.622699386503</c:v>
                </c:pt>
                <c:pt idx="345">
                  <c:v>1371.3266871165645</c:v>
                </c:pt>
                <c:pt idx="346">
                  <c:v>1391.0935582822085</c:v>
                </c:pt>
                <c:pt idx="347">
                  <c:v>1431.4509202453987</c:v>
                </c:pt>
                <c:pt idx="348">
                  <c:v>1430.6273006134968</c:v>
                </c:pt>
                <c:pt idx="349">
                  <c:v>1409.2131901840489</c:v>
                </c:pt>
                <c:pt idx="350">
                  <c:v>1385.3282208588957</c:v>
                </c:pt>
                <c:pt idx="351">
                  <c:v>1392.7407975460121</c:v>
                </c:pt>
                <c:pt idx="352">
                  <c:v>1406.7423312883434</c:v>
                </c:pt>
                <c:pt idx="353">
                  <c:v>1407.5659509202453</c:v>
                </c:pt>
                <c:pt idx="354">
                  <c:v>1414.15490797546</c:v>
                </c:pt>
                <c:pt idx="355">
                  <c:v>1412.5076687116564</c:v>
                </c:pt>
                <c:pt idx="356">
                  <c:v>1402.6242331288342</c:v>
                </c:pt>
                <c:pt idx="357">
                  <c:v>1405.9187116564417</c:v>
                </c:pt>
                <c:pt idx="358">
                  <c:v>1391.9171779141104</c:v>
                </c:pt>
                <c:pt idx="359">
                  <c:v>1402.6242331288342</c:v>
                </c:pt>
                <c:pt idx="360">
                  <c:v>1396.8588957055215</c:v>
                </c:pt>
                <c:pt idx="361">
                  <c:v>1404.2714723926381</c:v>
                </c:pt>
                <c:pt idx="362">
                  <c:v>1402.6242331288342</c:v>
                </c:pt>
                <c:pt idx="363">
                  <c:v>1458.6303680981594</c:v>
                </c:pt>
                <c:pt idx="364">
                  <c:v>1488.2806748466257</c:v>
                </c:pt>
                <c:pt idx="365">
                  <c:v>1489.1042944785274</c:v>
                </c:pt>
                <c:pt idx="366">
                  <c:v>1495.6932515337423</c:v>
                </c:pt>
                <c:pt idx="367">
                  <c:v>1512.9892638036808</c:v>
                </c:pt>
                <c:pt idx="368">
                  <c:v>1527.814417177914</c:v>
                </c:pt>
                <c:pt idx="369">
                  <c:v>1549.2285276073619</c:v>
                </c:pt>
                <c:pt idx="370">
                  <c:v>1582.9969325153374</c:v>
                </c:pt>
                <c:pt idx="371">
                  <c:v>1573.1134969325153</c:v>
                </c:pt>
                <c:pt idx="372">
                  <c:v>1601.9401840490798</c:v>
                </c:pt>
                <c:pt idx="373">
                  <c:v>1620.0598159509202</c:v>
                </c:pt>
                <c:pt idx="374">
                  <c:v>1577.2315950920245</c:v>
                </c:pt>
                <c:pt idx="375">
                  <c:v>1573.1134969325153</c:v>
                </c:pt>
                <c:pt idx="376">
                  <c:v>1540.9923312883434</c:v>
                </c:pt>
                <c:pt idx="377">
                  <c:v>1599.4693251533743</c:v>
                </c:pt>
                <c:pt idx="378">
                  <c:v>1609.3527607361962</c:v>
                </c:pt>
                <c:pt idx="379">
                  <c:v>1601.1165644171779</c:v>
                </c:pt>
                <c:pt idx="380">
                  <c:v>1587.9386503067483</c:v>
                </c:pt>
                <c:pt idx="381">
                  <c:v>1625.0015337423313</c:v>
                </c:pt>
                <c:pt idx="382">
                  <c:v>1637.3558282208589</c:v>
                </c:pt>
                <c:pt idx="383">
                  <c:v>1652.1809815950919</c:v>
                </c:pt>
                <c:pt idx="384">
                  <c:v>1650.5337423312883</c:v>
                </c:pt>
                <c:pt idx="385">
                  <c:v>1646.4156441717791</c:v>
                </c:pt>
                <c:pt idx="386">
                  <c:v>1615.9417177914111</c:v>
                </c:pt>
                <c:pt idx="387">
                  <c:v>1634.0613496932515</c:v>
                </c:pt>
                <c:pt idx="388">
                  <c:v>1650.5337423312883</c:v>
                </c:pt>
                <c:pt idx="389">
                  <c:v>1656.2990797546011</c:v>
                </c:pt>
                <c:pt idx="390">
                  <c:v>1607.7055214723925</c:v>
                </c:pt>
                <c:pt idx="391">
                  <c:v>1634.8849693251534</c:v>
                </c:pt>
                <c:pt idx="392">
                  <c:v>1569.8190184049079</c:v>
                </c:pt>
                <c:pt idx="393">
                  <c:v>1579.70245398773</c:v>
                </c:pt>
                <c:pt idx="394">
                  <c:v>1603.5874233128834</c:v>
                </c:pt>
                <c:pt idx="395">
                  <c:v>1593.7039877300613</c:v>
                </c:pt>
                <c:pt idx="396">
                  <c:v>1599.4693251533743</c:v>
                </c:pt>
                <c:pt idx="397">
                  <c:v>1600.2929447852759</c:v>
                </c:pt>
                <c:pt idx="398">
                  <c:v>1612.6472392638036</c:v>
                </c:pt>
                <c:pt idx="399">
                  <c:v>1635.7085889570551</c:v>
                </c:pt>
                <c:pt idx="400">
                  <c:v>1658.7699386503066</c:v>
                </c:pt>
                <c:pt idx="401">
                  <c:v>1657.9463190184049</c:v>
                </c:pt>
                <c:pt idx="402">
                  <c:v>1685.9493865030674</c:v>
                </c:pt>
                <c:pt idx="403">
                  <c:v>1641.4739263803681</c:v>
                </c:pt>
                <c:pt idx="404">
                  <c:v>1612.6472392638036</c:v>
                </c:pt>
                <c:pt idx="405">
                  <c:v>1620.0598159509202</c:v>
                </c:pt>
                <c:pt idx="406">
                  <c:v>1624.1779141104294</c:v>
                </c:pt>
                <c:pt idx="407">
                  <c:v>1593.7039877300613</c:v>
                </c:pt>
                <c:pt idx="408">
                  <c:v>1615.9417177914111</c:v>
                </c:pt>
                <c:pt idx="409">
                  <c:v>1621.7070552147238</c:v>
                </c:pt>
                <c:pt idx="410">
                  <c:v>1574.7607361963189</c:v>
                </c:pt>
                <c:pt idx="411">
                  <c:v>1546.7576687116564</c:v>
                </c:pt>
                <c:pt idx="412">
                  <c:v>1574.7607361963189</c:v>
                </c:pt>
                <c:pt idx="413">
                  <c:v>1567.3481595092023</c:v>
                </c:pt>
                <c:pt idx="414">
                  <c:v>1698.3036809815951</c:v>
                </c:pt>
                <c:pt idx="415">
                  <c:v>1715.5996932515336</c:v>
                </c:pt>
                <c:pt idx="416">
                  <c:v>1719.717791411043</c:v>
                </c:pt>
                <c:pt idx="417">
                  <c:v>1700.7745398773006</c:v>
                </c:pt>
                <c:pt idx="418">
                  <c:v>1695.8328220858896</c:v>
                </c:pt>
                <c:pt idx="419">
                  <c:v>1704.8926380368098</c:v>
                </c:pt>
                <c:pt idx="420">
                  <c:v>1682.65490797546</c:v>
                </c:pt>
                <c:pt idx="421">
                  <c:v>1645.5920245398772</c:v>
                </c:pt>
                <c:pt idx="422">
                  <c:v>1741.1319018404906</c:v>
                </c:pt>
                <c:pt idx="423">
                  <c:v>1734.5429447852759</c:v>
                </c:pt>
                <c:pt idx="424">
                  <c:v>1736.1901840490798</c:v>
                </c:pt>
                <c:pt idx="425">
                  <c:v>1763.3696319018404</c:v>
                </c:pt>
                <c:pt idx="426">
                  <c:v>1768.3113496932515</c:v>
                </c:pt>
                <c:pt idx="427">
                  <c:v>1767.4877300613496</c:v>
                </c:pt>
                <c:pt idx="428">
                  <c:v>1791.372699386503</c:v>
                </c:pt>
                <c:pt idx="429">
                  <c:v>1754.3098159509202</c:v>
                </c:pt>
                <c:pt idx="430">
                  <c:v>1744.4263803680981</c:v>
                </c:pt>
                <c:pt idx="431">
                  <c:v>1727.1303680981594</c:v>
                </c:pt>
                <c:pt idx="432">
                  <c:v>1729.6012269938649</c:v>
                </c:pt>
                <c:pt idx="433">
                  <c:v>1738.6610429447851</c:v>
                </c:pt>
                <c:pt idx="434">
                  <c:v>1719.717791411043</c:v>
                </c:pt>
                <c:pt idx="435">
                  <c:v>1774.9003067484662</c:v>
                </c:pt>
                <c:pt idx="436">
                  <c:v>1824.3174846625766</c:v>
                </c:pt>
                <c:pt idx="437">
                  <c:v>1853.1441717791411</c:v>
                </c:pt>
                <c:pt idx="438">
                  <c:v>1891.0306748466257</c:v>
                </c:pt>
                <c:pt idx="439">
                  <c:v>1868.7929447852759</c:v>
                </c:pt>
                <c:pt idx="440">
                  <c:v>1858.0858895705521</c:v>
                </c:pt>
                <c:pt idx="441">
                  <c:v>1813.6104294478528</c:v>
                </c:pt>
                <c:pt idx="442">
                  <c:v>1874.5582822085889</c:v>
                </c:pt>
                <c:pt idx="443">
                  <c:v>1873.734662576687</c:v>
                </c:pt>
                <c:pt idx="444">
                  <c:v>1879.5</c:v>
                </c:pt>
                <c:pt idx="445">
                  <c:v>1827.611963190184</c:v>
                </c:pt>
                <c:pt idx="446">
                  <c:v>1809.4923312883434</c:v>
                </c:pt>
                <c:pt idx="447">
                  <c:v>1807.8450920245398</c:v>
                </c:pt>
                <c:pt idx="448">
                  <c:v>1804.5506134969323</c:v>
                </c:pt>
                <c:pt idx="449">
                  <c:v>1832.5536809815951</c:v>
                </c:pt>
                <c:pt idx="450">
                  <c:v>1891.8542944785274</c:v>
                </c:pt>
                <c:pt idx="451">
                  <c:v>1870.4401840490796</c:v>
                </c:pt>
                <c:pt idx="452">
                  <c:v>1889.3834355828219</c:v>
                </c:pt>
                <c:pt idx="453">
                  <c:v>2026.1042944785274</c:v>
                </c:pt>
                <c:pt idx="454">
                  <c:v>2106.8190184049081</c:v>
                </c:pt>
                <c:pt idx="455">
                  <c:v>2114.2315950920242</c:v>
                </c:pt>
                <c:pt idx="456">
                  <c:v>2059.0490797546013</c:v>
                </c:pt>
                <c:pt idx="457">
                  <c:v>2075.5214723926379</c:v>
                </c:pt>
                <c:pt idx="458">
                  <c:v>2122.467791411043</c:v>
                </c:pt>
                <c:pt idx="459">
                  <c:v>2062.3435582822085</c:v>
                </c:pt>
                <c:pt idx="460">
                  <c:v>2046.6947852760736</c:v>
                </c:pt>
                <c:pt idx="461">
                  <c:v>2047.5184049079753</c:v>
                </c:pt>
                <c:pt idx="462">
                  <c:v>2066.4616564417179</c:v>
                </c:pt>
                <c:pt idx="463">
                  <c:v>2060.6963190184047</c:v>
                </c:pt>
                <c:pt idx="464">
                  <c:v>2084.5812883435583</c:v>
                </c:pt>
                <c:pt idx="465">
                  <c:v>2012.1027607361962</c:v>
                </c:pt>
                <c:pt idx="466">
                  <c:v>2113.4079754601225</c:v>
                </c:pt>
                <c:pt idx="467">
                  <c:v>2115.8788343558281</c:v>
                </c:pt>
                <c:pt idx="468">
                  <c:v>2107.6426380368098</c:v>
                </c:pt>
                <c:pt idx="469">
                  <c:v>2128.2331288343557</c:v>
                </c:pt>
                <c:pt idx="470">
                  <c:v>2157.8834355828221</c:v>
                </c:pt>
                <c:pt idx="471">
                  <c:v>2159.5306748466255</c:v>
                </c:pt>
                <c:pt idx="472">
                  <c:v>2199.8880368098157</c:v>
                </c:pt>
                <c:pt idx="473">
                  <c:v>2185.8865030674847</c:v>
                </c:pt>
                <c:pt idx="474">
                  <c:v>2173.532208588957</c:v>
                </c:pt>
                <c:pt idx="475">
                  <c:v>2103.5245398773004</c:v>
                </c:pt>
                <c:pt idx="476">
                  <c:v>2110.1134969325153</c:v>
                </c:pt>
                <c:pt idx="477">
                  <c:v>2101.0536809815949</c:v>
                </c:pt>
                <c:pt idx="478">
                  <c:v>2105.9953987730059</c:v>
                </c:pt>
                <c:pt idx="479">
                  <c:v>2121.6441717791408</c:v>
                </c:pt>
                <c:pt idx="480">
                  <c:v>2129.8803680981596</c:v>
                </c:pt>
                <c:pt idx="481">
                  <c:v>2129.0567484662574</c:v>
                </c:pt>
                <c:pt idx="482">
                  <c:v>2124.9386503067485</c:v>
                </c:pt>
                <c:pt idx="483">
                  <c:v>2110.937116564417</c:v>
                </c:pt>
                <c:pt idx="484">
                  <c:v>2080.4631901840489</c:v>
                </c:pt>
                <c:pt idx="485">
                  <c:v>1988.2177914110428</c:v>
                </c:pt>
                <c:pt idx="486">
                  <c:v>2077.1687116564417</c:v>
                </c:pt>
                <c:pt idx="487">
                  <c:v>2044.2239263803681</c:v>
                </c:pt>
                <c:pt idx="488">
                  <c:v>2062.3435582822085</c:v>
                </c:pt>
                <c:pt idx="489">
                  <c:v>2082.1104294478528</c:v>
                </c:pt>
                <c:pt idx="490">
                  <c:v>2067.2852760736196</c:v>
                </c:pt>
                <c:pt idx="491">
                  <c:v>1994.8067484662577</c:v>
                </c:pt>
                <c:pt idx="492">
                  <c:v>1990.6886503067483</c:v>
                </c:pt>
                <c:pt idx="493">
                  <c:v>2007.1610429447851</c:v>
                </c:pt>
                <c:pt idx="494">
                  <c:v>2029.3987730061349</c:v>
                </c:pt>
                <c:pt idx="495">
                  <c:v>2042.5766871165642</c:v>
                </c:pt>
                <c:pt idx="496">
                  <c:v>2041.7530674846626</c:v>
                </c:pt>
                <c:pt idx="497">
                  <c:v>2026.9279141104294</c:v>
                </c:pt>
                <c:pt idx="498">
                  <c:v>1983.2760736196319</c:v>
                </c:pt>
                <c:pt idx="499">
                  <c:v>2017.0444785276072</c:v>
                </c:pt>
                <c:pt idx="500">
                  <c:v>2054.1073619631902</c:v>
                </c:pt>
                <c:pt idx="501">
                  <c:v>2038.4585889570551</c:v>
                </c:pt>
                <c:pt idx="502">
                  <c:v>2055.7546012269936</c:v>
                </c:pt>
                <c:pt idx="503">
                  <c:v>2012.1027607361962</c:v>
                </c:pt>
                <c:pt idx="504">
                  <c:v>2059.872699386503</c:v>
                </c:pt>
                <c:pt idx="505">
                  <c:v>2040.1058282208587</c:v>
                </c:pt>
                <c:pt idx="506">
                  <c:v>2022.8098159509202</c:v>
                </c:pt>
                <c:pt idx="507">
                  <c:v>2109.2898773006136</c:v>
                </c:pt>
                <c:pt idx="508">
                  <c:v>2109.2898773006136</c:v>
                </c:pt>
                <c:pt idx="509">
                  <c:v>2166.9432515337421</c:v>
                </c:pt>
                <c:pt idx="510">
                  <c:v>2183.4156441717791</c:v>
                </c:pt>
                <c:pt idx="511">
                  <c:v>2159.5306748466255</c:v>
                </c:pt>
                <c:pt idx="512">
                  <c:v>2112.5843558282209</c:v>
                </c:pt>
                <c:pt idx="513">
                  <c:v>2077.9923312883434</c:v>
                </c:pt>
                <c:pt idx="514">
                  <c:v>2129.8803680981596</c:v>
                </c:pt>
                <c:pt idx="515">
                  <c:v>2029.3987730061349</c:v>
                </c:pt>
                <c:pt idx="516">
                  <c:v>2007.984662576687</c:v>
                </c:pt>
                <c:pt idx="517">
                  <c:v>2111.7607361963187</c:v>
                </c:pt>
                <c:pt idx="518">
                  <c:v>2054.9309815950919</c:v>
                </c:pt>
                <c:pt idx="519">
                  <c:v>2044.2239263803681</c:v>
                </c:pt>
                <c:pt idx="520">
                  <c:v>2158.7070552147238</c:v>
                </c:pt>
                <c:pt idx="521">
                  <c:v>2122.467791411043</c:v>
                </c:pt>
                <c:pt idx="522">
                  <c:v>2114.2315950920242</c:v>
                </c:pt>
                <c:pt idx="523">
                  <c:v>2068.9325153374234</c:v>
                </c:pt>
                <c:pt idx="524">
                  <c:v>2028.575153374233</c:v>
                </c:pt>
                <c:pt idx="525">
                  <c:v>2001.3957055214723</c:v>
                </c:pt>
                <c:pt idx="526">
                  <c:v>1980.8052147239264</c:v>
                </c:pt>
                <c:pt idx="527">
                  <c:v>1950.3312883435583</c:v>
                </c:pt>
                <c:pt idx="528">
                  <c:v>1986.5705521472391</c:v>
                </c:pt>
                <c:pt idx="529">
                  <c:v>2007.1610429447851</c:v>
                </c:pt>
                <c:pt idx="530">
                  <c:v>2005.5138036809815</c:v>
                </c:pt>
                <c:pt idx="531">
                  <c:v>2093.6411042944783</c:v>
                </c:pt>
                <c:pt idx="532">
                  <c:v>2035.9877300613496</c:v>
                </c:pt>
                <c:pt idx="533">
                  <c:v>2010.4555214723925</c:v>
                </c:pt>
                <c:pt idx="534">
                  <c:v>2037.6349693251532</c:v>
                </c:pt>
                <c:pt idx="535">
                  <c:v>2047.5184049079753</c:v>
                </c:pt>
                <c:pt idx="536">
                  <c:v>2031.0460122699385</c:v>
                </c:pt>
                <c:pt idx="537">
                  <c:v>2088.6993865030672</c:v>
                </c:pt>
                <c:pt idx="538">
                  <c:v>2116.7024539877298</c:v>
                </c:pt>
                <c:pt idx="539">
                  <c:v>2095.2883435582821</c:v>
                </c:pt>
                <c:pt idx="540">
                  <c:v>2073.8742331288345</c:v>
                </c:pt>
                <c:pt idx="541">
                  <c:v>2090.3466257668711</c:v>
                </c:pt>
                <c:pt idx="542">
                  <c:v>2070.5797546012268</c:v>
                </c:pt>
                <c:pt idx="543">
                  <c:v>2115.0552147239264</c:v>
                </c:pt>
                <c:pt idx="544">
                  <c:v>2139.7638036809817</c:v>
                </c:pt>
                <c:pt idx="545">
                  <c:v>2134.8220858895706</c:v>
                </c:pt>
                <c:pt idx="546">
                  <c:v>2121.6441717791408</c:v>
                </c:pt>
                <c:pt idx="547">
                  <c:v>2090.3466257668711</c:v>
                </c:pt>
                <c:pt idx="548">
                  <c:v>2149.6472392638034</c:v>
                </c:pt>
                <c:pt idx="549">
                  <c:v>2139.7638036809817</c:v>
                </c:pt>
                <c:pt idx="550">
                  <c:v>2123.2914110429447</c:v>
                </c:pt>
                <c:pt idx="551">
                  <c:v>2103.5245398773004</c:v>
                </c:pt>
                <c:pt idx="552">
                  <c:v>2078.8159509202451</c:v>
                </c:pt>
                <c:pt idx="553">
                  <c:v>2090.3466257668711</c:v>
                </c:pt>
                <c:pt idx="554">
                  <c:v>2054.1073619631902</c:v>
                </c:pt>
                <c:pt idx="555">
                  <c:v>2062.3435582822085</c:v>
                </c:pt>
                <c:pt idx="556">
                  <c:v>2091.9938650306749</c:v>
                </c:pt>
                <c:pt idx="557">
                  <c:v>2124.9386503067485</c:v>
                </c:pt>
                <c:pt idx="558">
                  <c:v>2090.3466257668711</c:v>
                </c:pt>
                <c:pt idx="559">
                  <c:v>2017.8680981595091</c:v>
                </c:pt>
                <c:pt idx="560">
                  <c:v>2012.9263803680981</c:v>
                </c:pt>
                <c:pt idx="561">
                  <c:v>2024.4570552147238</c:v>
                </c:pt>
                <c:pt idx="562">
                  <c:v>2011.2791411042945</c:v>
                </c:pt>
                <c:pt idx="563">
                  <c:v>2012.9263803680981</c:v>
                </c:pt>
                <c:pt idx="564">
                  <c:v>1955.2730061349691</c:v>
                </c:pt>
                <c:pt idx="565">
                  <c:v>1948.6840490797545</c:v>
                </c:pt>
                <c:pt idx="566">
                  <c:v>1983.2760736196319</c:v>
                </c:pt>
                <c:pt idx="567">
                  <c:v>1971.7453987730059</c:v>
                </c:pt>
                <c:pt idx="568">
                  <c:v>1996.4539877300613</c:v>
                </c:pt>
                <c:pt idx="569">
                  <c:v>1968.4509202453987</c:v>
                </c:pt>
                <c:pt idx="570">
                  <c:v>1909.1503067484662</c:v>
                </c:pt>
                <c:pt idx="571">
                  <c:v>1872.9110429447851</c:v>
                </c:pt>
                <c:pt idx="572">
                  <c:v>1884.4417177914111</c:v>
                </c:pt>
                <c:pt idx="573">
                  <c:v>1904.2085889570551</c:v>
                </c:pt>
                <c:pt idx="574">
                  <c:v>1950.3312883435583</c:v>
                </c:pt>
                <c:pt idx="575">
                  <c:v>1891.0306748466257</c:v>
                </c:pt>
                <c:pt idx="576">
                  <c:v>1938.8006134969323</c:v>
                </c:pt>
                <c:pt idx="577">
                  <c:v>1909.1503067484662</c:v>
                </c:pt>
                <c:pt idx="578">
                  <c:v>1945.3895705521472</c:v>
                </c:pt>
                <c:pt idx="579">
                  <c:v>2166.1196319018404</c:v>
                </c:pt>
                <c:pt idx="580">
                  <c:v>2108.4662576687115</c:v>
                </c:pt>
                <c:pt idx="581">
                  <c:v>2157.8834355828221</c:v>
                </c:pt>
                <c:pt idx="582">
                  <c:v>2157.8834355828221</c:v>
                </c:pt>
                <c:pt idx="583">
                  <c:v>2177.6503067484664</c:v>
                </c:pt>
                <c:pt idx="584">
                  <c:v>2185.8865030674847</c:v>
                </c:pt>
                <c:pt idx="585">
                  <c:v>2194.122699386503</c:v>
                </c:pt>
                <c:pt idx="586">
                  <c:v>2174.3558282208587</c:v>
                </c:pt>
                <c:pt idx="587">
                  <c:v>2116.7024539877298</c:v>
                </c:pt>
                <c:pt idx="588">
                  <c:v>2100.2300613496932</c:v>
                </c:pt>
                <c:pt idx="589">
                  <c:v>2108.4662576687115</c:v>
                </c:pt>
                <c:pt idx="590">
                  <c:v>2063.9907975460123</c:v>
                </c:pt>
                <c:pt idx="591">
                  <c:v>2019.5153374233128</c:v>
                </c:pt>
                <c:pt idx="592">
                  <c:v>2037.6349693251532</c:v>
                </c:pt>
                <c:pt idx="593">
                  <c:v>2007.984662576687</c:v>
                </c:pt>
                <c:pt idx="594">
                  <c:v>1940.4478527607362</c:v>
                </c:pt>
                <c:pt idx="595">
                  <c:v>1923.9754601226994</c:v>
                </c:pt>
                <c:pt idx="596">
                  <c:v>1951.9785276073619</c:v>
                </c:pt>
                <c:pt idx="597">
                  <c:v>1915.7392638036808</c:v>
                </c:pt>
                <c:pt idx="598">
                  <c:v>1933.8588957055215</c:v>
                </c:pt>
                <c:pt idx="599">
                  <c:v>1895.9723926380368</c:v>
                </c:pt>
                <c:pt idx="600">
                  <c:v>1899.266871165644</c:v>
                </c:pt>
                <c:pt idx="601">
                  <c:v>1900.9141104294479</c:v>
                </c:pt>
                <c:pt idx="602">
                  <c:v>1892.6779141104294</c:v>
                </c:pt>
                <c:pt idx="603">
                  <c:v>1863.0276073619632</c:v>
                </c:pt>
                <c:pt idx="604">
                  <c:v>1858.0858895705521</c:v>
                </c:pt>
                <c:pt idx="605">
                  <c:v>1854.7914110429447</c:v>
                </c:pt>
                <c:pt idx="606">
                  <c:v>1843.2607361963189</c:v>
                </c:pt>
                <c:pt idx="607">
                  <c:v>1836.6717791411043</c:v>
                </c:pt>
                <c:pt idx="608">
                  <c:v>1793.8435582822085</c:v>
                </c:pt>
                <c:pt idx="609">
                  <c:v>1785.6073619631902</c:v>
                </c:pt>
                <c:pt idx="610">
                  <c:v>1744.4263803680981</c:v>
                </c:pt>
                <c:pt idx="611">
                  <c:v>1774.0766871165642</c:v>
                </c:pt>
                <c:pt idx="612">
                  <c:v>1759.2515337423313</c:v>
                </c:pt>
                <c:pt idx="613">
                  <c:v>1780.6656441717791</c:v>
                </c:pt>
                <c:pt idx="614">
                  <c:v>1780.6656441717791</c:v>
                </c:pt>
                <c:pt idx="615">
                  <c:v>1775.7239263803681</c:v>
                </c:pt>
                <c:pt idx="616">
                  <c:v>1746.0736196319017</c:v>
                </c:pt>
                <c:pt idx="617">
                  <c:v>1706.5398773006134</c:v>
                </c:pt>
                <c:pt idx="618">
                  <c:v>1685.1257668711655</c:v>
                </c:pt>
                <c:pt idx="619">
                  <c:v>1681.8312883435583</c:v>
                </c:pt>
                <c:pt idx="620">
                  <c:v>1607.7055214723925</c:v>
                </c:pt>
                <c:pt idx="621">
                  <c:v>1550.0521472392638</c:v>
                </c:pt>
                <c:pt idx="622">
                  <c:v>1546.7576687116564</c:v>
                </c:pt>
                <c:pt idx="623">
                  <c:v>1546.7576687116564</c:v>
                </c:pt>
                <c:pt idx="624">
                  <c:v>1550.0521472392638</c:v>
                </c:pt>
                <c:pt idx="625">
                  <c:v>1548.40490797546</c:v>
                </c:pt>
                <c:pt idx="626">
                  <c:v>1601.1165644171779</c:v>
                </c:pt>
                <c:pt idx="627">
                  <c:v>1573.1134969325153</c:v>
                </c:pt>
                <c:pt idx="628">
                  <c:v>1594.5276073619632</c:v>
                </c:pt>
                <c:pt idx="629">
                  <c:v>1604.4110429447851</c:v>
                </c:pt>
                <c:pt idx="630">
                  <c:v>1576.4079754601225</c:v>
                </c:pt>
                <c:pt idx="631">
                  <c:v>1607.7055214723925</c:v>
                </c:pt>
                <c:pt idx="632">
                  <c:v>1652.1809815950919</c:v>
                </c:pt>
                <c:pt idx="633">
                  <c:v>1620.8834355828221</c:v>
                </c:pt>
                <c:pt idx="634">
                  <c:v>1680.1840490797545</c:v>
                </c:pt>
                <c:pt idx="635">
                  <c:v>1737.8374233128834</c:v>
                </c:pt>
                <c:pt idx="636">
                  <c:v>1742.7791411042945</c:v>
                </c:pt>
                <c:pt idx="637">
                  <c:v>1719.717791411043</c:v>
                </c:pt>
                <c:pt idx="638">
                  <c:v>1749.3680981595091</c:v>
                </c:pt>
                <c:pt idx="639">
                  <c:v>1721.3650306748466</c:v>
                </c:pt>
                <c:pt idx="640">
                  <c:v>1734.5429447852759</c:v>
                </c:pt>
                <c:pt idx="641">
                  <c:v>1724.6595092024538</c:v>
                </c:pt>
                <c:pt idx="642">
                  <c:v>1718.0705521472391</c:v>
                </c:pt>
                <c:pt idx="643">
                  <c:v>1721.3650306748466</c:v>
                </c:pt>
                <c:pt idx="644">
                  <c:v>1663.7116564417177</c:v>
                </c:pt>
                <c:pt idx="645">
                  <c:v>1643.9447852760736</c:v>
                </c:pt>
                <c:pt idx="646">
                  <c:v>1653.8282208588957</c:v>
                </c:pt>
                <c:pt idx="647">
                  <c:v>1622.5306748466257</c:v>
                </c:pt>
                <c:pt idx="648">
                  <c:v>1619.2361963190183</c:v>
                </c:pt>
                <c:pt idx="649">
                  <c:v>1594.5276073619632</c:v>
                </c:pt>
                <c:pt idx="650">
                  <c:v>1561.5828220858896</c:v>
                </c:pt>
                <c:pt idx="651">
                  <c:v>1586.2914110429447</c:v>
                </c:pt>
                <c:pt idx="652">
                  <c:v>1568.1717791411043</c:v>
                </c:pt>
                <c:pt idx="653">
                  <c:v>1591.2331288343557</c:v>
                </c:pt>
                <c:pt idx="654">
                  <c:v>1624.1779141104294</c:v>
                </c:pt>
                <c:pt idx="655">
                  <c:v>1620.8834355828221</c:v>
                </c:pt>
                <c:pt idx="656">
                  <c:v>1584.6441717791411</c:v>
                </c:pt>
                <c:pt idx="657">
                  <c:v>1573.1134969325153</c:v>
                </c:pt>
                <c:pt idx="658">
                  <c:v>1592.8803680981594</c:v>
                </c:pt>
                <c:pt idx="659">
                  <c:v>1576.4079754601225</c:v>
                </c:pt>
                <c:pt idx="660">
                  <c:v>1625.825153374233</c:v>
                </c:pt>
                <c:pt idx="661">
                  <c:v>1611</c:v>
                </c:pt>
              </c:numCache>
            </c:numRef>
          </c:val>
        </c:ser>
        <c:marker val="1"/>
        <c:axId val="120160256"/>
        <c:axId val="120161792"/>
      </c:lineChart>
      <c:dateAx>
        <c:axId val="120160256"/>
        <c:scaling>
          <c:orientation val="minMax"/>
        </c:scaling>
        <c:axPos val="b"/>
        <c:numFmt formatCode="yyyy/mm/dd" sourceLinked="1"/>
        <c:tickLblPos val="nextTo"/>
        <c:crossAx val="120161792"/>
        <c:crosses val="autoZero"/>
        <c:auto val="1"/>
        <c:lblOffset val="100"/>
      </c:dateAx>
      <c:valAx>
        <c:axId val="120161792"/>
        <c:scaling>
          <c:orientation val="minMax"/>
          <c:max val="3405"/>
          <c:min val="1088.8251533742332"/>
        </c:scaling>
        <c:axPos val="l"/>
        <c:majorGridlines/>
        <c:numFmt formatCode="General" sourceLinked="1"/>
        <c:tickLblPos val="nextTo"/>
        <c:crossAx val="120160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"/>
          <c:y val="3.0978629203754358E-2"/>
          <c:w val="0.16694356073421124"/>
          <c:h val="0.10937726973325441"/>
        </c:manualLayout>
      </c:layout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5</xdr:row>
      <xdr:rowOff>47624</xdr:rowOff>
    </xdr:from>
    <xdr:to>
      <xdr:col>14</xdr:col>
      <xdr:colOff>638175</xdr:colOff>
      <xdr:row>38</xdr:row>
      <xdr:rowOff>19050</xdr:rowOff>
    </xdr:to>
    <xdr:graphicFrame macro="">
      <xdr:nvGraphicFramePr>
        <xdr:cNvPr id="2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1"/>
  <sheetViews>
    <sheetView showGridLines="0" zoomScale="115" zoomScaleNormal="115" workbookViewId="0">
      <selection activeCell="B6" sqref="B6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8" t="s">
        <v>164</v>
      </c>
      <c r="D1" s="13"/>
      <c r="H1" s="1"/>
      <c r="I1" s="13" t="s">
        <v>24</v>
      </c>
      <c r="J1" s="57"/>
      <c r="K1" s="236">
        <v>43815</v>
      </c>
      <c r="L1" s="237"/>
      <c r="M1" s="23"/>
      <c r="N1" s="13" t="s">
        <v>266</v>
      </c>
      <c r="P1" s="236">
        <f ca="1">TODAY()</f>
        <v>43815</v>
      </c>
      <c r="Q1" s="238"/>
      <c r="U1" s="58" t="s">
        <v>23</v>
      </c>
      <c r="V1" s="58"/>
    </row>
    <row r="2" spans="2:23" ht="16.5" customHeight="1" thickBot="1">
      <c r="J2" s="184">
        <f>SUM(J4:J64)</f>
        <v>8124300</v>
      </c>
      <c r="R2" s="128">
        <f ca="1">SUM(R4:R64)</f>
        <v>25064.257260273978</v>
      </c>
      <c r="S2" s="92">
        <f ca="1">SUM(S4:S64)</f>
        <v>1.218236461811413E-2</v>
      </c>
    </row>
    <row r="3" spans="2:23" ht="24.75" thickBot="1">
      <c r="C3" s="59" t="s">
        <v>147</v>
      </c>
      <c r="D3" s="69" t="s">
        <v>171</v>
      </c>
      <c r="E3" s="61"/>
      <c r="F3" s="60" t="s">
        <v>69</v>
      </c>
      <c r="G3" s="62" t="s">
        <v>70</v>
      </c>
      <c r="H3" s="63" t="s">
        <v>148</v>
      </c>
      <c r="I3" s="63" t="s">
        <v>149</v>
      </c>
      <c r="J3" s="61" t="s">
        <v>22</v>
      </c>
      <c r="K3" s="61" t="s">
        <v>150</v>
      </c>
      <c r="L3" s="63" t="s">
        <v>151</v>
      </c>
      <c r="M3" s="64" t="s">
        <v>172</v>
      </c>
      <c r="N3" s="61" t="s">
        <v>152</v>
      </c>
      <c r="O3" s="64" t="s">
        <v>166</v>
      </c>
      <c r="P3" s="61" t="s">
        <v>259</v>
      </c>
      <c r="Q3" s="61" t="s">
        <v>153</v>
      </c>
      <c r="R3" s="64" t="s">
        <v>168</v>
      </c>
      <c r="S3" s="67" t="s">
        <v>169</v>
      </c>
      <c r="T3" s="66"/>
      <c r="U3" s="68" t="s">
        <v>265</v>
      </c>
      <c r="V3" s="68" t="s">
        <v>170</v>
      </c>
      <c r="W3" s="65" t="s">
        <v>167</v>
      </c>
    </row>
    <row r="4" spans="2:23" s="107" customFormat="1">
      <c r="B4" s="125" t="s">
        <v>274</v>
      </c>
      <c r="C4" s="228">
        <f>ROW()/2-1</f>
        <v>1</v>
      </c>
      <c r="D4" s="230">
        <v>43802</v>
      </c>
      <c r="E4" s="34" t="s">
        <v>155</v>
      </c>
      <c r="F4" s="34">
        <v>3861</v>
      </c>
      <c r="G4" s="56" t="s">
        <v>65</v>
      </c>
      <c r="H4" s="50">
        <v>616</v>
      </c>
      <c r="I4" s="50">
        <v>1700</v>
      </c>
      <c r="J4" s="51">
        <f t="shared" ref="J4:J5" si="0">H4*I4</f>
        <v>1047200</v>
      </c>
      <c r="K4" s="53" t="s">
        <v>160</v>
      </c>
      <c r="L4" s="50">
        <v>643</v>
      </c>
      <c r="M4" s="34">
        <v>770</v>
      </c>
      <c r="N4" s="147">
        <f ca="1">IF(OR(K4="現物",J4=0),0,IF(E4="売",J4*Fee_Refer!$B$12/365*V4, J4*Fee_Refer!$B$11/365*#REF!))</f>
        <v>410.2728767123287</v>
      </c>
      <c r="O4" s="53">
        <v>92</v>
      </c>
      <c r="P4" s="150">
        <f ca="1">IF(L4 &gt;0,(H4-L4)*I4-M4-N4-O4,0)</f>
        <v>-47172.272876712326</v>
      </c>
      <c r="Q4" s="52">
        <f t="shared" ref="Q4:Q5" ca="1" si="1">P4/J4</f>
        <v>-4.5046097093881139E-2</v>
      </c>
      <c r="R4" s="232">
        <f ca="1">P4+P5</f>
        <v>35209.185753424659</v>
      </c>
      <c r="S4" s="233">
        <f t="shared" ref="S4" ca="1" si="2">R4/(J4+J5)</f>
        <v>1.6841665432614877E-2</v>
      </c>
      <c r="U4" s="235">
        <f ca="1">$P$1</f>
        <v>43815</v>
      </c>
      <c r="V4" s="226">
        <f t="shared" ref="V4" ca="1" si="3">IF(U4&gt;D4,DATEDIF(D4,U4,"d"),0)</f>
        <v>13</v>
      </c>
      <c r="W4" s="227"/>
    </row>
    <row r="5" spans="2:23" s="107" customFormat="1">
      <c r="B5" s="125" t="s">
        <v>1025</v>
      </c>
      <c r="C5" s="229"/>
      <c r="D5" s="231">
        <v>43748</v>
      </c>
      <c r="E5" s="30" t="s">
        <v>156</v>
      </c>
      <c r="F5" s="30">
        <v>5703</v>
      </c>
      <c r="G5" s="55" t="s">
        <v>305</v>
      </c>
      <c r="H5" s="47">
        <v>222</v>
      </c>
      <c r="I5" s="47">
        <v>4700</v>
      </c>
      <c r="J5" s="48">
        <f t="shared" si="0"/>
        <v>1043400</v>
      </c>
      <c r="K5" s="148" t="s">
        <v>161</v>
      </c>
      <c r="L5" s="42">
        <v>240</v>
      </c>
      <c r="M5" s="32">
        <v>770</v>
      </c>
      <c r="N5" s="149">
        <f ca="1">IF(OR(K5="現物",J5=0),0,IF(E5="売",J5*Fee_Refer!$B$12/365*V5, J5*Fee_Refer!$B$11/365*V4))</f>
        <v>1040.5413698630136</v>
      </c>
      <c r="O5" s="136">
        <v>408</v>
      </c>
      <c r="P5" s="151">
        <f ca="1">IF(L5&gt;0,(L5-H5)*I5-M5-N5-O5,0)</f>
        <v>82381.458630136985</v>
      </c>
      <c r="Q5" s="49">
        <f t="shared" ca="1" si="1"/>
        <v>7.8954819465341178E-2</v>
      </c>
      <c r="R5" s="232"/>
      <c r="S5" s="234"/>
      <c r="U5" s="226"/>
      <c r="V5" s="226"/>
      <c r="W5" s="226"/>
    </row>
    <row r="6" spans="2:23" s="107" customFormat="1">
      <c r="B6" s="125" t="s">
        <v>274</v>
      </c>
      <c r="C6" s="228">
        <f>ROW()/2-1</f>
        <v>2</v>
      </c>
      <c r="D6" s="230">
        <v>43808</v>
      </c>
      <c r="E6" s="34" t="s">
        <v>262</v>
      </c>
      <c r="F6" s="34">
        <v>5991</v>
      </c>
      <c r="G6" s="56" t="s">
        <v>1288</v>
      </c>
      <c r="H6" s="50">
        <v>1013</v>
      </c>
      <c r="I6" s="50">
        <v>900</v>
      </c>
      <c r="J6" s="51">
        <f t="shared" ref="J6:J11" si="4">H6*I6</f>
        <v>911700</v>
      </c>
      <c r="K6" s="53" t="s">
        <v>1287</v>
      </c>
      <c r="L6" s="50">
        <v>1015</v>
      </c>
      <c r="M6" s="34">
        <v>770</v>
      </c>
      <c r="N6" s="147">
        <f ca="1">IF(OR(K6="現物",J6=0),0,IF(E6="売",J6*Fee_Refer!$B$12/365*V6, J6*Fee_Refer!$B$11/365*#REF!))</f>
        <v>192.33123287671231</v>
      </c>
      <c r="O6" s="53">
        <v>0</v>
      </c>
      <c r="P6" s="150">
        <f ca="1">IF(L6 &gt;0,(H6-L6)*I6-M6-N6-O6,0)</f>
        <v>-2762.3312328767124</v>
      </c>
      <c r="Q6" s="52">
        <f t="shared" ref="Q6:Q11" ca="1" si="5">P6/J6</f>
        <v>-3.0298686331871366E-3</v>
      </c>
      <c r="R6" s="232">
        <f ca="1">P6+P7</f>
        <v>6756.9947945205486</v>
      </c>
      <c r="S6" s="233">
        <f t="shared" ref="S6" ca="1" si="6">R6/(J6+J7)</f>
        <v>3.6275271350837755E-3</v>
      </c>
      <c r="U6" s="235">
        <f ca="1">$P$1</f>
        <v>43815</v>
      </c>
      <c r="V6" s="226">
        <f t="shared" ref="V6" ca="1" si="7">IF(U6&gt;D6,DATEDIF(D6,U6,"d"),0)</f>
        <v>7</v>
      </c>
      <c r="W6" s="227"/>
    </row>
    <row r="7" spans="2:23" s="107" customFormat="1">
      <c r="B7" s="125" t="s">
        <v>1025</v>
      </c>
      <c r="C7" s="229"/>
      <c r="D7" s="231">
        <v>43748</v>
      </c>
      <c r="E7" s="30" t="s">
        <v>264</v>
      </c>
      <c r="F7" s="30">
        <v>7267</v>
      </c>
      <c r="G7" s="55" t="s">
        <v>1289</v>
      </c>
      <c r="H7" s="47">
        <v>3170</v>
      </c>
      <c r="I7" s="47">
        <v>300</v>
      </c>
      <c r="J7" s="48">
        <f t="shared" si="4"/>
        <v>951000</v>
      </c>
      <c r="K7" s="148" t="s">
        <v>1287</v>
      </c>
      <c r="L7" s="42">
        <v>3206</v>
      </c>
      <c r="M7" s="32">
        <v>770</v>
      </c>
      <c r="N7" s="149">
        <f ca="1">IF(OR(K7="現物",J7=0),0,IF(E7="売",J7*Fee_Refer!$B$12/365*V7, J7*Fee_Refer!$B$11/365*V6))</f>
        <v>510.6739726027397</v>
      </c>
      <c r="O7" s="172">
        <v>0</v>
      </c>
      <c r="P7" s="151">
        <f ca="1">IF(L7&gt;0,(L7-H7)*I7-M7-N7-O7,0)</f>
        <v>9519.326027397261</v>
      </c>
      <c r="Q7" s="49">
        <f t="shared" ca="1" si="5"/>
        <v>1.0009806548262104E-2</v>
      </c>
      <c r="R7" s="232"/>
      <c r="S7" s="234"/>
      <c r="U7" s="226"/>
      <c r="V7" s="226"/>
      <c r="W7" s="226"/>
    </row>
    <row r="8" spans="2:23" s="107" customFormat="1">
      <c r="B8" s="125" t="s">
        <v>274</v>
      </c>
      <c r="C8" s="228">
        <f>ROW()/2-1</f>
        <v>3</v>
      </c>
      <c r="D8" s="230">
        <v>43809</v>
      </c>
      <c r="E8" s="34" t="s">
        <v>262</v>
      </c>
      <c r="F8" s="34">
        <v>6471</v>
      </c>
      <c r="G8" s="56" t="s">
        <v>1292</v>
      </c>
      <c r="H8" s="50">
        <v>1067</v>
      </c>
      <c r="I8" s="50">
        <v>1000</v>
      </c>
      <c r="J8" s="51">
        <f t="shared" si="4"/>
        <v>1067000</v>
      </c>
      <c r="K8" s="53" t="s">
        <v>1294</v>
      </c>
      <c r="L8" s="50">
        <v>1083</v>
      </c>
      <c r="M8" s="34">
        <v>770</v>
      </c>
      <c r="N8" s="147">
        <f ca="1">IF(OR(K8="現物",J8=0),0,IF(E8="売",J8*Fee_Refer!$B$12/365*V8, J8*Fee_Refer!$B$11/365*#REF!))</f>
        <v>192.93698630136987</v>
      </c>
      <c r="O8" s="53">
        <v>0</v>
      </c>
      <c r="P8" s="150">
        <f ca="1">IF(L8 &gt;0,(H8-L8)*I8-M8-N8-O8,0)</f>
        <v>-16962.936986301371</v>
      </c>
      <c r="Q8" s="52">
        <f t="shared" ca="1" si="5"/>
        <v>-1.5897785366730432E-2</v>
      </c>
      <c r="R8" s="232">
        <f ca="1">P8+P9</f>
        <v>-3033.7150684931512</v>
      </c>
      <c r="S8" s="233">
        <f t="shared" ref="S8" ca="1" si="8">R8/(J8+J9)</f>
        <v>-1.4077564122938057E-3</v>
      </c>
      <c r="U8" s="235">
        <f ca="1">$P$1</f>
        <v>43815</v>
      </c>
      <c r="V8" s="226">
        <f t="shared" ref="V8" ca="1" si="9">IF(U8&gt;D8,DATEDIF(D8,U8,"d"),0)</f>
        <v>6</v>
      </c>
      <c r="W8" s="227"/>
    </row>
    <row r="9" spans="2:23" s="107" customFormat="1">
      <c r="B9" s="125" t="s">
        <v>1025</v>
      </c>
      <c r="C9" s="229"/>
      <c r="D9" s="231">
        <v>43748</v>
      </c>
      <c r="E9" s="30" t="s">
        <v>264</v>
      </c>
      <c r="F9" s="30">
        <v>6473</v>
      </c>
      <c r="G9" s="55" t="s">
        <v>1293</v>
      </c>
      <c r="H9" s="47">
        <v>1360</v>
      </c>
      <c r="I9" s="47">
        <v>800</v>
      </c>
      <c r="J9" s="48">
        <f t="shared" si="4"/>
        <v>1088000</v>
      </c>
      <c r="K9" s="148" t="s">
        <v>1294</v>
      </c>
      <c r="L9" s="42">
        <v>1379</v>
      </c>
      <c r="M9" s="32">
        <v>770</v>
      </c>
      <c r="N9" s="149">
        <f ca="1">IF(OR(K9="現物",J9=0),0,IF(E9="売",J9*Fee_Refer!$B$12/365*V9, J9*Fee_Refer!$B$11/365*V8))</f>
        <v>500.77808219178081</v>
      </c>
      <c r="O9" s="173">
        <v>0</v>
      </c>
      <c r="P9" s="151">
        <f ca="1">IF(L9&gt;0,(L9-H9)*I9-M9-N9-O9,0)</f>
        <v>13929.22191780822</v>
      </c>
      <c r="Q9" s="49">
        <f t="shared" ca="1" si="5"/>
        <v>1.2802593674456084E-2</v>
      </c>
      <c r="R9" s="232"/>
      <c r="S9" s="234"/>
      <c r="U9" s="226"/>
      <c r="V9" s="226"/>
      <c r="W9" s="226"/>
    </row>
    <row r="10" spans="2:23" s="107" customFormat="1">
      <c r="B10" s="125" t="s">
        <v>274</v>
      </c>
      <c r="C10" s="228">
        <f>ROW()/2-1</f>
        <v>4</v>
      </c>
      <c r="D10" s="230">
        <v>43811</v>
      </c>
      <c r="E10" s="34" t="s">
        <v>262</v>
      </c>
      <c r="F10" s="34">
        <v>1860</v>
      </c>
      <c r="G10" s="56" t="s">
        <v>1296</v>
      </c>
      <c r="H10" s="50">
        <v>730</v>
      </c>
      <c r="I10" s="50">
        <v>1400</v>
      </c>
      <c r="J10" s="51">
        <f t="shared" si="4"/>
        <v>1022000</v>
      </c>
      <c r="K10" s="53" t="s">
        <v>1295</v>
      </c>
      <c r="L10" s="50">
        <v>738</v>
      </c>
      <c r="M10" s="34">
        <v>770</v>
      </c>
      <c r="N10" s="147">
        <f ca="1">IF(OR(K10="現物",J10=0),0,IF(E10="売",J10*Fee_Refer!$B$12/365*V10, J10*Fee_Refer!$B$11/365*#REF!))</f>
        <v>123.2</v>
      </c>
      <c r="O10" s="53">
        <v>0</v>
      </c>
      <c r="P10" s="150">
        <f ca="1">IF(L10 &gt;0,(H10-L10)*I10-M10-N10-O10,0)</f>
        <v>-12093.2</v>
      </c>
      <c r="Q10" s="52">
        <f t="shared" ca="1" si="5"/>
        <v>-1.1832876712328768E-2</v>
      </c>
      <c r="R10" s="232">
        <f ca="1">P10+P11</f>
        <v>-13868.208219178083</v>
      </c>
      <c r="S10" s="233">
        <f t="shared" ref="S10" ca="1" si="10">R10/(J10+J11)</f>
        <v>-6.8790715372907159E-3</v>
      </c>
      <c r="U10" s="235">
        <f ca="1">$P$1</f>
        <v>43815</v>
      </c>
      <c r="V10" s="226">
        <f t="shared" ref="V10" ca="1" si="11">IF(U10&gt;D10,DATEDIF(D10,U10,"d"),0)</f>
        <v>4</v>
      </c>
      <c r="W10" s="227"/>
    </row>
    <row r="11" spans="2:23" s="107" customFormat="1">
      <c r="B11" s="125" t="s">
        <v>1025</v>
      </c>
      <c r="C11" s="229"/>
      <c r="D11" s="231">
        <v>43748</v>
      </c>
      <c r="E11" s="30" t="s">
        <v>264</v>
      </c>
      <c r="F11" s="30">
        <v>5110</v>
      </c>
      <c r="G11" s="55" t="s">
        <v>1297</v>
      </c>
      <c r="H11" s="47">
        <v>1420</v>
      </c>
      <c r="I11" s="47">
        <v>700</v>
      </c>
      <c r="J11" s="48">
        <f t="shared" si="4"/>
        <v>994000</v>
      </c>
      <c r="K11" s="148" t="s">
        <v>1295</v>
      </c>
      <c r="L11" s="42">
        <v>1419</v>
      </c>
      <c r="M11" s="32">
        <v>770</v>
      </c>
      <c r="N11" s="149">
        <f ca="1">IF(OR(K11="現物",J11=0),0,IF(E11="売",J11*Fee_Refer!$B$12/365*V11, J11*Fee_Refer!$B$11/365*V10))</f>
        <v>305.00821917808219</v>
      </c>
      <c r="O11" s="183">
        <v>0</v>
      </c>
      <c r="P11" s="151">
        <f ca="1">IF(L11&gt;0,(L11-H11)*I11-M11-N11-O11,0)</f>
        <v>-1775.0082191780821</v>
      </c>
      <c r="Q11" s="49">
        <f t="shared" ca="1" si="5"/>
        <v>-1.7857225545051128E-3</v>
      </c>
      <c r="R11" s="232"/>
      <c r="S11" s="234"/>
      <c r="U11" s="226"/>
      <c r="V11" s="226"/>
      <c r="W11" s="226"/>
    </row>
  </sheetData>
  <mergeCells count="30"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8:V9"/>
    <mergeCell ref="W8:W9"/>
    <mergeCell ref="C8:C9"/>
    <mergeCell ref="D8:D9"/>
    <mergeCell ref="R8:R9"/>
    <mergeCell ref="S8:S9"/>
    <mergeCell ref="U8:U9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zoomScaleNormal="100" workbookViewId="0">
      <selection activeCell="F8" sqref="F8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8" t="s">
        <v>260</v>
      </c>
      <c r="R2" s="94">
        <f>SUM(R4:R1010)</f>
        <v>518323.01041095867</v>
      </c>
      <c r="S2" s="185"/>
      <c r="U2" s="58" t="s">
        <v>145</v>
      </c>
    </row>
    <row r="3" spans="2:29" ht="30" customHeight="1" thickBot="1">
      <c r="C3" s="59" t="s">
        <v>147</v>
      </c>
      <c r="D3" s="93" t="s">
        <v>171</v>
      </c>
      <c r="E3" s="61"/>
      <c r="F3" s="62" t="s">
        <v>69</v>
      </c>
      <c r="G3" s="62" t="s">
        <v>70</v>
      </c>
      <c r="H3" s="64" t="s">
        <v>273</v>
      </c>
      <c r="I3" s="64" t="s">
        <v>270</v>
      </c>
      <c r="J3" s="61" t="s">
        <v>22</v>
      </c>
      <c r="K3" s="61" t="s">
        <v>150</v>
      </c>
      <c r="L3" s="64" t="s">
        <v>271</v>
      </c>
      <c r="M3" s="64" t="s">
        <v>172</v>
      </c>
      <c r="N3" s="61" t="s">
        <v>152</v>
      </c>
      <c r="O3" s="64" t="s">
        <v>166</v>
      </c>
      <c r="P3" s="63" t="s">
        <v>272</v>
      </c>
      <c r="Q3" s="63" t="s">
        <v>154</v>
      </c>
      <c r="R3" s="64" t="s">
        <v>168</v>
      </c>
      <c r="S3" s="67" t="s">
        <v>169</v>
      </c>
      <c r="T3" s="66"/>
      <c r="U3" s="68" t="s">
        <v>261</v>
      </c>
      <c r="V3" s="68" t="s">
        <v>170</v>
      </c>
      <c r="W3" s="68" t="s">
        <v>167</v>
      </c>
      <c r="AA3" s="68" t="s">
        <v>267</v>
      </c>
      <c r="AB3" s="68" t="s">
        <v>268</v>
      </c>
      <c r="AC3" s="68" t="s">
        <v>269</v>
      </c>
    </row>
    <row r="4" spans="2:29">
      <c r="B4" s="174"/>
      <c r="C4" s="258">
        <v>1</v>
      </c>
      <c r="D4" s="261">
        <v>43726</v>
      </c>
      <c r="E4" s="26" t="s">
        <v>262</v>
      </c>
      <c r="F4" s="26">
        <v>6472</v>
      </c>
      <c r="G4" s="54" t="s">
        <v>263</v>
      </c>
      <c r="H4" s="44">
        <v>320</v>
      </c>
      <c r="I4" s="27">
        <v>1200</v>
      </c>
      <c r="J4" s="45">
        <v>384000</v>
      </c>
      <c r="K4" s="38" t="s">
        <v>161</v>
      </c>
      <c r="L4" s="41">
        <v>313</v>
      </c>
      <c r="M4" s="28">
        <f>360+18+14</f>
        <v>392</v>
      </c>
      <c r="N4" s="29">
        <v>219</v>
      </c>
      <c r="O4" s="29">
        <v>60</v>
      </c>
      <c r="P4" s="26">
        <f>IF(L4 &gt;0,(H4-L4)*I4-M4-N4-O4,0)</f>
        <v>7729</v>
      </c>
      <c r="Q4" s="46">
        <f>P4/J4</f>
        <v>2.0127604166666667E-2</v>
      </c>
      <c r="R4" s="239">
        <f>P4+P5</f>
        <v>159</v>
      </c>
      <c r="S4" s="254">
        <f t="shared" ref="S4" si="0">R4/(J4+J5)</f>
        <v>2.1406645484409498E-4</v>
      </c>
      <c r="U4" s="263">
        <v>43742</v>
      </c>
      <c r="V4" s="256">
        <f>DATEDIF(D4,U4,"d")</f>
        <v>16</v>
      </c>
      <c r="W4" s="251" t="s">
        <v>1268</v>
      </c>
      <c r="AA4" s="239">
        <f>YEAR(U4)</f>
        <v>2019</v>
      </c>
      <c r="AB4" s="239">
        <f>MONTH(U4)</f>
        <v>10</v>
      </c>
      <c r="AC4" s="239" t="str">
        <f>IF(R4&gt;0,"○","☓")</f>
        <v>○</v>
      </c>
    </row>
    <row r="5" spans="2:29" ht="15" thickBot="1">
      <c r="B5" s="174"/>
      <c r="C5" s="229"/>
      <c r="D5" s="240"/>
      <c r="E5" s="30" t="s">
        <v>264</v>
      </c>
      <c r="F5" s="30">
        <v>6752</v>
      </c>
      <c r="G5" s="55" t="s">
        <v>105</v>
      </c>
      <c r="H5" s="47">
        <v>896.9</v>
      </c>
      <c r="I5" s="31">
        <v>400</v>
      </c>
      <c r="J5" s="48">
        <v>358760</v>
      </c>
      <c r="K5" s="39" t="s">
        <v>162</v>
      </c>
      <c r="L5" s="42">
        <v>880.4</v>
      </c>
      <c r="M5" s="32">
        <f>360+14+34</f>
        <v>408</v>
      </c>
      <c r="N5" s="33">
        <v>522</v>
      </c>
      <c r="O5" s="33">
        <f>200-160</f>
        <v>40</v>
      </c>
      <c r="P5" s="30">
        <f>IF(L5 &gt;0,(L5-H5)*I5-M5-N5-O5,0)</f>
        <v>-7570</v>
      </c>
      <c r="Q5" s="49">
        <f>P5/J5</f>
        <v>-2.1100457130114839E-2</v>
      </c>
      <c r="R5" s="234"/>
      <c r="S5" s="262"/>
      <c r="U5" s="264"/>
      <c r="V5" s="257"/>
      <c r="W5" s="252"/>
      <c r="AA5" s="234"/>
      <c r="AB5" s="234"/>
      <c r="AC5" s="234"/>
    </row>
    <row r="6" spans="2:29">
      <c r="B6" s="174"/>
      <c r="C6" s="258">
        <v>2</v>
      </c>
      <c r="D6" s="253">
        <v>43732</v>
      </c>
      <c r="E6" s="26" t="s">
        <v>155</v>
      </c>
      <c r="F6" s="26">
        <v>6305</v>
      </c>
      <c r="G6" s="54" t="s">
        <v>33</v>
      </c>
      <c r="H6" s="44">
        <v>2638</v>
      </c>
      <c r="I6" s="27">
        <v>300</v>
      </c>
      <c r="J6" s="45">
        <v>791400</v>
      </c>
      <c r="K6" s="38" t="s">
        <v>161</v>
      </c>
      <c r="L6" s="41">
        <v>2464</v>
      </c>
      <c r="M6" s="28">
        <f>700+35+28</f>
        <v>763</v>
      </c>
      <c r="N6" s="29">
        <v>477</v>
      </c>
      <c r="O6" s="29">
        <v>30</v>
      </c>
      <c r="P6" s="26">
        <f t="shared" ref="P6" si="1">IF(L6 &gt;0,(H6-L6)*I6-M6-N6-O6,0)</f>
        <v>50930</v>
      </c>
      <c r="Q6" s="46">
        <f t="shared" ref="Q6:Q33" si="2">P6/J6</f>
        <v>6.4354308819812994E-2</v>
      </c>
      <c r="R6" s="239">
        <f>P6+P7</f>
        <v>37649</v>
      </c>
      <c r="S6" s="233">
        <f t="shared" ref="S6" si="3">R6/(J6+J7)</f>
        <v>2.3845082019127242E-2</v>
      </c>
      <c r="T6" s="3"/>
      <c r="U6" s="259">
        <v>43748</v>
      </c>
      <c r="V6" s="260">
        <f>DATEDIF(D6,U6,"d")</f>
        <v>16</v>
      </c>
      <c r="W6" s="251" t="s">
        <v>1268</v>
      </c>
      <c r="AA6" s="239">
        <f t="shared" ref="AA6" si="4">YEAR(U6)</f>
        <v>2019</v>
      </c>
      <c r="AB6" s="239">
        <f t="shared" ref="AB6" si="5">MONTH(U6)</f>
        <v>10</v>
      </c>
      <c r="AC6" s="239" t="str">
        <f>IF(R6&gt;0,"○","☓")</f>
        <v>○</v>
      </c>
    </row>
    <row r="7" spans="2:29">
      <c r="B7" s="174"/>
      <c r="C7" s="229"/>
      <c r="D7" s="241"/>
      <c r="E7" s="30" t="s">
        <v>156</v>
      </c>
      <c r="F7" s="30">
        <v>3861</v>
      </c>
      <c r="G7" s="55" t="s">
        <v>65</v>
      </c>
      <c r="H7" s="47">
        <v>525</v>
      </c>
      <c r="I7" s="31">
        <v>1500</v>
      </c>
      <c r="J7" s="48">
        <v>787500</v>
      </c>
      <c r="K7" s="39" t="s">
        <v>162</v>
      </c>
      <c r="L7" s="42">
        <v>518</v>
      </c>
      <c r="M7" s="32">
        <f>700+28+95</f>
        <v>823</v>
      </c>
      <c r="N7" s="33">
        <v>1208</v>
      </c>
      <c r="O7" s="33">
        <v>750</v>
      </c>
      <c r="P7" s="30">
        <f t="shared" ref="P7" si="6">IF(L7 &gt;0,(L7-H7)*I7-M7-N7-O7,0)</f>
        <v>-13281</v>
      </c>
      <c r="Q7" s="49">
        <f t="shared" si="2"/>
        <v>-1.6864761904761903E-2</v>
      </c>
      <c r="R7" s="234"/>
      <c r="S7" s="234"/>
      <c r="T7" s="3"/>
      <c r="U7" s="259"/>
      <c r="V7" s="260"/>
      <c r="W7" s="252"/>
      <c r="AA7" s="234"/>
      <c r="AB7" s="234"/>
      <c r="AC7" s="234"/>
    </row>
    <row r="8" spans="2:29">
      <c r="B8" s="174"/>
      <c r="C8" s="228">
        <f>ROW()/2-1</f>
        <v>3</v>
      </c>
      <c r="D8" s="253">
        <v>43747</v>
      </c>
      <c r="E8" s="34" t="s">
        <v>163</v>
      </c>
      <c r="F8" s="34">
        <v>3099</v>
      </c>
      <c r="G8" s="56" t="s">
        <v>64</v>
      </c>
      <c r="H8" s="50">
        <v>872</v>
      </c>
      <c r="I8" s="34">
        <v>1200</v>
      </c>
      <c r="J8" s="34">
        <f t="shared" ref="J8:J11" si="7">H8*I8</f>
        <v>1046400</v>
      </c>
      <c r="K8" s="53" t="s">
        <v>160</v>
      </c>
      <c r="L8" s="50">
        <v>876</v>
      </c>
      <c r="M8" s="34">
        <f>700+35+35</f>
        <v>770</v>
      </c>
      <c r="N8" s="34">
        <v>220</v>
      </c>
      <c r="O8" s="53">
        <v>0</v>
      </c>
      <c r="P8" s="26">
        <f t="shared" ref="P8" si="8">IF(L8 &gt;0,(H8-L8)*I8-M8-N8-O8,0)</f>
        <v>-5790</v>
      </c>
      <c r="Q8" s="46">
        <f t="shared" si="2"/>
        <v>-5.5332568807339453E-3</v>
      </c>
      <c r="R8" s="232">
        <f>P8+P9</f>
        <v>63304</v>
      </c>
      <c r="S8" s="254">
        <f>R8/(J8+J9)</f>
        <v>3.0952474085663994E-2</v>
      </c>
      <c r="U8" s="255">
        <v>43753</v>
      </c>
      <c r="V8" s="229">
        <f t="shared" ref="V8" si="9">DATEDIF(D8,U8,"d")</f>
        <v>6</v>
      </c>
      <c r="W8" s="242" t="s">
        <v>1270</v>
      </c>
      <c r="AA8" s="239">
        <f t="shared" ref="AA8:AA10" si="10">YEAR(U8)</f>
        <v>2019</v>
      </c>
      <c r="AB8" s="239">
        <f t="shared" ref="AB8" si="11">MONTH(U8)</f>
        <v>10</v>
      </c>
      <c r="AC8" s="239" t="str">
        <f t="shared" ref="AC8:AC10" si="12">IF(R8&gt;0,"○","☓")</f>
        <v>○</v>
      </c>
    </row>
    <row r="9" spans="2:29">
      <c r="B9" s="174"/>
      <c r="C9" s="229"/>
      <c r="D9" s="241">
        <v>43747</v>
      </c>
      <c r="E9" s="30" t="s">
        <v>156</v>
      </c>
      <c r="F9" s="30">
        <v>7211</v>
      </c>
      <c r="G9" s="55" t="s">
        <v>30</v>
      </c>
      <c r="H9" s="47">
        <v>454</v>
      </c>
      <c r="I9" s="47">
        <v>2200</v>
      </c>
      <c r="J9" s="48">
        <f t="shared" si="7"/>
        <v>998800</v>
      </c>
      <c r="K9" s="39" t="s">
        <v>160</v>
      </c>
      <c r="L9" s="42">
        <v>486</v>
      </c>
      <c r="M9" s="32">
        <f>700+35+35</f>
        <v>770</v>
      </c>
      <c r="N9" s="33">
        <v>536</v>
      </c>
      <c r="O9" s="33">
        <v>0</v>
      </c>
      <c r="P9" s="30">
        <f t="shared" ref="P9" si="13">IF(L9 &gt;0,(L9-H9)*I9-M9-N9-O9,0)</f>
        <v>69094</v>
      </c>
      <c r="Q9" s="49">
        <f t="shared" si="2"/>
        <v>6.9177012414897876E-2</v>
      </c>
      <c r="R9" s="232"/>
      <c r="S9" s="234"/>
      <c r="U9" s="235"/>
      <c r="V9" s="226"/>
      <c r="W9" s="226"/>
      <c r="AA9" s="234"/>
      <c r="AB9" s="234"/>
      <c r="AC9" s="234"/>
    </row>
    <row r="10" spans="2:29">
      <c r="B10" s="174"/>
      <c r="C10" s="228">
        <f>ROW()/2-1</f>
        <v>4</v>
      </c>
      <c r="D10" s="253">
        <v>43753</v>
      </c>
      <c r="E10" s="129" t="s">
        <v>155</v>
      </c>
      <c r="F10" s="34">
        <v>7453</v>
      </c>
      <c r="G10" s="56" t="s">
        <v>104</v>
      </c>
      <c r="H10" s="50">
        <v>2127</v>
      </c>
      <c r="I10" s="34">
        <v>500</v>
      </c>
      <c r="J10" s="34">
        <f t="shared" si="7"/>
        <v>1063500</v>
      </c>
      <c r="K10" s="53" t="s">
        <v>160</v>
      </c>
      <c r="L10" s="50">
        <v>2298</v>
      </c>
      <c r="M10" s="34">
        <f>700+35+35</f>
        <v>770</v>
      </c>
      <c r="N10" s="34">
        <v>256</v>
      </c>
      <c r="O10" s="53">
        <v>0</v>
      </c>
      <c r="P10" s="26">
        <f t="shared" ref="P10" si="14">IF(L10 &gt;0,(H10-L10)*I10-M10-N10-O10,0)</f>
        <v>-86526</v>
      </c>
      <c r="Q10" s="46">
        <f t="shared" si="2"/>
        <v>-8.1359661495063476E-2</v>
      </c>
      <c r="R10" s="232">
        <f>P10+P11</f>
        <v>-93238.000000000029</v>
      </c>
      <c r="S10" s="233">
        <f t="shared" ref="S10" si="15">R10/(J10+J11)</f>
        <v>-4.3839777316989466E-2</v>
      </c>
      <c r="U10" s="266">
        <v>43759</v>
      </c>
      <c r="V10" s="226">
        <f>DATEDIF(D10,U10,"d")</f>
        <v>6</v>
      </c>
      <c r="W10" s="267" t="s">
        <v>279</v>
      </c>
      <c r="X10" s="1" t="s">
        <v>296</v>
      </c>
      <c r="AA10" s="239">
        <f t="shared" si="10"/>
        <v>2019</v>
      </c>
      <c r="AB10" s="239">
        <f t="shared" ref="AB10" si="16">MONTH(U10)</f>
        <v>10</v>
      </c>
      <c r="AC10" s="249" t="str">
        <f t="shared" si="12"/>
        <v>☓</v>
      </c>
    </row>
    <row r="11" spans="2:29">
      <c r="B11" s="174"/>
      <c r="C11" s="229"/>
      <c r="D11" s="241">
        <v>43748</v>
      </c>
      <c r="E11" s="130" t="s">
        <v>156</v>
      </c>
      <c r="F11" s="30">
        <v>8308</v>
      </c>
      <c r="G11" s="55" t="s">
        <v>102</v>
      </c>
      <c r="H11" s="47">
        <v>462.3</v>
      </c>
      <c r="I11" s="47">
        <v>2300</v>
      </c>
      <c r="J11" s="48">
        <f t="shared" si="7"/>
        <v>1063290</v>
      </c>
      <c r="K11" s="39" t="s">
        <v>160</v>
      </c>
      <c r="L11" s="42">
        <v>460</v>
      </c>
      <c r="M11" s="32">
        <f>700+35+35</f>
        <v>770</v>
      </c>
      <c r="N11" s="106">
        <v>652</v>
      </c>
      <c r="O11" s="106">
        <v>0</v>
      </c>
      <c r="P11" s="30">
        <f t="shared" ref="P11" si="17">IF(L11 &gt;0,(L11-H11)*I11-M11-N11-O11,0)</f>
        <v>-6712.0000000000264</v>
      </c>
      <c r="Q11" s="49">
        <f t="shared" si="2"/>
        <v>-6.3124829538508086E-3</v>
      </c>
      <c r="R11" s="232"/>
      <c r="S11" s="234"/>
      <c r="U11" s="255"/>
      <c r="V11" s="226"/>
      <c r="W11" s="267"/>
      <c r="X11" s="1" t="s">
        <v>297</v>
      </c>
      <c r="AA11" s="234"/>
      <c r="AB11" s="234"/>
      <c r="AC11" s="250"/>
    </row>
    <row r="12" spans="2:29">
      <c r="B12" s="174"/>
      <c r="C12" s="258">
        <f>ROW()/2-1</f>
        <v>5</v>
      </c>
      <c r="D12" s="240">
        <v>43742</v>
      </c>
      <c r="E12" s="26" t="s">
        <v>155</v>
      </c>
      <c r="F12" s="26">
        <v>8750</v>
      </c>
      <c r="G12" s="54" t="s">
        <v>32</v>
      </c>
      <c r="H12" s="44">
        <v>1635</v>
      </c>
      <c r="I12" s="27">
        <v>600</v>
      </c>
      <c r="J12" s="45">
        <f>H12*I12</f>
        <v>981000</v>
      </c>
      <c r="K12" s="38" t="s">
        <v>161</v>
      </c>
      <c r="L12" s="41">
        <v>1741.5</v>
      </c>
      <c r="M12" s="28">
        <f>700+35+35</f>
        <v>770</v>
      </c>
      <c r="N12" s="29">
        <v>502</v>
      </c>
      <c r="O12" s="29">
        <v>0</v>
      </c>
      <c r="P12" s="26">
        <f t="shared" ref="P12" si="18">IF(L12 &gt;0,(H12-L12)*I12-M12-N12-O12,0)</f>
        <v>-65172</v>
      </c>
      <c r="Q12" s="46">
        <f t="shared" si="2"/>
        <v>-6.6434250764525998E-2</v>
      </c>
      <c r="R12" s="265">
        <f>P12+P13</f>
        <v>-11052.999999999898</v>
      </c>
      <c r="S12" s="254">
        <f>R12/(J12+J13)</f>
        <v>-5.6554672757562954E-3</v>
      </c>
      <c r="U12" s="266">
        <v>43759</v>
      </c>
      <c r="V12" s="226">
        <f>DATEDIF(D12,U12,"d")</f>
        <v>17</v>
      </c>
      <c r="W12" s="248" t="s">
        <v>1268</v>
      </c>
      <c r="AA12" s="239">
        <f t="shared" ref="AA12" si="19">YEAR(U12)</f>
        <v>2019</v>
      </c>
      <c r="AB12" s="239">
        <f t="shared" ref="AB12" si="20">MONTH(U12)</f>
        <v>10</v>
      </c>
      <c r="AC12" s="249" t="str">
        <f t="shared" ref="AC12" si="21">IF(R12&gt;0,"○","☓")</f>
        <v>☓</v>
      </c>
    </row>
    <row r="13" spans="2:29">
      <c r="B13" s="25"/>
      <c r="C13" s="229"/>
      <c r="D13" s="241"/>
      <c r="E13" s="30" t="s">
        <v>156</v>
      </c>
      <c r="F13" s="30">
        <v>8002</v>
      </c>
      <c r="G13" s="55" t="s">
        <v>31</v>
      </c>
      <c r="H13" s="47">
        <v>695.28</v>
      </c>
      <c r="I13" s="31">
        <v>1400</v>
      </c>
      <c r="J13" s="48">
        <f>H13*I13</f>
        <v>973392</v>
      </c>
      <c r="K13" s="176" t="s">
        <v>1278</v>
      </c>
      <c r="L13" s="42">
        <v>734.7</v>
      </c>
      <c r="M13" s="32">
        <f>487+582</f>
        <v>1069</v>
      </c>
      <c r="N13" s="33">
        <v>0</v>
      </c>
      <c r="O13" s="33">
        <v>0</v>
      </c>
      <c r="P13" s="30">
        <f>IF(L13 &gt;0,(L13-H13)*I13-M13-N13-O13,0)</f>
        <v>54119.000000000102</v>
      </c>
      <c r="Q13" s="49">
        <f t="shared" si="2"/>
        <v>5.5598361194667822E-2</v>
      </c>
      <c r="R13" s="232"/>
      <c r="S13" s="234"/>
      <c r="U13" s="255"/>
      <c r="V13" s="226"/>
      <c r="W13" s="248"/>
      <c r="AA13" s="234"/>
      <c r="AB13" s="234"/>
      <c r="AC13" s="250"/>
    </row>
    <row r="14" spans="2:29" s="107" customFormat="1">
      <c r="B14" s="174"/>
      <c r="C14" s="228">
        <f>ROW()/2-1</f>
        <v>6</v>
      </c>
      <c r="D14" s="240">
        <v>43745</v>
      </c>
      <c r="E14" s="34" t="s">
        <v>155</v>
      </c>
      <c r="F14" s="34">
        <v>6770</v>
      </c>
      <c r="G14" s="56" t="s">
        <v>26</v>
      </c>
      <c r="H14" s="50">
        <v>2105</v>
      </c>
      <c r="I14" s="35">
        <v>400</v>
      </c>
      <c r="J14" s="51">
        <f t="shared" ref="J14:J19" si="22">H14*I14</f>
        <v>842000</v>
      </c>
      <c r="K14" s="40" t="s">
        <v>161</v>
      </c>
      <c r="L14" s="43">
        <v>2145</v>
      </c>
      <c r="M14" s="36">
        <f>700+35+35</f>
        <v>770</v>
      </c>
      <c r="N14" s="37">
        <v>431</v>
      </c>
      <c r="O14" s="37">
        <v>80</v>
      </c>
      <c r="P14" s="26">
        <f t="shared" ref="P14" si="23">IF(L14 &gt;0,(H14-L14)*I14-M14-N14-O14,0)</f>
        <v>-17281</v>
      </c>
      <c r="Q14" s="46">
        <f t="shared" si="2"/>
        <v>-2.052375296912114E-2</v>
      </c>
      <c r="R14" s="232">
        <f>P14+P15</f>
        <v>-1197.0000000000437</v>
      </c>
      <c r="S14" s="233">
        <f t="shared" ref="S14" si="24">R14/(J14+J15)</f>
        <v>-7.1541831052504275E-4</v>
      </c>
      <c r="U14" s="235">
        <v>43761</v>
      </c>
      <c r="V14" s="226">
        <f t="shared" ref="V14" si="25">DATEDIF(D14,U14,"d")</f>
        <v>16</v>
      </c>
      <c r="W14" s="248" t="s">
        <v>1268</v>
      </c>
      <c r="AA14" s="239">
        <f t="shared" ref="AA14" si="26">YEAR(U14)</f>
        <v>2019</v>
      </c>
      <c r="AB14" s="239">
        <f t="shared" ref="AB14" si="27">MONTH(U14)</f>
        <v>10</v>
      </c>
      <c r="AC14" s="249" t="str">
        <f t="shared" ref="AC14" si="28">IF(R14&gt;0,"○","☓")</f>
        <v>☓</v>
      </c>
    </row>
    <row r="15" spans="2:29" s="107" customFormat="1">
      <c r="B15" s="25"/>
      <c r="C15" s="229"/>
      <c r="D15" s="241">
        <v>43745</v>
      </c>
      <c r="E15" s="30" t="s">
        <v>156</v>
      </c>
      <c r="F15" s="30">
        <v>8601</v>
      </c>
      <c r="G15" s="55" t="s">
        <v>27</v>
      </c>
      <c r="H15" s="47">
        <v>488.91</v>
      </c>
      <c r="I15" s="31">
        <v>1700</v>
      </c>
      <c r="J15" s="48">
        <f t="shared" si="22"/>
        <v>831147</v>
      </c>
      <c r="K15" s="176" t="s">
        <v>146</v>
      </c>
      <c r="L15" s="42">
        <v>499</v>
      </c>
      <c r="M15" s="32">
        <f>487+582</f>
        <v>1069</v>
      </c>
      <c r="N15" s="172">
        <v>0</v>
      </c>
      <c r="O15" s="172">
        <v>0</v>
      </c>
      <c r="P15" s="30">
        <f t="shared" ref="P15" si="29">IF(L15 &gt;0,(L15-H15)*I15-M15-N15-O15,0)</f>
        <v>16083.999999999956</v>
      </c>
      <c r="Q15" s="49">
        <f t="shared" si="2"/>
        <v>1.9351570781101245E-2</v>
      </c>
      <c r="R15" s="232"/>
      <c r="S15" s="234"/>
      <c r="U15" s="226"/>
      <c r="V15" s="226"/>
      <c r="W15" s="248"/>
      <c r="AA15" s="234"/>
      <c r="AB15" s="234"/>
      <c r="AC15" s="250"/>
    </row>
    <row r="16" spans="2:29" s="107" customFormat="1">
      <c r="B16" s="174"/>
      <c r="C16" s="228">
        <f>ROW()/2-1</f>
        <v>7</v>
      </c>
      <c r="D16" s="240">
        <v>43745</v>
      </c>
      <c r="E16" s="34" t="s">
        <v>155</v>
      </c>
      <c r="F16" s="34">
        <v>5803</v>
      </c>
      <c r="G16" s="56" t="s">
        <v>28</v>
      </c>
      <c r="H16" s="50">
        <v>413</v>
      </c>
      <c r="I16" s="35">
        <v>1700</v>
      </c>
      <c r="J16" s="51">
        <f t="shared" si="22"/>
        <v>702100</v>
      </c>
      <c r="K16" s="40" t="s">
        <v>161</v>
      </c>
      <c r="L16" s="43">
        <v>459</v>
      </c>
      <c r="M16" s="36">
        <f>700+35+35</f>
        <v>770</v>
      </c>
      <c r="N16" s="37">
        <v>359</v>
      </c>
      <c r="O16" s="37">
        <v>85</v>
      </c>
      <c r="P16" s="26">
        <f t="shared" ref="P16" si="30">IF(L16 &gt;0,(H16-L16)*I16-M16-N16-O16,0)</f>
        <v>-79414</v>
      </c>
      <c r="Q16" s="46">
        <f t="shared" si="2"/>
        <v>-0.11310924369747899</v>
      </c>
      <c r="R16" s="232">
        <f>P16+P17</f>
        <v>-16483</v>
      </c>
      <c r="S16" s="233">
        <f>R16/(J16+J17)</f>
        <v>-1.1926054554663194E-2</v>
      </c>
      <c r="U16" s="235">
        <v>43761</v>
      </c>
      <c r="V16" s="226">
        <f t="shared" ref="V16" si="31">DATEDIF(D16,U16,"d")</f>
        <v>16</v>
      </c>
      <c r="W16" s="248" t="s">
        <v>1268</v>
      </c>
      <c r="AA16" s="239">
        <f t="shared" ref="AA16" si="32">YEAR(U16)</f>
        <v>2019</v>
      </c>
      <c r="AB16" s="239">
        <f t="shared" ref="AB16" si="33">MONTH(U16)</f>
        <v>10</v>
      </c>
      <c r="AC16" s="249" t="str">
        <f t="shared" ref="AC16" si="34">IF(R16&gt;0,"○","☓")</f>
        <v>☓</v>
      </c>
    </row>
    <row r="17" spans="2:29" s="107" customFormat="1">
      <c r="B17" s="25"/>
      <c r="C17" s="229"/>
      <c r="D17" s="241">
        <v>43745</v>
      </c>
      <c r="E17" s="30" t="s">
        <v>156</v>
      </c>
      <c r="F17" s="30">
        <v>7259</v>
      </c>
      <c r="G17" s="55" t="s">
        <v>29</v>
      </c>
      <c r="H17" s="47">
        <v>3400</v>
      </c>
      <c r="I17" s="47">
        <v>200</v>
      </c>
      <c r="J17" s="48">
        <f t="shared" si="22"/>
        <v>680000</v>
      </c>
      <c r="K17" s="176" t="s">
        <v>146</v>
      </c>
      <c r="L17" s="42">
        <v>3720</v>
      </c>
      <c r="M17" s="32">
        <f>487+582</f>
        <v>1069</v>
      </c>
      <c r="N17" s="172">
        <v>0</v>
      </c>
      <c r="O17" s="172">
        <v>0</v>
      </c>
      <c r="P17" s="30">
        <f t="shared" ref="P17" si="35">IF(L17 &gt;0,(L17-H17)*I17-M17-N17-O17,0)</f>
        <v>62931</v>
      </c>
      <c r="Q17" s="49">
        <f t="shared" si="2"/>
        <v>9.2545588235294116E-2</v>
      </c>
      <c r="R17" s="232"/>
      <c r="S17" s="234"/>
      <c r="U17" s="226"/>
      <c r="V17" s="226"/>
      <c r="W17" s="248"/>
      <c r="AA17" s="234"/>
      <c r="AB17" s="234"/>
      <c r="AC17" s="250"/>
    </row>
    <row r="18" spans="2:29" s="107" customFormat="1">
      <c r="B18" s="174"/>
      <c r="C18" s="228">
        <f>ROW()/2-1</f>
        <v>8</v>
      </c>
      <c r="D18" s="240">
        <v>43748</v>
      </c>
      <c r="E18" s="34" t="s">
        <v>155</v>
      </c>
      <c r="F18" s="34">
        <v>7186</v>
      </c>
      <c r="G18" s="56" t="s">
        <v>157</v>
      </c>
      <c r="H18" s="50">
        <v>410</v>
      </c>
      <c r="I18" s="34">
        <v>1800</v>
      </c>
      <c r="J18" s="34">
        <f t="shared" si="22"/>
        <v>738000</v>
      </c>
      <c r="K18" s="53" t="s">
        <v>160</v>
      </c>
      <c r="L18" s="50">
        <v>444</v>
      </c>
      <c r="M18" s="34">
        <f>700+35+35</f>
        <v>770</v>
      </c>
      <c r="N18" s="34">
        <v>355</v>
      </c>
      <c r="O18" s="53">
        <v>1350</v>
      </c>
      <c r="P18" s="26">
        <f t="shared" ref="P18" si="36">IF(L18 &gt;0,(H18-L18)*I18-M18-N18-O18,0)</f>
        <v>-63675</v>
      </c>
      <c r="Q18" s="46">
        <f t="shared" si="2"/>
        <v>-8.6280487804878042E-2</v>
      </c>
      <c r="R18" s="232">
        <f>P18+P19</f>
        <v>-4757</v>
      </c>
      <c r="S18" s="233">
        <f t="shared" ref="S18" si="37">R18/(J18+J19)</f>
        <v>-3.2102847887704143E-3</v>
      </c>
      <c r="U18" s="235">
        <v>43767</v>
      </c>
      <c r="V18" s="226">
        <f t="shared" ref="V18" si="38">DATEDIF(D18,U18,"d")</f>
        <v>19</v>
      </c>
      <c r="W18" s="248" t="s">
        <v>1268</v>
      </c>
      <c r="AA18" s="239">
        <f t="shared" ref="AA18" si="39">YEAR(U18)</f>
        <v>2019</v>
      </c>
      <c r="AB18" s="239">
        <f t="shared" ref="AB18" si="40">MONTH(U18)</f>
        <v>10</v>
      </c>
      <c r="AC18" s="249" t="str">
        <f t="shared" ref="AC18" si="41">IF(R18&gt;0,"○","☓")</f>
        <v>☓</v>
      </c>
    </row>
    <row r="19" spans="2:29" s="107" customFormat="1">
      <c r="B19" s="174"/>
      <c r="C19" s="229"/>
      <c r="D19" s="241">
        <v>43748</v>
      </c>
      <c r="E19" s="30" t="s">
        <v>156</v>
      </c>
      <c r="F19" s="30">
        <v>8309</v>
      </c>
      <c r="G19" s="55" t="s">
        <v>158</v>
      </c>
      <c r="H19" s="47">
        <v>3719</v>
      </c>
      <c r="I19" s="47">
        <v>200</v>
      </c>
      <c r="J19" s="48">
        <f t="shared" si="22"/>
        <v>743800</v>
      </c>
      <c r="K19" s="39" t="s">
        <v>160</v>
      </c>
      <c r="L19" s="42">
        <v>4022</v>
      </c>
      <c r="M19" s="32">
        <f>700+35+35</f>
        <v>770</v>
      </c>
      <c r="N19" s="131">
        <v>912</v>
      </c>
      <c r="O19" s="131">
        <v>0</v>
      </c>
      <c r="P19" s="30">
        <f t="shared" ref="P19" si="42">IF(L19 &gt;0,(L19-H19)*I19-M19-N19-O19,0)</f>
        <v>58918</v>
      </c>
      <c r="Q19" s="49">
        <f t="shared" si="2"/>
        <v>7.9212153804786231E-2</v>
      </c>
      <c r="R19" s="232"/>
      <c r="S19" s="234"/>
      <c r="U19" s="226"/>
      <c r="V19" s="226"/>
      <c r="W19" s="248"/>
      <c r="AA19" s="234"/>
      <c r="AB19" s="234"/>
      <c r="AC19" s="250"/>
    </row>
    <row r="20" spans="2:29">
      <c r="B20" s="174"/>
      <c r="C20" s="228">
        <f>ROW()/2-1</f>
        <v>9</v>
      </c>
      <c r="D20" s="240">
        <v>43782</v>
      </c>
      <c r="E20" s="34" t="s">
        <v>155</v>
      </c>
      <c r="F20" s="34">
        <v>1820</v>
      </c>
      <c r="G20" s="56" t="s">
        <v>122</v>
      </c>
      <c r="H20" s="50">
        <v>2431</v>
      </c>
      <c r="I20" s="34">
        <v>400</v>
      </c>
      <c r="J20" s="51">
        <f t="shared" ref="J20:J27" si="43">H20*I20</f>
        <v>972400</v>
      </c>
      <c r="K20" s="53" t="s">
        <v>160</v>
      </c>
      <c r="L20" s="50">
        <v>2375</v>
      </c>
      <c r="M20" s="34">
        <f>700+35+35</f>
        <v>770</v>
      </c>
      <c r="N20" s="34">
        <v>234</v>
      </c>
      <c r="O20" s="53">
        <v>0</v>
      </c>
      <c r="P20" s="26">
        <f t="shared" ref="P20" si="44">IF(L20 &gt;0,(H20-L20)*I20-M20-N20-O20,0)</f>
        <v>21396</v>
      </c>
      <c r="Q20" s="46">
        <f t="shared" si="2"/>
        <v>2.2003290826820239E-2</v>
      </c>
      <c r="R20" s="232">
        <f>P20+P21</f>
        <v>485995</v>
      </c>
      <c r="S20" s="233">
        <f>R20/(J20+J21)</f>
        <v>0.25451000559299347</v>
      </c>
      <c r="U20" s="235">
        <v>43789</v>
      </c>
      <c r="V20" s="226">
        <f>DATEDIF(D20,U20,"d")</f>
        <v>7</v>
      </c>
      <c r="W20" s="242" t="s">
        <v>298</v>
      </c>
      <c r="X20" s="1" t="s">
        <v>1013</v>
      </c>
      <c r="AA20" s="239">
        <f t="shared" ref="AA20" si="45">YEAR(U20)</f>
        <v>2019</v>
      </c>
      <c r="AB20" s="239">
        <f t="shared" ref="AB20" si="46">MONTH(U20)</f>
        <v>11</v>
      </c>
      <c r="AC20" s="239" t="str">
        <f t="shared" ref="AC20" si="47">IF(R20&gt;0,"○","☓")</f>
        <v>○</v>
      </c>
    </row>
    <row r="21" spans="2:29">
      <c r="B21" s="25"/>
      <c r="C21" s="229"/>
      <c r="D21" s="241">
        <v>43748</v>
      </c>
      <c r="E21" s="30" t="s">
        <v>156</v>
      </c>
      <c r="F21" s="30">
        <v>4508</v>
      </c>
      <c r="G21" s="55" t="s">
        <v>309</v>
      </c>
      <c r="H21" s="47">
        <v>1338.76</v>
      </c>
      <c r="I21" s="47">
        <v>700</v>
      </c>
      <c r="J21" s="48">
        <f t="shared" si="43"/>
        <v>937132</v>
      </c>
      <c r="K21" s="176" t="s">
        <v>146</v>
      </c>
      <c r="L21" s="42">
        <v>2004</v>
      </c>
      <c r="M21" s="32">
        <f>487+582</f>
        <v>1069</v>
      </c>
      <c r="N21" s="172">
        <v>0</v>
      </c>
      <c r="O21" s="172">
        <v>0</v>
      </c>
      <c r="P21" s="30">
        <f t="shared" ref="P21" si="48">IF(L21 &gt;0,(L21-H21)*I21-M21-N21-O21,0)</f>
        <v>464599</v>
      </c>
      <c r="Q21" s="49">
        <f t="shared" si="2"/>
        <v>0.49576687168936712</v>
      </c>
      <c r="R21" s="232"/>
      <c r="S21" s="234"/>
      <c r="U21" s="226"/>
      <c r="V21" s="226"/>
      <c r="W21" s="226"/>
      <c r="X21" s="107" t="s">
        <v>1012</v>
      </c>
      <c r="AA21" s="234"/>
      <c r="AB21" s="234"/>
      <c r="AC21" s="234"/>
    </row>
    <row r="22" spans="2:29" s="107" customFormat="1">
      <c r="B22" s="174"/>
      <c r="C22" s="228">
        <f>ROW()/2-1</f>
        <v>10</v>
      </c>
      <c r="D22" s="240">
        <v>43782</v>
      </c>
      <c r="E22" s="34" t="s">
        <v>155</v>
      </c>
      <c r="F22" s="34">
        <v>8002</v>
      </c>
      <c r="G22" s="56" t="s">
        <v>31</v>
      </c>
      <c r="H22" s="50">
        <v>814</v>
      </c>
      <c r="I22" s="34">
        <v>1300</v>
      </c>
      <c r="J22" s="51">
        <f t="shared" si="43"/>
        <v>1058200</v>
      </c>
      <c r="K22" s="53" t="s">
        <v>160</v>
      </c>
      <c r="L22" s="50">
        <v>794.1</v>
      </c>
      <c r="M22" s="34">
        <f>700+35+35</f>
        <v>770</v>
      </c>
      <c r="N22" s="34">
        <v>350</v>
      </c>
      <c r="O22" s="53">
        <v>0</v>
      </c>
      <c r="P22" s="26">
        <f t="shared" ref="P22" si="49">IF(L22 &gt;0,(H22-L22)*I22-M22-N22-O22,0)</f>
        <v>24749.999999999971</v>
      </c>
      <c r="Q22" s="46">
        <f t="shared" si="2"/>
        <v>2.3388773388773362E-2</v>
      </c>
      <c r="R22" s="232">
        <f>P22+P23</f>
        <v>60240.999999999913</v>
      </c>
      <c r="S22" s="233">
        <f>R22/(J22+J23)</f>
        <v>2.8847737807914758E-2</v>
      </c>
      <c r="U22" s="235">
        <v>43790</v>
      </c>
      <c r="V22" s="226">
        <f>DATEDIF(D22,U22,"d")</f>
        <v>8</v>
      </c>
      <c r="W22" s="242" t="s">
        <v>298</v>
      </c>
      <c r="AA22" s="239">
        <f t="shared" ref="AA22" si="50">YEAR(U22)</f>
        <v>2019</v>
      </c>
      <c r="AB22" s="239">
        <f t="shared" ref="AB22" si="51">MONTH(U22)</f>
        <v>11</v>
      </c>
      <c r="AC22" s="239" t="str">
        <f t="shared" ref="AC22" si="52">IF(R22&gt;0,"○","☓")</f>
        <v>○</v>
      </c>
    </row>
    <row r="23" spans="2:29" s="107" customFormat="1">
      <c r="B23" s="25"/>
      <c r="C23" s="229"/>
      <c r="D23" s="241">
        <v>43748</v>
      </c>
      <c r="E23" s="30" t="s">
        <v>156</v>
      </c>
      <c r="F23" s="30">
        <v>8601</v>
      </c>
      <c r="G23" s="55" t="s">
        <v>27</v>
      </c>
      <c r="H23" s="47">
        <v>515.02</v>
      </c>
      <c r="I23" s="47">
        <v>2000</v>
      </c>
      <c r="J23" s="48">
        <f t="shared" si="43"/>
        <v>1030040</v>
      </c>
      <c r="K23" s="176" t="s">
        <v>146</v>
      </c>
      <c r="L23" s="42">
        <v>533.29999999999995</v>
      </c>
      <c r="M23" s="32">
        <f>487+582</f>
        <v>1069</v>
      </c>
      <c r="N23" s="131">
        <v>0</v>
      </c>
      <c r="O23" s="172">
        <v>0</v>
      </c>
      <c r="P23" s="30">
        <f t="shared" ref="P23" si="53">IF(L23 &gt;0,(L23-H23)*I23-M23-N23-O23,0)</f>
        <v>35490.999999999942</v>
      </c>
      <c r="Q23" s="49">
        <f t="shared" si="2"/>
        <v>3.4455943458506409E-2</v>
      </c>
      <c r="R23" s="232"/>
      <c r="S23" s="234"/>
      <c r="U23" s="226"/>
      <c r="V23" s="226"/>
      <c r="W23" s="226"/>
      <c r="AA23" s="234"/>
      <c r="AB23" s="234"/>
      <c r="AC23" s="234"/>
    </row>
    <row r="24" spans="2:29" s="107" customFormat="1">
      <c r="B24" s="174"/>
      <c r="C24" s="228">
        <f>ROW()/2-1</f>
        <v>11</v>
      </c>
      <c r="D24" s="240">
        <v>43783</v>
      </c>
      <c r="E24" s="34" t="s">
        <v>155</v>
      </c>
      <c r="F24" s="34">
        <v>3105</v>
      </c>
      <c r="G24" s="56" t="s">
        <v>90</v>
      </c>
      <c r="H24" s="50">
        <v>970</v>
      </c>
      <c r="I24" s="34">
        <v>1100</v>
      </c>
      <c r="J24" s="51">
        <f t="shared" si="43"/>
        <v>1067000</v>
      </c>
      <c r="K24" s="53" t="s">
        <v>160</v>
      </c>
      <c r="L24" s="50">
        <v>999</v>
      </c>
      <c r="M24" s="34">
        <f t="shared" ref="M24:M30" si="54">700+35+35</f>
        <v>770</v>
      </c>
      <c r="N24" s="34">
        <v>514</v>
      </c>
      <c r="O24" s="53">
        <v>165</v>
      </c>
      <c r="P24" s="26">
        <f t="shared" ref="P24" si="55">IF(L24 &gt;0,(H24-L24)*I24-M24-N24-O24,0)</f>
        <v>-33349</v>
      </c>
      <c r="Q24" s="46">
        <f t="shared" si="2"/>
        <v>-3.1254920337394562E-2</v>
      </c>
      <c r="R24" s="232">
        <f>P24+P25</f>
        <v>-59214</v>
      </c>
      <c r="S24" s="233">
        <f>R24/(J24+J25)</f>
        <v>-2.7894290559638213E-2</v>
      </c>
      <c r="U24" s="235">
        <v>43798</v>
      </c>
      <c r="V24" s="226">
        <f>DATEDIF(D24,U24,"d")</f>
        <v>15</v>
      </c>
      <c r="W24" s="246" t="s">
        <v>279</v>
      </c>
      <c r="AA24" s="239">
        <f t="shared" ref="AA24" si="56">YEAR(U24)</f>
        <v>2019</v>
      </c>
      <c r="AB24" s="239">
        <f t="shared" ref="AB24" si="57">MONTH(U24)</f>
        <v>11</v>
      </c>
      <c r="AC24" s="239" t="str">
        <f t="shared" ref="AC24" si="58">IF(R24&gt;0,"○","☓")</f>
        <v>☓</v>
      </c>
    </row>
    <row r="25" spans="2:29" s="107" customFormat="1">
      <c r="B25" s="174"/>
      <c r="C25" s="229"/>
      <c r="D25" s="241">
        <v>43748</v>
      </c>
      <c r="E25" s="30" t="s">
        <v>156</v>
      </c>
      <c r="F25" s="30">
        <v>6301</v>
      </c>
      <c r="G25" s="55" t="s">
        <v>109</v>
      </c>
      <c r="H25" s="47">
        <v>2639.5</v>
      </c>
      <c r="I25" s="47">
        <v>400</v>
      </c>
      <c r="J25" s="48">
        <f t="shared" si="43"/>
        <v>1055800</v>
      </c>
      <c r="K25" s="39" t="s">
        <v>146</v>
      </c>
      <c r="L25" s="42">
        <v>2580</v>
      </c>
      <c r="M25" s="32">
        <f t="shared" si="54"/>
        <v>770</v>
      </c>
      <c r="N25" s="132">
        <v>1295</v>
      </c>
      <c r="O25" s="132">
        <v>0</v>
      </c>
      <c r="P25" s="30">
        <f t="shared" ref="P25" si="59">IF(L25 &gt;0,(L25-H25)*I25-M25-N25-O25,0)</f>
        <v>-25865</v>
      </c>
      <c r="Q25" s="49">
        <f t="shared" si="2"/>
        <v>-2.4498010986929341E-2</v>
      </c>
      <c r="R25" s="232"/>
      <c r="S25" s="234"/>
      <c r="U25" s="226"/>
      <c r="V25" s="226"/>
      <c r="W25" s="247"/>
      <c r="AA25" s="234"/>
      <c r="AB25" s="234"/>
      <c r="AC25" s="234"/>
    </row>
    <row r="26" spans="2:29" s="107" customFormat="1">
      <c r="B26" s="174"/>
      <c r="C26" s="228">
        <f>ROW()/2-1</f>
        <v>12</v>
      </c>
      <c r="D26" s="240">
        <v>43784</v>
      </c>
      <c r="E26" s="34" t="s">
        <v>155</v>
      </c>
      <c r="F26" s="34">
        <v>6770</v>
      </c>
      <c r="G26" s="56" t="s">
        <v>26</v>
      </c>
      <c r="H26" s="50">
        <v>2386</v>
      </c>
      <c r="I26" s="34">
        <v>400</v>
      </c>
      <c r="J26" s="51">
        <f t="shared" si="43"/>
        <v>954400</v>
      </c>
      <c r="K26" s="53" t="s">
        <v>1279</v>
      </c>
      <c r="L26" s="50">
        <v>2446</v>
      </c>
      <c r="M26" s="34">
        <f t="shared" si="54"/>
        <v>770</v>
      </c>
      <c r="N26" s="34">
        <v>320</v>
      </c>
      <c r="O26" s="53">
        <v>488</v>
      </c>
      <c r="P26" s="26">
        <f t="shared" ref="P26" si="60">IF(L26 &gt;0,(H26-L26)*I26-M26-N26-O26,0)</f>
        <v>-25578</v>
      </c>
      <c r="Q26" s="46">
        <f t="shared" si="2"/>
        <v>-2.680008382229673E-2</v>
      </c>
      <c r="R26" s="232">
        <f>P26+P27</f>
        <v>-23558</v>
      </c>
      <c r="S26" s="233">
        <f>R26/(J26+J27)</f>
        <v>-1.2410704878305763E-2</v>
      </c>
      <c r="U26" s="235">
        <v>43802</v>
      </c>
      <c r="V26" s="226">
        <f>DATEDIF(D26,U26,"d")</f>
        <v>18</v>
      </c>
      <c r="W26" s="244" t="s">
        <v>1268</v>
      </c>
      <c r="AA26" s="239">
        <f t="shared" ref="AA26" si="61">YEAR(U26)</f>
        <v>2019</v>
      </c>
      <c r="AB26" s="239">
        <f t="shared" ref="AB26" si="62">MONTH(U26)</f>
        <v>12</v>
      </c>
      <c r="AC26" s="239" t="str">
        <f t="shared" ref="AC26" si="63">IF(R26&gt;0,"○","☓")</f>
        <v>☓</v>
      </c>
    </row>
    <row r="27" spans="2:29" s="107" customFormat="1">
      <c r="B27" s="174"/>
      <c r="C27" s="229"/>
      <c r="D27" s="241">
        <v>43748</v>
      </c>
      <c r="E27" s="30" t="s">
        <v>156</v>
      </c>
      <c r="F27" s="30">
        <v>1911</v>
      </c>
      <c r="G27" s="55" t="s">
        <v>103</v>
      </c>
      <c r="H27" s="47">
        <v>1573</v>
      </c>
      <c r="I27" s="47">
        <v>600</v>
      </c>
      <c r="J27" s="48">
        <f t="shared" si="43"/>
        <v>943800</v>
      </c>
      <c r="K27" s="175" t="s">
        <v>161</v>
      </c>
      <c r="L27" s="42">
        <v>1579</v>
      </c>
      <c r="M27" s="32">
        <f t="shared" si="54"/>
        <v>770</v>
      </c>
      <c r="N27" s="133">
        <v>1230</v>
      </c>
      <c r="O27" s="133">
        <v>-420</v>
      </c>
      <c r="P27" s="30">
        <f t="shared" ref="P27" si="64">IF(L27 &gt;0,(L27-H27)*I27-M27-N27-O27,0)</f>
        <v>2020</v>
      </c>
      <c r="Q27" s="49">
        <f t="shared" si="2"/>
        <v>2.1402839584657766E-3</v>
      </c>
      <c r="R27" s="232"/>
      <c r="S27" s="234"/>
      <c r="U27" s="226"/>
      <c r="V27" s="226"/>
      <c r="W27" s="245"/>
      <c r="AA27" s="234"/>
      <c r="AB27" s="234"/>
      <c r="AC27" s="234"/>
    </row>
    <row r="28" spans="2:29" s="107" customFormat="1">
      <c r="B28" s="177"/>
      <c r="C28" s="228">
        <v>13</v>
      </c>
      <c r="D28" s="240">
        <v>43789</v>
      </c>
      <c r="E28" s="34" t="s">
        <v>155</v>
      </c>
      <c r="F28" s="34">
        <v>4182</v>
      </c>
      <c r="G28" s="56" t="s">
        <v>88</v>
      </c>
      <c r="H28" s="50">
        <v>1627</v>
      </c>
      <c r="I28" s="34">
        <v>600</v>
      </c>
      <c r="J28" s="51">
        <v>976200</v>
      </c>
      <c r="K28" s="53" t="s">
        <v>160</v>
      </c>
      <c r="L28" s="50">
        <v>1681</v>
      </c>
      <c r="M28" s="34">
        <f t="shared" si="54"/>
        <v>770</v>
      </c>
      <c r="N28" s="147">
        <v>558</v>
      </c>
      <c r="O28" s="53">
        <v>120</v>
      </c>
      <c r="P28" s="26">
        <f t="shared" ref="P28" si="65">IF(L28 &gt;0,(H28-L28)*I28-M28-N28-O28,0)</f>
        <v>-33848</v>
      </c>
      <c r="Q28" s="46">
        <f t="shared" si="2"/>
        <v>-3.4673222700266342E-2</v>
      </c>
      <c r="R28" s="232">
        <v>54150</v>
      </c>
      <c r="S28" s="233">
        <v>2.7799999999999998E-2</v>
      </c>
      <c r="U28" s="235">
        <v>43805</v>
      </c>
      <c r="V28" s="226">
        <v>15</v>
      </c>
      <c r="W28" s="242" t="s">
        <v>1244</v>
      </c>
      <c r="AA28" s="239">
        <f>YEAR(U28)</f>
        <v>2019</v>
      </c>
      <c r="AB28" s="239">
        <f>MONTH(U28)</f>
        <v>12</v>
      </c>
      <c r="AC28" s="239" t="str">
        <f>IF(R28&gt;0,"○","☓")</f>
        <v>○</v>
      </c>
    </row>
    <row r="29" spans="2:29" s="107" customFormat="1">
      <c r="B29" s="177"/>
      <c r="C29" s="229"/>
      <c r="D29" s="241">
        <v>43748</v>
      </c>
      <c r="E29" s="30" t="s">
        <v>156</v>
      </c>
      <c r="F29" s="30">
        <v>1824</v>
      </c>
      <c r="G29" s="55" t="s">
        <v>312</v>
      </c>
      <c r="H29" s="47">
        <v>973</v>
      </c>
      <c r="I29" s="47">
        <v>1000</v>
      </c>
      <c r="J29" s="48">
        <v>973000</v>
      </c>
      <c r="K29" s="148" t="s">
        <v>160</v>
      </c>
      <c r="L29" s="42">
        <v>1062</v>
      </c>
      <c r="M29" s="32">
        <f t="shared" si="54"/>
        <v>770</v>
      </c>
      <c r="N29" s="32">
        <v>1418</v>
      </c>
      <c r="O29" s="141">
        <v>0</v>
      </c>
      <c r="P29" s="30">
        <f t="shared" ref="P29" si="66">IF(L29 &gt;0,(L29-H29)*I29-M29-N29-O29,0)</f>
        <v>86812</v>
      </c>
      <c r="Q29" s="49">
        <f t="shared" si="2"/>
        <v>8.9220966084275433E-2</v>
      </c>
      <c r="R29" s="232"/>
      <c r="S29" s="234"/>
      <c r="U29" s="226"/>
      <c r="V29" s="226"/>
      <c r="W29" s="226"/>
      <c r="AA29" s="234"/>
      <c r="AB29" s="234"/>
      <c r="AC29" s="234"/>
    </row>
    <row r="30" spans="2:29" s="107" customFormat="1">
      <c r="B30" s="125"/>
      <c r="C30" s="228">
        <v>14</v>
      </c>
      <c r="D30" s="240">
        <v>43790</v>
      </c>
      <c r="E30" s="34" t="s">
        <v>155</v>
      </c>
      <c r="F30" s="34">
        <v>6995</v>
      </c>
      <c r="G30" s="56" t="s">
        <v>91</v>
      </c>
      <c r="H30" s="50">
        <v>2050</v>
      </c>
      <c r="I30" s="34">
        <v>500</v>
      </c>
      <c r="J30" s="51">
        <f t="shared" ref="J30:J33" si="67">H30*I30</f>
        <v>1025000</v>
      </c>
      <c r="K30" s="53" t="s">
        <v>160</v>
      </c>
      <c r="L30" s="50">
        <v>2176</v>
      </c>
      <c r="M30" s="34">
        <f t="shared" si="54"/>
        <v>770</v>
      </c>
      <c r="N30" s="147">
        <f>IF(OR(K30="現物",J30=0),0,IF(E30="売",J30*Fee_Refer!$B$12/365*V30, J30*Fee_Refer!$B$11/365*#REF!))</f>
        <v>556.02739726027391</v>
      </c>
      <c r="O30" s="53">
        <v>92</v>
      </c>
      <c r="P30" s="26">
        <f t="shared" ref="P30" si="68">IF(L30 &gt;0,(H30-L30)*I30-M30-N30-O30,0)</f>
        <v>-64418.027397260274</v>
      </c>
      <c r="Q30" s="46">
        <f t="shared" si="2"/>
        <v>-6.2846855997327103E-2</v>
      </c>
      <c r="R30" s="232">
        <f>P30+P31</f>
        <v>33712.972602739726</v>
      </c>
      <c r="S30" s="233">
        <f t="shared" ref="S30" si="69">R30/(J30+J31)</f>
        <v>1.6402146834066229E-2</v>
      </c>
      <c r="U30" s="235">
        <v>43808</v>
      </c>
      <c r="V30" s="226">
        <f t="shared" ref="V30" si="70">IF(U30&gt;D30,DATEDIF(D30,U30,"d"),0)</f>
        <v>18</v>
      </c>
      <c r="W30" s="243" t="s">
        <v>1269</v>
      </c>
      <c r="AA30" s="239">
        <f>YEAR(U30)</f>
        <v>2019</v>
      </c>
      <c r="AB30" s="239">
        <f>MONTH(U30)</f>
        <v>12</v>
      </c>
      <c r="AC30" s="239" t="str">
        <f>IF(R30&gt;0,"○","☓")</f>
        <v>○</v>
      </c>
    </row>
    <row r="31" spans="2:29" s="107" customFormat="1">
      <c r="B31" s="125"/>
      <c r="C31" s="229"/>
      <c r="D31" s="241">
        <v>43748</v>
      </c>
      <c r="E31" s="30" t="s">
        <v>156</v>
      </c>
      <c r="F31" s="30">
        <v>6472</v>
      </c>
      <c r="G31" s="55" t="s">
        <v>134</v>
      </c>
      <c r="H31" s="47">
        <v>322</v>
      </c>
      <c r="I31" s="47">
        <v>3200</v>
      </c>
      <c r="J31" s="48">
        <f t="shared" si="67"/>
        <v>1030400</v>
      </c>
      <c r="K31" s="176" t="s">
        <v>146</v>
      </c>
      <c r="L31" s="42">
        <v>353</v>
      </c>
      <c r="M31" s="32">
        <f>487+582</f>
        <v>1069</v>
      </c>
      <c r="N31" s="172">
        <v>0</v>
      </c>
      <c r="O31" s="172">
        <v>0</v>
      </c>
      <c r="P31" s="30">
        <f t="shared" ref="P31" si="71">IF(L31 &gt;0,(L31-H31)*I31-M31-N31-O31,0)</f>
        <v>98131</v>
      </c>
      <c r="Q31" s="49">
        <f t="shared" si="2"/>
        <v>9.5235830745341615E-2</v>
      </c>
      <c r="R31" s="232"/>
      <c r="S31" s="234"/>
      <c r="U31" s="226"/>
      <c r="V31" s="226"/>
      <c r="W31" s="226"/>
      <c r="AA31" s="234"/>
      <c r="AB31" s="234"/>
      <c r="AC31" s="234"/>
    </row>
    <row r="32" spans="2:29" s="107" customFormat="1">
      <c r="B32" s="125"/>
      <c r="C32" s="228">
        <v>15</v>
      </c>
      <c r="D32" s="240">
        <v>43791</v>
      </c>
      <c r="E32" s="34" t="s">
        <v>155</v>
      </c>
      <c r="F32" s="34">
        <v>8601</v>
      </c>
      <c r="G32" s="56" t="s">
        <v>27</v>
      </c>
      <c r="H32" s="50">
        <v>533.79999999999995</v>
      </c>
      <c r="I32" s="34">
        <v>2000</v>
      </c>
      <c r="J32" s="51">
        <f t="shared" si="67"/>
        <v>1067600</v>
      </c>
      <c r="K32" s="53" t="s">
        <v>160</v>
      </c>
      <c r="L32" s="50">
        <v>555</v>
      </c>
      <c r="M32" s="34">
        <f>700+35+35</f>
        <v>770</v>
      </c>
      <c r="N32" s="147">
        <f>IF(OR(K32="現物",J32=0),0,IF(E32="売",J32*Fee_Refer!$B$12/365*V32, J32*Fee_Refer!$B$11/365*#REF!))</f>
        <v>546.96219178082174</v>
      </c>
      <c r="O32" s="53">
        <v>92</v>
      </c>
      <c r="P32" s="26">
        <f t="shared" ref="P32" si="72">IF(L32 &gt;0,(H32-L32)*I32-M32-N32-O32,0)</f>
        <v>-43808.962191780913</v>
      </c>
      <c r="Q32" s="46">
        <f t="shared" si="2"/>
        <v>-4.1034996432915805E-2</v>
      </c>
      <c r="R32" s="232">
        <f>P32+P33</f>
        <v>-7387.9621917808836</v>
      </c>
      <c r="S32" s="233">
        <f t="shared" ref="S32" si="73">R32/(J32+J33)</f>
        <v>-3.4469872261972761E-3</v>
      </c>
      <c r="U32" s="235">
        <v>43808</v>
      </c>
      <c r="V32" s="226">
        <f t="shared" ref="V32" si="74">IF(U32&gt;D32,DATEDIF(D32,U32,"d"),0)</f>
        <v>17</v>
      </c>
      <c r="W32" s="243" t="s">
        <v>1269</v>
      </c>
      <c r="AA32" s="239">
        <f>YEAR(U32)</f>
        <v>2019</v>
      </c>
      <c r="AB32" s="239">
        <f>MONTH(U32)</f>
        <v>12</v>
      </c>
      <c r="AC32" s="239" t="str">
        <f>IF(R32&gt;0,"○","☓")</f>
        <v>☓</v>
      </c>
    </row>
    <row r="33" spans="2:29" s="107" customFormat="1">
      <c r="B33" s="125"/>
      <c r="C33" s="229"/>
      <c r="D33" s="241">
        <v>43748</v>
      </c>
      <c r="E33" s="30" t="s">
        <v>156</v>
      </c>
      <c r="F33" s="30">
        <v>8308</v>
      </c>
      <c r="G33" s="55" t="s">
        <v>102</v>
      </c>
      <c r="H33" s="47">
        <v>467.7</v>
      </c>
      <c r="I33" s="47">
        <v>2300</v>
      </c>
      <c r="J33" s="48">
        <f t="shared" si="67"/>
        <v>1075710</v>
      </c>
      <c r="K33" s="176" t="s">
        <v>146</v>
      </c>
      <c r="L33" s="42">
        <v>484</v>
      </c>
      <c r="M33" s="32">
        <f>487+582</f>
        <v>1069</v>
      </c>
      <c r="N33" s="172">
        <v>0</v>
      </c>
      <c r="O33" s="172">
        <v>0</v>
      </c>
      <c r="P33" s="30">
        <f t="shared" ref="P33" si="75">IF(L33 &gt;0,(L33-H33)*I33-M33-N33-O33,0)</f>
        <v>36421.000000000029</v>
      </c>
      <c r="Q33" s="49">
        <f t="shared" si="2"/>
        <v>3.3857638211042033E-2</v>
      </c>
      <c r="R33" s="232"/>
      <c r="S33" s="234"/>
      <c r="U33" s="226"/>
      <c r="V33" s="226"/>
      <c r="W33" s="226"/>
      <c r="AA33" s="234"/>
      <c r="AB33" s="234"/>
      <c r="AC33" s="234"/>
    </row>
  </sheetData>
  <autoFilter ref="B3:AC23"/>
  <mergeCells count="150"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C24:C25"/>
    <mergeCell ref="D24:D25"/>
    <mergeCell ref="R24:R25"/>
    <mergeCell ref="S24:S25"/>
    <mergeCell ref="U24:U25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D25" sqref="D25"/>
    </sheetView>
  </sheetViews>
  <sheetFormatPr defaultRowHeight="14.25"/>
  <cols>
    <col min="1" max="1" width="6" style="107" customWidth="1"/>
    <col min="2" max="2" width="6.5" style="107" customWidth="1"/>
    <col min="3" max="3" width="12.75" style="107" customWidth="1"/>
    <col min="4" max="4" width="9.875" style="107" customWidth="1"/>
    <col min="5" max="7" width="9" style="107"/>
    <col min="8" max="8" width="10.75" style="107" customWidth="1"/>
    <col min="9" max="10" width="9" style="107"/>
    <col min="11" max="11" width="10.625" style="107" customWidth="1"/>
    <col min="12" max="16384" width="9" style="107"/>
  </cols>
  <sheetData>
    <row r="1" spans="1:23" ht="21" customHeight="1" thickBot="1">
      <c r="A1" s="171" t="s">
        <v>1267</v>
      </c>
    </row>
    <row r="2" spans="1:23" ht="59.25" customHeight="1">
      <c r="A2" s="155" t="s">
        <v>1245</v>
      </c>
      <c r="B2" s="156" t="s">
        <v>1246</v>
      </c>
      <c r="C2" s="157" t="s">
        <v>1253</v>
      </c>
      <c r="D2" s="156" t="s">
        <v>1254</v>
      </c>
      <c r="E2" s="156" t="s">
        <v>1255</v>
      </c>
      <c r="F2" s="157" t="s">
        <v>1263</v>
      </c>
      <c r="G2" s="157" t="s">
        <v>1264</v>
      </c>
      <c r="H2" s="157" t="s">
        <v>1256</v>
      </c>
      <c r="I2" s="157" t="s">
        <v>1257</v>
      </c>
      <c r="J2" s="157" t="s">
        <v>1258</v>
      </c>
      <c r="K2" s="157" t="s">
        <v>1265</v>
      </c>
      <c r="L2" s="157" t="s">
        <v>1259</v>
      </c>
      <c r="M2" s="157" t="s">
        <v>1247</v>
      </c>
      <c r="N2" s="157" t="s">
        <v>1248</v>
      </c>
      <c r="O2" s="157" t="s">
        <v>1249</v>
      </c>
      <c r="P2" s="157" t="s">
        <v>1260</v>
      </c>
      <c r="Q2" s="158" t="s">
        <v>1261</v>
      </c>
      <c r="R2" s="158" t="s">
        <v>1250</v>
      </c>
      <c r="S2" s="159" t="s">
        <v>1251</v>
      </c>
      <c r="T2" s="159" t="s">
        <v>1252</v>
      </c>
      <c r="U2" s="159" t="s">
        <v>1266</v>
      </c>
      <c r="V2" s="160" t="s">
        <v>1262</v>
      </c>
      <c r="W2" s="154"/>
    </row>
    <row r="3" spans="1:23">
      <c r="A3" s="161">
        <v>2019</v>
      </c>
      <c r="B3" s="161">
        <v>10</v>
      </c>
      <c r="C3" s="162">
        <v>5000000</v>
      </c>
      <c r="D3" s="163">
        <v>-25615.999999999971</v>
      </c>
      <c r="E3" s="164">
        <f t="shared" ref="E3:E5" si="0">IF(D3 &lt;&gt; 0,D3/C3, 0)</f>
        <v>-5.1231999999999944E-3</v>
      </c>
      <c r="F3" s="163">
        <v>101112</v>
      </c>
      <c r="G3" s="163">
        <v>-126727.99999999997</v>
      </c>
      <c r="H3" s="161">
        <v>8</v>
      </c>
      <c r="I3" s="161">
        <v>3</v>
      </c>
      <c r="J3" s="161">
        <v>5</v>
      </c>
      <c r="K3" s="165">
        <f t="shared" ref="K3:K5" si="1">IF(H3&lt;&gt;0,I3/H3,0)</f>
        <v>0.375</v>
      </c>
      <c r="L3" s="166">
        <f t="shared" ref="L3:L5" si="2">IF(I3&lt;&gt;0,F3/I3,0)</f>
        <v>33704</v>
      </c>
      <c r="M3" s="167">
        <f t="shared" ref="M3:M5" si="3">IF(J3&lt;&gt;0,G3/J3,0)</f>
        <v>-25345.599999999995</v>
      </c>
      <c r="N3" s="168">
        <v>14</v>
      </c>
      <c r="O3" s="168">
        <v>-93238.000000000029</v>
      </c>
      <c r="P3" s="169">
        <f t="shared" ref="P3:P5" si="4">IF(C3&lt;&gt;0,O3/C3,0)</f>
        <v>-1.8647600000000007E-2</v>
      </c>
      <c r="Q3" s="170">
        <v>3</v>
      </c>
      <c r="R3" s="170">
        <v>5</v>
      </c>
      <c r="S3" s="170">
        <v>1</v>
      </c>
      <c r="T3" s="170">
        <v>1</v>
      </c>
      <c r="U3" s="170">
        <v>6</v>
      </c>
      <c r="V3" s="170">
        <f t="shared" ref="V3:V5" si="5">IF(H3&lt;&gt;0,H3-S3-T3-U3,0)</f>
        <v>0</v>
      </c>
    </row>
    <row r="4" spans="1:23">
      <c r="A4" s="161">
        <v>2019</v>
      </c>
      <c r="B4" s="161">
        <v>11</v>
      </c>
      <c r="C4" s="162">
        <f>IF(D3 &lt;&gt; 0,C3+D3, 0)</f>
        <v>4974384</v>
      </c>
      <c r="D4" s="163">
        <v>487021.99999999988</v>
      </c>
      <c r="E4" s="164">
        <f t="shared" si="0"/>
        <v>9.7905991978102194E-2</v>
      </c>
      <c r="F4" s="163">
        <v>546235.99999999988</v>
      </c>
      <c r="G4" s="163">
        <v>-59214</v>
      </c>
      <c r="H4" s="161">
        <v>3</v>
      </c>
      <c r="I4" s="161">
        <v>2</v>
      </c>
      <c r="J4" s="161">
        <v>1</v>
      </c>
      <c r="K4" s="165">
        <f t="shared" si="1"/>
        <v>0.66666666666666663</v>
      </c>
      <c r="L4" s="166">
        <f t="shared" si="2"/>
        <v>273117.99999999994</v>
      </c>
      <c r="M4" s="167">
        <f t="shared" si="3"/>
        <v>-59214</v>
      </c>
      <c r="N4" s="168">
        <v>10</v>
      </c>
      <c r="O4" s="168">
        <v>-59214</v>
      </c>
      <c r="P4" s="169">
        <f t="shared" si="4"/>
        <v>-1.190378547373906E-2</v>
      </c>
      <c r="Q4" s="170">
        <v>2</v>
      </c>
      <c r="R4" s="170">
        <v>1</v>
      </c>
      <c r="S4" s="170">
        <v>2</v>
      </c>
      <c r="T4" s="170">
        <v>1</v>
      </c>
      <c r="U4" s="170">
        <v>0</v>
      </c>
      <c r="V4" s="170">
        <f t="shared" si="5"/>
        <v>0</v>
      </c>
    </row>
    <row r="5" spans="1:23">
      <c r="A5" s="161">
        <v>2019</v>
      </c>
      <c r="B5" s="161">
        <v>12</v>
      </c>
      <c r="C5" s="162">
        <f>IF(D4 &lt;&gt; 0,C4+D4, 0)</f>
        <v>5461406</v>
      </c>
      <c r="D5" s="163">
        <v>56917.010410958843</v>
      </c>
      <c r="E5" s="164">
        <f t="shared" si="0"/>
        <v>1.0421677203811408E-2</v>
      </c>
      <c r="F5" s="163">
        <v>87862.972602739726</v>
      </c>
      <c r="G5" s="163">
        <v>-30945.962191780884</v>
      </c>
      <c r="H5" s="161">
        <v>4</v>
      </c>
      <c r="I5" s="161">
        <v>2</v>
      </c>
      <c r="J5" s="161">
        <v>2</v>
      </c>
      <c r="K5" s="165">
        <f t="shared" si="1"/>
        <v>0.5</v>
      </c>
      <c r="L5" s="166">
        <f t="shared" si="2"/>
        <v>43931.486301369863</v>
      </c>
      <c r="M5" s="167">
        <f t="shared" si="3"/>
        <v>-15472.981095890442</v>
      </c>
      <c r="N5" s="168">
        <v>17</v>
      </c>
      <c r="O5" s="168">
        <v>-23558</v>
      </c>
      <c r="P5" s="169">
        <f t="shared" si="4"/>
        <v>-4.3135412382818636E-3</v>
      </c>
      <c r="Q5" s="170">
        <v>2</v>
      </c>
      <c r="R5" s="170">
        <v>1</v>
      </c>
      <c r="S5" s="170">
        <v>1</v>
      </c>
      <c r="T5" s="170">
        <v>0</v>
      </c>
      <c r="U5" s="170">
        <v>3</v>
      </c>
      <c r="V5" s="170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E29" sqref="E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7" customFormat="1" ht="24.75" thickBot="1">
      <c r="C2" s="59" t="s">
        <v>147</v>
      </c>
      <c r="D2" s="69" t="s">
        <v>171</v>
      </c>
      <c r="E2" s="61"/>
      <c r="F2" s="60" t="s">
        <v>69</v>
      </c>
      <c r="G2" s="62" t="s">
        <v>70</v>
      </c>
      <c r="H2" s="63" t="s">
        <v>148</v>
      </c>
      <c r="I2" s="63" t="s">
        <v>149</v>
      </c>
      <c r="J2" s="61" t="s">
        <v>22</v>
      </c>
      <c r="K2" s="61" t="s">
        <v>150</v>
      </c>
      <c r="L2" s="63" t="s">
        <v>151</v>
      </c>
      <c r="M2" s="64" t="s">
        <v>172</v>
      </c>
      <c r="N2" s="61" t="s">
        <v>152</v>
      </c>
      <c r="O2" s="64" t="s">
        <v>166</v>
      </c>
      <c r="P2" s="61" t="s">
        <v>259</v>
      </c>
      <c r="Q2" s="61" t="s">
        <v>153</v>
      </c>
      <c r="R2" s="64" t="s">
        <v>168</v>
      </c>
      <c r="S2" s="67" t="s">
        <v>169</v>
      </c>
      <c r="T2" s="66"/>
      <c r="U2" s="68" t="s">
        <v>265</v>
      </c>
      <c r="V2" s="68" t="s">
        <v>170</v>
      </c>
      <c r="W2" s="65" t="s">
        <v>167</v>
      </c>
    </row>
    <row r="3" spans="2:23" s="107" customFormat="1">
      <c r="B3" s="125" t="s">
        <v>274</v>
      </c>
      <c r="C3" s="228">
        <f>ROW()/2-1</f>
        <v>0.5</v>
      </c>
      <c r="D3" s="230">
        <v>43807</v>
      </c>
      <c r="E3" s="34" t="s">
        <v>262</v>
      </c>
      <c r="F3" s="34">
        <v>3105</v>
      </c>
      <c r="G3" s="56" t="s">
        <v>1285</v>
      </c>
      <c r="H3" s="50"/>
      <c r="I3" s="50">
        <v>1000</v>
      </c>
      <c r="J3" s="51">
        <f t="shared" ref="J3:J4" si="0">H3*I3</f>
        <v>0</v>
      </c>
      <c r="K3" s="53" t="s">
        <v>1287</v>
      </c>
      <c r="L3" s="50"/>
      <c r="M3" s="34"/>
      <c r="N3" s="147">
        <f>IF(OR(K3="現物",J3=0),0,IF(E3="売",J3*Fee_Refer!$B$12/365*V3, J3*Fee_Refer!$B$11/365*#REF!))</f>
        <v>0</v>
      </c>
      <c r="O3" s="53">
        <v>0</v>
      </c>
      <c r="P3" s="150">
        <f>IF(L3 &gt;0,(H3-L3)*I3-M3-N3-O3,0)</f>
        <v>0</v>
      </c>
      <c r="Q3" s="52" t="e">
        <f t="shared" ref="Q3:Q4" si="1">P3/J3</f>
        <v>#DIV/0!</v>
      </c>
      <c r="R3" s="232">
        <f>P3+P4</f>
        <v>0</v>
      </c>
      <c r="S3" s="233" t="e">
        <f t="shared" ref="S3" si="2">R3/(J3+J4)</f>
        <v>#DIV/0!</v>
      </c>
      <c r="U3" s="235">
        <f>$P$1</f>
        <v>0</v>
      </c>
      <c r="V3" s="226">
        <f t="shared" ref="V3" si="3">IF(U3&gt;D3,DATEDIF(D3,U3,"d"),0)</f>
        <v>0</v>
      </c>
      <c r="W3" s="227"/>
    </row>
    <row r="4" spans="2:23" s="107" customFormat="1">
      <c r="B4" s="125" t="s">
        <v>1025</v>
      </c>
      <c r="C4" s="229"/>
      <c r="D4" s="231">
        <v>43748</v>
      </c>
      <c r="E4" s="30" t="s">
        <v>264</v>
      </c>
      <c r="F4" s="30">
        <v>7762</v>
      </c>
      <c r="G4" s="55" t="s">
        <v>1286</v>
      </c>
      <c r="H4" s="47"/>
      <c r="I4" s="47">
        <v>1700</v>
      </c>
      <c r="J4" s="48">
        <f t="shared" si="0"/>
        <v>0</v>
      </c>
      <c r="K4" s="148" t="s">
        <v>1287</v>
      </c>
      <c r="L4" s="42"/>
      <c r="M4" s="32"/>
      <c r="N4" s="149">
        <f>IF(OR(K4="現物",J4=0),0,IF(E4="売",J4*Fee_Refer!$B$12/365*V4, J4*Fee_Refer!$B$11/365*V3))</f>
        <v>0</v>
      </c>
      <c r="O4" s="172">
        <v>0</v>
      </c>
      <c r="P4" s="151">
        <f>IF(L4&gt;0,(L4-H4)*I4-M4-N4-O4,0)</f>
        <v>0</v>
      </c>
      <c r="Q4" s="49" t="e">
        <f t="shared" si="1"/>
        <v>#DIV/0!</v>
      </c>
      <c r="R4" s="232"/>
      <c r="S4" s="234"/>
      <c r="U4" s="226"/>
      <c r="V4" s="226"/>
      <c r="W4" s="226"/>
    </row>
    <row r="6" spans="2:23">
      <c r="C6" s="14">
        <v>43806</v>
      </c>
      <c r="D6" s="107" t="s">
        <v>1290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showGridLines="0" zoomScale="115" zoomScaleNormal="115" workbookViewId="0">
      <selection activeCell="F27" sqref="F27"/>
    </sheetView>
  </sheetViews>
  <sheetFormatPr defaultRowHeight="14.25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71</v>
      </c>
      <c r="G8" s="153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67</v>
      </c>
      <c r="C17" s="272" t="s">
        <v>2348</v>
      </c>
      <c r="D17" s="273"/>
      <c r="E17" s="273"/>
      <c r="F17" s="273"/>
      <c r="G17" s="274"/>
    </row>
    <row r="18" spans="2:9">
      <c r="B18" s="4" t="s">
        <v>66</v>
      </c>
      <c r="C18" s="270" t="str">
        <f>C17 &amp; "\master\" &amp; H18</f>
        <v>G:\Stock\pairs_trade\pair_trade\stock_data\master\master.csv</v>
      </c>
      <c r="D18" s="271"/>
      <c r="E18" s="271"/>
      <c r="F18" s="271"/>
      <c r="G18" s="271"/>
      <c r="H18" s="322" t="s">
        <v>1237</v>
      </c>
      <c r="I18" s="323"/>
    </row>
    <row r="19" spans="2:9">
      <c r="B19" s="4" t="s">
        <v>341</v>
      </c>
      <c r="C19" s="268" t="str">
        <f>C17 &amp; "\master\" &amp; H19</f>
        <v>G:\Stock\pairs_trade\pair_trade\stock_data\master\fiscal_data.csv</v>
      </c>
      <c r="D19" s="269"/>
      <c r="E19" s="269"/>
      <c r="F19" s="269"/>
      <c r="G19" s="269"/>
      <c r="H19" s="322" t="s">
        <v>1236</v>
      </c>
      <c r="I19" s="323"/>
    </row>
    <row r="20" spans="2:9">
      <c r="B20" s="4" t="s">
        <v>1349</v>
      </c>
      <c r="C20" s="191" t="str">
        <f>C17 &amp; "\master\" &amp; H20</f>
        <v>G:\Stock\pairs_trade\pair_trade\stock_data\master\gyakunipo_data.csv</v>
      </c>
      <c r="D20" s="192"/>
      <c r="E20" s="192"/>
      <c r="F20" s="192"/>
      <c r="G20" s="192"/>
      <c r="H20" s="322" t="s">
        <v>1350</v>
      </c>
      <c r="I20" s="323"/>
    </row>
    <row r="21" spans="2:9">
      <c r="B21" s="4" t="s">
        <v>2346</v>
      </c>
      <c r="C21" s="191" t="str">
        <f>C17 &amp; "\" &amp; H21</f>
        <v>G:\Stock\pairs_trade\pair_trade\stock_data\trade</v>
      </c>
      <c r="D21" s="192"/>
      <c r="E21" s="192"/>
      <c r="F21" s="192"/>
      <c r="G21" s="192"/>
      <c r="H21" s="322" t="s">
        <v>2347</v>
      </c>
      <c r="I21" s="323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B4" sqref="B4"/>
    </sheetView>
  </sheetViews>
  <sheetFormatPr defaultRowHeight="14.25"/>
  <cols>
    <col min="1" max="1" width="4" customWidth="1"/>
    <col min="2" max="2" width="4.25" style="107" customWidth="1"/>
    <col min="3" max="3" width="2.875" style="107" customWidth="1"/>
    <col min="4" max="4" width="2" style="107" customWidth="1"/>
    <col min="5" max="5" width="2.625" style="107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7" customWidth="1"/>
    <col min="13" max="13" width="10.75" style="107" hidden="1" customWidth="1"/>
    <col min="14" max="14" width="0.125" style="107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1"/>
      <c r="M1" s="101"/>
      <c r="N1" s="101"/>
    </row>
    <row r="2" spans="1:68">
      <c r="A2" s="107"/>
      <c r="E2" s="281" t="s">
        <v>1310</v>
      </c>
      <c r="F2" s="279" t="s">
        <v>2324</v>
      </c>
      <c r="G2" s="276"/>
      <c r="H2" s="276"/>
      <c r="I2" s="276"/>
      <c r="J2" s="276"/>
      <c r="K2" s="276"/>
      <c r="L2" s="188"/>
      <c r="M2" s="188"/>
      <c r="N2" s="187"/>
      <c r="O2" s="280" t="s">
        <v>280</v>
      </c>
      <c r="P2" s="276"/>
      <c r="Q2" s="276"/>
      <c r="R2" s="276"/>
      <c r="S2" s="276"/>
      <c r="T2" s="276"/>
      <c r="U2" s="276"/>
      <c r="V2" s="276"/>
      <c r="W2" s="277"/>
      <c r="X2" s="275" t="s">
        <v>1280</v>
      </c>
      <c r="Y2" s="276"/>
      <c r="Z2" s="276"/>
      <c r="AA2" s="276"/>
      <c r="AB2" s="276"/>
      <c r="AC2" s="276"/>
      <c r="AD2" s="276"/>
      <c r="AE2" s="277"/>
      <c r="AF2" s="278" t="s">
        <v>281</v>
      </c>
      <c r="AG2" s="276"/>
      <c r="AH2" s="276"/>
      <c r="AI2" s="276"/>
      <c r="AJ2" s="276"/>
      <c r="AK2" s="276"/>
      <c r="AL2" s="276"/>
      <c r="AM2" s="276"/>
      <c r="AN2" s="276"/>
      <c r="AO2" s="277"/>
      <c r="AP2" s="112" t="s">
        <v>282</v>
      </c>
      <c r="AQ2" s="113"/>
      <c r="AR2" s="113"/>
      <c r="AS2" s="114"/>
    </row>
    <row r="3" spans="1:68" s="17" customFormat="1" ht="28.5" customHeight="1" thickBot="1">
      <c r="A3" s="108"/>
      <c r="B3" s="108"/>
      <c r="C3" s="108"/>
      <c r="D3" s="108"/>
      <c r="E3" s="282"/>
      <c r="F3" s="110" t="s">
        <v>283</v>
      </c>
      <c r="G3" s="126" t="s">
        <v>284</v>
      </c>
      <c r="H3" s="126" t="s">
        <v>285</v>
      </c>
      <c r="I3" s="126" t="s">
        <v>286</v>
      </c>
      <c r="J3" s="126" t="s">
        <v>287</v>
      </c>
      <c r="K3" s="186" t="s">
        <v>340</v>
      </c>
      <c r="L3" s="186" t="s">
        <v>1309</v>
      </c>
      <c r="M3" s="186"/>
      <c r="N3" s="127"/>
      <c r="O3" s="111" t="s">
        <v>283</v>
      </c>
      <c r="P3" s="115" t="s">
        <v>284</v>
      </c>
      <c r="Q3" s="115" t="s">
        <v>285</v>
      </c>
      <c r="R3" s="115" t="s">
        <v>286</v>
      </c>
      <c r="S3" s="115" t="s">
        <v>287</v>
      </c>
      <c r="T3" s="189" t="s">
        <v>340</v>
      </c>
      <c r="U3" s="189" t="s">
        <v>1309</v>
      </c>
      <c r="V3" s="189"/>
      <c r="W3" s="116"/>
      <c r="X3" s="117" t="s">
        <v>1281</v>
      </c>
      <c r="Y3" s="118" t="s">
        <v>1282</v>
      </c>
      <c r="Z3" s="190" t="s">
        <v>2331</v>
      </c>
      <c r="AA3" s="190" t="s">
        <v>2332</v>
      </c>
      <c r="AB3" s="190" t="s">
        <v>2307</v>
      </c>
      <c r="AC3" s="118"/>
      <c r="AD3" s="118"/>
      <c r="AE3" s="119"/>
      <c r="AF3" s="120" t="s">
        <v>2308</v>
      </c>
      <c r="AG3" s="121" t="s">
        <v>288</v>
      </c>
      <c r="AH3" s="109" t="s">
        <v>289</v>
      </c>
      <c r="AI3" s="109" t="s">
        <v>290</v>
      </c>
      <c r="AJ3" s="109" t="s">
        <v>291</v>
      </c>
      <c r="AK3" s="121" t="s">
        <v>292</v>
      </c>
      <c r="AL3" s="121" t="s">
        <v>293</v>
      </c>
      <c r="AM3" s="109"/>
      <c r="AN3" s="121"/>
      <c r="AO3" s="122"/>
      <c r="AP3" s="123" t="s">
        <v>1283</v>
      </c>
      <c r="AQ3" s="124" t="s">
        <v>294</v>
      </c>
      <c r="AR3" s="124" t="s">
        <v>1284</v>
      </c>
      <c r="AS3" s="152" t="s">
        <v>295</v>
      </c>
    </row>
    <row r="4" spans="1:68">
      <c r="A4" s="125" t="s">
        <v>1346</v>
      </c>
      <c r="B4" s="125" t="s">
        <v>1348</v>
      </c>
      <c r="C4" s="125" t="s">
        <v>1347</v>
      </c>
      <c r="D4"/>
      <c r="E4">
        <v>1</v>
      </c>
      <c r="F4">
        <v>4042</v>
      </c>
      <c r="G4" s="107" t="s">
        <v>1314</v>
      </c>
      <c r="H4" s="107" t="s">
        <v>62</v>
      </c>
      <c r="I4">
        <v>1707</v>
      </c>
      <c r="J4">
        <v>500</v>
      </c>
      <c r="L4"/>
      <c r="M4"/>
      <c r="N4"/>
      <c r="O4">
        <v>1951</v>
      </c>
      <c r="P4" s="107" t="s">
        <v>1313</v>
      </c>
      <c r="Q4" s="107" t="s">
        <v>78</v>
      </c>
      <c r="R4">
        <v>2859</v>
      </c>
      <c r="S4">
        <v>300</v>
      </c>
      <c r="T4"/>
      <c r="U4"/>
      <c r="V4"/>
      <c r="W4"/>
      <c r="X4">
        <v>-2.01129245740049</v>
      </c>
      <c r="Y4">
        <v>-6.62</v>
      </c>
      <c r="Z4">
        <v>853500</v>
      </c>
      <c r="AA4">
        <v>857700</v>
      </c>
      <c r="AB4">
        <v>0.49</v>
      </c>
      <c r="AC4"/>
      <c r="AD4"/>
      <c r="AE4"/>
      <c r="AF4">
        <v>442222</v>
      </c>
      <c r="AG4">
        <v>24568</v>
      </c>
      <c r="AH4" s="134">
        <v>18</v>
      </c>
      <c r="AI4" s="134">
        <v>12</v>
      </c>
      <c r="AJ4" s="134" t="s">
        <v>1345</v>
      </c>
      <c r="AK4">
        <v>66.67</v>
      </c>
      <c r="AL4">
        <v>10</v>
      </c>
      <c r="AM4"/>
      <c r="AN4"/>
      <c r="AO4"/>
      <c r="AP4">
        <v>0.90234379917297303</v>
      </c>
      <c r="AQ4">
        <v>0.94005586292935805</v>
      </c>
      <c r="AR4">
        <v>5.3677926905130603E-2</v>
      </c>
      <c r="AS4">
        <v>2.5601143161935798E-5</v>
      </c>
    </row>
    <row r="5" spans="1:68" s="135" customFormat="1">
      <c r="A5" s="125" t="s">
        <v>1346</v>
      </c>
      <c r="B5" s="125" t="s">
        <v>1348</v>
      </c>
      <c r="C5" s="125" t="s">
        <v>1347</v>
      </c>
      <c r="D5"/>
      <c r="E5">
        <v>2</v>
      </c>
      <c r="F5">
        <v>7181</v>
      </c>
      <c r="G5" s="107" t="s">
        <v>137</v>
      </c>
      <c r="H5" s="107" t="s">
        <v>110</v>
      </c>
      <c r="I5">
        <v>1990</v>
      </c>
      <c r="J5">
        <v>500</v>
      </c>
      <c r="K5"/>
      <c r="L5" s="194">
        <v>0.05</v>
      </c>
      <c r="M5"/>
      <c r="N5"/>
      <c r="O5">
        <v>9956</v>
      </c>
      <c r="P5" s="107" t="s">
        <v>318</v>
      </c>
      <c r="Q5" s="107" t="s">
        <v>95</v>
      </c>
      <c r="R5">
        <v>2070</v>
      </c>
      <c r="S5">
        <v>500</v>
      </c>
      <c r="T5"/>
      <c r="U5"/>
      <c r="V5"/>
      <c r="W5"/>
      <c r="X5">
        <v>2.2624826861349598</v>
      </c>
      <c r="Y5">
        <v>6.19</v>
      </c>
      <c r="Z5">
        <v>995000</v>
      </c>
      <c r="AA5">
        <v>1035000</v>
      </c>
      <c r="AB5">
        <v>3.86</v>
      </c>
      <c r="AC5"/>
      <c r="AD5"/>
      <c r="AE5"/>
      <c r="AF5">
        <v>196402</v>
      </c>
      <c r="AG5">
        <v>15108</v>
      </c>
      <c r="AH5" s="134">
        <v>13</v>
      </c>
      <c r="AI5" s="134">
        <v>9</v>
      </c>
      <c r="AJ5" s="134" t="s">
        <v>1299</v>
      </c>
      <c r="AK5">
        <v>69.23</v>
      </c>
      <c r="AL5">
        <v>14</v>
      </c>
      <c r="AM5"/>
      <c r="AN5"/>
      <c r="AO5"/>
      <c r="AP5">
        <v>0.93082151940243996</v>
      </c>
      <c r="AQ5">
        <v>0.94713563227489395</v>
      </c>
      <c r="AR5">
        <v>7.0854084149129604E-3</v>
      </c>
      <c r="AS5">
        <v>0.13302352595310801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5" customFormat="1">
      <c r="A6" s="125" t="s">
        <v>1346</v>
      </c>
      <c r="B6" s="125" t="s">
        <v>1348</v>
      </c>
      <c r="C6" s="125" t="s">
        <v>1347</v>
      </c>
      <c r="D6"/>
      <c r="E6">
        <v>3</v>
      </c>
      <c r="F6">
        <v>5802</v>
      </c>
      <c r="G6" s="107" t="s">
        <v>131</v>
      </c>
      <c r="H6" s="107" t="s">
        <v>132</v>
      </c>
      <c r="I6">
        <v>1690.5</v>
      </c>
      <c r="J6">
        <v>600</v>
      </c>
      <c r="K6"/>
      <c r="L6"/>
      <c r="M6"/>
      <c r="N6"/>
      <c r="O6">
        <v>9072</v>
      </c>
      <c r="P6" s="107" t="s">
        <v>126</v>
      </c>
      <c r="Q6" s="107" t="s">
        <v>119</v>
      </c>
      <c r="R6">
        <v>2739</v>
      </c>
      <c r="S6">
        <v>400</v>
      </c>
      <c r="T6"/>
      <c r="U6"/>
      <c r="V6"/>
      <c r="W6"/>
      <c r="X6">
        <v>2.18042600144235</v>
      </c>
      <c r="Y6">
        <v>8.6</v>
      </c>
      <c r="Z6">
        <v>1014300</v>
      </c>
      <c r="AA6">
        <v>1095600</v>
      </c>
      <c r="AB6">
        <v>7.42</v>
      </c>
      <c r="AC6"/>
      <c r="AD6"/>
      <c r="AE6"/>
      <c r="AF6">
        <v>111309</v>
      </c>
      <c r="AG6">
        <v>5565</v>
      </c>
      <c r="AH6" s="134">
        <v>20</v>
      </c>
      <c r="AI6" s="134">
        <v>12</v>
      </c>
      <c r="AJ6" s="134" t="s">
        <v>1306</v>
      </c>
      <c r="AK6">
        <v>60</v>
      </c>
      <c r="AL6">
        <v>15</v>
      </c>
      <c r="AM6"/>
      <c r="AN6"/>
      <c r="AO6"/>
      <c r="AP6">
        <v>0.92068969045399696</v>
      </c>
      <c r="AQ6">
        <v>0.90932504911463896</v>
      </c>
      <c r="AR6">
        <v>6.4858499566239694E-2</v>
      </c>
      <c r="AS6">
        <v>2.9012766203050197E-4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135" customFormat="1">
      <c r="A7" s="125" t="s">
        <v>1346</v>
      </c>
      <c r="B7" s="125" t="s">
        <v>1348</v>
      </c>
      <c r="C7" s="125" t="s">
        <v>1347</v>
      </c>
      <c r="D7"/>
      <c r="E7">
        <v>4</v>
      </c>
      <c r="F7">
        <v>8377</v>
      </c>
      <c r="G7" s="107" t="s">
        <v>94</v>
      </c>
      <c r="H7" s="107" t="s">
        <v>82</v>
      </c>
      <c r="I7">
        <v>1172</v>
      </c>
      <c r="J7">
        <v>900</v>
      </c>
      <c r="K7"/>
      <c r="L7"/>
      <c r="M7"/>
      <c r="N7"/>
      <c r="O7">
        <v>7167</v>
      </c>
      <c r="P7" s="107" t="s">
        <v>100</v>
      </c>
      <c r="Q7" s="107" t="s">
        <v>82</v>
      </c>
      <c r="R7">
        <v>284</v>
      </c>
      <c r="S7">
        <v>3700</v>
      </c>
      <c r="T7"/>
      <c r="U7"/>
      <c r="V7"/>
      <c r="W7"/>
      <c r="X7">
        <v>-2.4789826255028302</v>
      </c>
      <c r="Y7">
        <v>-4.3499999999999996</v>
      </c>
      <c r="Z7">
        <v>1054800</v>
      </c>
      <c r="AA7">
        <v>1050800</v>
      </c>
      <c r="AB7">
        <v>0.38</v>
      </c>
      <c r="AC7"/>
      <c r="AD7"/>
      <c r="AE7"/>
      <c r="AF7">
        <v>96023</v>
      </c>
      <c r="AG7">
        <v>6001</v>
      </c>
      <c r="AH7" s="134">
        <v>16</v>
      </c>
      <c r="AI7" s="134">
        <v>11</v>
      </c>
      <c r="AJ7" s="134" t="s">
        <v>1300</v>
      </c>
      <c r="AK7">
        <v>68.75</v>
      </c>
      <c r="AL7">
        <v>16</v>
      </c>
      <c r="AM7"/>
      <c r="AN7"/>
      <c r="AO7"/>
      <c r="AP7">
        <v>0.91237744352002104</v>
      </c>
      <c r="AQ7">
        <v>0.90616084756202897</v>
      </c>
      <c r="AR7">
        <v>4.9546691768469597E-2</v>
      </c>
      <c r="AS7">
        <v>0.23117540046570301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5" customFormat="1">
      <c r="A8" s="125" t="s">
        <v>1346</v>
      </c>
      <c r="B8" s="125" t="s">
        <v>1348</v>
      </c>
      <c r="C8" s="125" t="s">
        <v>1347</v>
      </c>
      <c r="D8"/>
      <c r="E8">
        <v>5</v>
      </c>
      <c r="F8">
        <v>8002</v>
      </c>
      <c r="G8" s="107" t="s">
        <v>31</v>
      </c>
      <c r="H8" s="107" t="s">
        <v>101</v>
      </c>
      <c r="I8">
        <v>837.7</v>
      </c>
      <c r="J8">
        <v>1300</v>
      </c>
      <c r="K8"/>
      <c r="L8"/>
      <c r="M8"/>
      <c r="N8"/>
      <c r="O8">
        <v>9072</v>
      </c>
      <c r="P8" s="107" t="s">
        <v>126</v>
      </c>
      <c r="Q8" s="107" t="s">
        <v>119</v>
      </c>
      <c r="R8">
        <v>2739</v>
      </c>
      <c r="S8">
        <v>400</v>
      </c>
      <c r="T8"/>
      <c r="U8"/>
      <c r="V8"/>
      <c r="W8"/>
      <c r="X8">
        <v>2.1590845038233999</v>
      </c>
      <c r="Y8">
        <v>4.12</v>
      </c>
      <c r="Z8">
        <v>1089010</v>
      </c>
      <c r="AA8">
        <v>1095600</v>
      </c>
      <c r="AB8">
        <v>0.6</v>
      </c>
      <c r="AC8"/>
      <c r="AD8"/>
      <c r="AE8"/>
      <c r="AF8">
        <v>77791</v>
      </c>
      <c r="AG8">
        <v>4862</v>
      </c>
      <c r="AH8" s="134">
        <v>16</v>
      </c>
      <c r="AI8" s="134">
        <v>8</v>
      </c>
      <c r="AJ8" s="134" t="s">
        <v>1307</v>
      </c>
      <c r="AK8">
        <v>50</v>
      </c>
      <c r="AL8">
        <v>16</v>
      </c>
      <c r="AM8"/>
      <c r="AN8"/>
      <c r="AO8"/>
      <c r="AP8">
        <v>0.94190635641218001</v>
      </c>
      <c r="AQ8">
        <v>0.91161883023030499</v>
      </c>
      <c r="AR8">
        <v>0.126805220980795</v>
      </c>
      <c r="AS8">
        <v>2.00728460502293E-3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135" customFormat="1">
      <c r="A9" s="125" t="s">
        <v>1346</v>
      </c>
      <c r="B9" s="125" t="s">
        <v>1348</v>
      </c>
      <c r="C9" s="125" t="s">
        <v>1347</v>
      </c>
      <c r="D9"/>
      <c r="E9">
        <v>6</v>
      </c>
      <c r="F9">
        <v>8306</v>
      </c>
      <c r="G9" s="107" t="s">
        <v>144</v>
      </c>
      <c r="H9" s="107" t="s">
        <v>82</v>
      </c>
      <c r="I9">
        <v>595.70000000000005</v>
      </c>
      <c r="J9">
        <v>1800</v>
      </c>
      <c r="K9"/>
      <c r="L9"/>
      <c r="M9"/>
      <c r="N9"/>
      <c r="O9">
        <v>8411</v>
      </c>
      <c r="P9" s="107" t="s">
        <v>121</v>
      </c>
      <c r="Q9" s="107" t="s">
        <v>82</v>
      </c>
      <c r="R9">
        <v>170.7</v>
      </c>
      <c r="S9">
        <v>6300</v>
      </c>
      <c r="T9"/>
      <c r="U9"/>
      <c r="V9"/>
      <c r="W9"/>
      <c r="X9">
        <v>2.17366951874402</v>
      </c>
      <c r="Y9">
        <v>3.69</v>
      </c>
      <c r="Z9">
        <v>1072260</v>
      </c>
      <c r="AA9">
        <v>1075410</v>
      </c>
      <c r="AB9">
        <v>0.28999999999999998</v>
      </c>
      <c r="AC9"/>
      <c r="AD9"/>
      <c r="AE9"/>
      <c r="AF9">
        <v>-2779</v>
      </c>
      <c r="AG9">
        <v>-154</v>
      </c>
      <c r="AH9" s="134">
        <v>18</v>
      </c>
      <c r="AI9" s="134">
        <v>8</v>
      </c>
      <c r="AJ9" s="134" t="s">
        <v>1308</v>
      </c>
      <c r="AK9">
        <v>44.44</v>
      </c>
      <c r="AL9">
        <v>17</v>
      </c>
      <c r="AM9"/>
      <c r="AN9"/>
      <c r="AO9"/>
      <c r="AP9">
        <v>0.93360688554522098</v>
      </c>
      <c r="AQ9">
        <v>0.905401997467561</v>
      </c>
      <c r="AR9">
        <v>0.14212168881260201</v>
      </c>
      <c r="AS9">
        <v>0.15342205585340299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5" customFormat="1">
      <c r="A10" s="125" t="s">
        <v>1346</v>
      </c>
      <c r="B10" s="125" t="s">
        <v>1348</v>
      </c>
      <c r="C10" s="125" t="s">
        <v>1347</v>
      </c>
      <c r="D10"/>
      <c r="E10">
        <v>7</v>
      </c>
      <c r="F10">
        <v>7205</v>
      </c>
      <c r="G10" s="107" t="s">
        <v>117</v>
      </c>
      <c r="H10" s="107" t="s">
        <v>84</v>
      </c>
      <c r="I10">
        <v>1181</v>
      </c>
      <c r="J10">
        <v>900</v>
      </c>
      <c r="K10"/>
      <c r="L10" s="194">
        <v>0.05</v>
      </c>
      <c r="M10"/>
      <c r="N10"/>
      <c r="O10">
        <v>8002</v>
      </c>
      <c r="P10" s="107" t="s">
        <v>31</v>
      </c>
      <c r="Q10" s="107" t="s">
        <v>101</v>
      </c>
      <c r="R10">
        <v>837.7</v>
      </c>
      <c r="S10">
        <v>1300</v>
      </c>
      <c r="T10"/>
      <c r="U10"/>
      <c r="V10"/>
      <c r="W10"/>
      <c r="X10">
        <v>2.1734762655520101</v>
      </c>
      <c r="Y10">
        <v>8.49</v>
      </c>
      <c r="Z10">
        <v>1062900</v>
      </c>
      <c r="AA10">
        <v>1089010</v>
      </c>
      <c r="AB10">
        <v>2.46</v>
      </c>
      <c r="AC10"/>
      <c r="AD10"/>
      <c r="AE10"/>
      <c r="AF10">
        <v>-42476</v>
      </c>
      <c r="AG10">
        <v>-2655</v>
      </c>
      <c r="AH10" s="134">
        <v>16</v>
      </c>
      <c r="AI10" s="134">
        <v>7</v>
      </c>
      <c r="AJ10" s="134" t="s">
        <v>1291</v>
      </c>
      <c r="AK10">
        <v>43.75</v>
      </c>
      <c r="AL10">
        <v>16</v>
      </c>
      <c r="AM10"/>
      <c r="AN10"/>
      <c r="AO10"/>
      <c r="AP10">
        <v>0.95272662804973696</v>
      </c>
      <c r="AQ10">
        <v>0.90699121312063202</v>
      </c>
      <c r="AR10">
        <v>0.18368612457215</v>
      </c>
      <c r="AS10">
        <v>3.3537481627613101E-2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5" customFormat="1" ht="17.25" hidden="1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5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s="135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s="13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V19" sqref="V19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7"/>
      <c r="B1" s="197" t="s">
        <v>2310</v>
      </c>
      <c r="C1" s="195">
        <v>8002</v>
      </c>
      <c r="D1" s="196" t="s">
        <v>2340</v>
      </c>
      <c r="E1" s="194"/>
      <c r="F1" s="194"/>
      <c r="G1" s="194"/>
      <c r="H1" s="198" t="s">
        <v>2311</v>
      </c>
      <c r="I1" s="139">
        <v>9072</v>
      </c>
      <c r="J1" s="140" t="s">
        <v>2312</v>
      </c>
      <c r="N1" s="178"/>
      <c r="O1" s="199">
        <v>5</v>
      </c>
      <c r="P1" s="138" t="s">
        <v>2321</v>
      </c>
      <c r="Q1" s="200">
        <v>7</v>
      </c>
      <c r="R1" s="138"/>
      <c r="T1" s="178"/>
      <c r="U1" s="138" t="s">
        <v>2309</v>
      </c>
    </row>
    <row r="2" spans="1:24">
      <c r="B2" s="95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7"/>
      <c r="W2" s="180" t="s">
        <v>2313</v>
      </c>
      <c r="X2" s="179">
        <v>2.1590845038233999</v>
      </c>
    </row>
    <row r="3" spans="1:24">
      <c r="B3" s="9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9"/>
      <c r="W3" s="181" t="s">
        <v>2314</v>
      </c>
      <c r="X3" s="179">
        <v>4.12</v>
      </c>
    </row>
    <row r="4" spans="1:24">
      <c r="B4" s="98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9"/>
      <c r="W4" s="181" t="s">
        <v>2315</v>
      </c>
      <c r="X4" s="179">
        <v>0.6</v>
      </c>
    </row>
    <row r="5" spans="1:24">
      <c r="B5" s="98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9"/>
      <c r="W5" s="180" t="s">
        <v>2316</v>
      </c>
      <c r="X5" s="179">
        <v>77791</v>
      </c>
    </row>
    <row r="6" spans="1:24" ht="15" customHeight="1">
      <c r="A6" s="210" t="s">
        <v>2322</v>
      </c>
      <c r="B6" s="9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9"/>
      <c r="W6" s="182" t="s">
        <v>2317</v>
      </c>
      <c r="X6" s="179">
        <v>0.94190635641218001</v>
      </c>
    </row>
    <row r="7" spans="1:24">
      <c r="A7" s="211">
        <v>0.3718731563698176</v>
      </c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9"/>
      <c r="W7" s="182" t="s">
        <v>2318</v>
      </c>
      <c r="X7" s="179">
        <v>0.91161883023030499</v>
      </c>
    </row>
    <row r="8" spans="1:24">
      <c r="A8" s="210" t="s">
        <v>2323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9"/>
      <c r="W8" s="180" t="s">
        <v>2319</v>
      </c>
      <c r="X8" s="179">
        <v>0.126805220980795</v>
      </c>
    </row>
    <row r="9" spans="1:24">
      <c r="A9" s="211">
        <v>0.16305997451006124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9"/>
      <c r="W9" s="180" t="s">
        <v>2320</v>
      </c>
      <c r="X9" s="179">
        <v>2.00728460502293E-3</v>
      </c>
    </row>
    <row r="10" spans="1:24"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"/>
    </row>
    <row r="11" spans="1:24"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9"/>
    </row>
    <row r="12" spans="1:24"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9"/>
    </row>
    <row r="13" spans="1:24"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9"/>
    </row>
    <row r="14" spans="1:24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9"/>
    </row>
    <row r="15" spans="1:24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9"/>
    </row>
    <row r="16" spans="1:24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9"/>
    </row>
    <row r="17" spans="2:20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9"/>
    </row>
    <row r="18" spans="2:20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9"/>
    </row>
    <row r="19" spans="2:20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9"/>
    </row>
    <row r="20" spans="2:20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9"/>
    </row>
    <row r="21" spans="2:20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9"/>
    </row>
    <row r="22" spans="2:20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9"/>
    </row>
    <row r="23" spans="2:20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9"/>
    </row>
    <row r="24" spans="2:20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9"/>
    </row>
    <row r="25" spans="2:20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9"/>
    </row>
    <row r="26" spans="2:20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9"/>
    </row>
    <row r="27" spans="2:20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9"/>
    </row>
    <row r="28" spans="2:20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9"/>
    </row>
    <row r="29" spans="2:20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9"/>
    </row>
    <row r="30" spans="2:20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9"/>
    </row>
    <row r="31" spans="2:20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9"/>
    </row>
    <row r="32" spans="2:20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9"/>
    </row>
    <row r="33" spans="1:20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9"/>
    </row>
    <row r="34" spans="1:20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9"/>
    </row>
    <row r="35" spans="1:20"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9"/>
    </row>
    <row r="36" spans="1:20"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9"/>
    </row>
    <row r="37" spans="1:20"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9"/>
    </row>
    <row r="38" spans="1:20" ht="15" thickBot="1"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2"/>
    </row>
    <row r="40" spans="1:20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>
      <c r="A41" s="107" t="s">
        <v>1238</v>
      </c>
      <c r="B41" s="107" t="s">
        <v>1303</v>
      </c>
      <c r="C41" s="107" t="s">
        <v>1304</v>
      </c>
      <c r="D41" s="107" t="s">
        <v>1301</v>
      </c>
      <c r="E41" s="107" t="s">
        <v>1302</v>
      </c>
      <c r="F41" s="107" t="s">
        <v>1239</v>
      </c>
      <c r="G41" s="107" t="s">
        <v>1240</v>
      </c>
      <c r="H41" s="107" t="s">
        <v>1241</v>
      </c>
      <c r="I41" s="107" t="s">
        <v>1242</v>
      </c>
      <c r="J41" s="107" t="s">
        <v>1243</v>
      </c>
      <c r="L41" s="107" t="s">
        <v>275</v>
      </c>
      <c r="M41" s="107" t="s">
        <v>276</v>
      </c>
      <c r="N41" s="107" t="s">
        <v>277</v>
      </c>
      <c r="O41" s="107" t="s">
        <v>278</v>
      </c>
    </row>
    <row r="42" spans="1:20">
      <c r="A42" s="14">
        <v>43812</v>
      </c>
      <c r="B42">
        <v>834.9</v>
      </c>
      <c r="C42">
        <v>837.7</v>
      </c>
      <c r="D42">
        <v>2740</v>
      </c>
      <c r="E42">
        <v>2739</v>
      </c>
      <c r="F42">
        <v>0.30584154801022201</v>
      </c>
      <c r="G42">
        <v>0.29324587384511103</v>
      </c>
      <c r="H42">
        <v>5.8338032359577597E-3</v>
      </c>
      <c r="I42">
        <v>2.1590845038233999</v>
      </c>
      <c r="J42">
        <v>4.12</v>
      </c>
      <c r="L42">
        <v>0.29907967708106881</v>
      </c>
      <c r="M42">
        <v>0.28741207060915325</v>
      </c>
      <c r="N42">
        <v>0.30491348031702653</v>
      </c>
      <c r="O42">
        <v>0.28157826737319552</v>
      </c>
    </row>
    <row r="43" spans="1:20">
      <c r="A43" s="14">
        <v>43811</v>
      </c>
      <c r="B43">
        <v>824</v>
      </c>
      <c r="C43">
        <v>814.9</v>
      </c>
      <c r="D43">
        <v>2726</v>
      </c>
      <c r="E43">
        <v>2711</v>
      </c>
      <c r="F43">
        <v>0.30059018812246402</v>
      </c>
      <c r="G43">
        <v>0.29292682808662301</v>
      </c>
      <c r="H43">
        <v>5.7903835680543202E-3</v>
      </c>
      <c r="I43">
        <v>1.32346328110613</v>
      </c>
      <c r="J43">
        <v>2.5499999999999998</v>
      </c>
      <c r="L43">
        <v>0.29871721165467735</v>
      </c>
      <c r="M43">
        <v>0.28713644451856868</v>
      </c>
      <c r="N43">
        <v>0.30450759522273163</v>
      </c>
      <c r="O43">
        <v>0.2813460609505144</v>
      </c>
    </row>
    <row r="44" spans="1:20">
      <c r="A44" s="14">
        <v>43810</v>
      </c>
      <c r="B44">
        <v>827.2</v>
      </c>
      <c r="C44">
        <v>823.4</v>
      </c>
      <c r="D44">
        <v>2733</v>
      </c>
      <c r="E44">
        <v>2721</v>
      </c>
      <c r="F44">
        <v>0.30260933480338098</v>
      </c>
      <c r="G44">
        <v>0.29273520541025699</v>
      </c>
      <c r="H44">
        <v>5.7713793197452096E-3</v>
      </c>
      <c r="I44">
        <v>1.7108786038967101</v>
      </c>
      <c r="J44">
        <v>3.26</v>
      </c>
      <c r="L44">
        <v>0.29850658473000219</v>
      </c>
      <c r="M44">
        <v>0.2869638260905118</v>
      </c>
      <c r="N44">
        <v>0.30427796404974738</v>
      </c>
      <c r="O44">
        <v>0.2811924467707666</v>
      </c>
    </row>
    <row r="45" spans="1:20">
      <c r="A45" s="14">
        <v>43809</v>
      </c>
      <c r="B45">
        <v>835</v>
      </c>
      <c r="C45">
        <v>829.2</v>
      </c>
      <c r="D45">
        <v>2751</v>
      </c>
      <c r="E45">
        <v>2752</v>
      </c>
      <c r="F45">
        <v>0.301308139534883</v>
      </c>
      <c r="G45">
        <v>0.29248613858188699</v>
      </c>
      <c r="H45">
        <v>5.7428843067083299E-3</v>
      </c>
      <c r="I45">
        <v>1.53616205409038</v>
      </c>
      <c r="J45">
        <v>2.93</v>
      </c>
      <c r="L45">
        <v>0.29822902288859532</v>
      </c>
      <c r="M45">
        <v>0.28674325427517866</v>
      </c>
      <c r="N45">
        <v>0.30397190719530365</v>
      </c>
      <c r="O45">
        <v>0.28100036996847033</v>
      </c>
    </row>
    <row r="46" spans="1:20">
      <c r="A46" s="14">
        <v>43808</v>
      </c>
      <c r="B46">
        <v>830.7</v>
      </c>
      <c r="C46">
        <v>831</v>
      </c>
      <c r="D46">
        <v>2752</v>
      </c>
      <c r="E46">
        <v>2751</v>
      </c>
      <c r="F46">
        <v>0.30207197382769901</v>
      </c>
      <c r="G46">
        <v>0.29220181039522702</v>
      </c>
      <c r="H46">
        <v>5.8263521524913901E-3</v>
      </c>
      <c r="I46">
        <v>1.6940554182346701</v>
      </c>
      <c r="J46">
        <v>3.27</v>
      </c>
      <c r="L46">
        <v>0.29802816254771841</v>
      </c>
      <c r="M46">
        <v>0.28637545824273564</v>
      </c>
      <c r="N46">
        <v>0.3038545147002098</v>
      </c>
      <c r="O46">
        <v>0.28054910609024425</v>
      </c>
    </row>
    <row r="47" spans="1:20">
      <c r="A47" s="14">
        <v>43805</v>
      </c>
      <c r="B47">
        <v>826.6</v>
      </c>
      <c r="C47">
        <v>824.9</v>
      </c>
      <c r="D47">
        <v>2724</v>
      </c>
      <c r="E47">
        <v>2724</v>
      </c>
      <c r="F47">
        <v>0.302826725403817</v>
      </c>
      <c r="G47">
        <v>0.29192539884914798</v>
      </c>
      <c r="H47">
        <v>5.8432672798392898E-3</v>
      </c>
      <c r="I47">
        <v>1.86562175450746</v>
      </c>
      <c r="J47">
        <v>3.6</v>
      </c>
      <c r="L47">
        <v>0.29776866612898728</v>
      </c>
      <c r="M47">
        <v>0.28608213156930867</v>
      </c>
      <c r="N47">
        <v>0.30361193340882653</v>
      </c>
      <c r="O47">
        <v>0.28023886428946942</v>
      </c>
    </row>
    <row r="48" spans="1:20">
      <c r="A48" s="14">
        <v>43804</v>
      </c>
      <c r="B48">
        <v>819.2</v>
      </c>
      <c r="C48">
        <v>826.1</v>
      </c>
      <c r="D48">
        <v>2725</v>
      </c>
      <c r="E48">
        <v>2730</v>
      </c>
      <c r="F48">
        <v>0.302600732600732</v>
      </c>
      <c r="G48">
        <v>0.29161618786747201</v>
      </c>
      <c r="H48">
        <v>5.8717457915459003E-3</v>
      </c>
      <c r="I48">
        <v>1.87074596265314</v>
      </c>
      <c r="J48">
        <v>3.63</v>
      </c>
      <c r="L48">
        <v>0.29748793365901793</v>
      </c>
      <c r="M48">
        <v>0.28574444207592609</v>
      </c>
      <c r="N48">
        <v>0.3033596794505638</v>
      </c>
      <c r="O48">
        <v>0.27987269628438022</v>
      </c>
    </row>
    <row r="49" spans="1:15">
      <c r="A49" s="14">
        <v>43803</v>
      </c>
      <c r="B49">
        <v>809</v>
      </c>
      <c r="C49">
        <v>813.2</v>
      </c>
      <c r="D49">
        <v>2670</v>
      </c>
      <c r="E49">
        <v>2706</v>
      </c>
      <c r="F49">
        <v>0.30051736881005098</v>
      </c>
      <c r="G49">
        <v>0.29132865755151699</v>
      </c>
      <c r="H49">
        <v>5.8547819700548601E-3</v>
      </c>
      <c r="I49">
        <v>1.5694369671716599</v>
      </c>
      <c r="J49">
        <v>3.06</v>
      </c>
      <c r="L49">
        <v>0.29718343952157183</v>
      </c>
      <c r="M49">
        <v>0.28547387558146214</v>
      </c>
      <c r="N49">
        <v>0.30303822149162674</v>
      </c>
      <c r="O49">
        <v>0.27961909361140724</v>
      </c>
    </row>
    <row r="50" spans="1:15">
      <c r="A50" s="14">
        <v>43802</v>
      </c>
      <c r="B50">
        <v>814.4</v>
      </c>
      <c r="C50">
        <v>815.2</v>
      </c>
      <c r="D50">
        <v>2687</v>
      </c>
      <c r="E50">
        <v>2685</v>
      </c>
      <c r="F50">
        <v>0.30361266294227102</v>
      </c>
      <c r="G50">
        <v>0.29101670794290002</v>
      </c>
      <c r="H50">
        <v>5.9788603822714097E-3</v>
      </c>
      <c r="I50">
        <v>2.1067484761345101</v>
      </c>
      <c r="J50">
        <v>4.1500000000000004</v>
      </c>
      <c r="L50">
        <v>0.29699556832517143</v>
      </c>
      <c r="M50">
        <v>0.28503784756062861</v>
      </c>
      <c r="N50">
        <v>0.30297442870744284</v>
      </c>
      <c r="O50">
        <v>0.2790589871783572</v>
      </c>
    </row>
    <row r="51" spans="1:15">
      <c r="A51" s="14">
        <v>43801</v>
      </c>
      <c r="B51">
        <v>810.7</v>
      </c>
      <c r="C51">
        <v>825.2</v>
      </c>
      <c r="D51">
        <v>2706</v>
      </c>
      <c r="E51">
        <v>2730</v>
      </c>
      <c r="F51">
        <v>0.30227106227106199</v>
      </c>
      <c r="G51">
        <v>0.290654339707899</v>
      </c>
      <c r="H51">
        <v>6.0278535234965401E-3</v>
      </c>
      <c r="I51">
        <v>1.9271739961630401</v>
      </c>
      <c r="J51">
        <v>3.84</v>
      </c>
      <c r="L51">
        <v>0.29668219323139555</v>
      </c>
      <c r="M51">
        <v>0.28462648618440245</v>
      </c>
      <c r="N51">
        <v>0.3027100467548921</v>
      </c>
      <c r="O51">
        <v>0.2785986326609059</v>
      </c>
    </row>
    <row r="52" spans="1:15">
      <c r="A52" s="14">
        <v>43798</v>
      </c>
      <c r="B52">
        <v>812</v>
      </c>
      <c r="C52">
        <v>808.2</v>
      </c>
      <c r="D52">
        <v>2724</v>
      </c>
      <c r="E52">
        <v>2715</v>
      </c>
      <c r="F52">
        <v>0.29767955801104901</v>
      </c>
      <c r="G52">
        <v>0.29033560276697801</v>
      </c>
      <c r="H52">
        <v>6.0371814988195898E-3</v>
      </c>
      <c r="I52">
        <v>1.2164542751459899</v>
      </c>
      <c r="J52">
        <v>2.4700000000000002</v>
      </c>
      <c r="L52">
        <v>0.29637278426579761</v>
      </c>
      <c r="M52">
        <v>0.28429842126815841</v>
      </c>
      <c r="N52">
        <v>0.30240996576461721</v>
      </c>
      <c r="O52">
        <v>0.27826123976933881</v>
      </c>
    </row>
    <row r="53" spans="1:15">
      <c r="A53" s="14">
        <v>43797</v>
      </c>
      <c r="B53">
        <v>808.9</v>
      </c>
      <c r="C53">
        <v>811.6</v>
      </c>
      <c r="D53">
        <v>2738</v>
      </c>
      <c r="E53">
        <v>2727</v>
      </c>
      <c r="F53">
        <v>0.29761642830949703</v>
      </c>
      <c r="G53">
        <v>0.290063152162989</v>
      </c>
      <c r="H53">
        <v>6.1594481007064099E-3</v>
      </c>
      <c r="I53">
        <v>1.2262910609868001</v>
      </c>
      <c r="J53">
        <v>2.54</v>
      </c>
      <c r="L53">
        <v>0.2962226002636954</v>
      </c>
      <c r="M53">
        <v>0.2839037040622826</v>
      </c>
      <c r="N53">
        <v>0.3023820483644018</v>
      </c>
      <c r="O53">
        <v>0.2777442559615762</v>
      </c>
    </row>
    <row r="54" spans="1:15">
      <c r="A54" s="14">
        <v>43796</v>
      </c>
      <c r="B54">
        <v>806.3</v>
      </c>
      <c r="C54">
        <v>809.7</v>
      </c>
      <c r="D54">
        <v>2749</v>
      </c>
      <c r="E54">
        <v>2741</v>
      </c>
      <c r="F54">
        <v>0.29540313754104303</v>
      </c>
      <c r="G54">
        <v>0.28985750572121399</v>
      </c>
      <c r="H54">
        <v>6.1613055553055001E-3</v>
      </c>
      <c r="I54">
        <v>0.90007414338571601</v>
      </c>
      <c r="J54">
        <v>1.88</v>
      </c>
      <c r="L54">
        <v>0.29601881127651947</v>
      </c>
      <c r="M54">
        <v>0.28369620016590852</v>
      </c>
      <c r="N54">
        <v>0.302180116831825</v>
      </c>
      <c r="O54">
        <v>0.27753489461060299</v>
      </c>
    </row>
    <row r="55" spans="1:15">
      <c r="A55" s="14">
        <v>43795</v>
      </c>
      <c r="B55">
        <v>809.9</v>
      </c>
      <c r="C55">
        <v>804.8</v>
      </c>
      <c r="D55">
        <v>2766</v>
      </c>
      <c r="E55">
        <v>2725</v>
      </c>
      <c r="F55">
        <v>0.29533944954128399</v>
      </c>
      <c r="G55">
        <v>0.28980797321836999</v>
      </c>
      <c r="H55">
        <v>6.1313835952478404E-3</v>
      </c>
      <c r="I55">
        <v>0.90215792846519705</v>
      </c>
      <c r="J55">
        <v>1.87</v>
      </c>
      <c r="L55">
        <v>0.29593935681361783</v>
      </c>
      <c r="M55">
        <v>0.28367658962312214</v>
      </c>
      <c r="N55">
        <v>0.30207074040886567</v>
      </c>
      <c r="O55">
        <v>0.2775452060278743</v>
      </c>
    </row>
    <row r="56" spans="1:15">
      <c r="A56" s="14">
        <v>43794</v>
      </c>
      <c r="B56">
        <v>806.7</v>
      </c>
      <c r="C56">
        <v>805.2</v>
      </c>
      <c r="D56">
        <v>2743</v>
      </c>
      <c r="E56">
        <v>2758</v>
      </c>
      <c r="F56">
        <v>0.29195068890500298</v>
      </c>
      <c r="G56">
        <v>0.289641910919468</v>
      </c>
      <c r="H56">
        <v>6.1479590344840299E-3</v>
      </c>
      <c r="I56">
        <v>0.375535681449013</v>
      </c>
      <c r="J56">
        <v>0.79</v>
      </c>
      <c r="L56">
        <v>0.29578986995395201</v>
      </c>
      <c r="M56">
        <v>0.283493951884984</v>
      </c>
      <c r="N56">
        <v>0.30193782898843607</v>
      </c>
      <c r="O56">
        <v>0.27734599285049993</v>
      </c>
    </row>
    <row r="57" spans="1:15">
      <c r="A57" s="14">
        <v>43791</v>
      </c>
      <c r="B57">
        <v>798</v>
      </c>
      <c r="C57">
        <v>796.9</v>
      </c>
      <c r="D57">
        <v>2719</v>
      </c>
      <c r="E57">
        <v>2715</v>
      </c>
      <c r="F57">
        <v>0.29351749539594801</v>
      </c>
      <c r="G57">
        <v>0.28950596596804301</v>
      </c>
      <c r="H57">
        <v>6.2078388408545598E-3</v>
      </c>
      <c r="I57">
        <v>0.64620386107711802</v>
      </c>
      <c r="J57">
        <v>1.37</v>
      </c>
      <c r="L57">
        <v>0.29571380480889758</v>
      </c>
      <c r="M57">
        <v>0.28329812712718844</v>
      </c>
      <c r="N57">
        <v>0.30192164364975216</v>
      </c>
      <c r="O57">
        <v>0.27709028828633386</v>
      </c>
    </row>
    <row r="58" spans="1:15">
      <c r="A58" s="14">
        <v>43790</v>
      </c>
      <c r="B58">
        <v>794.1</v>
      </c>
      <c r="C58">
        <v>797.4</v>
      </c>
      <c r="D58">
        <v>2689</v>
      </c>
      <c r="E58">
        <v>2707</v>
      </c>
      <c r="F58">
        <v>0.29456963428149202</v>
      </c>
      <c r="G58">
        <v>0.28933795447931898</v>
      </c>
      <c r="H58">
        <v>6.2672289472260698E-3</v>
      </c>
      <c r="I58">
        <v>0.83476762158001305</v>
      </c>
      <c r="J58">
        <v>1.78</v>
      </c>
      <c r="L58">
        <v>0.29560518342654507</v>
      </c>
      <c r="M58">
        <v>0.28307072553209289</v>
      </c>
      <c r="N58">
        <v>0.3018724123737711</v>
      </c>
      <c r="O58">
        <v>0.27680349658486686</v>
      </c>
    </row>
    <row r="59" spans="1:15">
      <c r="A59" s="14">
        <v>43789</v>
      </c>
      <c r="B59">
        <v>798.5</v>
      </c>
      <c r="C59">
        <v>793.8</v>
      </c>
      <c r="D59">
        <v>2731</v>
      </c>
      <c r="E59">
        <v>2694</v>
      </c>
      <c r="F59">
        <v>0.29465478841870801</v>
      </c>
      <c r="G59">
        <v>0.28911261460260002</v>
      </c>
      <c r="H59">
        <v>6.3779246590546399E-3</v>
      </c>
      <c r="I59">
        <v>0.86896194489220902</v>
      </c>
      <c r="J59">
        <v>1.88</v>
      </c>
      <c r="L59">
        <v>0.29549053926165464</v>
      </c>
      <c r="M59">
        <v>0.28273468994354539</v>
      </c>
      <c r="N59">
        <v>0.30186846392070932</v>
      </c>
      <c r="O59">
        <v>0.27635676528449071</v>
      </c>
    </row>
    <row r="60" spans="1:15">
      <c r="A60" s="14">
        <v>43788</v>
      </c>
      <c r="B60">
        <v>808</v>
      </c>
      <c r="C60">
        <v>805</v>
      </c>
      <c r="D60">
        <v>2724</v>
      </c>
      <c r="E60">
        <v>2745</v>
      </c>
      <c r="F60">
        <v>0.29326047358834201</v>
      </c>
      <c r="G60">
        <v>0.288850295329175</v>
      </c>
      <c r="H60">
        <v>6.5469327649552E-3</v>
      </c>
      <c r="I60">
        <v>0.67362510315880797</v>
      </c>
      <c r="J60">
        <v>1.5</v>
      </c>
      <c r="L60">
        <v>0.29539722809413022</v>
      </c>
      <c r="M60">
        <v>0.28230336256421978</v>
      </c>
      <c r="N60">
        <v>0.30194416085908538</v>
      </c>
      <c r="O60">
        <v>0.27575642979926462</v>
      </c>
    </row>
    <row r="61" spans="1:15">
      <c r="A61" s="14">
        <v>43787</v>
      </c>
      <c r="B61">
        <v>810</v>
      </c>
      <c r="C61">
        <v>810.6</v>
      </c>
      <c r="D61">
        <v>2755</v>
      </c>
      <c r="E61">
        <v>2743</v>
      </c>
      <c r="F61">
        <v>0.29551585854903301</v>
      </c>
      <c r="G61">
        <v>0.28863608937726398</v>
      </c>
      <c r="H61">
        <v>6.6609598266586202E-3</v>
      </c>
      <c r="I61">
        <v>1.03284952181136</v>
      </c>
      <c r="J61">
        <v>2.33</v>
      </c>
      <c r="L61">
        <v>0.29529704920392258</v>
      </c>
      <c r="M61">
        <v>0.28197512955060539</v>
      </c>
      <c r="N61">
        <v>0.30195800903058123</v>
      </c>
      <c r="O61">
        <v>0.27531416972394673</v>
      </c>
    </row>
    <row r="62" spans="1:15">
      <c r="A62" s="14">
        <v>43784</v>
      </c>
      <c r="B62">
        <v>799.9</v>
      </c>
      <c r="C62">
        <v>811</v>
      </c>
      <c r="D62">
        <v>2724</v>
      </c>
      <c r="E62">
        <v>2754</v>
      </c>
      <c r="F62">
        <v>0.29448075526506901</v>
      </c>
      <c r="G62">
        <v>0.28837736227474497</v>
      </c>
      <c r="H62">
        <v>6.7647586157610204E-3</v>
      </c>
      <c r="I62">
        <v>0.90223366966910301</v>
      </c>
      <c r="J62">
        <v>2.0699999999999998</v>
      </c>
      <c r="L62">
        <v>0.29514212089050601</v>
      </c>
      <c r="M62">
        <v>0.28161260365898394</v>
      </c>
      <c r="N62">
        <v>0.30190687950626699</v>
      </c>
      <c r="O62">
        <v>0.27484784504322296</v>
      </c>
    </row>
    <row r="63" spans="1:15">
      <c r="A63" s="14">
        <v>43783</v>
      </c>
      <c r="B63">
        <v>802</v>
      </c>
      <c r="C63">
        <v>793.8</v>
      </c>
      <c r="D63">
        <v>2740</v>
      </c>
      <c r="E63">
        <v>2705</v>
      </c>
      <c r="F63">
        <v>0.29345656192236502</v>
      </c>
      <c r="G63">
        <v>0.28817377549150902</v>
      </c>
      <c r="H63">
        <v>6.80763833005784E-3</v>
      </c>
      <c r="I63">
        <v>0.77600867947567298</v>
      </c>
      <c r="J63">
        <v>1.8</v>
      </c>
      <c r="L63">
        <v>0.29498141382156684</v>
      </c>
      <c r="M63">
        <v>0.2813661371614512</v>
      </c>
      <c r="N63">
        <v>0.30178905215162471</v>
      </c>
      <c r="O63">
        <v>0.27455849883139333</v>
      </c>
    </row>
    <row r="64" spans="1:15">
      <c r="A64" s="14">
        <v>43782</v>
      </c>
      <c r="B64">
        <v>814</v>
      </c>
      <c r="C64">
        <v>804.7</v>
      </c>
      <c r="D64">
        <v>2761</v>
      </c>
      <c r="E64">
        <v>2744</v>
      </c>
      <c r="F64">
        <v>0.29325801749271102</v>
      </c>
      <c r="G64">
        <v>0.28802737647273102</v>
      </c>
      <c r="H64">
        <v>6.8105189165604697E-3</v>
      </c>
      <c r="I64">
        <v>0.76802385898388903</v>
      </c>
      <c r="J64">
        <v>1.78</v>
      </c>
      <c r="L64">
        <v>0.2948378953892915</v>
      </c>
      <c r="M64">
        <v>0.28121685755617054</v>
      </c>
      <c r="N64">
        <v>0.30164841430585199</v>
      </c>
      <c r="O64">
        <v>0.27440633863961006</v>
      </c>
    </row>
    <row r="65" spans="1:15">
      <c r="A65" s="14">
        <v>43781</v>
      </c>
      <c r="B65">
        <v>801</v>
      </c>
      <c r="C65">
        <v>815.9</v>
      </c>
      <c r="D65">
        <v>2718</v>
      </c>
      <c r="E65">
        <v>2764</v>
      </c>
      <c r="F65">
        <v>0.29518813314037601</v>
      </c>
      <c r="G65">
        <v>0.28785641128163197</v>
      </c>
      <c r="H65">
        <v>6.8379533469986103E-3</v>
      </c>
      <c r="I65">
        <v>1.0722099854574201</v>
      </c>
      <c r="J65">
        <v>2.48</v>
      </c>
      <c r="L65">
        <v>0.29469436462863058</v>
      </c>
      <c r="M65">
        <v>0.28101845793463337</v>
      </c>
      <c r="N65">
        <v>0.30153231797562918</v>
      </c>
      <c r="O65">
        <v>0.27418050458763477</v>
      </c>
    </row>
    <row r="66" spans="1:15">
      <c r="A66" s="14">
        <v>43780</v>
      </c>
      <c r="B66">
        <v>803.2</v>
      </c>
      <c r="C66">
        <v>806.1</v>
      </c>
      <c r="D66">
        <v>2706</v>
      </c>
      <c r="E66">
        <v>2725</v>
      </c>
      <c r="F66">
        <v>0.295816513761467</v>
      </c>
      <c r="G66">
        <v>0.287673228033406</v>
      </c>
      <c r="H66">
        <v>6.8230975594114097E-3</v>
      </c>
      <c r="I66">
        <v>1.1934880979136799</v>
      </c>
      <c r="J66">
        <v>2.75</v>
      </c>
      <c r="L66">
        <v>0.29449632559281741</v>
      </c>
      <c r="M66">
        <v>0.2808501304739946</v>
      </c>
      <c r="N66">
        <v>0.30131942315222882</v>
      </c>
      <c r="O66">
        <v>0.27402703291458319</v>
      </c>
    </row>
    <row r="67" spans="1:15">
      <c r="A67" s="14">
        <v>43777</v>
      </c>
      <c r="B67">
        <v>796.9</v>
      </c>
      <c r="C67">
        <v>800.2</v>
      </c>
      <c r="D67">
        <v>2716</v>
      </c>
      <c r="E67">
        <v>2706</v>
      </c>
      <c r="F67">
        <v>0.29571322985957099</v>
      </c>
      <c r="G67">
        <v>0.28743173158532798</v>
      </c>
      <c r="H67">
        <v>6.8510751488620198E-3</v>
      </c>
      <c r="I67">
        <v>1.2087881236594</v>
      </c>
      <c r="J67">
        <v>2.8</v>
      </c>
      <c r="L67">
        <v>0.29428280673418999</v>
      </c>
      <c r="M67">
        <v>0.28058065643646596</v>
      </c>
      <c r="N67">
        <v>0.30113388188305201</v>
      </c>
      <c r="O67">
        <v>0.27372958128760394</v>
      </c>
    </row>
    <row r="68" spans="1:15">
      <c r="A68" s="14">
        <v>43776</v>
      </c>
      <c r="B68">
        <v>784</v>
      </c>
      <c r="C68">
        <v>785.8</v>
      </c>
      <c r="D68">
        <v>2731</v>
      </c>
      <c r="E68">
        <v>2656</v>
      </c>
      <c r="F68">
        <v>0.29585843373493897</v>
      </c>
      <c r="G68">
        <v>0.28722810027738099</v>
      </c>
      <c r="H68">
        <v>6.8288321514961602E-3</v>
      </c>
      <c r="I68">
        <v>1.2638081103907799</v>
      </c>
      <c r="J68">
        <v>2.92</v>
      </c>
      <c r="L68">
        <v>0.29405693242887715</v>
      </c>
      <c r="M68">
        <v>0.28039926812588484</v>
      </c>
      <c r="N68">
        <v>0.3008857645803733</v>
      </c>
      <c r="O68">
        <v>0.27357043597438868</v>
      </c>
    </row>
    <row r="69" spans="1:15">
      <c r="A69" s="14">
        <v>43775</v>
      </c>
      <c r="B69">
        <v>770</v>
      </c>
      <c r="C69">
        <v>784.8</v>
      </c>
      <c r="D69">
        <v>2721</v>
      </c>
      <c r="E69">
        <v>2713</v>
      </c>
      <c r="F69">
        <v>0.28927386656837401</v>
      </c>
      <c r="G69">
        <v>0.28696368996614002</v>
      </c>
      <c r="H69">
        <v>6.8733251327984402E-3</v>
      </c>
      <c r="I69">
        <v>0.33610756913131101</v>
      </c>
      <c r="J69">
        <v>0.8</v>
      </c>
      <c r="L69">
        <v>0.29383701509893845</v>
      </c>
      <c r="M69">
        <v>0.2800903648333416</v>
      </c>
      <c r="N69">
        <v>0.30071034023173693</v>
      </c>
      <c r="O69">
        <v>0.27321703970054312</v>
      </c>
    </row>
    <row r="70" spans="1:15">
      <c r="A70" s="14">
        <v>43774</v>
      </c>
      <c r="B70">
        <v>769</v>
      </c>
      <c r="C70">
        <v>768.5</v>
      </c>
      <c r="D70">
        <v>2648</v>
      </c>
      <c r="E70">
        <v>2699</v>
      </c>
      <c r="F70">
        <v>0.28473508706928402</v>
      </c>
      <c r="G70">
        <v>0.28680500191554498</v>
      </c>
      <c r="H70">
        <v>6.95506031216189E-3</v>
      </c>
      <c r="I70">
        <v>-0.29761278168078398</v>
      </c>
      <c r="J70">
        <v>-0.73</v>
      </c>
      <c r="L70">
        <v>0.29376006222770684</v>
      </c>
      <c r="M70">
        <v>0.27984994160338311</v>
      </c>
      <c r="N70">
        <v>0.30071512253986876</v>
      </c>
      <c r="O70">
        <v>0.27289488129122119</v>
      </c>
    </row>
    <row r="71" spans="1:15">
      <c r="A71" s="14">
        <v>43770</v>
      </c>
      <c r="B71">
        <v>758.8</v>
      </c>
      <c r="C71">
        <v>756.1</v>
      </c>
      <c r="D71">
        <v>2609</v>
      </c>
      <c r="E71">
        <v>2622</v>
      </c>
      <c r="F71">
        <v>0.28836765827612498</v>
      </c>
      <c r="G71">
        <v>0.28675789207460001</v>
      </c>
      <c r="H71">
        <v>6.98083960642142E-3</v>
      </c>
      <c r="I71">
        <v>0.23059779228326599</v>
      </c>
      <c r="J71">
        <v>0.56000000000000005</v>
      </c>
      <c r="L71">
        <v>0.29373873168102144</v>
      </c>
      <c r="M71">
        <v>0.27977705246817858</v>
      </c>
      <c r="N71">
        <v>0.30071957128744287</v>
      </c>
      <c r="O71">
        <v>0.27279621286175715</v>
      </c>
    </row>
    <row r="72" spans="1:15">
      <c r="A72" s="14">
        <v>43769</v>
      </c>
      <c r="B72">
        <v>762</v>
      </c>
      <c r="C72">
        <v>765.8</v>
      </c>
      <c r="D72">
        <v>2651</v>
      </c>
      <c r="E72">
        <v>2652</v>
      </c>
      <c r="F72">
        <v>0.28876319758672597</v>
      </c>
      <c r="G72">
        <v>0.286646219898335</v>
      </c>
      <c r="H72">
        <v>7.0210696739893396E-3</v>
      </c>
      <c r="I72">
        <v>0.301517829431933</v>
      </c>
      <c r="J72">
        <v>0.73</v>
      </c>
      <c r="L72">
        <v>0.29366728957232435</v>
      </c>
      <c r="M72">
        <v>0.27962515022434564</v>
      </c>
      <c r="N72">
        <v>0.30068835924631365</v>
      </c>
      <c r="O72">
        <v>0.27260408055035634</v>
      </c>
    </row>
    <row r="73" spans="1:15">
      <c r="A73" s="14">
        <v>43768</v>
      </c>
      <c r="B73">
        <v>765</v>
      </c>
      <c r="C73">
        <v>766.7</v>
      </c>
      <c r="D73">
        <v>2621</v>
      </c>
      <c r="E73">
        <v>2629</v>
      </c>
      <c r="F73">
        <v>0.291631799163179</v>
      </c>
      <c r="G73">
        <v>0.28659703895538702</v>
      </c>
      <c r="H73">
        <v>7.01898696894544E-3</v>
      </c>
      <c r="I73">
        <v>0.71730582063588999</v>
      </c>
      <c r="J73">
        <v>1.73</v>
      </c>
      <c r="L73">
        <v>0.29361602592433245</v>
      </c>
      <c r="M73">
        <v>0.27957805198644159</v>
      </c>
      <c r="N73">
        <v>0.30063501289327788</v>
      </c>
      <c r="O73">
        <v>0.27255906501749616</v>
      </c>
    </row>
    <row r="74" spans="1:15">
      <c r="A74" s="14">
        <v>43767</v>
      </c>
      <c r="B74">
        <v>759</v>
      </c>
      <c r="C74">
        <v>761.9</v>
      </c>
      <c r="D74">
        <v>2630</v>
      </c>
      <c r="E74">
        <v>2627</v>
      </c>
      <c r="F74">
        <v>0.29002664636467401</v>
      </c>
      <c r="G74">
        <v>0.28653497398101502</v>
      </c>
      <c r="H74">
        <v>6.9947313072722802E-3</v>
      </c>
      <c r="I74">
        <v>0.49918606309133201</v>
      </c>
      <c r="J74">
        <v>1.2</v>
      </c>
      <c r="L74">
        <v>0.29352970528828731</v>
      </c>
      <c r="M74">
        <v>0.27954024267374272</v>
      </c>
      <c r="N74">
        <v>0.30052443659555955</v>
      </c>
      <c r="O74">
        <v>0.27254551136647048</v>
      </c>
    </row>
    <row r="75" spans="1:15">
      <c r="A75" s="14">
        <v>43766</v>
      </c>
      <c r="B75">
        <v>755</v>
      </c>
      <c r="C75">
        <v>753.8</v>
      </c>
      <c r="D75">
        <v>2598</v>
      </c>
      <c r="E75">
        <v>2595</v>
      </c>
      <c r="F75">
        <v>0.29048169556839998</v>
      </c>
      <c r="G75">
        <v>0.28645853874773197</v>
      </c>
      <c r="H75">
        <v>6.9874763682024697E-3</v>
      </c>
      <c r="I75">
        <v>0.57576678741638299</v>
      </c>
      <c r="J75">
        <v>1.38</v>
      </c>
      <c r="L75">
        <v>0.29344601511593443</v>
      </c>
      <c r="M75">
        <v>0.27947106237952951</v>
      </c>
      <c r="N75">
        <v>0.30043349148413689</v>
      </c>
      <c r="O75">
        <v>0.27248358601132705</v>
      </c>
    </row>
    <row r="76" spans="1:15">
      <c r="A76" s="14">
        <v>43763</v>
      </c>
      <c r="B76">
        <v>751.9</v>
      </c>
      <c r="C76">
        <v>753.1</v>
      </c>
      <c r="D76">
        <v>2595</v>
      </c>
      <c r="E76">
        <v>2594</v>
      </c>
      <c r="F76">
        <v>0.29032382420971398</v>
      </c>
      <c r="G76">
        <v>0.28632917638725602</v>
      </c>
      <c r="H76">
        <v>7.00159251693536E-3</v>
      </c>
      <c r="I76">
        <v>0.57053417673136897</v>
      </c>
      <c r="J76">
        <v>1.38</v>
      </c>
      <c r="L76">
        <v>0.29333076890419141</v>
      </c>
      <c r="M76">
        <v>0.27932758387032064</v>
      </c>
      <c r="N76">
        <v>0.30033236142112674</v>
      </c>
      <c r="O76">
        <v>0.27232599135338531</v>
      </c>
    </row>
    <row r="77" spans="1:15">
      <c r="A77" s="14">
        <v>43762</v>
      </c>
      <c r="B77">
        <v>753.7</v>
      </c>
      <c r="C77">
        <v>752.5</v>
      </c>
      <c r="D77">
        <v>2619</v>
      </c>
      <c r="E77">
        <v>2593</v>
      </c>
      <c r="F77">
        <v>0.29020439645198598</v>
      </c>
      <c r="G77">
        <v>0.28620841462582303</v>
      </c>
      <c r="H77">
        <v>7.0097552155777999E-3</v>
      </c>
      <c r="I77">
        <v>0.57006010955733699</v>
      </c>
      <c r="J77">
        <v>1.38</v>
      </c>
      <c r="L77">
        <v>0.29321816984140081</v>
      </c>
      <c r="M77">
        <v>0.27919865941024524</v>
      </c>
      <c r="N77">
        <v>0.30022792505697865</v>
      </c>
      <c r="O77">
        <v>0.2721889041946674</v>
      </c>
    </row>
    <row r="78" spans="1:15">
      <c r="A78" s="14">
        <v>43761</v>
      </c>
      <c r="B78">
        <v>745.9</v>
      </c>
      <c r="C78">
        <v>748.6</v>
      </c>
      <c r="D78">
        <v>2585</v>
      </c>
      <c r="E78">
        <v>2555</v>
      </c>
      <c r="F78">
        <v>0.29299412915851197</v>
      </c>
      <c r="G78">
        <v>0.28610862102002399</v>
      </c>
      <c r="H78">
        <v>7.0054314521063102E-3</v>
      </c>
      <c r="I78">
        <v>0.98288138076320797</v>
      </c>
      <c r="J78">
        <v>2.35</v>
      </c>
      <c r="L78">
        <v>0.29311405247213029</v>
      </c>
      <c r="M78">
        <v>0.27910318956791769</v>
      </c>
      <c r="N78">
        <v>0.3001194839242366</v>
      </c>
      <c r="O78">
        <v>0.27209775811581138</v>
      </c>
    </row>
    <row r="79" spans="1:15">
      <c r="A79" s="14">
        <v>43759</v>
      </c>
      <c r="B79">
        <v>734.7</v>
      </c>
      <c r="C79">
        <v>741.7</v>
      </c>
      <c r="D79">
        <v>2581</v>
      </c>
      <c r="E79">
        <v>2574</v>
      </c>
      <c r="F79">
        <v>0.288150738150738</v>
      </c>
      <c r="G79">
        <v>0.28603343843951901</v>
      </c>
      <c r="H79">
        <v>6.96125049116354E-3</v>
      </c>
      <c r="I79">
        <v>0.30415508160580801</v>
      </c>
      <c r="J79">
        <v>0.73</v>
      </c>
      <c r="L79">
        <v>0.29299468893068253</v>
      </c>
      <c r="M79">
        <v>0.27907218794835548</v>
      </c>
      <c r="N79">
        <v>0.29995593942184606</v>
      </c>
      <c r="O79">
        <v>0.27211093745719195</v>
      </c>
    </row>
    <row r="80" spans="1:15">
      <c r="A80" s="14">
        <v>43756</v>
      </c>
      <c r="B80">
        <v>733.2</v>
      </c>
      <c r="C80">
        <v>733.7</v>
      </c>
      <c r="D80">
        <v>2590</v>
      </c>
      <c r="E80">
        <v>2568</v>
      </c>
      <c r="F80">
        <v>0.285708722741433</v>
      </c>
      <c r="G80">
        <v>0.286051433801777</v>
      </c>
      <c r="H80">
        <v>6.9684413750847798E-3</v>
      </c>
      <c r="I80">
        <v>-4.9180446802607601E-2</v>
      </c>
      <c r="J80">
        <v>-0.12</v>
      </c>
      <c r="L80">
        <v>0.29301987517686179</v>
      </c>
      <c r="M80">
        <v>0.27908299242669221</v>
      </c>
      <c r="N80">
        <v>0.29998831655194658</v>
      </c>
      <c r="O80">
        <v>0.27211455105160742</v>
      </c>
    </row>
    <row r="81" spans="1:15">
      <c r="A81" s="14">
        <v>43755</v>
      </c>
      <c r="B81">
        <v>736.5</v>
      </c>
      <c r="C81">
        <v>731.6</v>
      </c>
      <c r="D81">
        <v>2605</v>
      </c>
      <c r="E81">
        <v>2573</v>
      </c>
      <c r="F81">
        <v>0.28433734939758998</v>
      </c>
      <c r="G81">
        <v>0.28608772310805097</v>
      </c>
      <c r="H81">
        <v>6.9736470603420303E-3</v>
      </c>
      <c r="I81">
        <v>-0.25099832201361699</v>
      </c>
      <c r="J81">
        <v>-0.62</v>
      </c>
      <c r="L81">
        <v>0.29306137016839301</v>
      </c>
      <c r="M81">
        <v>0.27911407604770894</v>
      </c>
      <c r="N81">
        <v>0.30003501722873505</v>
      </c>
      <c r="O81">
        <v>0.2721404289873669</v>
      </c>
    </row>
    <row r="82" spans="1:15">
      <c r="A82" s="14">
        <v>43754</v>
      </c>
      <c r="B82">
        <v>749.5</v>
      </c>
      <c r="C82">
        <v>736</v>
      </c>
      <c r="D82">
        <v>2592</v>
      </c>
      <c r="E82">
        <v>2590</v>
      </c>
      <c r="F82">
        <v>0.28416988416988398</v>
      </c>
      <c r="G82">
        <v>0.28613521659638103</v>
      </c>
      <c r="H82">
        <v>6.9736939523852102E-3</v>
      </c>
      <c r="I82">
        <v>-0.28182085992250799</v>
      </c>
      <c r="J82">
        <v>-0.69</v>
      </c>
      <c r="L82">
        <v>0.29310891054876625</v>
      </c>
      <c r="M82">
        <v>0.2791615226439958</v>
      </c>
      <c r="N82">
        <v>0.30008260450115143</v>
      </c>
      <c r="O82">
        <v>0.27218782869161062</v>
      </c>
    </row>
    <row r="83" spans="1:15">
      <c r="A83" s="14">
        <v>43753</v>
      </c>
      <c r="B83">
        <v>744</v>
      </c>
      <c r="C83">
        <v>746.1</v>
      </c>
      <c r="D83">
        <v>2578</v>
      </c>
      <c r="E83">
        <v>2563</v>
      </c>
      <c r="F83">
        <v>0.29110417479516099</v>
      </c>
      <c r="G83">
        <v>0.286236118748316</v>
      </c>
      <c r="H83">
        <v>6.9992290200385403E-3</v>
      </c>
      <c r="I83">
        <v>0.69551318193877198</v>
      </c>
      <c r="J83">
        <v>1.67</v>
      </c>
      <c r="L83">
        <v>0.29323534776835453</v>
      </c>
      <c r="M83">
        <v>0.27923688972827748</v>
      </c>
      <c r="N83">
        <v>0.3002345767883931</v>
      </c>
      <c r="O83">
        <v>0.2722376607082389</v>
      </c>
    </row>
    <row r="84" spans="1:15">
      <c r="A84" s="14">
        <v>43749</v>
      </c>
      <c r="B84">
        <v>727.3</v>
      </c>
      <c r="C84">
        <v>734.5</v>
      </c>
      <c r="D84">
        <v>2500</v>
      </c>
      <c r="E84">
        <v>2504</v>
      </c>
      <c r="F84">
        <v>0.29333067092651699</v>
      </c>
      <c r="G84">
        <v>0.28620764359679302</v>
      </c>
      <c r="H84">
        <v>6.9836932451711803E-3</v>
      </c>
      <c r="I84">
        <v>1.0199513466101</v>
      </c>
      <c r="J84">
        <v>2.4300000000000002</v>
      </c>
      <c r="L84">
        <v>0.29319133684196419</v>
      </c>
      <c r="M84">
        <v>0.27922395035162184</v>
      </c>
      <c r="N84">
        <v>0.30017503008713536</v>
      </c>
      <c r="O84">
        <v>0.27224025710645067</v>
      </c>
    </row>
    <row r="85" spans="1:15">
      <c r="A85" s="14">
        <v>43748</v>
      </c>
      <c r="B85">
        <v>709.8</v>
      </c>
      <c r="C85">
        <v>717.2</v>
      </c>
      <c r="D85">
        <v>2491</v>
      </c>
      <c r="E85">
        <v>2484</v>
      </c>
      <c r="F85">
        <v>0.28872785829307501</v>
      </c>
      <c r="G85">
        <v>0.28615630068260001</v>
      </c>
      <c r="H85">
        <v>6.9451859873354404E-3</v>
      </c>
      <c r="I85">
        <v>0.37026475823175597</v>
      </c>
      <c r="J85">
        <v>0.89</v>
      </c>
      <c r="L85">
        <v>0.29310148666993546</v>
      </c>
      <c r="M85">
        <v>0.27921111469526455</v>
      </c>
      <c r="N85">
        <v>0.30004667265727086</v>
      </c>
      <c r="O85">
        <v>0.27226592870792915</v>
      </c>
    </row>
    <row r="86" spans="1:15">
      <c r="A86" s="14">
        <v>43747</v>
      </c>
      <c r="B86">
        <v>714.1</v>
      </c>
      <c r="C86">
        <v>711.2</v>
      </c>
      <c r="D86">
        <v>2435</v>
      </c>
      <c r="E86">
        <v>2483</v>
      </c>
      <c r="F86">
        <v>0.28642770841723703</v>
      </c>
      <c r="G86">
        <v>0.28616415481454599</v>
      </c>
      <c r="H86">
        <v>6.9484219770390102E-3</v>
      </c>
      <c r="I86">
        <v>3.7929993826168303E-2</v>
      </c>
      <c r="J86">
        <v>0.09</v>
      </c>
      <c r="L86">
        <v>0.29311257679158498</v>
      </c>
      <c r="M86">
        <v>0.279215732837507</v>
      </c>
      <c r="N86">
        <v>0.30006099876862402</v>
      </c>
      <c r="O86">
        <v>0.27226731086046796</v>
      </c>
    </row>
    <row r="87" spans="1:15">
      <c r="A87" s="14">
        <v>43746</v>
      </c>
      <c r="B87">
        <v>710.4</v>
      </c>
      <c r="C87">
        <v>722.7</v>
      </c>
      <c r="D87">
        <v>2468</v>
      </c>
      <c r="E87">
        <v>2461</v>
      </c>
      <c r="F87">
        <v>0.293661113368549</v>
      </c>
      <c r="G87">
        <v>0.28611200750409299</v>
      </c>
      <c r="H87">
        <v>6.9609131624370603E-3</v>
      </c>
      <c r="I87">
        <v>1.0844993592496599</v>
      </c>
      <c r="J87">
        <v>2.57</v>
      </c>
      <c r="L87">
        <v>0.29307292066653007</v>
      </c>
      <c r="M87">
        <v>0.27915109434165591</v>
      </c>
      <c r="N87">
        <v>0.30003383382896709</v>
      </c>
      <c r="O87">
        <v>0.27219018117921889</v>
      </c>
    </row>
    <row r="88" spans="1:15">
      <c r="A88" s="14">
        <v>43745</v>
      </c>
      <c r="B88">
        <v>698.5</v>
      </c>
      <c r="C88">
        <v>694.6</v>
      </c>
      <c r="D88">
        <v>2426</v>
      </c>
      <c r="E88">
        <v>2420</v>
      </c>
      <c r="F88">
        <v>0.28702479338842901</v>
      </c>
      <c r="G88">
        <v>0.28599639603799698</v>
      </c>
      <c r="H88">
        <v>6.9063644909934697E-3</v>
      </c>
      <c r="I88">
        <v>0.14890574509551399</v>
      </c>
      <c r="J88">
        <v>0.36</v>
      </c>
      <c r="L88">
        <v>0.29290276052899045</v>
      </c>
      <c r="M88">
        <v>0.27909003154700351</v>
      </c>
      <c r="N88">
        <v>0.29980912501998391</v>
      </c>
      <c r="O88">
        <v>0.27218366705601005</v>
      </c>
    </row>
    <row r="89" spans="1:15">
      <c r="A89" s="14">
        <v>43742</v>
      </c>
      <c r="B89">
        <v>694.9</v>
      </c>
      <c r="C89">
        <v>694.1</v>
      </c>
      <c r="D89">
        <v>2410</v>
      </c>
      <c r="E89">
        <v>2423</v>
      </c>
      <c r="F89">
        <v>0.28646306231943802</v>
      </c>
      <c r="G89">
        <v>0.28587257339599198</v>
      </c>
      <c r="H89">
        <v>6.9697750453176699E-3</v>
      </c>
      <c r="I89">
        <v>8.4721374736861796E-2</v>
      </c>
      <c r="J89">
        <v>0.21</v>
      </c>
      <c r="L89">
        <v>0.29284234844130963</v>
      </c>
      <c r="M89">
        <v>0.27890279835067433</v>
      </c>
      <c r="N89">
        <v>0.29981212348662734</v>
      </c>
      <c r="O89">
        <v>0.27193302330535662</v>
      </c>
    </row>
    <row r="90" spans="1:15">
      <c r="A90" s="14">
        <v>43741</v>
      </c>
      <c r="B90">
        <v>700</v>
      </c>
      <c r="C90">
        <v>699.6</v>
      </c>
      <c r="D90">
        <v>2417</v>
      </c>
      <c r="E90">
        <v>2416</v>
      </c>
      <c r="F90">
        <v>0.28956953642384098</v>
      </c>
      <c r="G90">
        <v>0.285785458424207</v>
      </c>
      <c r="H90">
        <v>7.0026045644033799E-3</v>
      </c>
      <c r="I90">
        <v>0.54038150588563505</v>
      </c>
      <c r="J90">
        <v>1.31</v>
      </c>
      <c r="L90">
        <v>0.29278806298861038</v>
      </c>
      <c r="M90">
        <v>0.27878285385980361</v>
      </c>
      <c r="N90">
        <v>0.29979066755301376</v>
      </c>
      <c r="O90">
        <v>0.27178024929540023</v>
      </c>
    </row>
    <row r="91" spans="1:15">
      <c r="A91" s="14">
        <v>43740</v>
      </c>
      <c r="B91">
        <v>714.3</v>
      </c>
      <c r="C91">
        <v>712.7</v>
      </c>
      <c r="D91">
        <v>2481</v>
      </c>
      <c r="E91">
        <v>2497</v>
      </c>
      <c r="F91">
        <v>0.28542250700840999</v>
      </c>
      <c r="G91">
        <v>0.28562495812481897</v>
      </c>
      <c r="H91">
        <v>7.0518114689331101E-3</v>
      </c>
      <c r="I91">
        <v>-2.87090937273114E-2</v>
      </c>
      <c r="J91">
        <v>-7.0000000000000007E-2</v>
      </c>
      <c r="L91">
        <v>0.29267676959375211</v>
      </c>
      <c r="M91">
        <v>0.27857314665588584</v>
      </c>
      <c r="N91">
        <v>0.29972858106268518</v>
      </c>
      <c r="O91">
        <v>0.27152133518695276</v>
      </c>
    </row>
    <row r="92" spans="1:15">
      <c r="A92" s="14">
        <v>43739</v>
      </c>
      <c r="B92">
        <v>718.4</v>
      </c>
      <c r="C92">
        <v>729.3</v>
      </c>
      <c r="D92">
        <v>2462</v>
      </c>
      <c r="E92">
        <v>2496</v>
      </c>
      <c r="F92">
        <v>0.29218749999999999</v>
      </c>
      <c r="G92">
        <v>0.28554067886470602</v>
      </c>
      <c r="H92">
        <v>7.0913885372802504E-3</v>
      </c>
      <c r="I92">
        <v>0.93730883597055303</v>
      </c>
      <c r="J92">
        <v>2.27</v>
      </c>
      <c r="L92">
        <v>0.29263206740198627</v>
      </c>
      <c r="M92">
        <v>0.27844929032742577</v>
      </c>
      <c r="N92">
        <v>0.29972345593926653</v>
      </c>
      <c r="O92">
        <v>0.27135790179014552</v>
      </c>
    </row>
    <row r="93" spans="1:15">
      <c r="A93" s="14">
        <v>43738</v>
      </c>
      <c r="B93">
        <v>724</v>
      </c>
      <c r="C93">
        <v>717.7</v>
      </c>
      <c r="D93">
        <v>2478</v>
      </c>
      <c r="E93">
        <v>2460</v>
      </c>
      <c r="F93">
        <v>0.29174796747967402</v>
      </c>
      <c r="G93">
        <v>0.28538782359986098</v>
      </c>
      <c r="H93">
        <v>7.0699913963151598E-3</v>
      </c>
      <c r="I93">
        <v>0.89959711734985104</v>
      </c>
      <c r="J93">
        <v>2.1800000000000002</v>
      </c>
      <c r="L93">
        <v>0.29245781499617612</v>
      </c>
      <c r="M93">
        <v>0.27831783220354583</v>
      </c>
      <c r="N93">
        <v>0.29952780639249132</v>
      </c>
      <c r="O93">
        <v>0.27124784080723063</v>
      </c>
    </row>
    <row r="94" spans="1:15">
      <c r="A94" s="14">
        <v>43735</v>
      </c>
      <c r="B94">
        <v>736</v>
      </c>
      <c r="C94">
        <v>727.9</v>
      </c>
      <c r="D94">
        <v>2543</v>
      </c>
      <c r="E94">
        <v>2500</v>
      </c>
      <c r="F94">
        <v>0.29115999999999997</v>
      </c>
      <c r="G94">
        <v>0.28520772724334198</v>
      </c>
      <c r="H94">
        <v>7.07771633292229E-3</v>
      </c>
      <c r="I94">
        <v>0.84098775320655506</v>
      </c>
      <c r="J94">
        <v>2.04</v>
      </c>
      <c r="L94">
        <v>0.29228544357626429</v>
      </c>
      <c r="M94">
        <v>0.27813001091041967</v>
      </c>
      <c r="N94">
        <v>0.29936315990918655</v>
      </c>
      <c r="O94">
        <v>0.27105229457749741</v>
      </c>
    </row>
    <row r="95" spans="1:15">
      <c r="A95" s="14">
        <v>43734</v>
      </c>
      <c r="B95">
        <v>755.2</v>
      </c>
      <c r="C95">
        <v>755.9</v>
      </c>
      <c r="D95">
        <v>2629</v>
      </c>
      <c r="E95">
        <v>2592</v>
      </c>
      <c r="F95">
        <v>0.29162808641975302</v>
      </c>
      <c r="G95">
        <v>0.28494632780787899</v>
      </c>
      <c r="H95">
        <v>7.2137800224544597E-3</v>
      </c>
      <c r="I95">
        <v>0.92624928831701903</v>
      </c>
      <c r="J95">
        <v>2.29</v>
      </c>
      <c r="L95">
        <v>0.29216010783033347</v>
      </c>
      <c r="M95">
        <v>0.2777325477854245</v>
      </c>
      <c r="N95">
        <v>0.2993738878527879</v>
      </c>
      <c r="O95">
        <v>0.27051876776297007</v>
      </c>
    </row>
    <row r="96" spans="1:15">
      <c r="A96" s="14">
        <v>43733</v>
      </c>
      <c r="B96">
        <v>743.1</v>
      </c>
      <c r="C96">
        <v>752.9</v>
      </c>
      <c r="D96">
        <v>2515</v>
      </c>
      <c r="E96">
        <v>2536</v>
      </c>
      <c r="F96">
        <v>0.29688485804416398</v>
      </c>
      <c r="G96">
        <v>0.28476201060151801</v>
      </c>
      <c r="H96">
        <v>7.2173045979791002E-3</v>
      </c>
      <c r="I96">
        <v>1.6796918126525799</v>
      </c>
      <c r="J96">
        <v>4.08</v>
      </c>
      <c r="L96">
        <v>0.2919793151994971</v>
      </c>
      <c r="M96">
        <v>0.27754470600353892</v>
      </c>
      <c r="N96">
        <v>0.29919661979747619</v>
      </c>
      <c r="O96">
        <v>0.27032740140555983</v>
      </c>
    </row>
    <row r="97" spans="1:15">
      <c r="A97" s="14">
        <v>43732</v>
      </c>
      <c r="B97">
        <v>751</v>
      </c>
      <c r="C97">
        <v>752.9</v>
      </c>
      <c r="D97">
        <v>2511</v>
      </c>
      <c r="E97">
        <v>2500</v>
      </c>
      <c r="F97">
        <v>0.30115999999999998</v>
      </c>
      <c r="G97">
        <v>0.28448524908774198</v>
      </c>
      <c r="H97">
        <v>7.1447451787004998E-3</v>
      </c>
      <c r="I97">
        <v>2.3338482332395598</v>
      </c>
      <c r="J97">
        <v>5.54</v>
      </c>
      <c r="L97">
        <v>0.29162999426644248</v>
      </c>
      <c r="M97">
        <v>0.27734050390904147</v>
      </c>
      <c r="N97">
        <v>0.29877473944514299</v>
      </c>
      <c r="O97">
        <v>0.27019575873034096</v>
      </c>
    </row>
    <row r="98" spans="1:15">
      <c r="A98" s="14">
        <v>43728</v>
      </c>
      <c r="B98">
        <v>758</v>
      </c>
      <c r="C98">
        <v>754</v>
      </c>
      <c r="D98">
        <v>2582</v>
      </c>
      <c r="E98">
        <v>2515</v>
      </c>
      <c r="F98">
        <v>0.29980119284294199</v>
      </c>
      <c r="G98">
        <v>0.28413354134256702</v>
      </c>
      <c r="H98">
        <v>6.96216795203614E-3</v>
      </c>
      <c r="I98">
        <v>2.25039838284754</v>
      </c>
      <c r="J98">
        <v>5.23</v>
      </c>
      <c r="L98">
        <v>0.29109570929460316</v>
      </c>
      <c r="M98">
        <v>0.27717137339053088</v>
      </c>
      <c r="N98">
        <v>0.29805787724663929</v>
      </c>
      <c r="O98">
        <v>0.27020920543849475</v>
      </c>
    </row>
    <row r="99" spans="1:15">
      <c r="A99" s="14">
        <v>43727</v>
      </c>
      <c r="B99">
        <v>755</v>
      </c>
      <c r="C99">
        <v>753.2</v>
      </c>
      <c r="D99">
        <v>2525</v>
      </c>
      <c r="E99">
        <v>2564</v>
      </c>
      <c r="F99">
        <v>0.29375975039001501</v>
      </c>
      <c r="G99">
        <v>0.28387477564308</v>
      </c>
      <c r="H99">
        <v>6.7318866484680504E-3</v>
      </c>
      <c r="I99">
        <v>1.46838104429228</v>
      </c>
      <c r="J99">
        <v>3.36</v>
      </c>
      <c r="L99">
        <v>0.29060666229154808</v>
      </c>
      <c r="M99">
        <v>0.27714288899461192</v>
      </c>
      <c r="N99">
        <v>0.2973385489400161</v>
      </c>
      <c r="O99">
        <v>0.2704110023461439</v>
      </c>
    </row>
    <row r="100" spans="1:15">
      <c r="A100" s="14">
        <v>43726</v>
      </c>
      <c r="B100">
        <v>763.2</v>
      </c>
      <c r="C100">
        <v>753.8</v>
      </c>
      <c r="D100">
        <v>2529</v>
      </c>
      <c r="E100">
        <v>2492</v>
      </c>
      <c r="F100">
        <v>0.30248796147672502</v>
      </c>
      <c r="G100">
        <v>0.28360673032843398</v>
      </c>
      <c r="H100">
        <v>6.7331886225831597E-3</v>
      </c>
      <c r="I100">
        <v>2.80420350693332</v>
      </c>
      <c r="J100">
        <v>6.24</v>
      </c>
      <c r="L100">
        <v>0.29033991895101713</v>
      </c>
      <c r="M100">
        <v>0.27687354170585082</v>
      </c>
      <c r="N100">
        <v>0.29707310757360028</v>
      </c>
      <c r="O100">
        <v>0.27014035308326767</v>
      </c>
    </row>
    <row r="101" spans="1:15">
      <c r="A101" s="14">
        <v>43725</v>
      </c>
      <c r="B101">
        <v>753.9</v>
      </c>
      <c r="C101">
        <v>766.7</v>
      </c>
      <c r="D101">
        <v>2543</v>
      </c>
      <c r="E101">
        <v>2529</v>
      </c>
      <c r="F101">
        <v>0.30316330565440802</v>
      </c>
      <c r="G101">
        <v>0.28326711243375402</v>
      </c>
      <c r="H101">
        <v>6.4067311750070997E-3</v>
      </c>
      <c r="I101">
        <v>3.1055139785277501</v>
      </c>
      <c r="J101">
        <v>6.56</v>
      </c>
      <c r="L101">
        <v>0.28967384360876114</v>
      </c>
      <c r="M101">
        <v>0.2768603812587469</v>
      </c>
      <c r="N101">
        <v>0.2960805747837682</v>
      </c>
      <c r="O101">
        <v>0.27045365008373984</v>
      </c>
    </row>
    <row r="102" spans="1:15">
      <c r="A102" s="14">
        <v>43721</v>
      </c>
      <c r="B102">
        <v>754.7</v>
      </c>
      <c r="C102">
        <v>748.8</v>
      </c>
      <c r="D102">
        <v>2512</v>
      </c>
      <c r="E102">
        <v>2519</v>
      </c>
      <c r="F102">
        <v>0.29726081778483499</v>
      </c>
      <c r="G102">
        <v>0.28293656045732501</v>
      </c>
      <c r="H102">
        <v>5.99819418148288E-3</v>
      </c>
      <c r="I102">
        <v>2.3880949656032602</v>
      </c>
      <c r="J102">
        <v>4.82</v>
      </c>
      <c r="L102">
        <v>0.28893475463880791</v>
      </c>
      <c r="M102">
        <v>0.27693836627584212</v>
      </c>
      <c r="N102">
        <v>0.29493294882029075</v>
      </c>
      <c r="O102">
        <v>0.27094017209435928</v>
      </c>
    </row>
    <row r="103" spans="1:15">
      <c r="A103" s="14">
        <v>43720</v>
      </c>
      <c r="B103">
        <v>750</v>
      </c>
      <c r="C103">
        <v>747.5</v>
      </c>
      <c r="D103">
        <v>2494</v>
      </c>
      <c r="E103">
        <v>2494</v>
      </c>
      <c r="F103">
        <v>0.29971932638331999</v>
      </c>
      <c r="G103">
        <v>0.28262032949500099</v>
      </c>
      <c r="H103">
        <v>5.8582365668910603E-3</v>
      </c>
      <c r="I103">
        <v>2.91879590267096</v>
      </c>
      <c r="J103">
        <v>5.71</v>
      </c>
      <c r="L103">
        <v>0.28847856606189204</v>
      </c>
      <c r="M103">
        <v>0.27676209292810994</v>
      </c>
      <c r="N103">
        <v>0.29433680262878309</v>
      </c>
      <c r="O103">
        <v>0.27090385636121889</v>
      </c>
    </row>
    <row r="104" spans="1:15">
      <c r="A104" s="14">
        <v>43719</v>
      </c>
      <c r="B104">
        <v>733.9</v>
      </c>
      <c r="C104">
        <v>740.5</v>
      </c>
      <c r="D104">
        <v>2431</v>
      </c>
      <c r="E104">
        <v>2467</v>
      </c>
      <c r="F104">
        <v>0.30016214025131699</v>
      </c>
      <c r="G104">
        <v>0.28230997179662498</v>
      </c>
      <c r="H104">
        <v>5.5527601880244496E-3</v>
      </c>
      <c r="I104">
        <v>3.21500800506259</v>
      </c>
      <c r="J104">
        <v>5.95</v>
      </c>
      <c r="L104">
        <v>0.28786273198464946</v>
      </c>
      <c r="M104">
        <v>0.27675721160860051</v>
      </c>
      <c r="N104">
        <v>0.29341549217267388</v>
      </c>
      <c r="O104">
        <v>0.27120445142057609</v>
      </c>
    </row>
    <row r="105" spans="1:15">
      <c r="A105" s="14">
        <v>43718</v>
      </c>
      <c r="B105">
        <v>711</v>
      </c>
      <c r="C105">
        <v>725.4</v>
      </c>
      <c r="D105">
        <v>2448</v>
      </c>
      <c r="E105">
        <v>2423</v>
      </c>
      <c r="F105">
        <v>0.29938093272802302</v>
      </c>
      <c r="G105">
        <v>0.281975925296027</v>
      </c>
      <c r="H105">
        <v>5.2118787094994398E-3</v>
      </c>
      <c r="I105">
        <v>3.33948819650624</v>
      </c>
      <c r="J105">
        <v>5.81</v>
      </c>
      <c r="L105">
        <v>0.28718780400552646</v>
      </c>
      <c r="M105">
        <v>0.27676404658652753</v>
      </c>
      <c r="N105">
        <v>0.29239968271502587</v>
      </c>
      <c r="O105">
        <v>0.27155216787702813</v>
      </c>
    </row>
    <row r="106" spans="1:15">
      <c r="A106" s="14">
        <v>43717</v>
      </c>
      <c r="B106">
        <v>695.9</v>
      </c>
      <c r="C106">
        <v>701.4</v>
      </c>
      <c r="D106">
        <v>2408</v>
      </c>
      <c r="E106">
        <v>2428</v>
      </c>
      <c r="F106">
        <v>0.28887973640856601</v>
      </c>
      <c r="G106">
        <v>0.28167214544751301</v>
      </c>
      <c r="H106">
        <v>4.8392128669090496E-3</v>
      </c>
      <c r="I106">
        <v>1.48941391074973</v>
      </c>
      <c r="J106">
        <v>2.5</v>
      </c>
      <c r="L106">
        <v>0.28651135831442204</v>
      </c>
      <c r="M106">
        <v>0.27683293258060399</v>
      </c>
      <c r="N106">
        <v>0.29135057118133112</v>
      </c>
      <c r="O106">
        <v>0.2719937197136949</v>
      </c>
    </row>
    <row r="107" spans="1:15">
      <c r="A107" s="14">
        <v>43714</v>
      </c>
      <c r="B107">
        <v>693.5</v>
      </c>
      <c r="C107">
        <v>695.7</v>
      </c>
      <c r="D107">
        <v>2444</v>
      </c>
      <c r="E107">
        <v>2407</v>
      </c>
      <c r="F107">
        <v>0.28903199002908098</v>
      </c>
      <c r="G107">
        <v>0.281557384353672</v>
      </c>
      <c r="H107">
        <v>4.7684659133487798E-3</v>
      </c>
      <c r="I107">
        <v>1.5675074145932999</v>
      </c>
      <c r="J107">
        <v>2.59</v>
      </c>
      <c r="L107">
        <v>0.28632585026702079</v>
      </c>
      <c r="M107">
        <v>0.27678891844032322</v>
      </c>
      <c r="N107">
        <v>0.29109431618036957</v>
      </c>
      <c r="O107">
        <v>0.27202045252697443</v>
      </c>
    </row>
    <row r="108" spans="1:15">
      <c r="A108" s="14">
        <v>43713</v>
      </c>
      <c r="B108">
        <v>675.4</v>
      </c>
      <c r="C108">
        <v>685</v>
      </c>
      <c r="D108">
        <v>2360</v>
      </c>
      <c r="E108">
        <v>2414</v>
      </c>
      <c r="F108">
        <v>0.28376139188069499</v>
      </c>
      <c r="G108">
        <v>0.28142953568608697</v>
      </c>
      <c r="H108">
        <v>4.6943137163551196E-3</v>
      </c>
      <c r="I108">
        <v>0.49674059628440198</v>
      </c>
      <c r="J108">
        <v>0.82</v>
      </c>
      <c r="L108">
        <v>0.28612384940244207</v>
      </c>
      <c r="M108">
        <v>0.27673522196973188</v>
      </c>
      <c r="N108">
        <v>0.29081816311879721</v>
      </c>
      <c r="O108">
        <v>0.27204090825337673</v>
      </c>
    </row>
    <row r="109" spans="1:15">
      <c r="A109" s="14">
        <v>43712</v>
      </c>
      <c r="B109">
        <v>674.9</v>
      </c>
      <c r="C109">
        <v>670.3</v>
      </c>
      <c r="D109">
        <v>2331</v>
      </c>
      <c r="E109">
        <v>2328</v>
      </c>
      <c r="F109">
        <v>0.28792955326460401</v>
      </c>
      <c r="G109">
        <v>0.281281654741878</v>
      </c>
      <c r="H109">
        <v>4.7922016158316602E-3</v>
      </c>
      <c r="I109">
        <v>1.3872326449630601</v>
      </c>
      <c r="J109">
        <v>2.31</v>
      </c>
      <c r="L109">
        <v>0.28607385635770965</v>
      </c>
      <c r="M109">
        <v>0.27648945312604634</v>
      </c>
      <c r="N109">
        <v>0.29086605797354131</v>
      </c>
      <c r="O109">
        <v>0.27169725151021468</v>
      </c>
    </row>
    <row r="110" spans="1:15">
      <c r="A110" s="14">
        <v>43711</v>
      </c>
      <c r="B110">
        <v>670.6</v>
      </c>
      <c r="C110">
        <v>677.3</v>
      </c>
      <c r="D110">
        <v>2332</v>
      </c>
      <c r="E110">
        <v>2347</v>
      </c>
      <c r="F110">
        <v>0.28858116744780499</v>
      </c>
      <c r="G110">
        <v>0.28102348771427199</v>
      </c>
      <c r="H110">
        <v>4.9461880039563099E-3</v>
      </c>
      <c r="I110">
        <v>1.52798068481997</v>
      </c>
      <c r="J110">
        <v>2.62</v>
      </c>
      <c r="L110">
        <v>0.28596967571822829</v>
      </c>
      <c r="M110">
        <v>0.27607729971031569</v>
      </c>
      <c r="N110">
        <v>0.29091586372218459</v>
      </c>
      <c r="O110">
        <v>0.2711311117063594</v>
      </c>
    </row>
    <row r="111" spans="1:15">
      <c r="A111" s="14">
        <v>43710</v>
      </c>
      <c r="B111">
        <v>673.8</v>
      </c>
      <c r="C111">
        <v>671.7</v>
      </c>
      <c r="D111">
        <v>2362</v>
      </c>
      <c r="E111">
        <v>2331</v>
      </c>
      <c r="F111">
        <v>0.28815958815958798</v>
      </c>
      <c r="G111">
        <v>0.28084564424313202</v>
      </c>
      <c r="H111">
        <v>4.9109166142517801E-3</v>
      </c>
      <c r="I111">
        <v>1.48932358069983</v>
      </c>
      <c r="J111">
        <v>2.54</v>
      </c>
      <c r="L111">
        <v>0.28575656085738382</v>
      </c>
      <c r="M111">
        <v>0.27593472762888022</v>
      </c>
      <c r="N111">
        <v>0.29066747747163557</v>
      </c>
      <c r="O111">
        <v>0.27102381101462847</v>
      </c>
    </row>
    <row r="112" spans="1:15">
      <c r="A112" s="14">
        <v>43707</v>
      </c>
      <c r="B112">
        <v>671.6</v>
      </c>
      <c r="C112">
        <v>678.1</v>
      </c>
      <c r="D112">
        <v>2360</v>
      </c>
      <c r="E112">
        <v>2368</v>
      </c>
      <c r="F112">
        <v>0.28635979729729699</v>
      </c>
      <c r="G112">
        <v>0.28067490004880302</v>
      </c>
      <c r="H112">
        <v>4.8761501188696E-3</v>
      </c>
      <c r="I112">
        <v>1.1658577176479199</v>
      </c>
      <c r="J112">
        <v>1.99</v>
      </c>
      <c r="L112">
        <v>0.28555105016767263</v>
      </c>
      <c r="M112">
        <v>0.27579874992993342</v>
      </c>
      <c r="N112">
        <v>0.29042720028654223</v>
      </c>
      <c r="O112">
        <v>0.27092259981106381</v>
      </c>
    </row>
    <row r="113" spans="1:15">
      <c r="A113" s="14">
        <v>43706</v>
      </c>
      <c r="B113">
        <v>666.3</v>
      </c>
      <c r="C113">
        <v>668.5</v>
      </c>
      <c r="D113">
        <v>2313</v>
      </c>
      <c r="E113">
        <v>2328</v>
      </c>
      <c r="F113">
        <v>0.28715635738831602</v>
      </c>
      <c r="G113">
        <v>0.28057798153938401</v>
      </c>
      <c r="H113">
        <v>4.8342520682453103E-3</v>
      </c>
      <c r="I113">
        <v>1.3607846169508899</v>
      </c>
      <c r="J113">
        <v>2.29</v>
      </c>
      <c r="L113">
        <v>0.28541223360762935</v>
      </c>
      <c r="M113">
        <v>0.27574372947113868</v>
      </c>
      <c r="N113">
        <v>0.29024648567587463</v>
      </c>
      <c r="O113">
        <v>0.27090947740289339</v>
      </c>
    </row>
    <row r="114" spans="1:15">
      <c r="A114" s="14">
        <v>43705</v>
      </c>
      <c r="B114">
        <v>666.6</v>
      </c>
      <c r="C114">
        <v>664.3</v>
      </c>
      <c r="D114">
        <v>2354</v>
      </c>
      <c r="E114">
        <v>2317</v>
      </c>
      <c r="F114">
        <v>0.28670694864048302</v>
      </c>
      <c r="G114">
        <v>0.28044347754646798</v>
      </c>
      <c r="H114">
        <v>4.7894796592461101E-3</v>
      </c>
      <c r="I114">
        <v>1.3077560694767201</v>
      </c>
      <c r="J114">
        <v>2.1800000000000002</v>
      </c>
      <c r="L114">
        <v>0.28523295720571407</v>
      </c>
      <c r="M114">
        <v>0.27565399788722189</v>
      </c>
      <c r="N114">
        <v>0.29002243686496021</v>
      </c>
      <c r="O114">
        <v>0.27086451822797575</v>
      </c>
    </row>
    <row r="115" spans="1:15">
      <c r="A115" s="14">
        <v>43704</v>
      </c>
      <c r="B115">
        <v>671</v>
      </c>
      <c r="C115">
        <v>666.1</v>
      </c>
      <c r="D115">
        <v>2368</v>
      </c>
      <c r="E115">
        <v>2347</v>
      </c>
      <c r="F115">
        <v>0.28380911802300801</v>
      </c>
      <c r="G115">
        <v>0.28037372629684398</v>
      </c>
      <c r="H115">
        <v>4.7355435865097497E-3</v>
      </c>
      <c r="I115">
        <v>0.72544823279626502</v>
      </c>
      <c r="J115">
        <v>1.21</v>
      </c>
      <c r="L115">
        <v>0.28510926988335372</v>
      </c>
      <c r="M115">
        <v>0.27563818271033425</v>
      </c>
      <c r="N115">
        <v>0.28984481346986346</v>
      </c>
      <c r="O115">
        <v>0.27090263912382451</v>
      </c>
    </row>
    <row r="116" spans="1:15">
      <c r="A116" s="14">
        <v>43703</v>
      </c>
      <c r="B116">
        <v>659.4</v>
      </c>
      <c r="C116">
        <v>664.3</v>
      </c>
      <c r="D116">
        <v>2304</v>
      </c>
      <c r="E116">
        <v>2338</v>
      </c>
      <c r="F116">
        <v>0.28413173652694601</v>
      </c>
      <c r="G116">
        <v>0.28050514016815198</v>
      </c>
      <c r="H116">
        <v>4.9604677324259303E-3</v>
      </c>
      <c r="I116">
        <v>0.73109967737264803</v>
      </c>
      <c r="J116">
        <v>1.28</v>
      </c>
      <c r="L116">
        <v>0.2854656079005779</v>
      </c>
      <c r="M116">
        <v>0.27554467243572606</v>
      </c>
      <c r="N116">
        <v>0.29042607563300382</v>
      </c>
      <c r="O116">
        <v>0.27058420470330014</v>
      </c>
    </row>
    <row r="117" spans="1:15">
      <c r="A117" s="14">
        <v>43700</v>
      </c>
      <c r="B117">
        <v>675.1</v>
      </c>
      <c r="C117">
        <v>674.9</v>
      </c>
      <c r="D117">
        <v>2384</v>
      </c>
      <c r="E117">
        <v>2394</v>
      </c>
      <c r="F117">
        <v>0.281913116123642</v>
      </c>
      <c r="G117">
        <v>0.28065983979269199</v>
      </c>
      <c r="H117">
        <v>5.2439748643774101E-3</v>
      </c>
      <c r="I117">
        <v>0.23899358089282299</v>
      </c>
      <c r="J117">
        <v>0.44</v>
      </c>
      <c r="L117">
        <v>0.28590381465706938</v>
      </c>
      <c r="M117">
        <v>0.2754158649283146</v>
      </c>
      <c r="N117">
        <v>0.29114778952144682</v>
      </c>
      <c r="O117">
        <v>0.27017189006393716</v>
      </c>
    </row>
    <row r="118" spans="1:15">
      <c r="A118" s="14">
        <v>43699</v>
      </c>
      <c r="B118">
        <v>669.7</v>
      </c>
      <c r="C118">
        <v>681.2</v>
      </c>
      <c r="D118">
        <v>2389</v>
      </c>
      <c r="E118">
        <v>2380</v>
      </c>
      <c r="F118">
        <v>0.28621848739495798</v>
      </c>
      <c r="G118">
        <v>0.280879800576121</v>
      </c>
      <c r="H118">
        <v>5.6241389463339104E-3</v>
      </c>
      <c r="I118">
        <v>0.949245185757149</v>
      </c>
      <c r="J118">
        <v>1.87</v>
      </c>
      <c r="L118">
        <v>0.2865039395224549</v>
      </c>
      <c r="M118">
        <v>0.2752556616297871</v>
      </c>
      <c r="N118">
        <v>0.2921280784687888</v>
      </c>
      <c r="O118">
        <v>0.2696315226834532</v>
      </c>
    </row>
    <row r="119" spans="1:15">
      <c r="A119" s="14">
        <v>43698</v>
      </c>
      <c r="B119">
        <v>670.1</v>
      </c>
      <c r="C119">
        <v>674.9</v>
      </c>
      <c r="D119">
        <v>2391</v>
      </c>
      <c r="E119">
        <v>2377</v>
      </c>
      <c r="F119">
        <v>0.28392932267564103</v>
      </c>
      <c r="G119">
        <v>0.28105269715623399</v>
      </c>
      <c r="H119">
        <v>5.9740370858335301E-3</v>
      </c>
      <c r="I119">
        <v>0.48152120217475802</v>
      </c>
      <c r="J119">
        <v>1.01</v>
      </c>
      <c r="L119">
        <v>0.28702673424206754</v>
      </c>
      <c r="M119">
        <v>0.27507866007040044</v>
      </c>
      <c r="N119">
        <v>0.29300077132790103</v>
      </c>
      <c r="O119">
        <v>0.26910462298456694</v>
      </c>
    </row>
    <row r="120" spans="1:15">
      <c r="A120" s="14">
        <v>43697</v>
      </c>
      <c r="B120">
        <v>674.5</v>
      </c>
      <c r="C120">
        <v>679.8</v>
      </c>
      <c r="D120">
        <v>2411</v>
      </c>
      <c r="E120">
        <v>2428</v>
      </c>
      <c r="F120">
        <v>0.27998352553542</v>
      </c>
      <c r="G120">
        <v>0.28131792177759601</v>
      </c>
      <c r="H120">
        <v>6.5131011288601E-3</v>
      </c>
      <c r="I120">
        <v>-0.20487878443399099</v>
      </c>
      <c r="J120">
        <v>-0.48</v>
      </c>
      <c r="L120">
        <v>0.28783102290645612</v>
      </c>
      <c r="M120">
        <v>0.2748048206487359</v>
      </c>
      <c r="N120">
        <v>0.29434412403531623</v>
      </c>
      <c r="O120">
        <v>0.26829171951987579</v>
      </c>
    </row>
    <row r="121" spans="1:15">
      <c r="A121" s="14">
        <v>43696</v>
      </c>
      <c r="B121">
        <v>665.9</v>
      </c>
      <c r="C121">
        <v>675.5</v>
      </c>
      <c r="D121">
        <v>2408</v>
      </c>
      <c r="E121">
        <v>2401</v>
      </c>
      <c r="F121">
        <v>0.28134110787172001</v>
      </c>
      <c r="G121">
        <v>0.28152528429426699</v>
      </c>
      <c r="H121">
        <v>6.7118567158729603E-3</v>
      </c>
      <c r="I121">
        <v>-2.7440458034730001E-2</v>
      </c>
      <c r="J121">
        <v>-7.0000000000000007E-2</v>
      </c>
      <c r="L121">
        <v>0.28823714101013997</v>
      </c>
      <c r="M121">
        <v>0.274813427578394</v>
      </c>
      <c r="N121">
        <v>0.29494899772601291</v>
      </c>
      <c r="O121">
        <v>0.26810157086252107</v>
      </c>
    </row>
    <row r="122" spans="1:15">
      <c r="A122" s="14">
        <v>43693</v>
      </c>
      <c r="B122">
        <v>656.3</v>
      </c>
      <c r="C122">
        <v>660.5</v>
      </c>
      <c r="D122">
        <v>2337</v>
      </c>
      <c r="E122">
        <v>2362</v>
      </c>
      <c r="F122">
        <v>0.27963590177815401</v>
      </c>
      <c r="G122">
        <v>0.28175945626993498</v>
      </c>
      <c r="H122">
        <v>7.0014758951867598E-3</v>
      </c>
      <c r="I122">
        <v>-0.303300978760984</v>
      </c>
      <c r="J122">
        <v>-0.76</v>
      </c>
      <c r="L122">
        <v>0.28876093216512172</v>
      </c>
      <c r="M122">
        <v>0.27475798037474825</v>
      </c>
      <c r="N122">
        <v>0.29576240806030851</v>
      </c>
      <c r="O122">
        <v>0.26775650447956145</v>
      </c>
    </row>
    <row r="123" spans="1:15">
      <c r="A123" s="14">
        <v>43692</v>
      </c>
      <c r="B123">
        <v>641.29999999999995</v>
      </c>
      <c r="C123">
        <v>656.5</v>
      </c>
      <c r="D123">
        <v>2320</v>
      </c>
      <c r="E123">
        <v>2336</v>
      </c>
      <c r="F123">
        <v>0.28103595890410898</v>
      </c>
      <c r="G123">
        <v>0.282050789367574</v>
      </c>
      <c r="H123">
        <v>7.3528286634726298E-3</v>
      </c>
      <c r="I123">
        <v>-0.13801905496670799</v>
      </c>
      <c r="J123">
        <v>-0.36</v>
      </c>
      <c r="L123">
        <v>0.28940361803104664</v>
      </c>
      <c r="M123">
        <v>0.27469796070410135</v>
      </c>
      <c r="N123">
        <v>0.29675644669451928</v>
      </c>
      <c r="O123">
        <v>0.26734513204062871</v>
      </c>
    </row>
    <row r="124" spans="1:15">
      <c r="A124" s="14">
        <v>43691</v>
      </c>
      <c r="B124">
        <v>650.5</v>
      </c>
      <c r="C124">
        <v>656.5</v>
      </c>
      <c r="D124">
        <v>2360</v>
      </c>
      <c r="E124">
        <v>2369</v>
      </c>
      <c r="F124">
        <v>0.27712114816378203</v>
      </c>
      <c r="G124">
        <v>0.28237155152200599</v>
      </c>
      <c r="H124">
        <v>7.8119645135950799E-3</v>
      </c>
      <c r="I124">
        <v>-0.67209769694764898</v>
      </c>
      <c r="J124">
        <v>-1.89</v>
      </c>
      <c r="L124">
        <v>0.29018351603560105</v>
      </c>
      <c r="M124">
        <v>0.27455958700841093</v>
      </c>
      <c r="N124">
        <v>0.29799548054919617</v>
      </c>
      <c r="O124">
        <v>0.26674762249481582</v>
      </c>
    </row>
    <row r="125" spans="1:15">
      <c r="A125" s="14">
        <v>43690</v>
      </c>
      <c r="B125">
        <v>650</v>
      </c>
      <c r="C125">
        <v>640.5</v>
      </c>
      <c r="D125">
        <v>2317</v>
      </c>
      <c r="E125">
        <v>2317</v>
      </c>
      <c r="F125">
        <v>0.27643504531722002</v>
      </c>
      <c r="G125">
        <v>0.282708094943314</v>
      </c>
      <c r="H125">
        <v>8.1162898697825607E-3</v>
      </c>
      <c r="I125">
        <v>-0.77289620340556398</v>
      </c>
      <c r="J125">
        <v>-2.27</v>
      </c>
      <c r="L125">
        <v>0.29082438481309658</v>
      </c>
      <c r="M125">
        <v>0.27459180507353143</v>
      </c>
      <c r="N125">
        <v>0.2989406746828791</v>
      </c>
      <c r="O125">
        <v>0.2664755152037489</v>
      </c>
    </row>
    <row r="126" spans="1:15">
      <c r="A126" s="14">
        <v>43686</v>
      </c>
      <c r="B126">
        <v>658.9</v>
      </c>
      <c r="C126">
        <v>657.5</v>
      </c>
      <c r="D126">
        <v>2384</v>
      </c>
      <c r="E126">
        <v>2362</v>
      </c>
      <c r="F126">
        <v>0.27836579170194697</v>
      </c>
      <c r="G126">
        <v>0.28303495416944302</v>
      </c>
      <c r="H126">
        <v>8.3474120260134295E-3</v>
      </c>
      <c r="I126">
        <v>-0.55935449848945595</v>
      </c>
      <c r="J126">
        <v>-1.68</v>
      </c>
      <c r="L126">
        <v>0.29138236619545643</v>
      </c>
      <c r="M126">
        <v>0.27468754214342961</v>
      </c>
      <c r="N126">
        <v>0.2997297782214699</v>
      </c>
      <c r="O126">
        <v>0.26634013011741614</v>
      </c>
    </row>
    <row r="127" spans="1:15">
      <c r="A127" s="14">
        <v>43685</v>
      </c>
      <c r="B127">
        <v>659.3</v>
      </c>
      <c r="C127">
        <v>654.29999999999995</v>
      </c>
      <c r="D127">
        <v>2350</v>
      </c>
      <c r="E127">
        <v>2360</v>
      </c>
      <c r="F127">
        <v>0.27724576271186402</v>
      </c>
      <c r="G127">
        <v>0.28329666436626499</v>
      </c>
      <c r="H127">
        <v>8.5031627928808997E-3</v>
      </c>
      <c r="I127">
        <v>-0.71160599906034305</v>
      </c>
      <c r="J127">
        <v>-2.1800000000000002</v>
      </c>
      <c r="L127">
        <v>0.29179982715914587</v>
      </c>
      <c r="M127">
        <v>0.27479350157338411</v>
      </c>
      <c r="N127">
        <v>0.30030298995202681</v>
      </c>
      <c r="O127">
        <v>0.26629033878050318</v>
      </c>
    </row>
    <row r="128" spans="1:15">
      <c r="A128" s="14">
        <v>43684</v>
      </c>
      <c r="B128">
        <v>673.9</v>
      </c>
      <c r="C128">
        <v>664</v>
      </c>
      <c r="D128">
        <v>2320</v>
      </c>
      <c r="E128">
        <v>2353</v>
      </c>
      <c r="F128">
        <v>0.28219294517637</v>
      </c>
      <c r="G128">
        <v>0.28352345424619202</v>
      </c>
      <c r="H128">
        <v>8.5653546941214694E-3</v>
      </c>
      <c r="I128">
        <v>-0.15533613228363999</v>
      </c>
      <c r="J128">
        <v>-0.47</v>
      </c>
      <c r="L128">
        <v>0.29208880894031347</v>
      </c>
      <c r="M128">
        <v>0.27495809955207057</v>
      </c>
      <c r="N128">
        <v>0.30065416363443498</v>
      </c>
      <c r="O128">
        <v>0.26639274485794906</v>
      </c>
    </row>
    <row r="129" spans="1:15">
      <c r="A129" s="14">
        <v>43683</v>
      </c>
      <c r="B129">
        <v>654</v>
      </c>
      <c r="C129">
        <v>677.3</v>
      </c>
      <c r="D129">
        <v>2282</v>
      </c>
      <c r="E129">
        <v>2322</v>
      </c>
      <c r="F129">
        <v>0.29168819982773397</v>
      </c>
      <c r="G129">
        <v>0.28368219151676399</v>
      </c>
      <c r="H129">
        <v>8.6491337623337602E-3</v>
      </c>
      <c r="I129">
        <v>0.92564279047643006</v>
      </c>
      <c r="J129">
        <v>2.74</v>
      </c>
      <c r="L129">
        <v>0.29233132527909778</v>
      </c>
      <c r="M129">
        <v>0.27503305775443021</v>
      </c>
      <c r="N129">
        <v>0.3009804590414315</v>
      </c>
      <c r="O129">
        <v>0.26638392399209648</v>
      </c>
    </row>
    <row r="130" spans="1:15">
      <c r="A130" s="14">
        <v>43682</v>
      </c>
      <c r="B130">
        <v>678</v>
      </c>
      <c r="C130">
        <v>672.7</v>
      </c>
      <c r="D130">
        <v>2390</v>
      </c>
      <c r="E130">
        <v>2378</v>
      </c>
      <c r="F130">
        <v>0.28288477712363302</v>
      </c>
      <c r="G130">
        <v>0.28374877218069999</v>
      </c>
      <c r="H130">
        <v>8.7293554408291608E-3</v>
      </c>
      <c r="I130">
        <v>-9.8975813612261695E-2</v>
      </c>
      <c r="J130">
        <v>-0.31</v>
      </c>
      <c r="L130">
        <v>0.29247812762152914</v>
      </c>
      <c r="M130">
        <v>0.27501941673987085</v>
      </c>
      <c r="N130">
        <v>0.30120748306235834</v>
      </c>
      <c r="O130">
        <v>0.26629006129904165</v>
      </c>
    </row>
    <row r="131" spans="1:15">
      <c r="A131" s="14">
        <v>43679</v>
      </c>
      <c r="B131">
        <v>697.3</v>
      </c>
      <c r="C131">
        <v>687.2</v>
      </c>
      <c r="D131">
        <v>2481</v>
      </c>
      <c r="E131">
        <v>2439</v>
      </c>
      <c r="F131">
        <v>0.281754817548175</v>
      </c>
      <c r="G131">
        <v>0.28390759355359102</v>
      </c>
      <c r="H131">
        <v>8.8200792262945905E-3</v>
      </c>
      <c r="I131">
        <v>-0.24407671974171999</v>
      </c>
      <c r="J131">
        <v>-0.76</v>
      </c>
      <c r="L131">
        <v>0.29272767277988559</v>
      </c>
      <c r="M131">
        <v>0.27508751432729645</v>
      </c>
      <c r="N131">
        <v>0.30154775200618023</v>
      </c>
      <c r="O131">
        <v>0.26626743510100181</v>
      </c>
    </row>
    <row r="132" spans="1:15">
      <c r="A132" s="14">
        <v>43678</v>
      </c>
      <c r="B132">
        <v>703</v>
      </c>
      <c r="C132">
        <v>711</v>
      </c>
      <c r="D132">
        <v>2511</v>
      </c>
      <c r="E132">
        <v>2531</v>
      </c>
      <c r="F132">
        <v>0.28091663374160403</v>
      </c>
      <c r="G132">
        <v>0.28412166924663201</v>
      </c>
      <c r="H132">
        <v>8.9589834971071595E-3</v>
      </c>
      <c r="I132" s="15">
        <v>-0.35774544132860198</v>
      </c>
      <c r="J132">
        <v>-1.1399999999999999</v>
      </c>
      <c r="L132">
        <v>0.29308065274373918</v>
      </c>
      <c r="M132">
        <v>0.27516268574952485</v>
      </c>
      <c r="N132">
        <v>0.30203963624084634</v>
      </c>
      <c r="O132">
        <v>0.26620370225241768</v>
      </c>
    </row>
    <row r="133" spans="1:15">
      <c r="A133" s="14">
        <v>43677</v>
      </c>
      <c r="B133">
        <v>711</v>
      </c>
      <c r="C133">
        <v>710</v>
      </c>
      <c r="D133">
        <v>2580</v>
      </c>
      <c r="E133">
        <v>2557</v>
      </c>
      <c r="F133">
        <v>0.27766914352757099</v>
      </c>
      <c r="G133">
        <v>0.284351745113541</v>
      </c>
      <c r="H133">
        <v>9.0942710313893105E-3</v>
      </c>
      <c r="I133" s="15">
        <v>-0.73481443019509696</v>
      </c>
      <c r="J133">
        <v>-2.41</v>
      </c>
      <c r="L133">
        <v>0.29344601614493032</v>
      </c>
      <c r="M133">
        <v>0.27525747408215168</v>
      </c>
      <c r="N133">
        <v>0.30254028717631964</v>
      </c>
      <c r="O133">
        <v>0.26616320305076235</v>
      </c>
    </row>
    <row r="134" spans="1:15">
      <c r="A134" s="14">
        <v>43676</v>
      </c>
      <c r="B134">
        <v>718.4</v>
      </c>
      <c r="C134">
        <v>717.7</v>
      </c>
      <c r="D134">
        <v>2605</v>
      </c>
      <c r="E134">
        <v>2610</v>
      </c>
      <c r="F134">
        <v>0.27498084291187702</v>
      </c>
      <c r="G134">
        <v>0.28464206044600199</v>
      </c>
      <c r="H134">
        <v>9.2229379059747402E-3</v>
      </c>
      <c r="I134">
        <v>-1.0475206092264699</v>
      </c>
      <c r="J134">
        <v>-3.51</v>
      </c>
      <c r="L134">
        <v>0.29386499835197671</v>
      </c>
      <c r="M134">
        <v>0.27541912254002726</v>
      </c>
      <c r="N134">
        <v>0.3030879362579515</v>
      </c>
      <c r="O134">
        <v>0.26619618463405248</v>
      </c>
    </row>
    <row r="135" spans="1:15">
      <c r="A135" s="14">
        <v>43675</v>
      </c>
      <c r="B135">
        <v>713.6</v>
      </c>
      <c r="C135">
        <v>713.5</v>
      </c>
      <c r="D135">
        <v>2587</v>
      </c>
      <c r="E135">
        <v>2574</v>
      </c>
      <c r="F135">
        <v>0.27719502719502698</v>
      </c>
      <c r="G135">
        <v>0.28493127050895201</v>
      </c>
      <c r="H135">
        <v>9.2554785415389206E-3</v>
      </c>
      <c r="I135">
        <v>-0.83585557237309505</v>
      </c>
      <c r="J135">
        <v>-2.79</v>
      </c>
      <c r="L135">
        <v>0.29418674905049091</v>
      </c>
      <c r="M135">
        <v>0.2756757919674131</v>
      </c>
      <c r="N135">
        <v>0.30344222759202982</v>
      </c>
      <c r="O135">
        <v>0.26642031342587419</v>
      </c>
    </row>
    <row r="136" spans="1:15">
      <c r="A136" s="14">
        <v>43672</v>
      </c>
      <c r="B136">
        <v>714.6</v>
      </c>
      <c r="C136">
        <v>714.3</v>
      </c>
      <c r="D136">
        <v>2586</v>
      </c>
      <c r="E136">
        <v>2587</v>
      </c>
      <c r="F136">
        <v>0.27611132586006898</v>
      </c>
      <c r="G136">
        <v>0.28516112531023502</v>
      </c>
      <c r="H136">
        <v>9.2745413196280001E-3</v>
      </c>
      <c r="I136">
        <v>-0.97576787231661299</v>
      </c>
      <c r="J136">
        <v>-3.28</v>
      </c>
      <c r="L136">
        <v>0.29443566662986304</v>
      </c>
      <c r="M136">
        <v>0.275886583990607</v>
      </c>
      <c r="N136">
        <v>0.303710207949491</v>
      </c>
      <c r="O136">
        <v>0.26661204267097904</v>
      </c>
    </row>
    <row r="137" spans="1:15">
      <c r="A137" s="14">
        <v>43671</v>
      </c>
      <c r="B137">
        <v>722.6</v>
      </c>
      <c r="C137">
        <v>722.6</v>
      </c>
      <c r="D137">
        <v>2569</v>
      </c>
      <c r="E137">
        <v>2588</v>
      </c>
      <c r="F137">
        <v>0.27921174652241099</v>
      </c>
      <c r="G137">
        <v>0.28534011175455498</v>
      </c>
      <c r="H137">
        <v>9.22757870382147E-3</v>
      </c>
      <c r="I137">
        <v>-0.664135785653724</v>
      </c>
      <c r="J137">
        <v>-2.19</v>
      </c>
      <c r="L137">
        <v>0.29456769045837644</v>
      </c>
      <c r="M137">
        <v>0.27611253305073352</v>
      </c>
      <c r="N137">
        <v>0.3037952691621979</v>
      </c>
      <c r="O137">
        <v>0.26688495434691206</v>
      </c>
    </row>
    <row r="138" spans="1:15">
      <c r="A138" s="14">
        <v>43670</v>
      </c>
      <c r="B138">
        <v>726.8</v>
      </c>
      <c r="C138">
        <v>725.4</v>
      </c>
      <c r="D138">
        <v>2588</v>
      </c>
      <c r="E138">
        <v>2568</v>
      </c>
      <c r="F138">
        <v>0.28247663551401803</v>
      </c>
      <c r="G138">
        <v>0.28547922140644499</v>
      </c>
      <c r="H138">
        <v>9.21277319136048E-3</v>
      </c>
      <c r="I138">
        <v>-0.325915533798528</v>
      </c>
      <c r="J138">
        <v>-1.06</v>
      </c>
      <c r="L138">
        <v>0.29469199459780548</v>
      </c>
      <c r="M138">
        <v>0.2762664482150845</v>
      </c>
      <c r="N138">
        <v>0.30390476778916597</v>
      </c>
      <c r="O138">
        <v>0.26705367502372401</v>
      </c>
    </row>
    <row r="139" spans="1:15">
      <c r="A139" s="14">
        <v>43669</v>
      </c>
      <c r="B139">
        <v>715.4</v>
      </c>
      <c r="C139">
        <v>721</v>
      </c>
      <c r="D139">
        <v>2532</v>
      </c>
      <c r="E139">
        <v>2571</v>
      </c>
      <c r="F139">
        <v>0.28043562816024797</v>
      </c>
      <c r="G139">
        <v>0.28554716859183998</v>
      </c>
      <c r="H139">
        <v>9.2091693455535802E-3</v>
      </c>
      <c r="I139">
        <v>-0.55504902123004896</v>
      </c>
      <c r="J139">
        <v>-1.82</v>
      </c>
      <c r="L139">
        <v>0.29475633793739359</v>
      </c>
      <c r="M139">
        <v>0.27633799924628638</v>
      </c>
      <c r="N139">
        <v>0.30396550728294713</v>
      </c>
      <c r="O139">
        <v>0.26712882990073283</v>
      </c>
    </row>
    <row r="140" spans="1:15">
      <c r="A140" s="14">
        <v>43668</v>
      </c>
      <c r="B140">
        <v>715.9</v>
      </c>
      <c r="C140">
        <v>714.6</v>
      </c>
      <c r="D140">
        <v>2565</v>
      </c>
      <c r="E140">
        <v>2539</v>
      </c>
      <c r="F140">
        <v>0.28144938952343401</v>
      </c>
      <c r="G140">
        <v>0.28570264314878702</v>
      </c>
      <c r="H140">
        <v>9.2199850362529798E-3</v>
      </c>
      <c r="I140">
        <v>-0.461308083324314</v>
      </c>
      <c r="J140">
        <v>-1.51</v>
      </c>
      <c r="L140">
        <v>0.29492262818504</v>
      </c>
      <c r="M140">
        <v>0.27648265811253403</v>
      </c>
      <c r="N140">
        <v>0.30414261322129299</v>
      </c>
      <c r="O140">
        <v>0.26726267307628104</v>
      </c>
    </row>
    <row r="141" spans="1:15">
      <c r="A141" s="14">
        <v>43665</v>
      </c>
      <c r="B141">
        <v>698.4</v>
      </c>
      <c r="C141">
        <v>713.7</v>
      </c>
      <c r="D141">
        <v>2480</v>
      </c>
      <c r="E141">
        <v>2570</v>
      </c>
      <c r="F141">
        <v>0.27770428015564202</v>
      </c>
      <c r="G141">
        <v>0.28581670177440099</v>
      </c>
      <c r="H141">
        <v>9.21957574558817E-3</v>
      </c>
      <c r="I141">
        <v>-0.87991268173503201</v>
      </c>
      <c r="J141">
        <v>-2.92</v>
      </c>
      <c r="L141">
        <v>0.29503627751998918</v>
      </c>
      <c r="M141">
        <v>0.27659712602881281</v>
      </c>
      <c r="N141">
        <v>0.30425585326557736</v>
      </c>
      <c r="O141">
        <v>0.26737755028322463</v>
      </c>
    </row>
    <row r="142" spans="1:15">
      <c r="A142" s="14">
        <v>43664</v>
      </c>
      <c r="B142">
        <v>710</v>
      </c>
      <c r="C142">
        <v>699.7</v>
      </c>
      <c r="D142">
        <v>2574</v>
      </c>
      <c r="E142">
        <v>2495</v>
      </c>
      <c r="F142">
        <v>0.28044088176352699</v>
      </c>
      <c r="G142">
        <v>0.28595541151960102</v>
      </c>
      <c r="H142">
        <v>9.1746292660710594E-3</v>
      </c>
      <c r="I142">
        <v>-0.601062952643584</v>
      </c>
      <c r="J142">
        <v>-1.97</v>
      </c>
      <c r="L142">
        <v>0.29513004078567207</v>
      </c>
      <c r="M142">
        <v>0.27678078225352998</v>
      </c>
      <c r="N142">
        <v>0.30430467005174316</v>
      </c>
      <c r="O142">
        <v>0.26760615298745888</v>
      </c>
    </row>
    <row r="143" spans="1:15">
      <c r="A143" s="14">
        <v>43663</v>
      </c>
      <c r="B143">
        <v>721</v>
      </c>
      <c r="C143">
        <v>718.5</v>
      </c>
      <c r="D143">
        <v>2600</v>
      </c>
      <c r="E143">
        <v>2603</v>
      </c>
      <c r="F143">
        <v>0.276027660391855</v>
      </c>
      <c r="G143">
        <v>0.28611356117645598</v>
      </c>
      <c r="H143">
        <v>9.18043666858211E-3</v>
      </c>
      <c r="I143">
        <v>-1.0986297437372701</v>
      </c>
      <c r="J143">
        <v>-3.65</v>
      </c>
      <c r="L143">
        <v>0.29529399784503807</v>
      </c>
      <c r="M143">
        <v>0.27693312450787388</v>
      </c>
      <c r="N143">
        <v>0.30447443451362022</v>
      </c>
      <c r="O143">
        <v>0.26775268783929174</v>
      </c>
    </row>
    <row r="144" spans="1:15">
      <c r="A144" s="14">
        <v>43662</v>
      </c>
      <c r="B144">
        <v>728.7</v>
      </c>
      <c r="C144">
        <v>722</v>
      </c>
      <c r="D144">
        <v>2595</v>
      </c>
      <c r="E144">
        <v>2603</v>
      </c>
      <c r="F144">
        <v>0.27737226277372201</v>
      </c>
      <c r="G144">
        <v>0.28642861396604202</v>
      </c>
      <c r="H144">
        <v>9.2341944059687198E-3</v>
      </c>
      <c r="I144">
        <v>-0.98074079818659499</v>
      </c>
      <c r="J144">
        <v>-3.27</v>
      </c>
      <c r="L144">
        <v>0.29566280837201075</v>
      </c>
      <c r="M144">
        <v>0.27719441956007329</v>
      </c>
      <c r="N144">
        <v>0.30489700277797949</v>
      </c>
      <c r="O144">
        <v>0.26796022515410456</v>
      </c>
    </row>
    <row r="145" spans="1:15">
      <c r="A145" s="14">
        <v>43658</v>
      </c>
      <c r="B145">
        <v>727.8</v>
      </c>
      <c r="C145">
        <v>730</v>
      </c>
      <c r="D145">
        <v>2587</v>
      </c>
      <c r="E145">
        <v>2596</v>
      </c>
      <c r="F145">
        <v>0.28120184899845901</v>
      </c>
      <c r="G145">
        <v>0.28672932469635898</v>
      </c>
      <c r="H145">
        <v>9.3013577595620102E-3</v>
      </c>
      <c r="I145">
        <v>-0.59426546540664105</v>
      </c>
      <c r="J145">
        <v>-1.97</v>
      </c>
      <c r="L145">
        <v>0.29603068245592101</v>
      </c>
      <c r="M145">
        <v>0.27742796693679694</v>
      </c>
      <c r="N145">
        <v>0.30533204021548299</v>
      </c>
      <c r="O145">
        <v>0.26812660917723496</v>
      </c>
    </row>
    <row r="146" spans="1:15">
      <c r="A146" s="14">
        <v>43657</v>
      </c>
      <c r="B146">
        <v>721</v>
      </c>
      <c r="C146">
        <v>722.1</v>
      </c>
      <c r="D146">
        <v>2559</v>
      </c>
      <c r="E146">
        <v>2579</v>
      </c>
      <c r="F146">
        <v>0.279992245056223</v>
      </c>
      <c r="G146">
        <v>0.28688152940197298</v>
      </c>
      <c r="H146">
        <v>9.3030610396261492E-3</v>
      </c>
      <c r="I146">
        <v>-0.74053951881053803</v>
      </c>
      <c r="J146">
        <v>-2.46</v>
      </c>
      <c r="L146">
        <v>0.29618459044159912</v>
      </c>
      <c r="M146">
        <v>0.27757846836234684</v>
      </c>
      <c r="N146">
        <v>0.30548765148122525</v>
      </c>
      <c r="O146">
        <v>0.2682754073227207</v>
      </c>
    </row>
    <row r="147" spans="1:15">
      <c r="A147" s="14">
        <v>43656</v>
      </c>
      <c r="B147">
        <v>724.9</v>
      </c>
      <c r="C147">
        <v>725.8</v>
      </c>
      <c r="D147">
        <v>2519</v>
      </c>
      <c r="E147">
        <v>2546</v>
      </c>
      <c r="F147">
        <v>0.28507462686567098</v>
      </c>
      <c r="G147">
        <v>0.28705281270921801</v>
      </c>
      <c r="H147">
        <v>9.2928959841184298E-3</v>
      </c>
      <c r="I147">
        <v>-0.21287076137806099</v>
      </c>
      <c r="J147">
        <v>-0.69</v>
      </c>
      <c r="L147">
        <v>0.29634570869333643</v>
      </c>
      <c r="M147">
        <v>0.27775991672509959</v>
      </c>
      <c r="N147">
        <v>0.30563860467745485</v>
      </c>
      <c r="O147">
        <v>0.26846702074098117</v>
      </c>
    </row>
    <row r="148" spans="1:15">
      <c r="A148" s="14">
        <v>43655</v>
      </c>
      <c r="B148">
        <v>737.9</v>
      </c>
      <c r="C148">
        <v>733.8</v>
      </c>
      <c r="D148">
        <v>2581</v>
      </c>
      <c r="E148">
        <v>2557</v>
      </c>
      <c r="F148">
        <v>0.28697692608525599</v>
      </c>
      <c r="G148">
        <v>0.28710735262559101</v>
      </c>
      <c r="H148">
        <v>9.2931295145425898E-3</v>
      </c>
      <c r="I148">
        <v>-1.40347274974871E-2</v>
      </c>
      <c r="J148">
        <v>-0.05</v>
      </c>
      <c r="L148">
        <v>0.29640048214013359</v>
      </c>
      <c r="M148">
        <v>0.27781422311104842</v>
      </c>
      <c r="N148">
        <v>0.30569361165467618</v>
      </c>
      <c r="O148">
        <v>0.26852109359650583</v>
      </c>
    </row>
    <row r="149" spans="1:15">
      <c r="A149" s="14">
        <v>43654</v>
      </c>
      <c r="B149">
        <v>736.2</v>
      </c>
      <c r="C149">
        <v>734.9</v>
      </c>
      <c r="D149">
        <v>2599</v>
      </c>
      <c r="E149">
        <v>2585</v>
      </c>
      <c r="F149">
        <v>0.28429400386847098</v>
      </c>
      <c r="G149">
        <v>0.287150888086602</v>
      </c>
      <c r="H149">
        <v>9.3000620807595601E-3</v>
      </c>
      <c r="I149">
        <v>-0.307189800812319</v>
      </c>
      <c r="J149">
        <v>-1</v>
      </c>
      <c r="L149">
        <v>0.29645095016736156</v>
      </c>
      <c r="M149">
        <v>0.27785082600584243</v>
      </c>
      <c r="N149">
        <v>0.30575101224812112</v>
      </c>
      <c r="O149">
        <v>0.26855076392508287</v>
      </c>
    </row>
    <row r="150" spans="1:15">
      <c r="A150" s="14">
        <v>43651</v>
      </c>
      <c r="B150">
        <v>737.3</v>
      </c>
      <c r="C150">
        <v>734.8</v>
      </c>
      <c r="D150">
        <v>2622</v>
      </c>
      <c r="E150">
        <v>2617</v>
      </c>
      <c r="F150">
        <v>0.28077951853267002</v>
      </c>
      <c r="G150">
        <v>0.28726831286691901</v>
      </c>
      <c r="H150">
        <v>9.31882887228698E-3</v>
      </c>
      <c r="I150">
        <v>-0.69631006462034495</v>
      </c>
      <c r="J150">
        <v>-2.31</v>
      </c>
      <c r="L150">
        <v>0.29658714173920597</v>
      </c>
      <c r="M150">
        <v>0.27794948399463204</v>
      </c>
      <c r="N150">
        <v>0.30590597061149294</v>
      </c>
      <c r="O150">
        <v>0.26863065512234507</v>
      </c>
    </row>
    <row r="151" spans="1:15">
      <c r="A151" s="14">
        <v>43650</v>
      </c>
      <c r="B151">
        <v>739.3</v>
      </c>
      <c r="C151">
        <v>737.2</v>
      </c>
      <c r="D151">
        <v>2603</v>
      </c>
      <c r="E151">
        <v>2621</v>
      </c>
      <c r="F151">
        <v>0.28126669210225103</v>
      </c>
      <c r="G151">
        <v>0.28738024071505403</v>
      </c>
      <c r="H151">
        <v>9.2905908516761303E-3</v>
      </c>
      <c r="I151">
        <v>-0.65803657812578797</v>
      </c>
      <c r="J151">
        <v>-2.17</v>
      </c>
      <c r="L151">
        <v>0.29667083156673013</v>
      </c>
      <c r="M151">
        <v>0.27808964986337792</v>
      </c>
      <c r="N151">
        <v>0.30596142241840629</v>
      </c>
      <c r="O151">
        <v>0.26879905901170176</v>
      </c>
    </row>
    <row r="152" spans="1:15">
      <c r="A152" s="14">
        <v>43649</v>
      </c>
      <c r="B152">
        <v>736.5</v>
      </c>
      <c r="C152">
        <v>729.7</v>
      </c>
      <c r="D152">
        <v>2572</v>
      </c>
      <c r="E152">
        <v>2581</v>
      </c>
      <c r="F152">
        <v>0.28271987601704701</v>
      </c>
      <c r="G152">
        <v>0.28747445441918001</v>
      </c>
      <c r="H152">
        <v>9.2639062324839493E-3</v>
      </c>
      <c r="I152">
        <v>-0.51323688763825803</v>
      </c>
      <c r="J152">
        <v>-1.68</v>
      </c>
      <c r="L152">
        <v>0.29673836065166398</v>
      </c>
      <c r="M152">
        <v>0.27821054818669605</v>
      </c>
      <c r="N152">
        <v>0.30600226688414789</v>
      </c>
      <c r="O152">
        <v>0.26894664195421214</v>
      </c>
    </row>
    <row r="153" spans="1:15">
      <c r="A153" s="14">
        <v>43648</v>
      </c>
      <c r="B153">
        <v>738.1</v>
      </c>
      <c r="C153">
        <v>745.4</v>
      </c>
      <c r="D153">
        <v>2562</v>
      </c>
      <c r="E153">
        <v>2594</v>
      </c>
      <c r="F153">
        <v>0.28735543562066301</v>
      </c>
      <c r="G153">
        <v>0.28751805103151501</v>
      </c>
      <c r="H153">
        <v>9.2491102730127995E-3</v>
      </c>
      <c r="I153">
        <v>-1.7581735545625601E-2</v>
      </c>
      <c r="J153">
        <v>-0.06</v>
      </c>
      <c r="L153">
        <v>0.29676716130452779</v>
      </c>
      <c r="M153">
        <v>0.27826894075850223</v>
      </c>
      <c r="N153">
        <v>0.30601627157754063</v>
      </c>
      <c r="O153">
        <v>0.26901983048548939</v>
      </c>
    </row>
    <row r="154" spans="1:15">
      <c r="A154" s="14">
        <v>43647</v>
      </c>
      <c r="B154">
        <v>725.3</v>
      </c>
      <c r="C154">
        <v>741.7</v>
      </c>
      <c r="D154">
        <v>2520</v>
      </c>
      <c r="E154">
        <v>2562</v>
      </c>
      <c r="F154">
        <v>0.28950039032006197</v>
      </c>
      <c r="G154">
        <v>0.287473489931449</v>
      </c>
      <c r="H154">
        <v>9.2578331518143597E-3</v>
      </c>
      <c r="I154">
        <v>0.21893896286255399</v>
      </c>
      <c r="J154">
        <v>0.7</v>
      </c>
      <c r="L154">
        <v>0.29673132308326333</v>
      </c>
      <c r="M154">
        <v>0.27821565677963467</v>
      </c>
      <c r="N154">
        <v>0.30598915623507772</v>
      </c>
      <c r="O154">
        <v>0.26895782362782028</v>
      </c>
    </row>
    <row r="155" spans="1:15">
      <c r="A155" s="14">
        <v>43644</v>
      </c>
      <c r="B155">
        <v>715</v>
      </c>
      <c r="C155">
        <v>713</v>
      </c>
      <c r="D155">
        <v>2482</v>
      </c>
      <c r="E155">
        <v>2472</v>
      </c>
      <c r="F155">
        <v>0.288430420711974</v>
      </c>
      <c r="G155">
        <v>0.28743570694940401</v>
      </c>
      <c r="H155">
        <v>9.2552660124405502E-3</v>
      </c>
      <c r="I155">
        <v>0.107475437359948</v>
      </c>
      <c r="J155">
        <v>0.34</v>
      </c>
      <c r="L155">
        <v>0.29669097296184455</v>
      </c>
      <c r="M155">
        <v>0.27818044093696348</v>
      </c>
      <c r="N155">
        <v>0.30594623897428513</v>
      </c>
      <c r="O155">
        <v>0.26892517492452289</v>
      </c>
    </row>
    <row r="156" spans="1:15">
      <c r="A156" s="14">
        <v>43643</v>
      </c>
      <c r="B156">
        <v>714.3</v>
      </c>
      <c r="C156">
        <v>720.9</v>
      </c>
      <c r="D156">
        <v>2461</v>
      </c>
      <c r="E156">
        <v>2504</v>
      </c>
      <c r="F156">
        <v>0.28789936102236402</v>
      </c>
      <c r="G156">
        <v>0.28747032251174698</v>
      </c>
      <c r="H156">
        <v>9.2637726474224403E-3</v>
      </c>
      <c r="I156">
        <v>4.6313583779027598E-2</v>
      </c>
      <c r="J156">
        <v>0.15</v>
      </c>
      <c r="L156">
        <v>0.29673409515916943</v>
      </c>
      <c r="M156">
        <v>0.27820654986432453</v>
      </c>
      <c r="N156">
        <v>0.30599786780659188</v>
      </c>
      <c r="O156">
        <v>0.26894277721690207</v>
      </c>
    </row>
    <row r="157" spans="1:15">
      <c r="A157" s="14">
        <v>43642</v>
      </c>
      <c r="B157">
        <v>722</v>
      </c>
      <c r="C157">
        <v>720.3</v>
      </c>
      <c r="D157">
        <v>2490</v>
      </c>
      <c r="E157">
        <v>2469</v>
      </c>
      <c r="F157">
        <v>0.29173754556500597</v>
      </c>
      <c r="G157">
        <v>0.287515169014807</v>
      </c>
      <c r="H157">
        <v>9.2738770140003701E-3</v>
      </c>
      <c r="I157">
        <v>0.455297880684015</v>
      </c>
      <c r="J157">
        <v>1.45</v>
      </c>
      <c r="L157">
        <v>0.2967890460288074</v>
      </c>
      <c r="M157">
        <v>0.27824129200080661</v>
      </c>
      <c r="N157">
        <v>0.30606292304280774</v>
      </c>
      <c r="O157">
        <v>0.26896741498680626</v>
      </c>
    </row>
    <row r="158" spans="1:15">
      <c r="A158" s="14">
        <v>43641</v>
      </c>
      <c r="B158">
        <v>730</v>
      </c>
      <c r="C158">
        <v>725.6</v>
      </c>
      <c r="D158">
        <v>2505</v>
      </c>
      <c r="E158">
        <v>2511</v>
      </c>
      <c r="F158">
        <v>0.28896853843090398</v>
      </c>
      <c r="G158">
        <v>0.28747295412155899</v>
      </c>
      <c r="H158">
        <v>9.2617587808066799E-3</v>
      </c>
      <c r="I158">
        <v>0.161479514284429</v>
      </c>
      <c r="J158">
        <v>0.52</v>
      </c>
      <c r="L158">
        <v>0.29673471290236569</v>
      </c>
      <c r="M158">
        <v>0.27821119534075228</v>
      </c>
      <c r="N158">
        <v>0.30599647168317234</v>
      </c>
      <c r="O158">
        <v>0.26894943655994563</v>
      </c>
    </row>
    <row r="159" spans="1:15">
      <c r="A159" s="14">
        <v>43640</v>
      </c>
      <c r="B159">
        <v>725.5</v>
      </c>
      <c r="C159">
        <v>729.2</v>
      </c>
      <c r="D159">
        <v>2518</v>
      </c>
      <c r="E159">
        <v>2519</v>
      </c>
      <c r="F159">
        <v>0.28947995236204799</v>
      </c>
      <c r="G159">
        <v>0.28744958162648199</v>
      </c>
      <c r="H159">
        <v>9.2601667847273805E-3</v>
      </c>
      <c r="I159">
        <v>0.21925854930761501</v>
      </c>
      <c r="J159">
        <v>0.7</v>
      </c>
      <c r="L159">
        <v>0.29670974841120934</v>
      </c>
      <c r="M159">
        <v>0.27818941484175463</v>
      </c>
      <c r="N159">
        <v>0.30596991519593675</v>
      </c>
      <c r="O159">
        <v>0.26892924805702723</v>
      </c>
    </row>
    <row r="160" spans="1:15">
      <c r="A160" s="14">
        <v>43637</v>
      </c>
      <c r="B160">
        <v>725</v>
      </c>
      <c r="C160">
        <v>728.5</v>
      </c>
      <c r="D160">
        <v>2553</v>
      </c>
      <c r="E160">
        <v>2518</v>
      </c>
      <c r="F160">
        <v>0.28931691818903799</v>
      </c>
      <c r="G160">
        <v>0.287353969709849</v>
      </c>
      <c r="H160">
        <v>9.2757164069697893E-3</v>
      </c>
      <c r="I160">
        <v>0.21162230420439701</v>
      </c>
      <c r="J160">
        <v>0.68</v>
      </c>
      <c r="L160">
        <v>0.29662968611681878</v>
      </c>
      <c r="M160">
        <v>0.27807825330287922</v>
      </c>
      <c r="N160">
        <v>0.30590540252378856</v>
      </c>
      <c r="O160">
        <v>0.26880253689590944</v>
      </c>
    </row>
    <row r="161" spans="1:15">
      <c r="A161" s="14">
        <v>43636</v>
      </c>
      <c r="B161">
        <v>725.1</v>
      </c>
      <c r="C161">
        <v>720.7</v>
      </c>
      <c r="D161">
        <v>2582</v>
      </c>
      <c r="E161">
        <v>2551</v>
      </c>
      <c r="F161">
        <v>0.28251666013328097</v>
      </c>
      <c r="G161">
        <v>0.28733602779647299</v>
      </c>
      <c r="H161">
        <v>9.2732032365462399E-3</v>
      </c>
      <c r="I161">
        <v>-0.51970905201329498</v>
      </c>
      <c r="J161">
        <v>-1.71</v>
      </c>
      <c r="L161">
        <v>0.29660923103301923</v>
      </c>
      <c r="M161">
        <v>0.27806282455992676</v>
      </c>
      <c r="N161">
        <v>0.30588243426956546</v>
      </c>
      <c r="O161">
        <v>0.26878962132338052</v>
      </c>
    </row>
    <row r="162" spans="1:15">
      <c r="A162" s="14">
        <v>43635</v>
      </c>
      <c r="B162">
        <v>719</v>
      </c>
      <c r="C162">
        <v>731</v>
      </c>
      <c r="D162">
        <v>2550</v>
      </c>
      <c r="E162">
        <v>2565</v>
      </c>
      <c r="F162">
        <v>0.28499025341130602</v>
      </c>
      <c r="G162">
        <v>0.28741157194488698</v>
      </c>
      <c r="H162">
        <v>9.2566981247571792E-3</v>
      </c>
      <c r="I162">
        <v>-0.261574753864525</v>
      </c>
      <c r="J162">
        <v>-0.85</v>
      </c>
      <c r="L162">
        <v>0.29666827006964414</v>
      </c>
      <c r="M162">
        <v>0.27815487382012982</v>
      </c>
      <c r="N162">
        <v>0.30592496819440135</v>
      </c>
      <c r="O162">
        <v>0.26889817569537261</v>
      </c>
    </row>
    <row r="163" spans="1:15">
      <c r="A163" s="14">
        <v>43634</v>
      </c>
      <c r="B163">
        <v>710</v>
      </c>
      <c r="C163">
        <v>699.9</v>
      </c>
      <c r="D163">
        <v>2554</v>
      </c>
      <c r="E163">
        <v>2520</v>
      </c>
      <c r="F163">
        <v>0.27773809523809501</v>
      </c>
      <c r="G163">
        <v>0.287405993005796</v>
      </c>
      <c r="H163">
        <v>9.2582817070805904E-3</v>
      </c>
      <c r="I163">
        <v>-1.04424320555157</v>
      </c>
      <c r="J163">
        <v>-3.48</v>
      </c>
      <c r="L163">
        <v>0.2966642747128766</v>
      </c>
      <c r="M163">
        <v>0.27814771129871541</v>
      </c>
      <c r="N163">
        <v>0.30592255641995719</v>
      </c>
      <c r="O163">
        <v>0.26888942959163481</v>
      </c>
    </row>
    <row r="164" spans="1:15">
      <c r="A164" s="14">
        <v>43633</v>
      </c>
      <c r="B164">
        <v>712.2</v>
      </c>
      <c r="C164">
        <v>714.1</v>
      </c>
      <c r="D164">
        <v>2554</v>
      </c>
      <c r="E164">
        <v>2551</v>
      </c>
      <c r="F164">
        <v>0.27992943943551502</v>
      </c>
      <c r="G164">
        <v>0.28749288532759498</v>
      </c>
      <c r="H164">
        <v>9.1975196870267908E-3</v>
      </c>
      <c r="I164">
        <v>-0.82233538491342895</v>
      </c>
      <c r="J164">
        <v>-2.7</v>
      </c>
      <c r="L164">
        <v>0.29669040501462179</v>
      </c>
      <c r="M164">
        <v>0.27829536564056817</v>
      </c>
      <c r="N164">
        <v>0.30588792470164855</v>
      </c>
      <c r="O164">
        <v>0.26909784595354141</v>
      </c>
    </row>
    <row r="165" spans="1:15">
      <c r="A165" s="14">
        <v>43630</v>
      </c>
      <c r="B165">
        <v>715</v>
      </c>
      <c r="C165">
        <v>715.2</v>
      </c>
      <c r="D165">
        <v>2577</v>
      </c>
      <c r="E165">
        <v>2577</v>
      </c>
      <c r="F165">
        <v>0.27753201396973198</v>
      </c>
      <c r="G165">
        <v>0.28753335619731901</v>
      </c>
      <c r="H165">
        <v>9.17078916355832E-3</v>
      </c>
      <c r="I165">
        <v>-1.0905650592567699</v>
      </c>
      <c r="J165">
        <v>-3.6</v>
      </c>
      <c r="L165">
        <v>0.29670414536087736</v>
      </c>
      <c r="M165">
        <v>0.27836256703376067</v>
      </c>
      <c r="N165">
        <v>0.30587493452443565</v>
      </c>
      <c r="O165">
        <v>0.26919177787020238</v>
      </c>
    </row>
    <row r="166" spans="1:15">
      <c r="A166" s="14">
        <v>43629</v>
      </c>
      <c r="B166">
        <v>720.4</v>
      </c>
      <c r="C166">
        <v>714.5</v>
      </c>
      <c r="D166">
        <v>2573</v>
      </c>
      <c r="E166">
        <v>2560</v>
      </c>
      <c r="F166">
        <v>0.27910156250000001</v>
      </c>
      <c r="G166">
        <v>0.28764404432292501</v>
      </c>
      <c r="H166">
        <v>9.09922809682886E-3</v>
      </c>
      <c r="I166">
        <v>-0.9388139006981</v>
      </c>
      <c r="J166">
        <v>-3.06</v>
      </c>
      <c r="L166">
        <v>0.29674327241975385</v>
      </c>
      <c r="M166">
        <v>0.27854481622609617</v>
      </c>
      <c r="N166">
        <v>0.30584250051658274</v>
      </c>
      <c r="O166">
        <v>0.26944558812926728</v>
      </c>
    </row>
    <row r="167" spans="1:15">
      <c r="A167" s="14">
        <v>43628</v>
      </c>
      <c r="B167">
        <v>721.2</v>
      </c>
      <c r="C167">
        <v>729.6</v>
      </c>
      <c r="D167">
        <v>2591</v>
      </c>
      <c r="E167">
        <v>2599</v>
      </c>
      <c r="F167">
        <v>0.28072335513659102</v>
      </c>
      <c r="G167">
        <v>0.28769649550735099</v>
      </c>
      <c r="H167">
        <v>9.0610931326386406E-3</v>
      </c>
      <c r="I167">
        <v>-0.76956944031871399</v>
      </c>
      <c r="J167">
        <v>-2.48</v>
      </c>
      <c r="L167">
        <v>0.29675758863998963</v>
      </c>
      <c r="M167">
        <v>0.27863540237471235</v>
      </c>
      <c r="N167">
        <v>0.30581868177262828</v>
      </c>
      <c r="O167">
        <v>0.26957430924207371</v>
      </c>
    </row>
    <row r="168" spans="1:15">
      <c r="A168" s="14">
        <v>43627</v>
      </c>
      <c r="B168">
        <v>710.8</v>
      </c>
      <c r="C168">
        <v>721.2</v>
      </c>
      <c r="D168">
        <v>2600</v>
      </c>
      <c r="E168">
        <v>2592</v>
      </c>
      <c r="F168">
        <v>0.27824074074074001</v>
      </c>
      <c r="G168">
        <v>0.28772606921141503</v>
      </c>
      <c r="H168">
        <v>9.0418851061513598E-3</v>
      </c>
      <c r="I168">
        <v>-1.04904324256693</v>
      </c>
      <c r="J168">
        <v>-3.41</v>
      </c>
      <c r="L168">
        <v>0.29676795431756636</v>
      </c>
      <c r="M168">
        <v>0.27868418410526369</v>
      </c>
      <c r="N168">
        <v>0.30580983942371776</v>
      </c>
      <c r="O168">
        <v>0.2696422989991123</v>
      </c>
    </row>
    <row r="169" spans="1:15">
      <c r="A169" s="14">
        <v>43626</v>
      </c>
      <c r="B169">
        <v>708.6</v>
      </c>
      <c r="C169">
        <v>705.5</v>
      </c>
      <c r="D169">
        <v>2556</v>
      </c>
      <c r="E169">
        <v>2598</v>
      </c>
      <c r="F169">
        <v>0.27155504234026101</v>
      </c>
      <c r="G169">
        <v>0.28780865685503498</v>
      </c>
      <c r="H169">
        <v>8.9829659698316393E-3</v>
      </c>
      <c r="I169">
        <v>-1.8093817308626301</v>
      </c>
      <c r="J169">
        <v>-5.99</v>
      </c>
      <c r="L169">
        <v>0.2967916228248666</v>
      </c>
      <c r="M169">
        <v>0.27882569088520337</v>
      </c>
      <c r="N169">
        <v>0.30577458879469827</v>
      </c>
      <c r="O169">
        <v>0.2698427249153717</v>
      </c>
    </row>
    <row r="170" spans="1:15">
      <c r="A170" s="14">
        <v>43623</v>
      </c>
      <c r="B170">
        <v>693.1</v>
      </c>
      <c r="C170">
        <v>698.4</v>
      </c>
      <c r="D170">
        <v>2523</v>
      </c>
      <c r="E170">
        <v>2514</v>
      </c>
      <c r="F170">
        <v>0.27780429594271999</v>
      </c>
      <c r="G170">
        <v>0.28801240780565002</v>
      </c>
      <c r="H170">
        <v>8.7830728158991393E-3</v>
      </c>
      <c r="I170">
        <v>-1.1622483471218701</v>
      </c>
      <c r="J170">
        <v>-3.67</v>
      </c>
      <c r="L170">
        <v>0.29679548062154915</v>
      </c>
      <c r="M170">
        <v>0.27922933498975089</v>
      </c>
      <c r="N170">
        <v>0.30557855343744827</v>
      </c>
      <c r="O170">
        <v>0.27044626217385176</v>
      </c>
    </row>
    <row r="171" spans="1:15">
      <c r="A171" s="14">
        <v>43622</v>
      </c>
      <c r="B171">
        <v>693.9</v>
      </c>
      <c r="C171">
        <v>691.7</v>
      </c>
      <c r="D171">
        <v>2503</v>
      </c>
      <c r="E171">
        <v>2505</v>
      </c>
      <c r="F171">
        <v>0.27612774451097799</v>
      </c>
      <c r="G171">
        <v>0.288145630429268</v>
      </c>
      <c r="H171">
        <v>8.7026339111263892E-3</v>
      </c>
      <c r="I171">
        <v>-1.3809481176641201</v>
      </c>
      <c r="J171">
        <v>-4.3499999999999996</v>
      </c>
      <c r="L171">
        <v>0.29684826434039441</v>
      </c>
      <c r="M171">
        <v>0.27944299651814158</v>
      </c>
      <c r="N171">
        <v>0.30555089825152076</v>
      </c>
      <c r="O171">
        <v>0.27074036260701523</v>
      </c>
    </row>
    <row r="172" spans="1:15">
      <c r="A172" s="14">
        <v>43621</v>
      </c>
      <c r="B172">
        <v>693.6</v>
      </c>
      <c r="C172">
        <v>693</v>
      </c>
      <c r="D172">
        <v>2487</v>
      </c>
      <c r="E172">
        <v>2522</v>
      </c>
      <c r="F172">
        <v>0.27478191911181599</v>
      </c>
      <c r="G172">
        <v>0.28826111300124102</v>
      </c>
      <c r="H172">
        <v>8.5992444347058206E-3</v>
      </c>
      <c r="I172">
        <v>-1.56748584038674</v>
      </c>
      <c r="J172">
        <v>-4.91</v>
      </c>
      <c r="L172">
        <v>0.29686035743594685</v>
      </c>
      <c r="M172">
        <v>0.27966186856653519</v>
      </c>
      <c r="N172">
        <v>0.30545960187065269</v>
      </c>
      <c r="O172">
        <v>0.27106262413182936</v>
      </c>
    </row>
    <row r="173" spans="1:15">
      <c r="A173" s="14">
        <v>43620</v>
      </c>
      <c r="B173">
        <v>674</v>
      </c>
      <c r="C173">
        <v>683.6</v>
      </c>
      <c r="D173">
        <v>2457</v>
      </c>
      <c r="E173">
        <v>2438</v>
      </c>
      <c r="F173">
        <v>0.28039376538145999</v>
      </c>
      <c r="G173">
        <v>0.28837717961114301</v>
      </c>
      <c r="H173">
        <v>8.4743686524152897E-3</v>
      </c>
      <c r="I173">
        <v>-0.94206595879062704</v>
      </c>
      <c r="J173">
        <v>-2.85</v>
      </c>
      <c r="L173">
        <v>0.29685154826355831</v>
      </c>
      <c r="M173">
        <v>0.27990281095872771</v>
      </c>
      <c r="N173">
        <v>0.30532591691597361</v>
      </c>
      <c r="O173">
        <v>0.27142844230631241</v>
      </c>
    </row>
    <row r="174" spans="1:15">
      <c r="A174" s="14">
        <v>43619</v>
      </c>
      <c r="B174">
        <v>668.4</v>
      </c>
      <c r="C174">
        <v>672.1</v>
      </c>
      <c r="D174">
        <v>2445</v>
      </c>
      <c r="E174">
        <v>2456</v>
      </c>
      <c r="F174">
        <v>0.27365635179152997</v>
      </c>
      <c r="G174">
        <v>0.28872453836861001</v>
      </c>
      <c r="H174">
        <v>8.6716438023890993E-3</v>
      </c>
      <c r="I174">
        <v>-1.73763901290875</v>
      </c>
      <c r="J174">
        <v>-5.51</v>
      </c>
      <c r="L174">
        <v>0.29739618217099911</v>
      </c>
      <c r="M174">
        <v>0.2800528945662209</v>
      </c>
      <c r="N174">
        <v>0.30606782597338822</v>
      </c>
      <c r="O174">
        <v>0.27138125076383179</v>
      </c>
    </row>
    <row r="175" spans="1:15">
      <c r="A175" s="14">
        <v>43616</v>
      </c>
      <c r="B175">
        <v>689.1</v>
      </c>
      <c r="C175">
        <v>683.4</v>
      </c>
      <c r="D175">
        <v>2482</v>
      </c>
      <c r="E175">
        <v>2467</v>
      </c>
      <c r="F175">
        <v>0.27701661937576</v>
      </c>
      <c r="G175">
        <v>0.2892076068576</v>
      </c>
      <c r="H175">
        <v>8.82653704497759E-3</v>
      </c>
      <c r="I175">
        <v>-1.38117445377712</v>
      </c>
      <c r="J175">
        <v>-4.4000000000000004</v>
      </c>
      <c r="L175">
        <v>0.2980341439025776</v>
      </c>
      <c r="M175">
        <v>0.2803810698126224</v>
      </c>
      <c r="N175">
        <v>0.3068606809475552</v>
      </c>
      <c r="O175">
        <v>0.2715545327676448</v>
      </c>
    </row>
    <row r="176" spans="1:15">
      <c r="A176" s="14">
        <v>43615</v>
      </c>
      <c r="B176">
        <v>680</v>
      </c>
      <c r="C176">
        <v>697.6</v>
      </c>
      <c r="D176">
        <v>2479</v>
      </c>
      <c r="E176">
        <v>2506</v>
      </c>
      <c r="F176">
        <v>0.27837190742218598</v>
      </c>
      <c r="G176">
        <v>0.28964193911955799</v>
      </c>
      <c r="H176">
        <v>9.0154074721513801E-3</v>
      </c>
      <c r="I176">
        <v>-1.2500856708013199</v>
      </c>
      <c r="J176">
        <v>-4.05</v>
      </c>
      <c r="L176">
        <v>0.29865734659170939</v>
      </c>
      <c r="M176">
        <v>0.28062653164740659</v>
      </c>
      <c r="N176">
        <v>0.30767275406386074</v>
      </c>
      <c r="O176">
        <v>0.27161112417525524</v>
      </c>
    </row>
    <row r="177" spans="1:15">
      <c r="A177" s="14">
        <v>43614</v>
      </c>
      <c r="B177">
        <v>688</v>
      </c>
      <c r="C177">
        <v>685.5</v>
      </c>
      <c r="D177">
        <v>2473</v>
      </c>
      <c r="E177">
        <v>2506</v>
      </c>
      <c r="F177">
        <v>0.27354349561053398</v>
      </c>
      <c r="G177">
        <v>0.28999295674231601</v>
      </c>
      <c r="H177">
        <v>9.0820373215096308E-3</v>
      </c>
      <c r="I177">
        <v>-1.8112082729304599</v>
      </c>
      <c r="J177">
        <v>-6.01</v>
      </c>
      <c r="L177">
        <v>0.29907499406382565</v>
      </c>
      <c r="M177">
        <v>0.28091091942080637</v>
      </c>
      <c r="N177">
        <v>0.30815703138533529</v>
      </c>
      <c r="O177">
        <v>0.27182888209929673</v>
      </c>
    </row>
    <row r="178" spans="1:15">
      <c r="A178" s="14">
        <v>43613</v>
      </c>
      <c r="B178">
        <v>697.7</v>
      </c>
      <c r="C178">
        <v>694.7</v>
      </c>
      <c r="D178">
        <v>2531</v>
      </c>
      <c r="E178">
        <v>2513</v>
      </c>
      <c r="F178">
        <v>0.27644249900517298</v>
      </c>
      <c r="G178">
        <v>0.29038848568406</v>
      </c>
      <c r="H178">
        <v>9.0026506452210494E-3</v>
      </c>
      <c r="I178">
        <v>-1.54909784112196</v>
      </c>
      <c r="J178">
        <v>-5.04</v>
      </c>
      <c r="L178">
        <v>0.29939113632928105</v>
      </c>
      <c r="M178">
        <v>0.28138583503883896</v>
      </c>
      <c r="N178">
        <v>0.30839378697450209</v>
      </c>
      <c r="O178">
        <v>0.27238318439361792</v>
      </c>
    </row>
    <row r="179" spans="1:15">
      <c r="A179" s="14">
        <v>43612</v>
      </c>
      <c r="B179">
        <v>694.8</v>
      </c>
      <c r="C179">
        <v>696.3</v>
      </c>
      <c r="D179">
        <v>2513</v>
      </c>
      <c r="E179">
        <v>2531</v>
      </c>
      <c r="F179">
        <v>0.27510865270644003</v>
      </c>
      <c r="G179">
        <v>0.29082530300923098</v>
      </c>
      <c r="H179">
        <v>9.1095507702716599E-3</v>
      </c>
      <c r="I179">
        <v>-1.7252936724477199</v>
      </c>
      <c r="J179">
        <v>-5.71</v>
      </c>
      <c r="L179">
        <v>0.29993485377950263</v>
      </c>
      <c r="M179">
        <v>0.28171575223895934</v>
      </c>
      <c r="N179">
        <v>0.30904440454977433</v>
      </c>
      <c r="O179">
        <v>0.27260620146868764</v>
      </c>
    </row>
    <row r="180" spans="1:15">
      <c r="A180" s="14">
        <v>43609</v>
      </c>
      <c r="B180">
        <v>685</v>
      </c>
      <c r="C180">
        <v>692.6</v>
      </c>
      <c r="D180">
        <v>2460</v>
      </c>
      <c r="E180">
        <v>2504</v>
      </c>
      <c r="F180">
        <v>0.27659744408945602</v>
      </c>
      <c r="G180">
        <v>0.29127875626726202</v>
      </c>
      <c r="H180">
        <v>9.1622187323877596E-3</v>
      </c>
      <c r="I180">
        <v>-1.60237521135669</v>
      </c>
      <c r="J180">
        <v>-5.31</v>
      </c>
      <c r="L180">
        <v>0.30044097499964978</v>
      </c>
      <c r="M180">
        <v>0.28211653753487426</v>
      </c>
      <c r="N180">
        <v>0.30960319373203754</v>
      </c>
      <c r="O180">
        <v>0.2729543188024865</v>
      </c>
    </row>
    <row r="181" spans="1:15">
      <c r="A181" s="14">
        <v>43608</v>
      </c>
      <c r="B181">
        <v>700.1</v>
      </c>
      <c r="C181">
        <v>699</v>
      </c>
      <c r="D181">
        <v>2486</v>
      </c>
      <c r="E181">
        <v>2494</v>
      </c>
      <c r="F181">
        <v>0.28027265437048898</v>
      </c>
      <c r="G181">
        <v>0.291609356365369</v>
      </c>
      <c r="H181">
        <v>9.0734172750796902E-3</v>
      </c>
      <c r="I181">
        <v>-1.24944126905927</v>
      </c>
      <c r="J181">
        <v>-4.04</v>
      </c>
      <c r="L181">
        <v>0.30068277364044871</v>
      </c>
      <c r="M181">
        <v>0.28253593909028929</v>
      </c>
      <c r="N181">
        <v>0.30975619091552836</v>
      </c>
      <c r="O181">
        <v>0.27346252181520964</v>
      </c>
    </row>
    <row r="182" spans="1:15">
      <c r="A182" s="14">
        <v>43607</v>
      </c>
      <c r="B182">
        <v>698.1</v>
      </c>
      <c r="C182">
        <v>702.8</v>
      </c>
      <c r="D182">
        <v>2554</v>
      </c>
      <c r="E182">
        <v>2515</v>
      </c>
      <c r="F182">
        <v>0.27944333996023801</v>
      </c>
      <c r="G182">
        <v>0.29190983528763298</v>
      </c>
      <c r="H182">
        <v>9.0661624833475399E-3</v>
      </c>
      <c r="I182">
        <v>-1.37505756711204</v>
      </c>
      <c r="J182">
        <v>-4.46</v>
      </c>
      <c r="L182">
        <v>0.3009759977709805</v>
      </c>
      <c r="M182">
        <v>0.28284367280428546</v>
      </c>
      <c r="N182">
        <v>0.31004216025432807</v>
      </c>
      <c r="O182">
        <v>0.27377751032093789</v>
      </c>
    </row>
    <row r="183" spans="1:15">
      <c r="A183" s="14">
        <v>43606</v>
      </c>
      <c r="B183">
        <v>690.2</v>
      </c>
      <c r="C183">
        <v>696.4</v>
      </c>
      <c r="D183">
        <v>2567</v>
      </c>
      <c r="E183">
        <v>2554</v>
      </c>
      <c r="F183">
        <v>0.272670321064996</v>
      </c>
      <c r="G183">
        <v>0.29223211685924699</v>
      </c>
      <c r="H183">
        <v>9.0468723437967594E-3</v>
      </c>
      <c r="I183">
        <v>-2.1622716725592399</v>
      </c>
      <c r="J183">
        <v>-7.17</v>
      </c>
      <c r="L183">
        <v>0.30127898920304375</v>
      </c>
      <c r="M183">
        <v>0.28318524451545024</v>
      </c>
      <c r="N183">
        <v>0.3103258615468405</v>
      </c>
      <c r="O183">
        <v>0.27413837217165349</v>
      </c>
    </row>
    <row r="184" spans="1:15">
      <c r="A184" s="14">
        <v>43605</v>
      </c>
      <c r="B184">
        <v>703.9</v>
      </c>
      <c r="C184">
        <v>697.2</v>
      </c>
      <c r="D184">
        <v>2572</v>
      </c>
      <c r="E184">
        <v>2596</v>
      </c>
      <c r="F184">
        <v>0.26856702619414402</v>
      </c>
      <c r="G184">
        <v>0.29260524620283501</v>
      </c>
      <c r="H184">
        <v>8.8062720079588302E-3</v>
      </c>
      <c r="I184">
        <v>-2.7296703970721201</v>
      </c>
      <c r="J184">
        <v>-8.9499999999999993</v>
      </c>
      <c r="L184">
        <v>0.30141151821079382</v>
      </c>
      <c r="M184">
        <v>0.28379897419487621</v>
      </c>
      <c r="N184">
        <v>0.31021779021875268</v>
      </c>
      <c r="O184">
        <v>0.27499270218691735</v>
      </c>
    </row>
    <row r="185" spans="1:15">
      <c r="A185" s="14">
        <v>43602</v>
      </c>
      <c r="B185">
        <v>710</v>
      </c>
      <c r="C185">
        <v>708.2</v>
      </c>
      <c r="D185">
        <v>2574</v>
      </c>
      <c r="E185">
        <v>2573</v>
      </c>
      <c r="F185">
        <v>0.27524290711232002</v>
      </c>
      <c r="G185">
        <v>0.29299751997969198</v>
      </c>
      <c r="H185">
        <v>8.3712797683164406E-3</v>
      </c>
      <c r="I185">
        <v>-2.1208958915182698</v>
      </c>
      <c r="J185">
        <v>-6.45</v>
      </c>
      <c r="L185">
        <v>0.3013687997480084</v>
      </c>
      <c r="M185">
        <v>0.28462624021137556</v>
      </c>
      <c r="N185">
        <v>0.30974007951632487</v>
      </c>
      <c r="O185">
        <v>0.27625496044305908</v>
      </c>
    </row>
    <row r="186" spans="1:15">
      <c r="A186" s="14">
        <v>43601</v>
      </c>
      <c r="B186">
        <v>701.4</v>
      </c>
      <c r="C186">
        <v>700.5</v>
      </c>
      <c r="D186">
        <v>2521</v>
      </c>
      <c r="E186">
        <v>2544</v>
      </c>
      <c r="F186">
        <v>0.27535377358490498</v>
      </c>
      <c r="G186">
        <v>0.29325541238546299</v>
      </c>
      <c r="H186">
        <v>8.1143326149626903E-3</v>
      </c>
      <c r="I186">
        <v>-2.2061751286294902</v>
      </c>
      <c r="J186">
        <v>-6.5</v>
      </c>
      <c r="L186">
        <v>0.30136974500042568</v>
      </c>
      <c r="M186">
        <v>0.28514107977050029</v>
      </c>
      <c r="N186">
        <v>0.30948407761538838</v>
      </c>
      <c r="O186">
        <v>0.2770267471555376</v>
      </c>
    </row>
    <row r="187" spans="1:15">
      <c r="A187" s="14">
        <v>43600</v>
      </c>
      <c r="B187">
        <v>709</v>
      </c>
      <c r="C187">
        <v>706.1</v>
      </c>
      <c r="D187">
        <v>2539</v>
      </c>
      <c r="E187">
        <v>2530</v>
      </c>
      <c r="F187">
        <v>0.279090909090909</v>
      </c>
      <c r="G187">
        <v>0.29357249720613299</v>
      </c>
      <c r="H187">
        <v>7.8695542381793607E-3</v>
      </c>
      <c r="I187">
        <v>-1.8402043720553001</v>
      </c>
      <c r="J187">
        <v>-5.19</v>
      </c>
      <c r="L187">
        <v>0.30144205144431235</v>
      </c>
      <c r="M187">
        <v>0.28570294296795362</v>
      </c>
      <c r="N187">
        <v>0.30931160568249172</v>
      </c>
      <c r="O187">
        <v>0.27783338872977426</v>
      </c>
    </row>
    <row r="188" spans="1:15">
      <c r="A188" s="14">
        <v>43599</v>
      </c>
      <c r="B188">
        <v>691</v>
      </c>
      <c r="C188">
        <v>703.2</v>
      </c>
      <c r="D188">
        <v>2447</v>
      </c>
      <c r="E188">
        <v>2538</v>
      </c>
      <c r="F188">
        <v>0.27706855791962098</v>
      </c>
      <c r="G188">
        <v>0.29383619992677001</v>
      </c>
      <c r="H188">
        <v>7.7096115841117198E-3</v>
      </c>
      <c r="I188">
        <v>-2.1749010082043299</v>
      </c>
      <c r="J188">
        <v>-6.05</v>
      </c>
      <c r="L188">
        <v>0.30154581151088172</v>
      </c>
      <c r="M188">
        <v>0.28612658834265831</v>
      </c>
      <c r="N188">
        <v>0.30925542309499343</v>
      </c>
      <c r="O188">
        <v>0.2784169767585466</v>
      </c>
    </row>
    <row r="189" spans="1:15">
      <c r="A189" s="14">
        <v>43598</v>
      </c>
      <c r="B189">
        <v>707.2</v>
      </c>
      <c r="C189">
        <v>709.6</v>
      </c>
      <c r="D189">
        <v>2430</v>
      </c>
      <c r="E189">
        <v>2521</v>
      </c>
      <c r="F189">
        <v>0.28147560491868301</v>
      </c>
      <c r="G189">
        <v>0.29409472001551701</v>
      </c>
      <c r="H189">
        <v>7.4641932761340003E-3</v>
      </c>
      <c r="I189">
        <v>-1.69062008846722</v>
      </c>
      <c r="J189">
        <v>-4.4800000000000004</v>
      </c>
      <c r="L189">
        <v>0.30155891329165102</v>
      </c>
      <c r="M189">
        <v>0.286630526739383</v>
      </c>
      <c r="N189">
        <v>0.30902310656778503</v>
      </c>
      <c r="O189">
        <v>0.27916633346324898</v>
      </c>
    </row>
    <row r="190" spans="1:15">
      <c r="A190" s="14">
        <v>43595</v>
      </c>
      <c r="B190">
        <v>723.9</v>
      </c>
      <c r="C190">
        <v>713.9</v>
      </c>
      <c r="D190">
        <v>2397</v>
      </c>
      <c r="E190">
        <v>2431</v>
      </c>
      <c r="F190">
        <v>0.29366515837104001</v>
      </c>
      <c r="G190">
        <v>0.29426397955731098</v>
      </c>
      <c r="H190">
        <v>7.3186324289000702E-3</v>
      </c>
      <c r="I190">
        <v>-8.1821459417266304E-2</v>
      </c>
      <c r="J190">
        <v>-0.2</v>
      </c>
      <c r="L190">
        <v>0.30158261198621106</v>
      </c>
      <c r="M190">
        <v>0.28694534712841091</v>
      </c>
      <c r="N190">
        <v>0.30890124441511113</v>
      </c>
      <c r="O190">
        <v>0.27962671469951084</v>
      </c>
    </row>
    <row r="191" spans="1:15">
      <c r="A191" s="14">
        <v>43594</v>
      </c>
      <c r="B191">
        <v>741.3</v>
      </c>
      <c r="C191">
        <v>721</v>
      </c>
      <c r="D191">
        <v>2478</v>
      </c>
      <c r="E191">
        <v>2438</v>
      </c>
      <c r="F191">
        <v>0.29573420836751402</v>
      </c>
      <c r="G191">
        <v>0.29428645149243798</v>
      </c>
      <c r="H191">
        <v>7.3193467187928603E-3</v>
      </c>
      <c r="I191">
        <v>0.197798646614009</v>
      </c>
      <c r="J191">
        <v>0.49</v>
      </c>
      <c r="L191">
        <v>0.30160579821123085</v>
      </c>
      <c r="M191">
        <v>0.28696710477364512</v>
      </c>
      <c r="N191">
        <v>0.30892514493002371</v>
      </c>
      <c r="O191">
        <v>0.27964775805485226</v>
      </c>
    </row>
    <row r="192" spans="1:15">
      <c r="A192" s="14">
        <v>43593</v>
      </c>
      <c r="B192">
        <v>761</v>
      </c>
      <c r="C192">
        <v>750.8</v>
      </c>
      <c r="D192">
        <v>2529</v>
      </c>
      <c r="E192">
        <v>2516</v>
      </c>
      <c r="F192">
        <v>0.29841017488076299</v>
      </c>
      <c r="G192">
        <v>0.29423805267062503</v>
      </c>
      <c r="H192">
        <v>7.3216144351069398E-3</v>
      </c>
      <c r="I192">
        <v>0.56983637244435603</v>
      </c>
      <c r="J192">
        <v>1.4</v>
      </c>
      <c r="L192">
        <v>0.30155966710573195</v>
      </c>
      <c r="M192">
        <v>0.2869164382355181</v>
      </c>
      <c r="N192">
        <v>0.30888128154083888</v>
      </c>
      <c r="O192">
        <v>0.27959482380041117</v>
      </c>
    </row>
    <row r="193" spans="1:15">
      <c r="A193" s="14">
        <v>43592</v>
      </c>
      <c r="B193">
        <v>794.1</v>
      </c>
      <c r="C193">
        <v>771.6</v>
      </c>
      <c r="D193">
        <v>2655</v>
      </c>
      <c r="E193">
        <v>2579</v>
      </c>
      <c r="F193">
        <v>0.29918573090345002</v>
      </c>
      <c r="G193">
        <v>0.29414108841328002</v>
      </c>
      <c r="H193">
        <v>7.3138702098159503E-3</v>
      </c>
      <c r="I193">
        <v>0.68973639748218396</v>
      </c>
      <c r="J193">
        <v>1.69</v>
      </c>
      <c r="L193">
        <v>0.30145495862309596</v>
      </c>
      <c r="M193">
        <v>0.28682721820346407</v>
      </c>
      <c r="N193">
        <v>0.3087688288329119</v>
      </c>
      <c r="O193">
        <v>0.27951334799364813</v>
      </c>
    </row>
    <row r="194" spans="1:15">
      <c r="A194" s="14">
        <v>43581</v>
      </c>
      <c r="B194">
        <v>786.8</v>
      </c>
      <c r="C194">
        <v>795.1</v>
      </c>
      <c r="D194">
        <v>2660</v>
      </c>
      <c r="E194">
        <v>2617</v>
      </c>
      <c r="F194">
        <v>0.30382116927779901</v>
      </c>
      <c r="G194">
        <v>0.29408723945221399</v>
      </c>
      <c r="H194">
        <v>7.2913632824683303E-3</v>
      </c>
      <c r="I194">
        <v>1.3349944925922099</v>
      </c>
      <c r="J194">
        <v>3.2</v>
      </c>
      <c r="L194">
        <v>0.30137860273468231</v>
      </c>
      <c r="M194">
        <v>0.28679587616974567</v>
      </c>
      <c r="N194">
        <v>0.30866996601715063</v>
      </c>
      <c r="O194">
        <v>0.27950451288727735</v>
      </c>
    </row>
    <row r="195" spans="1:15">
      <c r="A195" s="14">
        <v>43580</v>
      </c>
      <c r="B195">
        <v>789</v>
      </c>
      <c r="C195">
        <v>794.4</v>
      </c>
      <c r="D195">
        <v>2657</v>
      </c>
      <c r="E195">
        <v>2688</v>
      </c>
      <c r="F195">
        <v>0.29553571428571401</v>
      </c>
      <c r="G195">
        <v>0.29399038234487701</v>
      </c>
      <c r="H195">
        <v>7.2092020424564997E-3</v>
      </c>
      <c r="I195">
        <v>0.21435547675534</v>
      </c>
      <c r="J195">
        <v>0.52</v>
      </c>
      <c r="L195">
        <v>0.30119958438733352</v>
      </c>
      <c r="M195">
        <v>0.2867811803024205</v>
      </c>
      <c r="N195">
        <v>0.30840878642979003</v>
      </c>
      <c r="O195">
        <v>0.27957197825996399</v>
      </c>
    </row>
    <row r="196" spans="1:15">
      <c r="A196" s="14">
        <v>43579</v>
      </c>
      <c r="B196">
        <v>811.5</v>
      </c>
      <c r="C196">
        <v>790.9</v>
      </c>
      <c r="D196">
        <v>2715</v>
      </c>
      <c r="E196">
        <v>2646</v>
      </c>
      <c r="F196">
        <v>0.29890400604686301</v>
      </c>
      <c r="G196">
        <v>0.29400043089203198</v>
      </c>
      <c r="H196">
        <v>7.2118737367558496E-3</v>
      </c>
      <c r="I196">
        <v>0.67993081046868797</v>
      </c>
      <c r="J196">
        <v>1.64</v>
      </c>
      <c r="L196">
        <v>0.30121230462878784</v>
      </c>
      <c r="M196">
        <v>0.28678855715527612</v>
      </c>
      <c r="N196">
        <v>0.3084241783655437</v>
      </c>
      <c r="O196">
        <v>0.27957668341852027</v>
      </c>
    </row>
    <row r="197" spans="1:15">
      <c r="A197" s="14">
        <v>43578</v>
      </c>
      <c r="B197">
        <v>805</v>
      </c>
      <c r="C197">
        <v>811.6</v>
      </c>
      <c r="D197">
        <v>2669</v>
      </c>
      <c r="E197">
        <v>2692</v>
      </c>
      <c r="F197">
        <v>0.30148588410103999</v>
      </c>
      <c r="G197">
        <v>0.29387583888025098</v>
      </c>
      <c r="H197">
        <v>7.2067985086005301E-3</v>
      </c>
      <c r="I197">
        <v>1.0559536542761601</v>
      </c>
      <c r="J197">
        <v>2.52</v>
      </c>
      <c r="L197">
        <v>0.30108263738885149</v>
      </c>
      <c r="M197">
        <v>0.28666904037165047</v>
      </c>
      <c r="N197">
        <v>0.30828943589745206</v>
      </c>
      <c r="O197">
        <v>0.27946224186304991</v>
      </c>
    </row>
    <row r="198" spans="1:15">
      <c r="A198" s="14">
        <v>43577</v>
      </c>
      <c r="B198">
        <v>795</v>
      </c>
      <c r="C198">
        <v>802.7</v>
      </c>
      <c r="D198">
        <v>2608</v>
      </c>
      <c r="E198">
        <v>2631</v>
      </c>
      <c r="F198">
        <v>0.305093120486507</v>
      </c>
      <c r="G198">
        <v>0.29377634177311501</v>
      </c>
      <c r="H198">
        <v>7.1523538555209702E-3</v>
      </c>
      <c r="I198">
        <v>1.5822453617358301</v>
      </c>
      <c r="J198">
        <v>3.71</v>
      </c>
      <c r="L198">
        <v>0.300928695628636</v>
      </c>
      <c r="M198">
        <v>0.28662398791759403</v>
      </c>
      <c r="N198">
        <v>0.30808104948415693</v>
      </c>
      <c r="O198">
        <v>0.27947163406207309</v>
      </c>
    </row>
    <row r="199" spans="1:15">
      <c r="A199" s="14">
        <v>43574</v>
      </c>
      <c r="B199">
        <v>797.1</v>
      </c>
      <c r="C199">
        <v>793.7</v>
      </c>
      <c r="D199">
        <v>2683</v>
      </c>
      <c r="E199">
        <v>2625</v>
      </c>
      <c r="F199">
        <v>0.302361904761904</v>
      </c>
      <c r="G199">
        <v>0.29366897667188102</v>
      </c>
      <c r="H199">
        <v>7.0412448542450101E-3</v>
      </c>
      <c r="I199">
        <v>1.2345726174800999</v>
      </c>
      <c r="J199">
        <v>2.88</v>
      </c>
      <c r="L199">
        <v>0.30071022152612603</v>
      </c>
      <c r="M199">
        <v>0.28662773181763601</v>
      </c>
      <c r="N199">
        <v>0.30775146638037104</v>
      </c>
      <c r="O199">
        <v>0.279586486963391</v>
      </c>
    </row>
    <row r="200" spans="1:15">
      <c r="A200" s="14">
        <v>43573</v>
      </c>
      <c r="B200">
        <v>798.4</v>
      </c>
      <c r="C200">
        <v>792.4</v>
      </c>
      <c r="D200">
        <v>2692</v>
      </c>
      <c r="E200">
        <v>2633</v>
      </c>
      <c r="F200">
        <v>0.30094948727686999</v>
      </c>
      <c r="G200">
        <v>0.293561992415585</v>
      </c>
      <c r="H200">
        <v>6.9689377171119702E-3</v>
      </c>
      <c r="I200">
        <v>1.0600603938740101</v>
      </c>
      <c r="J200">
        <v>2.4500000000000002</v>
      </c>
      <c r="L200">
        <v>0.30053093013269699</v>
      </c>
      <c r="M200">
        <v>0.28659305469847302</v>
      </c>
      <c r="N200">
        <v>0.30749986784980893</v>
      </c>
      <c r="O200">
        <v>0.27962411698136108</v>
      </c>
    </row>
    <row r="201" spans="1:15">
      <c r="A201" s="14">
        <v>43572</v>
      </c>
      <c r="B201">
        <v>794.9</v>
      </c>
      <c r="C201">
        <v>802.2</v>
      </c>
      <c r="D201">
        <v>2690</v>
      </c>
      <c r="E201">
        <v>2692</v>
      </c>
      <c r="F201">
        <v>0.297994056463595</v>
      </c>
      <c r="G201">
        <v>0.29348676337149499</v>
      </c>
      <c r="H201">
        <v>6.9190592440911804E-3</v>
      </c>
      <c r="I201">
        <v>0.65143149279290202</v>
      </c>
      <c r="J201">
        <v>1.51</v>
      </c>
      <c r="L201">
        <v>0.30040582261558618</v>
      </c>
      <c r="M201">
        <v>0.28656770412740379</v>
      </c>
      <c r="N201">
        <v>0.30732488185967732</v>
      </c>
      <c r="O201">
        <v>0.27964864488331265</v>
      </c>
    </row>
    <row r="202" spans="1:15">
      <c r="A202" s="14">
        <v>43571</v>
      </c>
      <c r="B202">
        <v>801.4</v>
      </c>
      <c r="C202">
        <v>793.9</v>
      </c>
      <c r="D202">
        <v>2704</v>
      </c>
      <c r="E202">
        <v>2698</v>
      </c>
      <c r="F202">
        <v>0.29425500370644903</v>
      </c>
      <c r="G202">
        <v>0.293556332441538</v>
      </c>
      <c r="H202">
        <v>6.98989746050764E-3</v>
      </c>
      <c r="I202">
        <v>9.9954436936690497E-2</v>
      </c>
      <c r="J202">
        <v>0.24</v>
      </c>
      <c r="L202">
        <v>0.30054622990204566</v>
      </c>
      <c r="M202">
        <v>0.28656643498103035</v>
      </c>
      <c r="N202">
        <v>0.30753612736255326</v>
      </c>
      <c r="O202">
        <v>0.27957653752052275</v>
      </c>
    </row>
    <row r="203" spans="1:15">
      <c r="A203" s="14">
        <v>43570</v>
      </c>
      <c r="B203">
        <v>796.6</v>
      </c>
      <c r="C203">
        <v>802.3</v>
      </c>
      <c r="D203">
        <v>2736</v>
      </c>
      <c r="E203">
        <v>2728</v>
      </c>
      <c r="F203">
        <v>0.29409824046920802</v>
      </c>
      <c r="G203">
        <v>0.29362525484893298</v>
      </c>
      <c r="H203">
        <v>7.02185849966795E-3</v>
      </c>
      <c r="I203">
        <v>6.7359036115179294E-2</v>
      </c>
      <c r="J203">
        <v>0.16</v>
      </c>
      <c r="L203">
        <v>0.30064711334860095</v>
      </c>
      <c r="M203">
        <v>0.28660339634926502</v>
      </c>
      <c r="N203">
        <v>0.30766897184826886</v>
      </c>
      <c r="O203">
        <v>0.27958153784959711</v>
      </c>
    </row>
    <row r="204" spans="1:15">
      <c r="A204" s="14">
        <v>43567</v>
      </c>
      <c r="B204">
        <v>787.9</v>
      </c>
      <c r="C204">
        <v>786.8</v>
      </c>
      <c r="D204">
        <v>2694</v>
      </c>
      <c r="E204">
        <v>2652</v>
      </c>
      <c r="F204">
        <v>0.29668174962292598</v>
      </c>
      <c r="G204">
        <v>0.29368648644003298</v>
      </c>
      <c r="H204">
        <v>7.0456986088644003E-3</v>
      </c>
      <c r="I204">
        <v>0.42511940251376501</v>
      </c>
      <c r="J204">
        <v>1.01</v>
      </c>
      <c r="L204">
        <v>0.30073218504889737</v>
      </c>
      <c r="M204">
        <v>0.28664078783116859</v>
      </c>
      <c r="N204">
        <v>0.30777788365776176</v>
      </c>
      <c r="O204">
        <v>0.27959508922230419</v>
      </c>
    </row>
    <row r="205" spans="1:15">
      <c r="A205" s="14">
        <v>43566</v>
      </c>
      <c r="B205">
        <v>780.4</v>
      </c>
      <c r="C205">
        <v>781.8</v>
      </c>
      <c r="D205">
        <v>2655</v>
      </c>
      <c r="E205">
        <v>2652</v>
      </c>
      <c r="F205">
        <v>0.29479638009049702</v>
      </c>
      <c r="G205">
        <v>0.29376789068511999</v>
      </c>
      <c r="H205">
        <v>7.1147660078306101E-3</v>
      </c>
      <c r="I205">
        <v>0.144557024678691</v>
      </c>
      <c r="J205">
        <v>0.35</v>
      </c>
      <c r="L205">
        <v>0.30088265669295061</v>
      </c>
      <c r="M205">
        <v>0.28665312467728937</v>
      </c>
      <c r="N205">
        <v>0.30799742270078123</v>
      </c>
      <c r="O205">
        <v>0.27953835866945875</v>
      </c>
    </row>
    <row r="206" spans="1:15">
      <c r="A206" s="14">
        <v>43565</v>
      </c>
      <c r="B206">
        <v>793.5</v>
      </c>
      <c r="C206">
        <v>788.9</v>
      </c>
      <c r="D206">
        <v>2650</v>
      </c>
      <c r="E206">
        <v>2649</v>
      </c>
      <c r="F206">
        <v>0.29781049452623598</v>
      </c>
      <c r="G206">
        <v>0.29384990590879201</v>
      </c>
      <c r="H206">
        <v>7.1614495526441096E-3</v>
      </c>
      <c r="I206">
        <v>0.553042870487224</v>
      </c>
      <c r="J206">
        <v>1.33</v>
      </c>
      <c r="L206">
        <v>0.30101135546143609</v>
      </c>
      <c r="M206">
        <v>0.28668845635614792</v>
      </c>
      <c r="N206">
        <v>0.30817280501408023</v>
      </c>
      <c r="O206">
        <v>0.27952700680350379</v>
      </c>
    </row>
    <row r="207" spans="1:15">
      <c r="A207" s="14">
        <v>43564</v>
      </c>
      <c r="B207">
        <v>801.1</v>
      </c>
      <c r="C207">
        <v>799.4</v>
      </c>
      <c r="D207">
        <v>2697</v>
      </c>
      <c r="E207">
        <v>2681</v>
      </c>
      <c r="F207">
        <v>0.29817232375979102</v>
      </c>
      <c r="G207">
        <v>0.29392393362310099</v>
      </c>
      <c r="H207">
        <v>7.2303716311371601E-3</v>
      </c>
      <c r="I207">
        <v>0.58757562590476498</v>
      </c>
      <c r="J207">
        <v>1.42</v>
      </c>
      <c r="L207">
        <v>0.30115430525423814</v>
      </c>
      <c r="M207">
        <v>0.28669356199196383</v>
      </c>
      <c r="N207">
        <v>0.3083846768853753</v>
      </c>
      <c r="O207">
        <v>0.27946319036082667</v>
      </c>
    </row>
    <row r="208" spans="1:15">
      <c r="A208" s="14">
        <v>43563</v>
      </c>
      <c r="B208">
        <v>808</v>
      </c>
      <c r="C208">
        <v>806.1</v>
      </c>
      <c r="D208">
        <v>2705</v>
      </c>
      <c r="E208">
        <v>2692</v>
      </c>
      <c r="F208">
        <v>0.299442793462109</v>
      </c>
      <c r="G208">
        <v>0.29395601255410497</v>
      </c>
      <c r="H208">
        <v>7.2544463490169199E-3</v>
      </c>
      <c r="I208">
        <v>0.75633351520306702</v>
      </c>
      <c r="J208">
        <v>1.83</v>
      </c>
      <c r="L208">
        <v>0.30121045890312187</v>
      </c>
      <c r="M208">
        <v>0.28670156620508808</v>
      </c>
      <c r="N208">
        <v>0.30846490525213882</v>
      </c>
      <c r="O208">
        <v>0.27944711985607112</v>
      </c>
    </row>
    <row r="209" spans="1:15">
      <c r="A209" s="14">
        <v>43560</v>
      </c>
      <c r="B209">
        <v>792.4</v>
      </c>
      <c r="C209">
        <v>802.2</v>
      </c>
      <c r="D209">
        <v>2699</v>
      </c>
      <c r="E209">
        <v>2704</v>
      </c>
      <c r="F209">
        <v>0.296671597633136</v>
      </c>
      <c r="G209">
        <v>0.293946878827613</v>
      </c>
      <c r="H209">
        <v>7.2479608004941704E-3</v>
      </c>
      <c r="I209">
        <v>0.37592902066152301</v>
      </c>
      <c r="J209">
        <v>0.92</v>
      </c>
      <c r="L209">
        <v>0.30119483962810717</v>
      </c>
      <c r="M209">
        <v>0.28669891802711883</v>
      </c>
      <c r="N209">
        <v>0.30844280042860134</v>
      </c>
      <c r="O209">
        <v>0.27945095722662466</v>
      </c>
    </row>
    <row r="210" spans="1:15">
      <c r="A210" s="14">
        <v>43559</v>
      </c>
      <c r="B210">
        <v>789</v>
      </c>
      <c r="C210">
        <v>793.5</v>
      </c>
      <c r="D210">
        <v>2720</v>
      </c>
      <c r="E210">
        <v>2695</v>
      </c>
      <c r="F210">
        <v>0.29443413729127998</v>
      </c>
      <c r="G210">
        <v>0.29388409703201002</v>
      </c>
      <c r="H210">
        <v>7.2444796412734604E-3</v>
      </c>
      <c r="I210">
        <v>7.5925433779334695E-2</v>
      </c>
      <c r="J210">
        <v>0.19</v>
      </c>
      <c r="L210">
        <v>0.30112857667328347</v>
      </c>
      <c r="M210">
        <v>0.28663961739073657</v>
      </c>
      <c r="N210">
        <v>0.30837305631455691</v>
      </c>
      <c r="O210">
        <v>0.27939513774946312</v>
      </c>
    </row>
    <row r="211" spans="1:15">
      <c r="A211" s="14">
        <v>43558</v>
      </c>
      <c r="B211">
        <v>785</v>
      </c>
      <c r="C211">
        <v>791.3</v>
      </c>
      <c r="D211">
        <v>2710</v>
      </c>
      <c r="E211">
        <v>2733</v>
      </c>
      <c r="F211">
        <v>0.28953530918404602</v>
      </c>
      <c r="G211">
        <v>0.29389493254454402</v>
      </c>
      <c r="H211">
        <v>7.2459018365990096E-3</v>
      </c>
      <c r="I211">
        <v>-0.60166746097453105</v>
      </c>
      <c r="J211">
        <v>-1.51</v>
      </c>
      <c r="L211">
        <v>0.30114083438114303</v>
      </c>
      <c r="M211">
        <v>0.28664903070794501</v>
      </c>
      <c r="N211">
        <v>0.30838673621774204</v>
      </c>
      <c r="O211">
        <v>0.279403128871346</v>
      </c>
    </row>
    <row r="212" spans="1:15">
      <c r="A212" s="14">
        <v>43557</v>
      </c>
      <c r="B212">
        <v>797</v>
      </c>
      <c r="C212">
        <v>783.2</v>
      </c>
      <c r="D212">
        <v>2777</v>
      </c>
      <c r="E212">
        <v>2704</v>
      </c>
      <c r="F212">
        <v>0.28964497041420101</v>
      </c>
      <c r="G212">
        <v>0.294013343444888</v>
      </c>
      <c r="H212">
        <v>7.2462544827501703E-3</v>
      </c>
      <c r="I212">
        <v>-0.60284565510169097</v>
      </c>
      <c r="J212">
        <v>-1.51</v>
      </c>
      <c r="L212">
        <v>0.30125959792763818</v>
      </c>
      <c r="M212">
        <v>0.28676708896213782</v>
      </c>
      <c r="N212">
        <v>0.30850585241038836</v>
      </c>
      <c r="O212">
        <v>0.27952083447938764</v>
      </c>
    </row>
    <row r="213" spans="1:15">
      <c r="A213" s="14">
        <v>43556</v>
      </c>
      <c r="B213">
        <v>779</v>
      </c>
      <c r="C213">
        <v>791.4</v>
      </c>
      <c r="D213">
        <v>2800</v>
      </c>
      <c r="E213">
        <v>2752</v>
      </c>
      <c r="F213">
        <v>0.28757267441860401</v>
      </c>
      <c r="G213">
        <v>0.29415286611010699</v>
      </c>
      <c r="H213">
        <v>7.2615257637143197E-3</v>
      </c>
      <c r="I213">
        <v>-0.90617205056055505</v>
      </c>
      <c r="J213">
        <v>-2.29</v>
      </c>
      <c r="L213">
        <v>0.3014143918738213</v>
      </c>
      <c r="M213">
        <v>0.28689134034639269</v>
      </c>
      <c r="N213">
        <v>0.30867591763753566</v>
      </c>
      <c r="O213">
        <v>0.27962981458267833</v>
      </c>
    </row>
    <row r="214" spans="1:15">
      <c r="A214" s="14">
        <v>43553</v>
      </c>
      <c r="B214">
        <v>768.4</v>
      </c>
      <c r="C214">
        <v>765</v>
      </c>
      <c r="D214">
        <v>2641</v>
      </c>
      <c r="E214">
        <v>2619</v>
      </c>
      <c r="F214">
        <v>0.292096219931271</v>
      </c>
      <c r="G214">
        <v>0.29430002546010497</v>
      </c>
      <c r="H214">
        <v>7.2384817227312496E-3</v>
      </c>
      <c r="I214">
        <v>-0.30445687552317502</v>
      </c>
      <c r="J214">
        <v>-0.75</v>
      </c>
      <c r="L214">
        <v>0.3015385071828362</v>
      </c>
      <c r="M214">
        <v>0.28706154373737375</v>
      </c>
      <c r="N214">
        <v>0.30877698890556748</v>
      </c>
      <c r="O214">
        <v>0.27982306201464247</v>
      </c>
    </row>
    <row r="215" spans="1:15">
      <c r="A215" s="14">
        <v>43552</v>
      </c>
      <c r="B215">
        <v>779.9</v>
      </c>
      <c r="C215">
        <v>765.9</v>
      </c>
      <c r="D215">
        <v>2677</v>
      </c>
      <c r="E215">
        <v>2641</v>
      </c>
      <c r="F215">
        <v>0.29000378644452801</v>
      </c>
      <c r="G215">
        <v>0.29437300341767297</v>
      </c>
      <c r="H215">
        <v>7.24348445757215E-3</v>
      </c>
      <c r="I215">
        <v>-0.60319270355824395</v>
      </c>
      <c r="J215">
        <v>-1.51</v>
      </c>
      <c r="L215">
        <v>0.30161648787524514</v>
      </c>
      <c r="M215">
        <v>0.2871295189601008</v>
      </c>
      <c r="N215">
        <v>0.30885997233281726</v>
      </c>
      <c r="O215">
        <v>0.27988603450252869</v>
      </c>
    </row>
    <row r="216" spans="1:15">
      <c r="A216" s="14">
        <v>43551</v>
      </c>
      <c r="B216">
        <v>785.2</v>
      </c>
      <c r="C216">
        <v>782.5</v>
      </c>
      <c r="D216">
        <v>2723</v>
      </c>
      <c r="E216">
        <v>2716</v>
      </c>
      <c r="F216">
        <v>0.28810751104565502</v>
      </c>
      <c r="G216">
        <v>0.29450445287445298</v>
      </c>
      <c r="H216">
        <v>7.25245115175761E-3</v>
      </c>
      <c r="I216">
        <v>-0.88203859563362996</v>
      </c>
      <c r="J216">
        <v>-2.2200000000000002</v>
      </c>
      <c r="L216">
        <v>0.30175690402621058</v>
      </c>
      <c r="M216">
        <v>0.28725200172269538</v>
      </c>
      <c r="N216">
        <v>0.30900935517796818</v>
      </c>
      <c r="O216">
        <v>0.27999955057093778</v>
      </c>
    </row>
    <row r="217" spans="1:15">
      <c r="A217" s="14">
        <v>43550</v>
      </c>
      <c r="B217">
        <v>789.7</v>
      </c>
      <c r="C217">
        <v>805</v>
      </c>
      <c r="D217">
        <v>2671</v>
      </c>
      <c r="E217">
        <v>2754</v>
      </c>
      <c r="F217">
        <v>0.29230210602759599</v>
      </c>
      <c r="G217">
        <v>0.29455018829649299</v>
      </c>
      <c r="H217">
        <v>7.2227212304905204E-3</v>
      </c>
      <c r="I217">
        <v>-0.31125142410408702</v>
      </c>
      <c r="J217">
        <v>-0.77</v>
      </c>
      <c r="L217">
        <v>0.30177290952698349</v>
      </c>
      <c r="M217">
        <v>0.28732746706600248</v>
      </c>
      <c r="N217">
        <v>0.30899563075747405</v>
      </c>
      <c r="O217">
        <v>0.28010474583551193</v>
      </c>
    </row>
    <row r="218" spans="1:15">
      <c r="A218" s="14">
        <v>43549</v>
      </c>
      <c r="B218">
        <v>793.6</v>
      </c>
      <c r="C218">
        <v>785.4</v>
      </c>
      <c r="D218">
        <v>2650</v>
      </c>
      <c r="E218">
        <v>2621</v>
      </c>
      <c r="F218">
        <v>0.29965661961083501</v>
      </c>
      <c r="G218">
        <v>0.29456960849198699</v>
      </c>
      <c r="H218">
        <v>7.2186074996889102E-3</v>
      </c>
      <c r="I218">
        <v>0.70470809211713703</v>
      </c>
      <c r="J218">
        <v>1.7</v>
      </c>
      <c r="L218">
        <v>0.30178821599167588</v>
      </c>
      <c r="M218">
        <v>0.2873510009922981</v>
      </c>
      <c r="N218">
        <v>0.30900682349136482</v>
      </c>
      <c r="O218">
        <v>0.28013239349260916</v>
      </c>
    </row>
    <row r="219" spans="1:15">
      <c r="A219" s="14">
        <v>43546</v>
      </c>
      <c r="B219">
        <v>795</v>
      </c>
      <c r="C219">
        <v>805.9</v>
      </c>
      <c r="D219">
        <v>2701</v>
      </c>
      <c r="E219">
        <v>2687</v>
      </c>
      <c r="F219">
        <v>0.29992556754744998</v>
      </c>
      <c r="G219">
        <v>0.29444835756750298</v>
      </c>
      <c r="H219">
        <v>7.2085100296421798E-3</v>
      </c>
      <c r="I219">
        <v>0.75982553362962602</v>
      </c>
      <c r="J219">
        <v>1.83</v>
      </c>
      <c r="L219">
        <v>0.30165686759714516</v>
      </c>
      <c r="M219">
        <v>0.2872398475378608</v>
      </c>
      <c r="N219">
        <v>0.30886537762678734</v>
      </c>
      <c r="O219">
        <v>0.28003133750821863</v>
      </c>
    </row>
    <row r="220" spans="1:15">
      <c r="A220" s="14">
        <v>43544</v>
      </c>
      <c r="B220">
        <v>785.2</v>
      </c>
      <c r="C220">
        <v>792.7</v>
      </c>
      <c r="D220">
        <v>2691</v>
      </c>
      <c r="E220">
        <v>2709</v>
      </c>
      <c r="F220">
        <v>0.292617201919527</v>
      </c>
      <c r="G220">
        <v>0.29431234194757799</v>
      </c>
      <c r="H220">
        <v>7.2001154880732597E-3</v>
      </c>
      <c r="I220">
        <v>-0.23543233866995</v>
      </c>
      <c r="J220">
        <v>-0.57999999999999996</v>
      </c>
      <c r="L220">
        <v>0.30151245743565125</v>
      </c>
      <c r="M220">
        <v>0.28711222645950474</v>
      </c>
      <c r="N220">
        <v>0.3087125729237245</v>
      </c>
      <c r="O220">
        <v>0.27991211097143148</v>
      </c>
    </row>
    <row r="221" spans="1:15">
      <c r="A221" s="14">
        <v>43543</v>
      </c>
      <c r="B221">
        <v>781</v>
      </c>
      <c r="C221">
        <v>785.1</v>
      </c>
      <c r="D221">
        <v>2695</v>
      </c>
      <c r="E221">
        <v>2681</v>
      </c>
      <c r="F221">
        <v>0.29283849309958898</v>
      </c>
      <c r="G221">
        <v>0.29431993273088503</v>
      </c>
      <c r="H221">
        <v>7.1986243157762704E-3</v>
      </c>
      <c r="I221">
        <v>-0.205794824998635</v>
      </c>
      <c r="J221">
        <v>-0.51</v>
      </c>
      <c r="L221">
        <v>0.30151855704666131</v>
      </c>
      <c r="M221">
        <v>0.28712130841510874</v>
      </c>
      <c r="N221">
        <v>0.30871718136243759</v>
      </c>
      <c r="O221">
        <v>0.27992268409933246</v>
      </c>
    </row>
    <row r="222" spans="1:15">
      <c r="A222" s="14">
        <v>43542</v>
      </c>
      <c r="B222">
        <v>778.6</v>
      </c>
      <c r="C222">
        <v>779.3</v>
      </c>
      <c r="D222">
        <v>2693</v>
      </c>
      <c r="E222">
        <v>2695</v>
      </c>
      <c r="F222">
        <v>0.28916512059369198</v>
      </c>
      <c r="G222">
        <v>0.29429524195456302</v>
      </c>
      <c r="H222">
        <v>7.2068343103647396E-3</v>
      </c>
      <c r="I222">
        <v>-0.71184116908210204</v>
      </c>
      <c r="J222">
        <v>-1.77</v>
      </c>
      <c r="L222">
        <v>0.30150207626492775</v>
      </c>
      <c r="M222">
        <v>0.2870884076441983</v>
      </c>
      <c r="N222">
        <v>0.30870891057529248</v>
      </c>
      <c r="O222">
        <v>0.27988157333383357</v>
      </c>
    </row>
    <row r="223" spans="1:15">
      <c r="A223" s="14">
        <v>43539</v>
      </c>
      <c r="B223">
        <v>781.6</v>
      </c>
      <c r="C223">
        <v>779.3</v>
      </c>
      <c r="D223">
        <v>2661</v>
      </c>
      <c r="E223">
        <v>2685</v>
      </c>
      <c r="F223">
        <v>0.29024208566108001</v>
      </c>
      <c r="G223">
        <v>0.29431457810303502</v>
      </c>
      <c r="H223">
        <v>7.1949798339963197E-3</v>
      </c>
      <c r="I223">
        <v>-0.56601860407068705</v>
      </c>
      <c r="J223">
        <v>-1.4</v>
      </c>
      <c r="L223">
        <v>0.30150955793703133</v>
      </c>
      <c r="M223">
        <v>0.28711959826903871</v>
      </c>
      <c r="N223">
        <v>0.30870453777102763</v>
      </c>
      <c r="O223">
        <v>0.2799246184350424</v>
      </c>
    </row>
    <row r="224" spans="1:15">
      <c r="A224" s="14">
        <v>43538</v>
      </c>
      <c r="B224">
        <v>786.5</v>
      </c>
      <c r="C224">
        <v>781.7</v>
      </c>
      <c r="D224">
        <v>2696</v>
      </c>
      <c r="E224">
        <v>2667</v>
      </c>
      <c r="F224">
        <v>0.29310086239220101</v>
      </c>
      <c r="G224">
        <v>0.29439469498860799</v>
      </c>
      <c r="H224">
        <v>7.1826296664847297E-3</v>
      </c>
      <c r="I224">
        <v>-0.180133552262183</v>
      </c>
      <c r="J224">
        <v>-0.44</v>
      </c>
      <c r="L224">
        <v>0.30157732465509274</v>
      </c>
      <c r="M224">
        <v>0.28721206532212323</v>
      </c>
      <c r="N224">
        <v>0.30875995432157743</v>
      </c>
      <c r="O224">
        <v>0.28002943565563854</v>
      </c>
    </row>
    <row r="225" spans="1:15">
      <c r="A225" s="14">
        <v>43537</v>
      </c>
      <c r="B225">
        <v>779.7</v>
      </c>
      <c r="C225">
        <v>777.3</v>
      </c>
      <c r="D225">
        <v>2714</v>
      </c>
      <c r="E225">
        <v>2688</v>
      </c>
      <c r="F225">
        <v>0.28917410714285702</v>
      </c>
      <c r="G225">
        <v>0.29439646474358699</v>
      </c>
      <c r="H225">
        <v>7.18232700194901E-3</v>
      </c>
      <c r="I225">
        <v>-0.72711220184120595</v>
      </c>
      <c r="J225">
        <v>-1.81</v>
      </c>
      <c r="L225">
        <v>0.30157879174553598</v>
      </c>
      <c r="M225">
        <v>0.28721413774163801</v>
      </c>
      <c r="N225">
        <v>0.30876111874748502</v>
      </c>
      <c r="O225">
        <v>0.28003181073968897</v>
      </c>
    </row>
    <row r="226" spans="1:15">
      <c r="A226" s="14">
        <v>43536</v>
      </c>
      <c r="B226">
        <v>782</v>
      </c>
      <c r="C226">
        <v>783.4</v>
      </c>
      <c r="D226">
        <v>2716</v>
      </c>
      <c r="E226">
        <v>2717</v>
      </c>
      <c r="F226">
        <v>0.28833271991166698</v>
      </c>
      <c r="G226">
        <v>0.29444813536498798</v>
      </c>
      <c r="H226">
        <v>7.1584708820175902E-3</v>
      </c>
      <c r="I226">
        <v>-0.85429074925525295</v>
      </c>
      <c r="J226">
        <v>-2.12</v>
      </c>
      <c r="L226">
        <v>0.30160660624700558</v>
      </c>
      <c r="M226">
        <v>0.28728966448297039</v>
      </c>
      <c r="N226">
        <v>0.30876507712902318</v>
      </c>
      <c r="O226">
        <v>0.28013119360095279</v>
      </c>
    </row>
    <row r="227" spans="1:15">
      <c r="A227" s="14">
        <v>43535</v>
      </c>
      <c r="B227">
        <v>766</v>
      </c>
      <c r="C227">
        <v>771.6</v>
      </c>
      <c r="D227">
        <v>2697</v>
      </c>
      <c r="E227">
        <v>2698</v>
      </c>
      <c r="F227">
        <v>0.28598962194217897</v>
      </c>
      <c r="G227">
        <v>0.29452769177349097</v>
      </c>
      <c r="H227">
        <v>7.1231332169672196E-3</v>
      </c>
      <c r="I227">
        <v>-1.19863963950228</v>
      </c>
      <c r="J227">
        <v>-2.99</v>
      </c>
      <c r="L227">
        <v>0.3016508249904582</v>
      </c>
      <c r="M227">
        <v>0.28740455855652375</v>
      </c>
      <c r="N227">
        <v>0.30877395820742543</v>
      </c>
      <c r="O227">
        <v>0.28028142533955652</v>
      </c>
    </row>
    <row r="228" spans="1:15">
      <c r="A228" s="14">
        <v>43532</v>
      </c>
      <c r="B228">
        <v>774</v>
      </c>
      <c r="C228">
        <v>765.7</v>
      </c>
      <c r="D228">
        <v>2707</v>
      </c>
      <c r="E228">
        <v>2696</v>
      </c>
      <c r="F228">
        <v>0.28401335311572701</v>
      </c>
      <c r="G228">
        <v>0.29463906850565003</v>
      </c>
      <c r="H228">
        <v>7.05372920175301E-3</v>
      </c>
      <c r="I228">
        <v>-1.5063968414441999</v>
      </c>
      <c r="J228">
        <v>-3.74</v>
      </c>
      <c r="L228">
        <v>0.30169279770740304</v>
      </c>
      <c r="M228">
        <v>0.28758533930389701</v>
      </c>
      <c r="N228">
        <v>0.30874652690915605</v>
      </c>
      <c r="O228">
        <v>0.280531610102144</v>
      </c>
    </row>
    <row r="229" spans="1:15">
      <c r="A229" s="14">
        <v>43531</v>
      </c>
      <c r="B229">
        <v>790.1</v>
      </c>
      <c r="C229">
        <v>782.6</v>
      </c>
      <c r="D229">
        <v>2695</v>
      </c>
      <c r="E229">
        <v>2730</v>
      </c>
      <c r="F229">
        <v>0.28666666666666601</v>
      </c>
      <c r="G229">
        <v>0.29486740668218803</v>
      </c>
      <c r="H229">
        <v>6.9828947142687604E-3</v>
      </c>
      <c r="I229">
        <v>-1.17440407611544</v>
      </c>
      <c r="J229">
        <v>-2.86</v>
      </c>
      <c r="L229">
        <v>0.3018503013964568</v>
      </c>
      <c r="M229">
        <v>0.28788451196791925</v>
      </c>
      <c r="N229">
        <v>0.30883319611072557</v>
      </c>
      <c r="O229">
        <v>0.28090161725365048</v>
      </c>
    </row>
    <row r="230" spans="1:15">
      <c r="A230" s="14">
        <v>43530</v>
      </c>
      <c r="B230">
        <v>792.4</v>
      </c>
      <c r="C230">
        <v>788.1</v>
      </c>
      <c r="D230">
        <v>2724</v>
      </c>
      <c r="E230">
        <v>2708</v>
      </c>
      <c r="F230">
        <v>0.29102658788774</v>
      </c>
      <c r="G230">
        <v>0.29509376010404798</v>
      </c>
      <c r="H230">
        <v>6.98854362220364E-3</v>
      </c>
      <c r="I230">
        <v>-0.58197708080205901</v>
      </c>
      <c r="J230">
        <v>-1.4</v>
      </c>
      <c r="L230">
        <v>0.30208230372625161</v>
      </c>
      <c r="M230">
        <v>0.28810521648184434</v>
      </c>
      <c r="N230">
        <v>0.30907084734845525</v>
      </c>
      <c r="O230">
        <v>0.2811166728596407</v>
      </c>
    </row>
    <row r="231" spans="1:15">
      <c r="A231" s="14">
        <v>43529</v>
      </c>
      <c r="B231">
        <v>791.4</v>
      </c>
      <c r="C231">
        <v>793.4</v>
      </c>
      <c r="D231">
        <v>2717</v>
      </c>
      <c r="E231">
        <v>2724</v>
      </c>
      <c r="F231">
        <v>0.291262848751835</v>
      </c>
      <c r="G231">
        <v>0.29523929997707199</v>
      </c>
      <c r="H231">
        <v>7.01593384710402E-3</v>
      </c>
      <c r="I231">
        <v>-0.56677433281076095</v>
      </c>
      <c r="J231">
        <v>-1.37</v>
      </c>
      <c r="L231">
        <v>0.30225523382417602</v>
      </c>
      <c r="M231">
        <v>0.28822336612996796</v>
      </c>
      <c r="N231">
        <v>0.30927116767128005</v>
      </c>
      <c r="O231">
        <v>0.28120743228286393</v>
      </c>
    </row>
    <row r="232" spans="1:15">
      <c r="A232" s="14">
        <v>43528</v>
      </c>
      <c r="B232">
        <v>799.5</v>
      </c>
      <c r="C232">
        <v>797.9</v>
      </c>
      <c r="D232">
        <v>2774</v>
      </c>
      <c r="E232">
        <v>2765</v>
      </c>
      <c r="F232">
        <v>0.28857142857142798</v>
      </c>
      <c r="G232">
        <v>0.29543374404499601</v>
      </c>
      <c r="H232">
        <v>7.1045592202073999E-3</v>
      </c>
      <c r="I232">
        <v>-0.96590305758161199</v>
      </c>
      <c r="J232">
        <v>-2.38</v>
      </c>
      <c r="L232">
        <v>0.30253830326520342</v>
      </c>
      <c r="M232">
        <v>0.28832918482478859</v>
      </c>
      <c r="N232">
        <v>0.30964286248541079</v>
      </c>
      <c r="O232">
        <v>0.28122462560458122</v>
      </c>
    </row>
    <row r="233" spans="1:15">
      <c r="A233" s="14">
        <v>43525</v>
      </c>
      <c r="B233">
        <v>799.3</v>
      </c>
      <c r="C233">
        <v>795.3</v>
      </c>
      <c r="D233">
        <v>2812</v>
      </c>
      <c r="E233">
        <v>2769</v>
      </c>
      <c r="F233">
        <v>0.28721560130010798</v>
      </c>
      <c r="G233">
        <v>0.29561680840044502</v>
      </c>
      <c r="H233">
        <v>7.10226726509121E-3</v>
      </c>
      <c r="I233">
        <v>-1.1828908694594999</v>
      </c>
      <c r="J233">
        <v>-2.93</v>
      </c>
      <c r="L233">
        <v>0.30271907566553624</v>
      </c>
      <c r="M233">
        <v>0.2885145411353538</v>
      </c>
      <c r="N233">
        <v>0.30982134293062746</v>
      </c>
      <c r="O233">
        <v>0.28141227387026257</v>
      </c>
    </row>
    <row r="234" spans="1:15">
      <c r="A234" s="14">
        <v>43524</v>
      </c>
      <c r="B234">
        <v>798.2</v>
      </c>
      <c r="C234">
        <v>794.7</v>
      </c>
      <c r="D234">
        <v>2783</v>
      </c>
      <c r="E234">
        <v>2815</v>
      </c>
      <c r="F234">
        <v>0.28230905861456401</v>
      </c>
      <c r="G234">
        <v>0.29598632808264103</v>
      </c>
      <c r="H234">
        <v>7.3714104768663503E-3</v>
      </c>
      <c r="I234">
        <v>-1.85544808703843</v>
      </c>
      <c r="J234">
        <v>-4.84</v>
      </c>
      <c r="L234">
        <v>0.30335773855950737</v>
      </c>
      <c r="M234">
        <v>0.28861491760577468</v>
      </c>
      <c r="N234">
        <v>0.31072914903637372</v>
      </c>
      <c r="O234">
        <v>0.28124350712890833</v>
      </c>
    </row>
    <row r="235" spans="1:15">
      <c r="A235" s="14">
        <v>43523</v>
      </c>
      <c r="B235">
        <v>800.6</v>
      </c>
      <c r="C235">
        <v>802</v>
      </c>
      <c r="D235">
        <v>2799</v>
      </c>
      <c r="E235">
        <v>2785</v>
      </c>
      <c r="F235">
        <v>0.28797127468581601</v>
      </c>
      <c r="G235">
        <v>0.29628270594225697</v>
      </c>
      <c r="H235">
        <v>7.2615811334310497E-3</v>
      </c>
      <c r="I235">
        <v>-1.1445759681974099</v>
      </c>
      <c r="J235">
        <v>-2.89</v>
      </c>
      <c r="L235">
        <v>0.30354428707568804</v>
      </c>
      <c r="M235">
        <v>0.28902112480882591</v>
      </c>
      <c r="N235">
        <v>0.3108058682091191</v>
      </c>
      <c r="O235">
        <v>0.28175954367539485</v>
      </c>
    </row>
    <row r="236" spans="1:15">
      <c r="A236" s="14">
        <v>43522</v>
      </c>
      <c r="B236">
        <v>805</v>
      </c>
      <c r="C236">
        <v>802.3</v>
      </c>
      <c r="D236">
        <v>2829</v>
      </c>
      <c r="E236">
        <v>2784</v>
      </c>
      <c r="F236">
        <v>0.28818247126436702</v>
      </c>
      <c r="G236">
        <v>0.29678386644851401</v>
      </c>
      <c r="H236">
        <v>7.9363603427108406E-3</v>
      </c>
      <c r="I236">
        <v>-1.0837959483589901</v>
      </c>
      <c r="J236">
        <v>-2.98</v>
      </c>
      <c r="L236">
        <v>0.30472022679122485</v>
      </c>
      <c r="M236">
        <v>0.28884750610580318</v>
      </c>
      <c r="N236">
        <v>0.31265658713393568</v>
      </c>
      <c r="O236">
        <v>0.28091114576309234</v>
      </c>
    </row>
    <row r="237" spans="1:15">
      <c r="A237" s="14">
        <v>43521</v>
      </c>
      <c r="B237">
        <v>812.1</v>
      </c>
      <c r="C237">
        <v>804.2</v>
      </c>
      <c r="D237">
        <v>2845</v>
      </c>
      <c r="E237">
        <v>2826</v>
      </c>
      <c r="F237">
        <v>0.28457183297947602</v>
      </c>
      <c r="G237">
        <v>0.29722230975646402</v>
      </c>
      <c r="H237">
        <v>8.3467703162032406E-3</v>
      </c>
      <c r="I237">
        <v>-1.5156133807144501</v>
      </c>
      <c r="J237">
        <v>-4.45</v>
      </c>
      <c r="L237">
        <v>0.30556908007266725</v>
      </c>
      <c r="M237">
        <v>0.28887553944026079</v>
      </c>
      <c r="N237">
        <v>0.31391585038887049</v>
      </c>
      <c r="O237">
        <v>0.28052876912405755</v>
      </c>
    </row>
    <row r="238" spans="1:15">
      <c r="A238" s="14">
        <v>43518</v>
      </c>
      <c r="B238">
        <v>793</v>
      </c>
      <c r="C238">
        <v>807</v>
      </c>
      <c r="D238">
        <v>2868</v>
      </c>
      <c r="E238">
        <v>2839</v>
      </c>
      <c r="F238">
        <v>0.284255019373018</v>
      </c>
      <c r="G238">
        <v>0.29790323232528398</v>
      </c>
      <c r="H238">
        <v>9.3140267733047202E-3</v>
      </c>
      <c r="I238">
        <v>-1.4653396736397399</v>
      </c>
      <c r="J238">
        <v>-4.8</v>
      </c>
      <c r="L238">
        <v>0.30721725909858871</v>
      </c>
      <c r="M238">
        <v>0.28858920555197926</v>
      </c>
      <c r="N238">
        <v>0.31653128587189344</v>
      </c>
      <c r="O238">
        <v>0.27927517877867453</v>
      </c>
    </row>
    <row r="239" spans="1:15">
      <c r="A239" s="14">
        <v>43517</v>
      </c>
      <c r="B239">
        <v>816.1</v>
      </c>
      <c r="C239">
        <v>818.9</v>
      </c>
      <c r="D239">
        <v>2885</v>
      </c>
      <c r="E239">
        <v>2894</v>
      </c>
      <c r="F239">
        <v>0.28296475466482301</v>
      </c>
      <c r="G239">
        <v>0.29856545009956398</v>
      </c>
      <c r="H239">
        <v>1.0056157938687801E-2</v>
      </c>
      <c r="I239">
        <v>-1.55135743987488</v>
      </c>
      <c r="J239">
        <v>-5.51</v>
      </c>
      <c r="L239">
        <v>0.30862160803825178</v>
      </c>
      <c r="M239">
        <v>0.28850929216087617</v>
      </c>
      <c r="N239">
        <v>0.31867776597693959</v>
      </c>
      <c r="O239">
        <v>0.27845313422218837</v>
      </c>
    </row>
    <row r="240" spans="1:15">
      <c r="A240" s="14">
        <v>43516</v>
      </c>
      <c r="B240">
        <v>812</v>
      </c>
      <c r="C240">
        <v>821.2</v>
      </c>
      <c r="D240">
        <v>2873</v>
      </c>
      <c r="E240">
        <v>2873</v>
      </c>
      <c r="F240">
        <v>0.28583362339018398</v>
      </c>
      <c r="G240">
        <v>0.29919795183070902</v>
      </c>
      <c r="H240">
        <v>1.05354498385925E-2</v>
      </c>
      <c r="I240">
        <v>-1.26851047133934</v>
      </c>
      <c r="J240">
        <v>-4.68</v>
      </c>
      <c r="L240">
        <v>0.30973340166930152</v>
      </c>
      <c r="M240">
        <v>0.28866250199211652</v>
      </c>
      <c r="N240">
        <v>0.32026885150789403</v>
      </c>
      <c r="O240">
        <v>0.27812705215352401</v>
      </c>
    </row>
    <row r="241" spans="1:15">
      <c r="A241" s="14">
        <v>43515</v>
      </c>
      <c r="B241">
        <v>800</v>
      </c>
      <c r="C241">
        <v>807.5</v>
      </c>
      <c r="D241">
        <v>2840</v>
      </c>
      <c r="E241">
        <v>2853</v>
      </c>
      <c r="F241">
        <v>0.283035401331931</v>
      </c>
      <c r="G241">
        <v>0.299817606082943</v>
      </c>
      <c r="H241">
        <v>1.10836393138572E-2</v>
      </c>
      <c r="I241">
        <v>-1.51414208598703</v>
      </c>
      <c r="J241">
        <v>-5.93</v>
      </c>
      <c r="L241">
        <v>0.3109012453968002</v>
      </c>
      <c r="M241">
        <v>0.2887339667690858</v>
      </c>
      <c r="N241">
        <v>0.32198488471065739</v>
      </c>
      <c r="O241">
        <v>0.27765032745522861</v>
      </c>
    </row>
    <row r="242" spans="1:15">
      <c r="A242" s="14">
        <v>43514</v>
      </c>
      <c r="B242">
        <v>802</v>
      </c>
      <c r="C242">
        <v>806.1</v>
      </c>
      <c r="D242">
        <v>2819</v>
      </c>
      <c r="E242">
        <v>2849</v>
      </c>
      <c r="F242">
        <v>0.28294138294138199</v>
      </c>
      <c r="G242">
        <v>0.30046932195767301</v>
      </c>
      <c r="H242">
        <v>1.15066453392397E-2</v>
      </c>
      <c r="I242">
        <v>-1.52328836941874</v>
      </c>
      <c r="J242">
        <v>-6.19</v>
      </c>
      <c r="L242">
        <v>0.31197596729691268</v>
      </c>
      <c r="M242">
        <v>0.28896267661843333</v>
      </c>
      <c r="N242">
        <v>0.32348261263615241</v>
      </c>
      <c r="O242">
        <v>0.2774560312791936</v>
      </c>
    </row>
    <row r="243" spans="1:15">
      <c r="A243" s="14">
        <v>43511</v>
      </c>
      <c r="B243">
        <v>780.9</v>
      </c>
      <c r="C243">
        <v>787.6</v>
      </c>
      <c r="D243">
        <v>2741</v>
      </c>
      <c r="E243">
        <v>2769</v>
      </c>
      <c r="F243">
        <v>0.28443481401227799</v>
      </c>
      <c r="G243">
        <v>0.301167473549035</v>
      </c>
      <c r="H243">
        <v>1.19998886504261E-2</v>
      </c>
      <c r="I243">
        <v>-1.39440123356166</v>
      </c>
      <c r="J243">
        <v>-5.88</v>
      </c>
      <c r="L243">
        <v>0.31316736219946112</v>
      </c>
      <c r="M243">
        <v>0.28916758489860889</v>
      </c>
      <c r="N243">
        <v>0.32516725084988718</v>
      </c>
      <c r="O243">
        <v>0.27716769624818283</v>
      </c>
    </row>
    <row r="244" spans="1:15">
      <c r="A244" s="14">
        <v>43510</v>
      </c>
      <c r="B244">
        <v>800.4</v>
      </c>
      <c r="C244">
        <v>788.8</v>
      </c>
      <c r="D244">
        <v>2737</v>
      </c>
      <c r="E244">
        <v>2750</v>
      </c>
      <c r="F244">
        <v>0.286836363636363</v>
      </c>
      <c r="G244">
        <v>0.30192370824696302</v>
      </c>
      <c r="H244">
        <v>1.26889566206178E-2</v>
      </c>
      <c r="I244">
        <v>-1.1890138063901301</v>
      </c>
      <c r="J244">
        <v>-5.26</v>
      </c>
      <c r="L244">
        <v>0.31461266486758083</v>
      </c>
      <c r="M244">
        <v>0.28923475162634521</v>
      </c>
      <c r="N244">
        <v>0.32730162148819864</v>
      </c>
      <c r="O244">
        <v>0.2765457950057274</v>
      </c>
    </row>
    <row r="245" spans="1:15">
      <c r="A245" s="14">
        <v>43509</v>
      </c>
      <c r="B245">
        <v>799.8</v>
      </c>
      <c r="C245">
        <v>790</v>
      </c>
      <c r="D245">
        <v>2762</v>
      </c>
      <c r="E245">
        <v>2745</v>
      </c>
      <c r="F245">
        <v>0.28779599271402501</v>
      </c>
      <c r="G245">
        <v>0.30267347129258199</v>
      </c>
      <c r="H245">
        <v>1.3415828541220001E-2</v>
      </c>
      <c r="I245">
        <v>-1.10894966589994</v>
      </c>
      <c r="J245">
        <v>-5.17</v>
      </c>
      <c r="L245">
        <v>0.31608929983380196</v>
      </c>
      <c r="M245">
        <v>0.28925764275136201</v>
      </c>
      <c r="N245">
        <v>0.32950512837502199</v>
      </c>
      <c r="O245">
        <v>0.27584181421014198</v>
      </c>
    </row>
    <row r="246" spans="1:15">
      <c r="A246" s="14">
        <v>43508</v>
      </c>
      <c r="B246">
        <v>776</v>
      </c>
      <c r="C246">
        <v>782.6</v>
      </c>
      <c r="D246">
        <v>2683</v>
      </c>
      <c r="E246">
        <v>2748</v>
      </c>
      <c r="F246">
        <v>0.284788937409024</v>
      </c>
      <c r="G246">
        <v>0.30346031515090799</v>
      </c>
      <c r="H246">
        <v>1.4226281003835699E-2</v>
      </c>
      <c r="I246">
        <v>-1.31245669453944</v>
      </c>
      <c r="J246">
        <v>-6.56</v>
      </c>
      <c r="L246">
        <v>0.31768659615474371</v>
      </c>
      <c r="M246">
        <v>0.28923403414707227</v>
      </c>
      <c r="N246">
        <v>0.33191287715857937</v>
      </c>
      <c r="O246">
        <v>0.27500775314323661</v>
      </c>
    </row>
    <row r="247" spans="1:15">
      <c r="A247" s="14">
        <v>43504</v>
      </c>
      <c r="B247">
        <v>799.9</v>
      </c>
      <c r="C247">
        <v>769.1</v>
      </c>
      <c r="D247">
        <v>2696</v>
      </c>
      <c r="E247">
        <v>2713</v>
      </c>
      <c r="F247">
        <v>0.28348691485440403</v>
      </c>
      <c r="G247">
        <v>0.30430414573973902</v>
      </c>
      <c r="H247">
        <v>1.4952184338335299E-2</v>
      </c>
      <c r="I247">
        <v>-1.3922534938231299</v>
      </c>
      <c r="J247">
        <v>-7.34</v>
      </c>
      <c r="L247">
        <v>0.3192563300780743</v>
      </c>
      <c r="M247">
        <v>0.28935196140140373</v>
      </c>
      <c r="N247">
        <v>0.33420851441640964</v>
      </c>
      <c r="O247">
        <v>0.2743997770630684</v>
      </c>
    </row>
    <row r="248" spans="1:15">
      <c r="A248" s="14">
        <v>43503</v>
      </c>
      <c r="B248">
        <v>849.2</v>
      </c>
      <c r="C248">
        <v>832</v>
      </c>
      <c r="D248">
        <v>2722</v>
      </c>
      <c r="E248">
        <v>2715</v>
      </c>
      <c r="F248">
        <v>0.30644567219152802</v>
      </c>
      <c r="G248">
        <v>0.30525980252151902</v>
      </c>
      <c r="H248">
        <v>1.5854408604492502E-2</v>
      </c>
      <c r="I248">
        <v>7.4797471138299196E-2</v>
      </c>
      <c r="J248">
        <v>0.39</v>
      </c>
      <c r="L248">
        <v>0.32111421112601152</v>
      </c>
      <c r="M248">
        <v>0.28940539391702652</v>
      </c>
      <c r="N248">
        <v>0.33696861973050402</v>
      </c>
      <c r="O248">
        <v>0.27355098531253402</v>
      </c>
    </row>
    <row r="249" spans="1:15">
      <c r="A249" s="14">
        <v>43502</v>
      </c>
      <c r="B249">
        <v>853.8</v>
      </c>
      <c r="C249">
        <v>846.3</v>
      </c>
      <c r="D249">
        <v>2761</v>
      </c>
      <c r="E249">
        <v>2731</v>
      </c>
      <c r="F249">
        <v>0.309886488465763</v>
      </c>
      <c r="G249">
        <v>0.30605002236769202</v>
      </c>
      <c r="H249">
        <v>1.7304495822930002E-2</v>
      </c>
      <c r="I249">
        <v>0.22170343113882701</v>
      </c>
      <c r="J249">
        <v>1.24</v>
      </c>
      <c r="L249">
        <v>0.323354518190622</v>
      </c>
      <c r="M249">
        <v>0.28874552654476204</v>
      </c>
      <c r="N249">
        <v>0.34065901401355203</v>
      </c>
      <c r="O249">
        <v>0.27144103072183201</v>
      </c>
    </row>
    <row r="250" spans="1:15">
      <c r="A250" s="14">
        <v>43501</v>
      </c>
      <c r="B250">
        <v>845</v>
      </c>
      <c r="C250">
        <v>848.9</v>
      </c>
      <c r="D250">
        <v>2769</v>
      </c>
      <c r="E250">
        <v>2742</v>
      </c>
      <c r="F250">
        <v>0.309591539022611</v>
      </c>
      <c r="G250">
        <v>0.30671552991569101</v>
      </c>
      <c r="H250">
        <v>1.83664528941891E-2</v>
      </c>
      <c r="I250">
        <v>0.15659034019735099</v>
      </c>
      <c r="J250">
        <v>0.93</v>
      </c>
      <c r="L250">
        <v>0.3250819828098801</v>
      </c>
      <c r="M250">
        <v>0.28834907702150192</v>
      </c>
      <c r="N250">
        <v>0.34344843570406919</v>
      </c>
      <c r="O250">
        <v>0.26998262412731283</v>
      </c>
    </row>
    <row r="251" spans="1:15">
      <c r="A251" s="14">
        <v>43500</v>
      </c>
      <c r="B251">
        <v>835.2</v>
      </c>
      <c r="C251">
        <v>843.1</v>
      </c>
      <c r="D251">
        <v>2763</v>
      </c>
      <c r="E251">
        <v>2767</v>
      </c>
      <c r="F251">
        <v>0.30469822912902</v>
      </c>
      <c r="G251">
        <v>0.30730510765373498</v>
      </c>
      <c r="H251">
        <v>1.9142632919291701E-2</v>
      </c>
      <c r="I251">
        <v>-0.13618181656127701</v>
      </c>
      <c r="J251">
        <v>-0.86</v>
      </c>
      <c r="L251">
        <v>0.32644774057302667</v>
      </c>
      <c r="M251">
        <v>0.28816247473444329</v>
      </c>
      <c r="N251">
        <v>0.34559037349231836</v>
      </c>
      <c r="O251">
        <v>0.26901984181515159</v>
      </c>
    </row>
    <row r="252" spans="1:15">
      <c r="A252" s="14">
        <v>43497</v>
      </c>
      <c r="B252">
        <v>841.9</v>
      </c>
      <c r="C252">
        <v>831.7</v>
      </c>
      <c r="D252">
        <v>2736</v>
      </c>
      <c r="E252">
        <v>2743</v>
      </c>
      <c r="F252">
        <v>0.303208166241341</v>
      </c>
      <c r="G252">
        <v>0.30793267746584702</v>
      </c>
      <c r="H252">
        <v>1.9806888823396401E-2</v>
      </c>
      <c r="I252">
        <v>-0.238528689014784</v>
      </c>
      <c r="J252">
        <v>-1.56</v>
      </c>
      <c r="L252">
        <v>0.32773956628924339</v>
      </c>
      <c r="M252">
        <v>0.28812578864245064</v>
      </c>
      <c r="N252">
        <v>0.34754645511263982</v>
      </c>
      <c r="O252">
        <v>0.26831889981905421</v>
      </c>
    </row>
    <row r="253" spans="1:15">
      <c r="A253" s="14">
        <v>43496</v>
      </c>
      <c r="B253">
        <v>850</v>
      </c>
      <c r="C253">
        <v>846.6</v>
      </c>
      <c r="D253">
        <v>2754</v>
      </c>
      <c r="E253">
        <v>2738</v>
      </c>
      <c r="F253">
        <v>0.30920379839298701</v>
      </c>
      <c r="G253">
        <v>0.30870981474000497</v>
      </c>
      <c r="H253">
        <v>2.0728275149814301E-2</v>
      </c>
      <c r="I253">
        <v>2.38313921159207E-2</v>
      </c>
      <c r="J253">
        <v>0.16</v>
      </c>
      <c r="L253">
        <v>0.32943808988981926</v>
      </c>
      <c r="M253">
        <v>0.28798153959019068</v>
      </c>
      <c r="N253">
        <v>0.35016636503963355</v>
      </c>
      <c r="O253">
        <v>0.26725326444037639</v>
      </c>
    </row>
    <row r="254" spans="1:15">
      <c r="A254" s="14">
        <v>43495</v>
      </c>
      <c r="B254">
        <v>831.1</v>
      </c>
      <c r="C254">
        <v>840.8</v>
      </c>
      <c r="D254">
        <v>2729</v>
      </c>
      <c r="E254">
        <v>2720</v>
      </c>
      <c r="F254">
        <v>0.309117647058823</v>
      </c>
      <c r="G254">
        <v>0.30948096260188002</v>
      </c>
      <c r="H254">
        <v>2.17813858007859E-2</v>
      </c>
      <c r="I254">
        <v>-1.6680093102423101E-2</v>
      </c>
      <c r="J254">
        <v>-0.12</v>
      </c>
      <c r="L254">
        <v>0.33126234840266594</v>
      </c>
      <c r="M254">
        <v>0.28769957680109409</v>
      </c>
      <c r="N254">
        <v>0.35304373420345181</v>
      </c>
      <c r="O254">
        <v>0.26591819100030822</v>
      </c>
    </row>
    <row r="255" spans="1:15">
      <c r="A255" s="14">
        <v>43494</v>
      </c>
      <c r="B255">
        <v>821.8</v>
      </c>
      <c r="C255">
        <v>822.5</v>
      </c>
      <c r="D255">
        <v>2700</v>
      </c>
      <c r="E255">
        <v>2729</v>
      </c>
      <c r="F255">
        <v>0.301392451447416</v>
      </c>
      <c r="G255">
        <v>0.31015479627327902</v>
      </c>
      <c r="H255">
        <v>2.2528625642654E-2</v>
      </c>
      <c r="I255">
        <v>-0.38894271514163598</v>
      </c>
      <c r="J255">
        <v>-2.91</v>
      </c>
      <c r="L255">
        <v>0.33268342191593303</v>
      </c>
      <c r="M255">
        <v>0.28762617063062501</v>
      </c>
      <c r="N255">
        <v>0.35521204755858704</v>
      </c>
      <c r="O255">
        <v>0.265097544987971</v>
      </c>
    </row>
    <row r="256" spans="1:15">
      <c r="A256" s="14">
        <v>43493</v>
      </c>
      <c r="B256">
        <v>833.2</v>
      </c>
      <c r="C256">
        <v>819.4</v>
      </c>
      <c r="D256">
        <v>2712</v>
      </c>
      <c r="E256">
        <v>2706</v>
      </c>
      <c r="F256">
        <v>0.30280857354028001</v>
      </c>
      <c r="G256">
        <v>0.31099265111315799</v>
      </c>
      <c r="H256">
        <v>2.33410342856776E-2</v>
      </c>
      <c r="I256">
        <v>-0.35063045933228598</v>
      </c>
      <c r="J256">
        <v>-2.7</v>
      </c>
      <c r="L256">
        <v>0.33433368539883557</v>
      </c>
      <c r="M256">
        <v>0.28765161682748042</v>
      </c>
      <c r="N256">
        <v>0.3576747196845132</v>
      </c>
      <c r="O256">
        <v>0.26431058254180279</v>
      </c>
    </row>
    <row r="257" spans="1:15">
      <c r="A257" s="14">
        <v>43490</v>
      </c>
      <c r="B257">
        <v>821.2</v>
      </c>
      <c r="C257">
        <v>831.6</v>
      </c>
      <c r="D257">
        <v>2744</v>
      </c>
      <c r="E257">
        <v>2739</v>
      </c>
      <c r="F257">
        <v>0.30361445783132501</v>
      </c>
      <c r="G257">
        <v>0.31173255935135302</v>
      </c>
      <c r="H257">
        <v>2.3941706279189699E-2</v>
      </c>
      <c r="I257">
        <v>-0.33907781781971502</v>
      </c>
      <c r="J257">
        <v>-2.67</v>
      </c>
      <c r="L257">
        <v>0.3356742656305427</v>
      </c>
      <c r="M257">
        <v>0.28779085307216334</v>
      </c>
      <c r="N257">
        <v>0.35961597190973243</v>
      </c>
      <c r="O257">
        <v>0.26384914679297361</v>
      </c>
    </row>
    <row r="258" spans="1:15">
      <c r="A258" s="14">
        <v>43489</v>
      </c>
      <c r="B258">
        <v>813.6</v>
      </c>
      <c r="C258">
        <v>826.2</v>
      </c>
      <c r="D258">
        <v>2732</v>
      </c>
      <c r="E258">
        <v>2748</v>
      </c>
      <c r="F258">
        <v>0.30065502183406101</v>
      </c>
      <c r="G258">
        <v>0.31249678865892699</v>
      </c>
      <c r="H258">
        <v>2.4576748228948099E-2</v>
      </c>
      <c r="I258">
        <v>-0.481828056118426</v>
      </c>
      <c r="J258">
        <v>-3.94</v>
      </c>
      <c r="L258">
        <v>0.33707353688787511</v>
      </c>
      <c r="M258">
        <v>0.28792004042997887</v>
      </c>
      <c r="N258">
        <v>0.36165028511682318</v>
      </c>
      <c r="O258">
        <v>0.26334329220103081</v>
      </c>
    </row>
    <row r="259" spans="1:15">
      <c r="A259" s="14">
        <v>43488</v>
      </c>
      <c r="B259">
        <v>813</v>
      </c>
      <c r="C259">
        <v>814.4</v>
      </c>
      <c r="D259">
        <v>2739</v>
      </c>
      <c r="E259">
        <v>2733</v>
      </c>
      <c r="F259">
        <v>0.29798755945847</v>
      </c>
      <c r="G259">
        <v>0.31327479031177402</v>
      </c>
      <c r="H259">
        <v>2.5107407900856402E-2</v>
      </c>
      <c r="I259">
        <v>-0.608873321916373</v>
      </c>
      <c r="J259">
        <v>-5.13</v>
      </c>
      <c r="L259">
        <v>0.33838219821263044</v>
      </c>
      <c r="M259">
        <v>0.28816738241091761</v>
      </c>
      <c r="N259">
        <v>0.3634896061134868</v>
      </c>
      <c r="O259">
        <v>0.26305997451006125</v>
      </c>
    </row>
    <row r="260" spans="1:15">
      <c r="A260" s="14">
        <v>43487</v>
      </c>
      <c r="B260">
        <v>833.4</v>
      </c>
      <c r="C260">
        <v>816</v>
      </c>
      <c r="D260">
        <v>2805</v>
      </c>
      <c r="E260">
        <v>2770</v>
      </c>
      <c r="F260">
        <v>0.29458483754512599</v>
      </c>
      <c r="G260">
        <v>0.31400857012546601</v>
      </c>
      <c r="H260">
        <v>2.54517393706967E-2</v>
      </c>
      <c r="I260">
        <v>-0.76315933844205297</v>
      </c>
      <c r="J260">
        <v>-6.59</v>
      </c>
      <c r="L260">
        <v>0.33946030949616274</v>
      </c>
      <c r="M260">
        <v>0.28855683075476929</v>
      </c>
      <c r="N260">
        <v>0.36491204886685941</v>
      </c>
      <c r="O260">
        <v>0.26310509138407262</v>
      </c>
    </row>
    <row r="261" spans="1:15">
      <c r="A261" s="14">
        <v>43486</v>
      </c>
      <c r="B261">
        <v>831.9</v>
      </c>
      <c r="C261">
        <v>830.1</v>
      </c>
      <c r="D261">
        <v>2782</v>
      </c>
      <c r="E261">
        <v>2775</v>
      </c>
      <c r="F261">
        <v>0.29913513513513501</v>
      </c>
      <c r="G261">
        <v>0.31459452145316802</v>
      </c>
      <c r="H261">
        <v>2.5503634959145201E-2</v>
      </c>
      <c r="I261">
        <v>-0.60616403672644503</v>
      </c>
      <c r="J261">
        <v>-5.17</v>
      </c>
      <c r="L261">
        <v>0.34009815641231322</v>
      </c>
      <c r="M261">
        <v>0.28909088649402281</v>
      </c>
      <c r="N261">
        <v>0.36560179137145843</v>
      </c>
      <c r="O261">
        <v>0.26358725153487761</v>
      </c>
    </row>
    <row r="262" spans="1:15">
      <c r="A262" s="14">
        <v>43483</v>
      </c>
      <c r="B262">
        <v>805</v>
      </c>
      <c r="C262">
        <v>818.9</v>
      </c>
      <c r="D262">
        <v>2728</v>
      </c>
      <c r="E262">
        <v>2740</v>
      </c>
      <c r="F262">
        <v>0.29886861313868601</v>
      </c>
      <c r="G262">
        <v>0.31506225133180699</v>
      </c>
      <c r="H262">
        <v>2.5537479007727099E-2</v>
      </c>
      <c r="I262">
        <v>-0.634112638456651</v>
      </c>
      <c r="J262">
        <v>-5.42</v>
      </c>
      <c r="L262">
        <v>0.34059973033953406</v>
      </c>
      <c r="M262">
        <v>0.28952477232407992</v>
      </c>
      <c r="N262">
        <v>0.36613720934726118</v>
      </c>
      <c r="O262">
        <v>0.26398729331635279</v>
      </c>
    </row>
    <row r="263" spans="1:15">
      <c r="A263" s="14">
        <v>43482</v>
      </c>
      <c r="B263">
        <v>795.7</v>
      </c>
      <c r="C263">
        <v>803.4</v>
      </c>
      <c r="D263">
        <v>2710</v>
      </c>
      <c r="E263">
        <v>2710</v>
      </c>
      <c r="F263">
        <v>0.29645756457564498</v>
      </c>
      <c r="G263">
        <v>0.31557514350750199</v>
      </c>
      <c r="H263">
        <v>2.5593318929504099E-2</v>
      </c>
      <c r="I263">
        <v>-0.74697537214750898</v>
      </c>
      <c r="J263">
        <v>-6.45</v>
      </c>
      <c r="L263">
        <v>0.3411684624370061</v>
      </c>
      <c r="M263">
        <v>0.28998182457799787</v>
      </c>
      <c r="N263">
        <v>0.36676178136651016</v>
      </c>
      <c r="O263">
        <v>0.26438850564849381</v>
      </c>
    </row>
    <row r="264" spans="1:15">
      <c r="A264" s="14">
        <v>43481</v>
      </c>
      <c r="B264">
        <v>797.8</v>
      </c>
      <c r="C264">
        <v>792.2</v>
      </c>
      <c r="D264">
        <v>2711</v>
      </c>
      <c r="E264">
        <v>2693</v>
      </c>
      <c r="F264">
        <v>0.29417007055328598</v>
      </c>
      <c r="G264">
        <v>0.31619612428835098</v>
      </c>
      <c r="H264">
        <v>2.5686773703111499E-2</v>
      </c>
      <c r="I264">
        <v>-0.85748619073937205</v>
      </c>
      <c r="J264">
        <v>-7.49</v>
      </c>
      <c r="L264">
        <v>0.34188289799146249</v>
      </c>
      <c r="M264">
        <v>0.29050935058523947</v>
      </c>
      <c r="N264">
        <v>0.367569671694574</v>
      </c>
      <c r="O264">
        <v>0.26482257688212796</v>
      </c>
    </row>
    <row r="265" spans="1:15">
      <c r="A265" s="14">
        <v>43480</v>
      </c>
      <c r="B265">
        <v>785.5</v>
      </c>
      <c r="C265">
        <v>800.4</v>
      </c>
      <c r="D265">
        <v>2673</v>
      </c>
      <c r="E265">
        <v>2710</v>
      </c>
      <c r="F265">
        <v>0.29535055350553502</v>
      </c>
      <c r="G265">
        <v>0.31677543967509397</v>
      </c>
      <c r="H265">
        <v>2.5673432709328901E-2</v>
      </c>
      <c r="I265">
        <v>-0.83451583635618098</v>
      </c>
      <c r="J265">
        <v>-7.25</v>
      </c>
      <c r="L265">
        <v>0.3424488723844229</v>
      </c>
      <c r="M265">
        <v>0.29110200696576505</v>
      </c>
      <c r="N265">
        <v>0.36812230509375177</v>
      </c>
      <c r="O265">
        <v>0.26542857425643618</v>
      </c>
    </row>
    <row r="266" spans="1:15">
      <c r="A266" s="14">
        <v>43476</v>
      </c>
      <c r="B266">
        <v>797.1</v>
      </c>
      <c r="C266">
        <v>795.4</v>
      </c>
      <c r="D266">
        <v>2770</v>
      </c>
      <c r="E266">
        <v>2723</v>
      </c>
      <c r="F266">
        <v>0.29210429673154598</v>
      </c>
      <c r="G266">
        <v>0.31730757235104301</v>
      </c>
      <c r="H266">
        <v>2.5637425899218899E-2</v>
      </c>
      <c r="I266">
        <v>-0.98306576169432203</v>
      </c>
      <c r="J266">
        <v>-8.6300000000000008</v>
      </c>
      <c r="L266">
        <v>0.34294499825026192</v>
      </c>
      <c r="M266">
        <v>0.2916701464518241</v>
      </c>
      <c r="N266">
        <v>0.36858242414948084</v>
      </c>
      <c r="O266">
        <v>0.26603272055260518</v>
      </c>
    </row>
    <row r="267" spans="1:15">
      <c r="A267" s="14">
        <v>43475</v>
      </c>
      <c r="B267">
        <v>799.2</v>
      </c>
      <c r="C267">
        <v>798.3</v>
      </c>
      <c r="D267">
        <v>2739</v>
      </c>
      <c r="E267">
        <v>2742</v>
      </c>
      <c r="F267">
        <v>0.29113785557986799</v>
      </c>
      <c r="G267">
        <v>0.31785744452659098</v>
      </c>
      <c r="H267">
        <v>2.5533018682579799E-2</v>
      </c>
      <c r="I267">
        <v>-1.04647199294739</v>
      </c>
      <c r="J267">
        <v>-9.18</v>
      </c>
      <c r="L267">
        <v>0.34339046320917077</v>
      </c>
      <c r="M267">
        <v>0.29232442584401119</v>
      </c>
      <c r="N267">
        <v>0.36892348189175056</v>
      </c>
      <c r="O267">
        <v>0.2667914071614314</v>
      </c>
    </row>
    <row r="268" spans="1:15">
      <c r="A268" s="14">
        <v>43474</v>
      </c>
      <c r="B268">
        <v>800.5</v>
      </c>
      <c r="C268">
        <v>802.8</v>
      </c>
      <c r="D268">
        <v>2700</v>
      </c>
      <c r="E268">
        <v>2720</v>
      </c>
      <c r="F268">
        <v>0.29514705882352898</v>
      </c>
      <c r="G268">
        <v>0.31845973064668598</v>
      </c>
      <c r="H268">
        <v>2.54281883378355E-2</v>
      </c>
      <c r="I268">
        <v>-0.91680427694759803</v>
      </c>
      <c r="J268">
        <v>-7.9</v>
      </c>
      <c r="L268">
        <v>0.34388791898452148</v>
      </c>
      <c r="M268">
        <v>0.29303154230885048</v>
      </c>
      <c r="N268">
        <v>0.36931610732235698</v>
      </c>
      <c r="O268">
        <v>0.26760335397101498</v>
      </c>
    </row>
    <row r="269" spans="1:15">
      <c r="A269" s="14">
        <v>43473</v>
      </c>
      <c r="B269">
        <v>787</v>
      </c>
      <c r="C269">
        <v>792.4</v>
      </c>
      <c r="D269">
        <v>2694</v>
      </c>
      <c r="E269">
        <v>2672</v>
      </c>
      <c r="F269">
        <v>0.296556886227544</v>
      </c>
      <c r="G269">
        <v>0.31898007882854201</v>
      </c>
      <c r="H269">
        <v>2.5344974933828E-2</v>
      </c>
      <c r="I269">
        <v>-0.88471946251834599</v>
      </c>
      <c r="J269">
        <v>-7.56</v>
      </c>
      <c r="L269">
        <v>0.34432505376236999</v>
      </c>
      <c r="M269">
        <v>0.29363510389471403</v>
      </c>
      <c r="N269">
        <v>0.36967002869619803</v>
      </c>
      <c r="O269">
        <v>0.268290128960886</v>
      </c>
    </row>
    <row r="270" spans="1:15">
      <c r="A270" s="14">
        <v>43472</v>
      </c>
      <c r="B270">
        <v>795</v>
      </c>
      <c r="C270">
        <v>790.5</v>
      </c>
      <c r="D270">
        <v>2684</v>
      </c>
      <c r="E270">
        <v>2668</v>
      </c>
      <c r="F270">
        <v>0.29628935532233802</v>
      </c>
      <c r="G270">
        <v>0.31943672494403902</v>
      </c>
      <c r="H270">
        <v>2.5245192150880801E-2</v>
      </c>
      <c r="I270">
        <v>-0.91690209697584102</v>
      </c>
      <c r="J270">
        <v>-7.81</v>
      </c>
      <c r="L270">
        <v>0.3446819170949198</v>
      </c>
      <c r="M270">
        <v>0.29419153279315824</v>
      </c>
      <c r="N270">
        <v>0.36992710924580063</v>
      </c>
      <c r="O270">
        <v>0.2689463406422774</v>
      </c>
    </row>
    <row r="271" spans="1:15">
      <c r="A271" s="14">
        <v>43469</v>
      </c>
      <c r="B271">
        <v>757.4</v>
      </c>
      <c r="C271">
        <v>762.7</v>
      </c>
      <c r="D271">
        <v>2605</v>
      </c>
      <c r="E271">
        <v>2634</v>
      </c>
      <c r="F271">
        <v>0.28955960516324902</v>
      </c>
      <c r="G271">
        <v>0.31986003198210899</v>
      </c>
      <c r="H271">
        <v>2.5119371261539101E-2</v>
      </c>
      <c r="I271">
        <v>-1.2062573741745299</v>
      </c>
      <c r="J271">
        <v>-10.46</v>
      </c>
      <c r="L271">
        <v>0.34497940324364812</v>
      </c>
      <c r="M271">
        <v>0.29474066072056987</v>
      </c>
      <c r="N271">
        <v>0.37009877450518719</v>
      </c>
      <c r="O271">
        <v>0.2696212894590308</v>
      </c>
    </row>
    <row r="272" spans="1:15">
      <c r="A272" s="14">
        <v>43462</v>
      </c>
      <c r="B272">
        <v>758.1</v>
      </c>
      <c r="C272">
        <v>772.4</v>
      </c>
      <c r="D272">
        <v>2601</v>
      </c>
      <c r="E272">
        <v>2627</v>
      </c>
      <c r="F272">
        <v>0.29402360106585401</v>
      </c>
      <c r="G272">
        <v>0.32040721196091898</v>
      </c>
      <c r="H272">
        <v>2.4899383075234299E-2</v>
      </c>
      <c r="I272">
        <v>-1.0596090198438299</v>
      </c>
      <c r="J272">
        <v>-8.9700000000000006</v>
      </c>
      <c r="L272">
        <v>0.3453065950361533</v>
      </c>
      <c r="M272">
        <v>0.29550782888568466</v>
      </c>
      <c r="N272">
        <v>0.37020597811138756</v>
      </c>
      <c r="O272">
        <v>0.2706084458104504</v>
      </c>
    </row>
    <row r="273" spans="1:15">
      <c r="A273" s="14">
        <v>43461</v>
      </c>
      <c r="B273">
        <v>760</v>
      </c>
      <c r="C273">
        <v>772.9</v>
      </c>
      <c r="D273">
        <v>2505</v>
      </c>
      <c r="E273">
        <v>2602</v>
      </c>
      <c r="F273">
        <v>0.29704073789392699</v>
      </c>
      <c r="G273">
        <v>0.32104199524584698</v>
      </c>
      <c r="H273">
        <v>2.48254267583814E-2</v>
      </c>
      <c r="I273">
        <v>-0.96680140025453398</v>
      </c>
      <c r="J273">
        <v>-8.08</v>
      </c>
      <c r="L273">
        <v>0.34586742200422838</v>
      </c>
      <c r="M273">
        <v>0.29621656848746558</v>
      </c>
      <c r="N273">
        <v>0.37069284876260977</v>
      </c>
      <c r="O273">
        <v>0.27139114172908418</v>
      </c>
    </row>
    <row r="274" spans="1:15">
      <c r="A274" s="14">
        <v>43460</v>
      </c>
      <c r="B274">
        <v>719</v>
      </c>
      <c r="C274">
        <v>722.6</v>
      </c>
      <c r="D274">
        <v>2414</v>
      </c>
      <c r="E274">
        <v>2455</v>
      </c>
      <c r="F274">
        <v>0.29433808553971402</v>
      </c>
      <c r="G274">
        <v>0.32155361243027503</v>
      </c>
      <c r="H274">
        <v>2.47206909476511E-2</v>
      </c>
      <c r="I274">
        <v>-1.1009209632607999</v>
      </c>
      <c r="J274">
        <v>-9.25</v>
      </c>
      <c r="L274">
        <v>0.34627430337792614</v>
      </c>
      <c r="M274">
        <v>0.29683292148262391</v>
      </c>
      <c r="N274">
        <v>0.37099499432557725</v>
      </c>
      <c r="O274">
        <v>0.2721122305349728</v>
      </c>
    </row>
    <row r="275" spans="1:15">
      <c r="A275" s="14">
        <v>43459</v>
      </c>
      <c r="B275">
        <v>734.7</v>
      </c>
      <c r="C275">
        <v>711.1</v>
      </c>
      <c r="D275">
        <v>2438</v>
      </c>
      <c r="E275">
        <v>2408</v>
      </c>
      <c r="F275">
        <v>0.29530730897009899</v>
      </c>
      <c r="G275">
        <v>0.32204561815976901</v>
      </c>
      <c r="H275">
        <v>2.4540687109529599E-2</v>
      </c>
      <c r="I275">
        <v>-1.08955014463661</v>
      </c>
      <c r="J275">
        <v>-9.0500000000000007</v>
      </c>
      <c r="L275">
        <v>0.34658630526929862</v>
      </c>
      <c r="M275">
        <v>0.2975049310502394</v>
      </c>
      <c r="N275">
        <v>0.37112699237882818</v>
      </c>
      <c r="O275">
        <v>0.27296424394070984</v>
      </c>
    </row>
    <row r="276" spans="1:15">
      <c r="A276" s="14">
        <v>43455</v>
      </c>
      <c r="B276">
        <v>778.2</v>
      </c>
      <c r="C276">
        <v>764.7</v>
      </c>
      <c r="D276">
        <v>2604</v>
      </c>
      <c r="E276">
        <v>2522</v>
      </c>
      <c r="F276">
        <v>0.303211736716891</v>
      </c>
      <c r="G276">
        <v>0.32253887443346702</v>
      </c>
      <c r="H276">
        <v>2.43694886263583E-2</v>
      </c>
      <c r="I276">
        <v>-0.79308753716200497</v>
      </c>
      <c r="J276">
        <v>-6.37</v>
      </c>
      <c r="L276">
        <v>0.34690836305982531</v>
      </c>
      <c r="M276">
        <v>0.29816938580710872</v>
      </c>
      <c r="N276">
        <v>0.3712778516861836</v>
      </c>
      <c r="O276">
        <v>0.27379989718075043</v>
      </c>
    </row>
    <row r="277" spans="1:15">
      <c r="A277" s="14">
        <v>43454</v>
      </c>
      <c r="B277">
        <v>798</v>
      </c>
      <c r="C277">
        <v>780</v>
      </c>
      <c r="D277">
        <v>2659</v>
      </c>
      <c r="E277">
        <v>2605</v>
      </c>
      <c r="F277">
        <v>0.29942418426103601</v>
      </c>
      <c r="G277">
        <v>0.32291024389129003</v>
      </c>
      <c r="H277">
        <v>2.4284206573226299E-2</v>
      </c>
      <c r="I277">
        <v>-0.96713308542463206</v>
      </c>
      <c r="J277">
        <v>-7.84</v>
      </c>
      <c r="L277">
        <v>0.3471944504645163</v>
      </c>
      <c r="M277">
        <v>0.29862603731806375</v>
      </c>
      <c r="N277">
        <v>0.37147865703774263</v>
      </c>
      <c r="O277">
        <v>0.27434183074483742</v>
      </c>
    </row>
    <row r="278" spans="1:15">
      <c r="A278" s="14">
        <v>43453</v>
      </c>
      <c r="B278">
        <v>811.3</v>
      </c>
      <c r="C278">
        <v>798.4</v>
      </c>
      <c r="D278">
        <v>2695</v>
      </c>
      <c r="E278">
        <v>2673</v>
      </c>
      <c r="F278">
        <v>0.29869060980172002</v>
      </c>
      <c r="G278">
        <v>0.323232677084695</v>
      </c>
      <c r="H278">
        <v>2.4130283724574299E-2</v>
      </c>
      <c r="I278">
        <v>-1.0170650110500099</v>
      </c>
      <c r="J278">
        <v>-8.2200000000000006</v>
      </c>
      <c r="L278">
        <v>0.34736296080926932</v>
      </c>
      <c r="M278">
        <v>0.29910239336012068</v>
      </c>
      <c r="N278">
        <v>0.37149324453384358</v>
      </c>
      <c r="O278">
        <v>0.27497210963554641</v>
      </c>
    </row>
    <row r="279" spans="1:15">
      <c r="A279" s="14">
        <v>43452</v>
      </c>
      <c r="B279">
        <v>817.6</v>
      </c>
      <c r="C279">
        <v>814.8</v>
      </c>
      <c r="D279">
        <v>2723</v>
      </c>
      <c r="E279">
        <v>2691</v>
      </c>
      <c r="F279">
        <v>0.30278706800445898</v>
      </c>
      <c r="G279">
        <v>0.32357094828308602</v>
      </c>
      <c r="H279">
        <v>2.3961103302597601E-2</v>
      </c>
      <c r="I279">
        <v>-0.86740080438508105</v>
      </c>
      <c r="J279">
        <v>-6.86</v>
      </c>
      <c r="L279">
        <v>0.34753205158568362</v>
      </c>
      <c r="M279">
        <v>0.29960984498048843</v>
      </c>
      <c r="N279">
        <v>0.37149315488828122</v>
      </c>
      <c r="O279">
        <v>0.27564874167789083</v>
      </c>
    </row>
    <row r="280" spans="1:15">
      <c r="A280" s="14">
        <v>43451</v>
      </c>
      <c r="B280">
        <v>825.7</v>
      </c>
      <c r="C280">
        <v>825.8</v>
      </c>
      <c r="D280">
        <v>2755</v>
      </c>
      <c r="E280">
        <v>2744</v>
      </c>
      <c r="F280">
        <v>0.30094752186588902</v>
      </c>
      <c r="G280">
        <v>0.32392897151233702</v>
      </c>
      <c r="H280">
        <v>2.3848220361881899E-2</v>
      </c>
      <c r="I280">
        <v>-0.96365470033903</v>
      </c>
      <c r="J280">
        <v>-7.64</v>
      </c>
      <c r="L280">
        <v>0.34777719187421891</v>
      </c>
      <c r="M280">
        <v>0.30008075115045513</v>
      </c>
      <c r="N280">
        <v>0.37162541223610079</v>
      </c>
      <c r="O280">
        <v>0.27623253078857324</v>
      </c>
    </row>
    <row r="281" spans="1:15">
      <c r="A281" s="14">
        <v>43448</v>
      </c>
      <c r="B281">
        <v>846.7</v>
      </c>
      <c r="C281">
        <v>830</v>
      </c>
      <c r="D281">
        <v>2774</v>
      </c>
      <c r="E281">
        <v>2736</v>
      </c>
      <c r="F281">
        <v>0.303362573099415</v>
      </c>
      <c r="G281">
        <v>0.32434658435790598</v>
      </c>
      <c r="H281">
        <v>2.3715997837632799E-2</v>
      </c>
      <c r="I281">
        <v>-0.88480406357575503</v>
      </c>
      <c r="J281">
        <v>-6.92</v>
      </c>
      <c r="L281">
        <v>0.34806258219553876</v>
      </c>
      <c r="M281">
        <v>0.30063058652027319</v>
      </c>
      <c r="N281">
        <v>0.37177858003317155</v>
      </c>
      <c r="O281">
        <v>0.27691458868264041</v>
      </c>
    </row>
    <row r="282" spans="1:15">
      <c r="A282" s="14">
        <v>43447</v>
      </c>
      <c r="B282">
        <v>828.1</v>
      </c>
      <c r="C282">
        <v>831.7</v>
      </c>
      <c r="D282">
        <v>2750</v>
      </c>
      <c r="E282">
        <v>2767</v>
      </c>
      <c r="F282">
        <v>0.30057824358510998</v>
      </c>
      <c r="G282">
        <v>0.32468372686358699</v>
      </c>
      <c r="H282">
        <v>2.3594714753115299E-2</v>
      </c>
      <c r="I282">
        <v>-1.0216475821261599</v>
      </c>
      <c r="J282">
        <v>-8.02</v>
      </c>
      <c r="L282">
        <v>0.34827844161670229</v>
      </c>
      <c r="M282">
        <v>0.30108901211047168</v>
      </c>
      <c r="N282">
        <v>0.3718731563698176</v>
      </c>
      <c r="O282">
        <v>0.27749429735735637</v>
      </c>
    </row>
    <row r="283" spans="1:15">
      <c r="A283" s="14"/>
    </row>
    <row r="284" spans="1:15">
      <c r="A284" s="14"/>
    </row>
    <row r="285" spans="1:15">
      <c r="A285" s="14"/>
    </row>
    <row r="286" spans="1:15">
      <c r="A286" s="14"/>
    </row>
    <row r="287" spans="1:15">
      <c r="A287" s="14"/>
    </row>
    <row r="288" spans="1:15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Y778"/>
  <sheetViews>
    <sheetView showGridLines="0" tabSelected="1" zoomScale="85" zoomScaleNormal="85" workbookViewId="0">
      <selection activeCell="R46" sqref="R46"/>
    </sheetView>
  </sheetViews>
  <sheetFormatPr defaultRowHeight="14.25"/>
  <cols>
    <col min="1" max="1" width="12" style="107" customWidth="1"/>
    <col min="2" max="2" width="9" style="107"/>
    <col min="3" max="3" width="7.75" style="107" customWidth="1"/>
    <col min="4" max="15" width="9" style="107"/>
    <col min="16" max="16" width="3.375" style="107" customWidth="1"/>
    <col min="17" max="19" width="9" style="107"/>
    <col min="20" max="20" width="2.75" style="107" customWidth="1"/>
    <col min="21" max="22" width="9" style="107"/>
    <col min="23" max="23" width="11.75" style="107" customWidth="1"/>
    <col min="24" max="24" width="15.75" style="107" customWidth="1"/>
    <col min="25" max="16384" width="9" style="107"/>
  </cols>
  <sheetData>
    <row r="1" spans="1:25" ht="22.5" customHeight="1">
      <c r="A1" s="137"/>
      <c r="B1" s="197" t="s">
        <v>2310</v>
      </c>
      <c r="C1" s="195">
        <v>8002</v>
      </c>
      <c r="D1" s="196" t="s">
        <v>2340</v>
      </c>
      <c r="E1" s="194"/>
      <c r="F1" s="194"/>
      <c r="G1" s="194"/>
      <c r="H1" s="198" t="s">
        <v>2311</v>
      </c>
      <c r="I1" s="139">
        <v>9072</v>
      </c>
      <c r="J1" s="140" t="s">
        <v>2312</v>
      </c>
      <c r="N1" s="178"/>
      <c r="O1" s="199"/>
      <c r="P1" s="138"/>
      <c r="Q1" s="324"/>
      <c r="R1" s="325"/>
      <c r="S1" s="10"/>
      <c r="T1" s="326"/>
      <c r="U1" s="138"/>
    </row>
    <row r="2" spans="1:25" ht="14.25" customHeight="1">
      <c r="A2" s="137"/>
      <c r="B2" s="197"/>
      <c r="C2" s="195"/>
      <c r="D2" s="196"/>
      <c r="E2" s="194"/>
      <c r="F2" s="194"/>
      <c r="G2" s="194"/>
      <c r="H2" s="198"/>
      <c r="I2" s="139"/>
      <c r="J2" s="140"/>
      <c r="N2" s="178"/>
      <c r="O2" s="199"/>
      <c r="P2" s="138"/>
      <c r="Q2" s="324"/>
    </row>
    <row r="3" spans="1:25" ht="22.5" customHeight="1">
      <c r="A3" s="137"/>
      <c r="B3" s="197"/>
      <c r="C3" s="195"/>
      <c r="D3" s="196"/>
      <c r="E3" s="194"/>
      <c r="F3" s="194"/>
      <c r="G3" s="194"/>
      <c r="H3" s="198"/>
      <c r="I3" s="139"/>
      <c r="J3" s="140"/>
      <c r="N3" s="178"/>
      <c r="O3" s="199"/>
      <c r="P3" s="138"/>
      <c r="Q3" s="324"/>
      <c r="R3" s="325"/>
      <c r="S3" s="10"/>
      <c r="T3" s="326"/>
      <c r="U3" s="138"/>
    </row>
    <row r="4" spans="1:25" ht="22.5" customHeight="1" thickBot="1">
      <c r="A4" s="137"/>
      <c r="B4" s="197"/>
      <c r="C4" s="195"/>
      <c r="D4" s="196"/>
      <c r="E4" s="194"/>
      <c r="F4" s="194"/>
      <c r="G4" s="194"/>
      <c r="H4" s="198"/>
      <c r="I4" s="139"/>
      <c r="J4" s="140"/>
      <c r="N4" s="178"/>
      <c r="O4" s="199"/>
      <c r="P4" s="138"/>
      <c r="Q4" s="324"/>
      <c r="R4" s="325"/>
      <c r="S4" s="10"/>
      <c r="T4" s="326"/>
      <c r="U4" s="138"/>
    </row>
    <row r="5" spans="1:25">
      <c r="B5" s="95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7"/>
      <c r="Q5" s="10"/>
      <c r="R5" s="327"/>
      <c r="S5" s="96"/>
      <c r="T5" s="328"/>
      <c r="U5" s="329"/>
      <c r="V5" s="96"/>
      <c r="W5" s="96"/>
      <c r="X5" s="96"/>
      <c r="Y5" s="97"/>
    </row>
    <row r="6" spans="1:25">
      <c r="B6" s="9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99"/>
      <c r="Q6" s="10"/>
      <c r="R6" s="98"/>
      <c r="S6" s="10"/>
      <c r="T6" s="10"/>
      <c r="U6" s="10"/>
      <c r="V6" s="10"/>
      <c r="W6" s="10"/>
      <c r="X6" s="10"/>
      <c r="Y6" s="99"/>
    </row>
    <row r="7" spans="1:25"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9"/>
      <c r="Q7" s="10"/>
      <c r="R7" s="98"/>
      <c r="S7" s="10"/>
      <c r="T7" s="10"/>
      <c r="U7" s="10"/>
      <c r="V7" s="10"/>
      <c r="W7" s="10"/>
      <c r="X7" s="10"/>
      <c r="Y7" s="99"/>
    </row>
    <row r="8" spans="1:25"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9"/>
      <c r="Q8" s="10"/>
      <c r="R8" s="98"/>
      <c r="S8" s="10"/>
      <c r="T8" s="10"/>
      <c r="U8" s="10"/>
      <c r="V8" s="10"/>
      <c r="W8" s="10"/>
      <c r="X8" s="10"/>
      <c r="Y8" s="99"/>
    </row>
    <row r="9" spans="1:25" ht="15" customHeight="1">
      <c r="A9" s="210" t="s">
        <v>2322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9"/>
      <c r="Q9" s="10"/>
      <c r="R9" s="98"/>
      <c r="S9" s="10"/>
      <c r="T9" s="10"/>
      <c r="U9" s="10"/>
      <c r="V9" s="10"/>
      <c r="W9" s="10"/>
      <c r="X9" s="10"/>
      <c r="Y9" s="99"/>
    </row>
    <row r="10" spans="1:25">
      <c r="A10" s="211">
        <v>0.3718731563698176</v>
      </c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9"/>
      <c r="Q10" s="10"/>
      <c r="R10" s="98"/>
      <c r="S10" s="10"/>
      <c r="T10" s="10"/>
      <c r="U10" s="10"/>
      <c r="V10" s="10"/>
      <c r="W10" s="10"/>
      <c r="X10" s="10"/>
      <c r="Y10" s="99"/>
    </row>
    <row r="11" spans="1:25">
      <c r="A11" s="210" t="s">
        <v>2323</v>
      </c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9"/>
      <c r="Q11" s="10"/>
      <c r="R11" s="98"/>
      <c r="S11" s="10"/>
      <c r="T11" s="10"/>
      <c r="U11" s="10"/>
      <c r="V11" s="10"/>
      <c r="W11" s="10"/>
      <c r="X11" s="10"/>
      <c r="Y11" s="99"/>
    </row>
    <row r="12" spans="1:25">
      <c r="A12" s="211"/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9"/>
      <c r="Q12" s="10"/>
      <c r="R12" s="98"/>
      <c r="S12" s="10"/>
      <c r="T12" s="10"/>
      <c r="U12" s="10"/>
      <c r="V12" s="10"/>
      <c r="W12" s="10"/>
      <c r="X12" s="10"/>
      <c r="Y12" s="99"/>
    </row>
    <row r="13" spans="1:25"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9"/>
      <c r="Q13" s="10"/>
      <c r="R13" s="98"/>
      <c r="S13" s="10"/>
      <c r="T13" s="10"/>
      <c r="U13" s="10"/>
      <c r="V13" s="10"/>
      <c r="W13" s="10"/>
      <c r="X13" s="10"/>
      <c r="Y13" s="99"/>
    </row>
    <row r="14" spans="1:25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9"/>
      <c r="Q14" s="10"/>
      <c r="R14" s="98"/>
      <c r="S14" s="10"/>
      <c r="T14" s="10"/>
      <c r="U14" s="10"/>
      <c r="V14" s="10"/>
      <c r="W14" s="10"/>
      <c r="X14" s="10"/>
      <c r="Y14" s="99"/>
    </row>
    <row r="15" spans="1:25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9"/>
      <c r="Q15" s="10"/>
      <c r="R15" s="98"/>
      <c r="S15" s="10"/>
      <c r="T15" s="10"/>
      <c r="U15" s="10"/>
      <c r="V15" s="10"/>
      <c r="W15" s="10"/>
      <c r="X15" s="10"/>
      <c r="Y15" s="99"/>
    </row>
    <row r="16" spans="1:25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9"/>
      <c r="Q16" s="10"/>
      <c r="R16" s="98"/>
      <c r="S16" s="10"/>
      <c r="T16" s="10"/>
      <c r="U16" s="10"/>
      <c r="V16" s="10"/>
      <c r="W16" s="10"/>
      <c r="X16" s="10"/>
      <c r="Y16" s="99"/>
    </row>
    <row r="17" spans="2:25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9"/>
      <c r="Q17" s="10"/>
      <c r="R17" s="98"/>
      <c r="S17" s="10"/>
      <c r="T17" s="10"/>
      <c r="U17" s="10"/>
      <c r="V17" s="10"/>
      <c r="W17" s="10"/>
      <c r="X17" s="10"/>
      <c r="Y17" s="99"/>
    </row>
    <row r="18" spans="2:25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9"/>
      <c r="Q18" s="10"/>
      <c r="R18" s="98"/>
      <c r="S18" s="10"/>
      <c r="T18" s="10"/>
      <c r="U18" s="10"/>
      <c r="V18" s="10"/>
      <c r="W18" s="10"/>
      <c r="X18" s="10"/>
      <c r="Y18" s="99"/>
    </row>
    <row r="19" spans="2:25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9"/>
      <c r="Q19" s="10"/>
      <c r="R19" s="98"/>
      <c r="S19" s="10"/>
      <c r="T19" s="10"/>
      <c r="U19" s="10"/>
      <c r="V19" s="10"/>
      <c r="W19" s="10"/>
      <c r="X19" s="10"/>
      <c r="Y19" s="99"/>
    </row>
    <row r="20" spans="2:25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9"/>
      <c r="Q20" s="10"/>
      <c r="R20" s="98"/>
      <c r="S20" s="10"/>
      <c r="T20" s="10"/>
      <c r="U20" s="10"/>
      <c r="V20" s="10"/>
      <c r="W20" s="10"/>
      <c r="X20" s="10"/>
      <c r="Y20" s="99"/>
    </row>
    <row r="21" spans="2:25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9"/>
      <c r="Q21" s="10"/>
      <c r="R21" s="98"/>
      <c r="S21" s="10"/>
      <c r="T21" s="10"/>
      <c r="U21" s="10"/>
      <c r="V21" s="10"/>
      <c r="W21" s="10"/>
      <c r="X21" s="10"/>
      <c r="Y21" s="99"/>
    </row>
    <row r="22" spans="2:25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9"/>
      <c r="Q22" s="10"/>
      <c r="R22" s="98"/>
      <c r="S22" s="10"/>
      <c r="T22" s="10"/>
      <c r="U22" s="10"/>
      <c r="V22" s="10"/>
      <c r="W22" s="10"/>
      <c r="X22" s="10"/>
      <c r="Y22" s="99"/>
    </row>
    <row r="23" spans="2:25" ht="15" thickBot="1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9"/>
      <c r="Q23" s="10"/>
      <c r="R23" s="100"/>
      <c r="S23" s="101"/>
      <c r="T23" s="101"/>
      <c r="U23" s="101"/>
      <c r="V23" s="101"/>
      <c r="W23" s="101"/>
      <c r="X23" s="101"/>
      <c r="Y23" s="102"/>
    </row>
    <row r="24" spans="2:25" ht="15" thickBot="1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9"/>
      <c r="Q24" s="10"/>
      <c r="R24" s="10"/>
      <c r="S24" s="10"/>
      <c r="T24" s="10"/>
    </row>
    <row r="25" spans="2:25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9"/>
      <c r="Q25" s="10"/>
      <c r="R25" s="95"/>
      <c r="S25" s="96"/>
      <c r="T25" s="96"/>
      <c r="U25" s="96"/>
      <c r="V25" s="96"/>
      <c r="W25" s="96"/>
      <c r="X25" s="96"/>
      <c r="Y25" s="97"/>
    </row>
    <row r="26" spans="2:25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9"/>
      <c r="Q26" s="10"/>
      <c r="R26" s="98"/>
      <c r="S26" s="10"/>
      <c r="T26" s="10"/>
      <c r="U26" s="10"/>
      <c r="V26" s="10"/>
      <c r="W26" s="10"/>
      <c r="X26" s="10"/>
      <c r="Y26" s="99"/>
    </row>
    <row r="27" spans="2:25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9"/>
      <c r="Q27" s="10"/>
      <c r="R27" s="98"/>
      <c r="S27" s="10"/>
      <c r="T27" s="10"/>
      <c r="U27" s="10"/>
      <c r="V27" s="10"/>
      <c r="W27" s="10"/>
      <c r="X27" s="10"/>
      <c r="Y27" s="99"/>
    </row>
    <row r="28" spans="2:25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9"/>
      <c r="Q28" s="10"/>
      <c r="R28" s="98"/>
      <c r="S28" s="10"/>
      <c r="T28" s="10"/>
      <c r="U28" s="10"/>
      <c r="V28" s="10"/>
      <c r="W28" s="10"/>
      <c r="X28" s="10"/>
      <c r="Y28" s="99"/>
    </row>
    <row r="29" spans="2:25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9"/>
      <c r="Q29" s="10"/>
      <c r="R29" s="98"/>
      <c r="S29" s="10"/>
      <c r="T29" s="10"/>
      <c r="U29" s="10"/>
      <c r="V29" s="10"/>
      <c r="W29" s="10"/>
      <c r="X29" s="10"/>
      <c r="Y29" s="99"/>
    </row>
    <row r="30" spans="2:25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9"/>
      <c r="Q30" s="10"/>
      <c r="R30" s="98"/>
      <c r="S30" s="10"/>
      <c r="T30" s="10"/>
      <c r="U30" s="10"/>
      <c r="V30" s="10"/>
      <c r="W30" s="10"/>
      <c r="X30" s="10"/>
      <c r="Y30" s="99"/>
    </row>
    <row r="31" spans="2:25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9"/>
      <c r="Q31" s="10"/>
      <c r="R31" s="98"/>
      <c r="S31" s="10"/>
      <c r="T31" s="10"/>
      <c r="U31" s="10"/>
      <c r="V31" s="10"/>
      <c r="W31" s="10"/>
      <c r="X31" s="10"/>
      <c r="Y31" s="99"/>
    </row>
    <row r="32" spans="2:25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9"/>
      <c r="Q32" s="10"/>
      <c r="R32" s="98"/>
      <c r="S32" s="10"/>
      <c r="T32" s="10"/>
      <c r="U32" s="10"/>
      <c r="V32" s="10"/>
      <c r="W32" s="10"/>
      <c r="X32" s="10"/>
      <c r="Y32" s="99"/>
    </row>
    <row r="33" spans="1:25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9"/>
      <c r="Q33" s="10"/>
      <c r="R33" s="98"/>
      <c r="S33" s="10"/>
      <c r="T33" s="10"/>
      <c r="U33" s="10"/>
      <c r="V33" s="10"/>
      <c r="W33" s="10"/>
      <c r="X33" s="10"/>
      <c r="Y33" s="99"/>
    </row>
    <row r="34" spans="1:25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9"/>
      <c r="Q34" s="10"/>
      <c r="R34" s="98"/>
      <c r="S34" s="10"/>
      <c r="T34" s="10"/>
      <c r="U34" s="10"/>
      <c r="V34" s="10"/>
      <c r="W34" s="10"/>
      <c r="X34" s="10"/>
      <c r="Y34" s="99"/>
    </row>
    <row r="35" spans="1:25"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9"/>
      <c r="Q35" s="10"/>
      <c r="R35" s="98"/>
      <c r="S35" s="10"/>
      <c r="T35" s="10"/>
      <c r="U35" s="10"/>
      <c r="V35" s="10"/>
      <c r="W35" s="10"/>
      <c r="X35" s="10"/>
      <c r="Y35" s="99"/>
    </row>
    <row r="36" spans="1:25"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9"/>
      <c r="Q36" s="10"/>
      <c r="R36" s="98"/>
      <c r="S36" s="10"/>
      <c r="T36" s="10"/>
      <c r="U36" s="10"/>
      <c r="V36" s="10"/>
      <c r="W36" s="10"/>
      <c r="X36" s="10"/>
      <c r="Y36" s="99"/>
    </row>
    <row r="37" spans="1:25">
      <c r="A37" s="10"/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9"/>
      <c r="Q37" s="10"/>
      <c r="R37" s="98"/>
      <c r="S37" s="10"/>
      <c r="T37" s="10"/>
      <c r="U37" s="10"/>
      <c r="V37" s="10"/>
      <c r="W37" s="10"/>
      <c r="X37" s="10"/>
      <c r="Y37" s="99"/>
    </row>
    <row r="38" spans="1:25">
      <c r="A38" s="10"/>
      <c r="B38" s="98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9"/>
      <c r="Q38" s="10"/>
      <c r="R38" s="98"/>
      <c r="S38" s="10"/>
      <c r="T38" s="10"/>
      <c r="U38" s="10"/>
      <c r="V38" s="10"/>
      <c r="W38" s="10"/>
      <c r="X38" s="10"/>
      <c r="Y38" s="99"/>
    </row>
    <row r="39" spans="1:25" ht="15" thickBot="1">
      <c r="B39" s="100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2"/>
      <c r="R39" s="100"/>
      <c r="S39" s="101"/>
      <c r="T39" s="101"/>
      <c r="U39" s="101"/>
      <c r="V39" s="101"/>
      <c r="W39" s="101"/>
      <c r="X39" s="101"/>
      <c r="Y39" s="102"/>
    </row>
    <row r="40" spans="1:25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5">
      <c r="A41" s="107" t="s">
        <v>1238</v>
      </c>
      <c r="B41" s="107" t="s">
        <v>2349</v>
      </c>
      <c r="C41" s="107" t="s">
        <v>2350</v>
      </c>
      <c r="D41" s="107" t="s">
        <v>2351</v>
      </c>
      <c r="E41" s="107" t="s">
        <v>2352</v>
      </c>
      <c r="F41" s="107" t="s">
        <v>1239</v>
      </c>
      <c r="G41" s="107" t="s">
        <v>1240</v>
      </c>
      <c r="H41" s="107" t="s">
        <v>1241</v>
      </c>
      <c r="I41" s="107" t="s">
        <v>1242</v>
      </c>
      <c r="J41" s="107" t="s">
        <v>1243</v>
      </c>
      <c r="K41" s="107" t="s">
        <v>46</v>
      </c>
      <c r="L41" s="107" t="s">
        <v>48</v>
      </c>
      <c r="M41" s="107" t="s">
        <v>47</v>
      </c>
      <c r="N41" s="107" t="s">
        <v>49</v>
      </c>
    </row>
    <row r="42" spans="1:25">
      <c r="A42" s="14">
        <v>43815</v>
      </c>
      <c r="B42" s="107">
        <v>1021</v>
      </c>
      <c r="C42" s="107">
        <v>1015</v>
      </c>
      <c r="D42" s="107">
        <v>3206</v>
      </c>
      <c r="E42" s="107">
        <v>3206</v>
      </c>
      <c r="F42" s="107">
        <v>0.316593886462882</v>
      </c>
      <c r="G42" s="107">
        <v>0.30150127599758397</v>
      </c>
      <c r="H42" s="107">
        <v>9.9757354932717198E-3</v>
      </c>
      <c r="I42" s="107">
        <v>1.51293210164578</v>
      </c>
      <c r="J42" s="107">
        <v>4.7699999999999996</v>
      </c>
      <c r="K42" s="107">
        <v>0.95841111429964299</v>
      </c>
      <c r="L42" s="107">
        <v>0.56802910971224796</v>
      </c>
      <c r="M42" s="107">
        <v>0.91715753022000501</v>
      </c>
      <c r="N42" s="107">
        <v>8.8821458266969605E-2</v>
      </c>
    </row>
    <row r="43" spans="1:25">
      <c r="A43" s="14">
        <v>43812</v>
      </c>
      <c r="B43" s="107">
        <v>1021</v>
      </c>
      <c r="C43" s="107">
        <v>1021</v>
      </c>
      <c r="D43" s="107">
        <v>3178</v>
      </c>
      <c r="E43" s="107">
        <v>3221</v>
      </c>
      <c r="F43" s="107">
        <v>0.31698230363241198</v>
      </c>
      <c r="G43" s="107">
        <v>0.30108488896948998</v>
      </c>
      <c r="H43" s="107">
        <v>9.9888211429703406E-3</v>
      </c>
      <c r="I43" s="107">
        <v>1.5915206044218</v>
      </c>
      <c r="J43" s="107">
        <v>5.0199999999999996</v>
      </c>
      <c r="K43" s="107">
        <v>0.95644505455936002</v>
      </c>
      <c r="L43" s="107">
        <v>0.416998754443557</v>
      </c>
      <c r="M43" s="107">
        <v>0.91650045856552897</v>
      </c>
      <c r="N43" s="107">
        <v>9.4215104650748505E-2</v>
      </c>
    </row>
    <row r="44" spans="1:25">
      <c r="A44" s="14">
        <v>43811</v>
      </c>
      <c r="B44" s="107">
        <v>1007</v>
      </c>
      <c r="C44" s="107">
        <v>998</v>
      </c>
      <c r="D44" s="107">
        <v>3130</v>
      </c>
      <c r="E44" s="107">
        <v>3113</v>
      </c>
      <c r="F44" s="107">
        <v>0.32059106970767698</v>
      </c>
      <c r="G44" s="107">
        <v>0.30073763580445501</v>
      </c>
      <c r="H44" s="107">
        <v>9.8822550562861801E-3</v>
      </c>
      <c r="I44" s="107">
        <v>2.0089983298491001</v>
      </c>
      <c r="J44" s="107">
        <v>6.19</v>
      </c>
      <c r="K44" s="107">
        <v>0.95693063750312002</v>
      </c>
      <c r="L44" s="107">
        <v>0.32038663647705001</v>
      </c>
      <c r="M44" s="107">
        <v>0.91631527667628598</v>
      </c>
      <c r="N44" s="107">
        <v>8.4012776891367394E-2</v>
      </c>
    </row>
    <row r="45" spans="1:25">
      <c r="A45" s="14">
        <v>43810</v>
      </c>
      <c r="B45" s="107">
        <v>998</v>
      </c>
      <c r="C45" s="107">
        <v>994</v>
      </c>
      <c r="D45" s="107">
        <v>3151</v>
      </c>
      <c r="E45" s="107">
        <v>3149</v>
      </c>
      <c r="F45" s="107">
        <v>0.31565576373451798</v>
      </c>
      <c r="G45" s="107">
        <v>0.30033492450345201</v>
      </c>
      <c r="H45" s="107">
        <v>9.6783063399083803E-3</v>
      </c>
      <c r="I45" s="107">
        <v>1.58300829638865</v>
      </c>
      <c r="J45" s="107">
        <v>4.8499999999999996</v>
      </c>
      <c r="K45" s="107">
        <v>0.955181136346544</v>
      </c>
      <c r="L45" s="107">
        <v>0.38199541513186103</v>
      </c>
      <c r="M45" s="107">
        <v>0.91604012380391897</v>
      </c>
      <c r="N45" s="107">
        <v>9.0105694218398896E-2</v>
      </c>
    </row>
    <row r="46" spans="1:25">
      <c r="A46" s="14">
        <v>43809</v>
      </c>
      <c r="B46" s="107">
        <v>1008</v>
      </c>
      <c r="C46" s="107">
        <v>1005</v>
      </c>
      <c r="D46" s="107">
        <v>3141</v>
      </c>
      <c r="E46" s="107">
        <v>3135</v>
      </c>
      <c r="F46" s="107">
        <v>0.32057416267942501</v>
      </c>
      <c r="G46" s="107">
        <v>0.29994261584555598</v>
      </c>
      <c r="H46" s="107">
        <v>9.6456035582240494E-3</v>
      </c>
      <c r="I46" s="107">
        <v>2.1389586156356999</v>
      </c>
      <c r="J46" s="107">
        <v>6.44</v>
      </c>
      <c r="K46" s="107">
        <v>0.95524660762900304</v>
      </c>
      <c r="L46" s="107">
        <v>0.20053868920399501</v>
      </c>
      <c r="M46" s="107">
        <v>0.91549596945084799</v>
      </c>
      <c r="N46" s="107">
        <v>8.6237212338216906E-2</v>
      </c>
    </row>
    <row r="47" spans="1:25">
      <c r="A47" s="14">
        <v>43808</v>
      </c>
      <c r="B47" s="107">
        <v>1013</v>
      </c>
      <c r="C47" s="107">
        <v>1013</v>
      </c>
      <c r="D47" s="107">
        <v>3170</v>
      </c>
      <c r="E47" s="107">
        <v>3141</v>
      </c>
      <c r="F47" s="107">
        <v>0.32250875517351102</v>
      </c>
      <c r="G47" s="107">
        <v>0.29952133308865397</v>
      </c>
      <c r="H47" s="107">
        <v>9.42272232835175E-3</v>
      </c>
      <c r="I47" s="107">
        <v>2.4395733296406901</v>
      </c>
      <c r="J47" s="107">
        <v>7.13</v>
      </c>
      <c r="K47" s="107">
        <v>0.957564729552419</v>
      </c>
      <c r="L47" s="107">
        <v>9.82108331490818E-2</v>
      </c>
      <c r="M47" s="107">
        <v>0.91493367095556599</v>
      </c>
      <c r="N47" s="107">
        <v>8.8201291065971105E-2</v>
      </c>
    </row>
    <row r="48" spans="1:25">
      <c r="A48" s="14">
        <v>43805</v>
      </c>
      <c r="B48" s="107">
        <v>1003</v>
      </c>
      <c r="C48" s="107">
        <v>1004</v>
      </c>
      <c r="D48" s="107">
        <v>3127</v>
      </c>
      <c r="E48" s="107">
        <v>3144</v>
      </c>
      <c r="F48" s="107">
        <v>0.319338422391857</v>
      </c>
      <c r="G48" s="107">
        <v>0.29909931775538101</v>
      </c>
      <c r="H48" s="107">
        <v>9.0865164152753603E-3</v>
      </c>
      <c r="I48" s="107">
        <v>2.2273777662969101</v>
      </c>
      <c r="J48" s="107">
        <v>6.34</v>
      </c>
      <c r="K48" s="107">
        <v>0.95985915705800195</v>
      </c>
      <c r="L48" s="107">
        <v>0.181677762698261</v>
      </c>
      <c r="M48" s="107">
        <v>0.91478032840502799</v>
      </c>
      <c r="N48" s="107">
        <v>7.5163591638533006E-2</v>
      </c>
    </row>
    <row r="49" spans="1:14">
      <c r="A49" s="14">
        <v>43804</v>
      </c>
      <c r="B49" s="107">
        <v>994</v>
      </c>
      <c r="C49" s="107">
        <v>1004</v>
      </c>
      <c r="D49" s="107">
        <v>3129</v>
      </c>
      <c r="E49" s="107">
        <v>3129</v>
      </c>
      <c r="F49" s="107">
        <v>0.32086928731224001</v>
      </c>
      <c r="G49" s="107">
        <v>0.29871917533005199</v>
      </c>
      <c r="H49" s="107">
        <v>8.8244494117574908E-3</v>
      </c>
      <c r="I49" s="107">
        <v>2.5100843065263598</v>
      </c>
      <c r="J49" s="107">
        <v>6.9</v>
      </c>
      <c r="K49" s="107">
        <v>0.96299446913590903</v>
      </c>
      <c r="L49" s="107">
        <v>7.4216795185657505E-2</v>
      </c>
      <c r="M49" s="107">
        <v>0.91435188330634198</v>
      </c>
      <c r="N49" s="107">
        <v>9.8018478472106596E-2</v>
      </c>
    </row>
    <row r="50" spans="1:14">
      <c r="A50" s="14">
        <v>43803</v>
      </c>
      <c r="B50" s="107">
        <v>975</v>
      </c>
      <c r="C50" s="107">
        <v>988</v>
      </c>
      <c r="D50" s="107">
        <v>3085</v>
      </c>
      <c r="E50" s="107">
        <v>3091</v>
      </c>
      <c r="F50" s="107">
        <v>0.31963765771594899</v>
      </c>
      <c r="G50" s="107">
        <v>0.29833251708187702</v>
      </c>
      <c r="H50" s="107">
        <v>8.4737949523267901E-3</v>
      </c>
      <c r="I50" s="107">
        <v>2.5142383966019199</v>
      </c>
      <c r="J50" s="107">
        <v>6.67</v>
      </c>
      <c r="K50" s="107">
        <v>0.96744358704493305</v>
      </c>
      <c r="L50" s="107">
        <v>6.0295483968765003E-2</v>
      </c>
      <c r="M50" s="107">
        <v>0.91433056143139602</v>
      </c>
      <c r="N50" s="107">
        <v>8.6934141656787894E-2</v>
      </c>
    </row>
    <row r="51" spans="1:14">
      <c r="A51" s="14">
        <v>43802</v>
      </c>
      <c r="B51" s="107">
        <v>964</v>
      </c>
      <c r="C51" s="107">
        <v>978</v>
      </c>
      <c r="D51" s="107">
        <v>3065</v>
      </c>
      <c r="E51" s="107">
        <v>3105</v>
      </c>
      <c r="F51" s="107">
        <v>0.31497584541062801</v>
      </c>
      <c r="G51" s="107">
        <v>0.29798706446807899</v>
      </c>
      <c r="H51" s="107">
        <v>8.1188880689075701E-3</v>
      </c>
      <c r="I51" s="107">
        <v>2.0925009432769399</v>
      </c>
      <c r="J51" s="107">
        <v>5.39</v>
      </c>
      <c r="K51" s="107">
        <v>0.97037999106082096</v>
      </c>
      <c r="L51" s="107">
        <v>7.3447160025566699E-2</v>
      </c>
      <c r="M51" s="107">
        <v>0.91479569864277499</v>
      </c>
      <c r="N51" s="107">
        <v>6.1266183831809498E-2</v>
      </c>
    </row>
    <row r="52" spans="1:14">
      <c r="A52" s="14">
        <v>43801</v>
      </c>
      <c r="B52" s="107">
        <v>962</v>
      </c>
      <c r="C52" s="107">
        <v>982</v>
      </c>
      <c r="D52" s="107">
        <v>3100</v>
      </c>
      <c r="E52" s="107">
        <v>3104</v>
      </c>
      <c r="F52" s="107">
        <v>0.31636597938144301</v>
      </c>
      <c r="G52" s="107">
        <v>0.29768746710944699</v>
      </c>
      <c r="H52" s="107">
        <v>7.8980307926758298E-3</v>
      </c>
      <c r="I52" s="107">
        <v>2.3649581474557801</v>
      </c>
      <c r="J52" s="107">
        <v>5.9</v>
      </c>
      <c r="K52" s="107">
        <v>0.97114178791883199</v>
      </c>
      <c r="L52" s="107">
        <v>1.9423137215723901E-2</v>
      </c>
      <c r="M52" s="107">
        <v>0.91490252758887802</v>
      </c>
      <c r="N52" s="107">
        <v>5.1749975540030801E-2</v>
      </c>
    </row>
    <row r="53" spans="1:14">
      <c r="A53" s="14">
        <v>43798</v>
      </c>
      <c r="B53" s="107">
        <v>958</v>
      </c>
      <c r="C53" s="107">
        <v>967</v>
      </c>
      <c r="D53" s="107">
        <v>3105</v>
      </c>
      <c r="E53" s="107">
        <v>3067</v>
      </c>
      <c r="F53" s="107">
        <v>0.31529181610694401</v>
      </c>
      <c r="G53" s="107">
        <v>0.29736120264793298</v>
      </c>
      <c r="H53" s="107">
        <v>7.6202237381932398E-3</v>
      </c>
      <c r="I53" s="107">
        <v>2.3530297895508099</v>
      </c>
      <c r="J53" s="107">
        <v>5.69</v>
      </c>
      <c r="K53" s="107">
        <v>0.97070394671841997</v>
      </c>
      <c r="L53" s="107">
        <v>0.11064582728838999</v>
      </c>
      <c r="M53" s="107">
        <v>0.91501032463464205</v>
      </c>
      <c r="N53" s="107">
        <v>4.9005119327744602E-2</v>
      </c>
    </row>
    <row r="54" spans="1:14">
      <c r="A54" s="14">
        <v>43797</v>
      </c>
      <c r="B54" s="107">
        <v>973</v>
      </c>
      <c r="C54" s="107">
        <v>962</v>
      </c>
      <c r="D54" s="107">
        <v>3120</v>
      </c>
      <c r="E54" s="107">
        <v>3080</v>
      </c>
      <c r="F54" s="107">
        <v>0.31233766233766203</v>
      </c>
      <c r="G54" s="107">
        <v>0.29707578645421301</v>
      </c>
      <c r="H54" s="107">
        <v>7.3389817277493699E-3</v>
      </c>
      <c r="I54" s="107">
        <v>2.0795631396304302</v>
      </c>
      <c r="J54" s="107">
        <v>4.8899999999999997</v>
      </c>
      <c r="K54" s="107">
        <v>0.97049049287668299</v>
      </c>
      <c r="L54" s="107">
        <v>0.17078113291129099</v>
      </c>
      <c r="M54" s="107">
        <v>0.915325183916052</v>
      </c>
      <c r="N54" s="107">
        <v>4.1598152958899397E-2</v>
      </c>
    </row>
    <row r="55" spans="1:14">
      <c r="A55" s="14">
        <v>43796</v>
      </c>
      <c r="B55" s="107">
        <v>971</v>
      </c>
      <c r="C55" s="107">
        <v>975</v>
      </c>
      <c r="D55" s="107">
        <v>3130</v>
      </c>
      <c r="E55" s="107">
        <v>3127</v>
      </c>
      <c r="F55" s="107">
        <v>0.31180044771346299</v>
      </c>
      <c r="G55" s="107">
        <v>0.29705873155957102</v>
      </c>
      <c r="H55" s="107">
        <v>7.3049023106188903E-3</v>
      </c>
      <c r="I55" s="107">
        <v>2.0180579461634198</v>
      </c>
      <c r="J55" s="107">
        <v>4.7300000000000004</v>
      </c>
      <c r="K55" s="107">
        <v>0.97141570872272598</v>
      </c>
      <c r="L55" s="107">
        <v>0.109786734127542</v>
      </c>
      <c r="M55" s="107">
        <v>0.91559631979371903</v>
      </c>
      <c r="N55" s="107">
        <v>3.7933567551737303E-2</v>
      </c>
    </row>
    <row r="56" spans="1:14">
      <c r="A56" s="14">
        <v>43795</v>
      </c>
      <c r="B56" s="107">
        <v>975</v>
      </c>
      <c r="C56" s="107">
        <v>965</v>
      </c>
      <c r="D56" s="107">
        <v>3147</v>
      </c>
      <c r="E56" s="107">
        <v>3109</v>
      </c>
      <c r="F56" s="107">
        <v>0.31038919266645199</v>
      </c>
      <c r="G56" s="107">
        <v>0.29707765991278101</v>
      </c>
      <c r="H56" s="107">
        <v>7.3448065663676097E-3</v>
      </c>
      <c r="I56" s="107">
        <v>1.81237349593721</v>
      </c>
      <c r="J56" s="107">
        <v>4.29</v>
      </c>
      <c r="K56" s="107">
        <v>0.97255785516700599</v>
      </c>
      <c r="L56" s="107">
        <v>0.15747153772713299</v>
      </c>
      <c r="M56" s="107">
        <v>0.91562955599651397</v>
      </c>
      <c r="N56" s="107">
        <v>4.5605741363179603E-2</v>
      </c>
    </row>
    <row r="57" spans="1:14">
      <c r="A57" s="14">
        <v>43794</v>
      </c>
      <c r="B57" s="107">
        <v>964</v>
      </c>
      <c r="C57" s="107">
        <v>965</v>
      </c>
      <c r="D57" s="107">
        <v>3142</v>
      </c>
      <c r="E57" s="107">
        <v>3146</v>
      </c>
      <c r="F57" s="107">
        <v>0.30673871582962398</v>
      </c>
      <c r="G57" s="107">
        <v>0.29713243430414499</v>
      </c>
      <c r="H57" s="107">
        <v>7.4583150254592901E-3</v>
      </c>
      <c r="I57" s="107">
        <v>1.2879962153231801</v>
      </c>
      <c r="J57" s="107">
        <v>3.13</v>
      </c>
      <c r="K57" s="107">
        <v>0.97392725147832804</v>
      </c>
      <c r="L57" s="107">
        <v>0.102929141908522</v>
      </c>
      <c r="M57" s="107">
        <v>0.91588622771501704</v>
      </c>
      <c r="N57" s="107">
        <v>4.4536179277517199E-2</v>
      </c>
    </row>
    <row r="58" spans="1:14">
      <c r="A58" s="14">
        <v>43791</v>
      </c>
      <c r="B58" s="107">
        <v>960</v>
      </c>
      <c r="C58" s="107">
        <v>956</v>
      </c>
      <c r="D58" s="107">
        <v>3099</v>
      </c>
      <c r="E58" s="107">
        <v>3108</v>
      </c>
      <c r="F58" s="107">
        <v>0.307593307593307</v>
      </c>
      <c r="G58" s="107">
        <v>0.297216586545692</v>
      </c>
      <c r="H58" s="107">
        <v>7.6004790406685703E-3</v>
      </c>
      <c r="I58" s="107">
        <v>1.36527197721242</v>
      </c>
      <c r="J58" s="107">
        <v>3.37</v>
      </c>
      <c r="K58" s="107">
        <v>0.97479865507327401</v>
      </c>
      <c r="L58" s="107">
        <v>8.7042079317474194E-2</v>
      </c>
      <c r="M58" s="107">
        <v>0.91612185700581406</v>
      </c>
      <c r="N58" s="107">
        <v>4.7486393194625998E-2</v>
      </c>
    </row>
    <row r="59" spans="1:14">
      <c r="A59" s="14">
        <v>43790</v>
      </c>
      <c r="B59" s="107">
        <v>953</v>
      </c>
      <c r="C59" s="107">
        <v>957</v>
      </c>
      <c r="D59" s="107">
        <v>3089</v>
      </c>
      <c r="E59" s="107">
        <v>3103</v>
      </c>
      <c r="F59" s="107">
        <v>0.30841121495327101</v>
      </c>
      <c r="G59" s="107">
        <v>0.29726349059259599</v>
      </c>
      <c r="H59" s="107">
        <v>7.6748616470057396E-3</v>
      </c>
      <c r="I59" s="107">
        <v>1.4524984127920599</v>
      </c>
      <c r="J59" s="107">
        <v>3.61</v>
      </c>
      <c r="K59" s="107">
        <v>0.97583056197107798</v>
      </c>
      <c r="L59" s="107">
        <v>5.5647370471035698E-2</v>
      </c>
      <c r="M59" s="107">
        <v>0.91637490428675705</v>
      </c>
      <c r="N59" s="107">
        <v>3.3995761461266198E-2</v>
      </c>
    </row>
    <row r="60" spans="1:14">
      <c r="A60" s="14">
        <v>43789</v>
      </c>
      <c r="B60" s="107">
        <v>948</v>
      </c>
      <c r="C60" s="107">
        <v>960</v>
      </c>
      <c r="D60" s="107">
        <v>3116</v>
      </c>
      <c r="E60" s="107">
        <v>3092</v>
      </c>
      <c r="F60" s="107">
        <v>0.31047865459249602</v>
      </c>
      <c r="G60" s="107">
        <v>0.29735720713625502</v>
      </c>
      <c r="H60" s="107">
        <v>7.8512979942990304E-3</v>
      </c>
      <c r="I60" s="107">
        <v>1.6712456291645801</v>
      </c>
      <c r="J60" s="107">
        <v>4.2300000000000004</v>
      </c>
      <c r="K60" s="107">
        <v>0.97742783226478602</v>
      </c>
      <c r="L60" s="107">
        <v>0.10427608289920701</v>
      </c>
      <c r="M60" s="107">
        <v>0.91656689758418497</v>
      </c>
      <c r="N60" s="107">
        <v>2.9639636358909299E-2</v>
      </c>
    </row>
    <row r="61" spans="1:14">
      <c r="A61" s="14">
        <v>43788</v>
      </c>
      <c r="B61" s="107">
        <v>960</v>
      </c>
      <c r="C61" s="107">
        <v>956</v>
      </c>
      <c r="D61" s="107">
        <v>3135</v>
      </c>
      <c r="E61" s="107">
        <v>3134</v>
      </c>
      <c r="F61" s="107">
        <v>0.30504148053605601</v>
      </c>
      <c r="G61" s="107">
        <v>0.29741181593601301</v>
      </c>
      <c r="H61" s="107">
        <v>7.9559191890962496E-3</v>
      </c>
      <c r="I61" s="107">
        <v>0.95899221934020795</v>
      </c>
      <c r="J61" s="107">
        <v>2.5</v>
      </c>
      <c r="K61" s="107">
        <v>0.97767452018222301</v>
      </c>
      <c r="L61" s="107">
        <v>0.33401992879959902</v>
      </c>
      <c r="M61" s="107">
        <v>0.91699445288022097</v>
      </c>
      <c r="N61" s="107">
        <v>3.4245517658775503E-2</v>
      </c>
    </row>
    <row r="62" spans="1:14">
      <c r="A62" s="14">
        <v>43787</v>
      </c>
      <c r="B62" s="107">
        <v>962</v>
      </c>
      <c r="C62" s="107">
        <v>957</v>
      </c>
      <c r="D62" s="107">
        <v>3151</v>
      </c>
      <c r="E62" s="107">
        <v>3157</v>
      </c>
      <c r="F62" s="107">
        <v>0.303135888501742</v>
      </c>
      <c r="G62" s="107">
        <v>0.297450500543883</v>
      </c>
      <c r="H62" s="107">
        <v>7.9998557629158504E-3</v>
      </c>
      <c r="I62" s="107">
        <v>0.71068630814747202</v>
      </c>
      <c r="J62" s="107">
        <v>1.88</v>
      </c>
      <c r="K62" s="107">
        <v>0.97760446535156897</v>
      </c>
      <c r="L62" s="107">
        <v>0.11052982580564399</v>
      </c>
      <c r="M62" s="107">
        <v>0.91743247544532103</v>
      </c>
      <c r="N62" s="107">
        <v>4.0082181288518801E-2</v>
      </c>
    </row>
    <row r="63" spans="1:14">
      <c r="A63" s="14">
        <v>43784</v>
      </c>
      <c r="B63" s="107">
        <v>955</v>
      </c>
      <c r="C63" s="107">
        <v>958</v>
      </c>
      <c r="D63" s="107">
        <v>3123</v>
      </c>
      <c r="E63" s="107">
        <v>3150</v>
      </c>
      <c r="F63" s="107">
        <v>0.30412698412698402</v>
      </c>
      <c r="G63" s="107">
        <v>0.297563538215532</v>
      </c>
      <c r="H63" s="107">
        <v>8.1380927979159707E-3</v>
      </c>
      <c r="I63" s="107">
        <v>0.80650910163282796</v>
      </c>
      <c r="J63" s="107">
        <v>2.16</v>
      </c>
      <c r="K63" s="107">
        <v>0.97751688667507197</v>
      </c>
      <c r="L63" s="107">
        <v>0.100093224250994</v>
      </c>
      <c r="M63" s="107">
        <v>0.91727168981391705</v>
      </c>
      <c r="N63" s="107">
        <v>3.9301685934427302E-2</v>
      </c>
    </row>
    <row r="64" spans="1:14">
      <c r="A64" s="14">
        <v>43783</v>
      </c>
      <c r="B64" s="107">
        <v>969</v>
      </c>
      <c r="C64" s="107">
        <v>960</v>
      </c>
      <c r="D64" s="107">
        <v>3187</v>
      </c>
      <c r="E64" s="107">
        <v>3139</v>
      </c>
      <c r="F64" s="107">
        <v>0.305829882128066</v>
      </c>
      <c r="G64" s="107">
        <v>0.29764967719607799</v>
      </c>
      <c r="H64" s="107">
        <v>8.2406532411335807E-3</v>
      </c>
      <c r="I64" s="107">
        <v>0.99266462167778402</v>
      </c>
      <c r="J64" s="107">
        <v>2.67</v>
      </c>
      <c r="K64" s="107">
        <v>0.977401744217124</v>
      </c>
      <c r="L64" s="107">
        <v>5.1908940090440801E-2</v>
      </c>
      <c r="M64" s="107">
        <v>0.91692878248627796</v>
      </c>
      <c r="N64" s="107">
        <v>3.7599580592513601E-2</v>
      </c>
    </row>
    <row r="65" spans="1:14">
      <c r="A65" s="14">
        <v>43782</v>
      </c>
      <c r="B65" s="107">
        <v>976</v>
      </c>
      <c r="C65" s="107">
        <v>978</v>
      </c>
      <c r="D65" s="107">
        <v>3202</v>
      </c>
      <c r="E65" s="107">
        <v>3209</v>
      </c>
      <c r="F65" s="107">
        <v>0.304767840448737</v>
      </c>
      <c r="G65" s="107">
        <v>0.297622696764547</v>
      </c>
      <c r="H65" s="107">
        <v>8.2171054973864503E-3</v>
      </c>
      <c r="I65" s="107">
        <v>0.86954508329769897</v>
      </c>
      <c r="J65" s="107">
        <v>2.34</v>
      </c>
      <c r="K65" s="107">
        <v>0.97625680235005197</v>
      </c>
      <c r="L65" s="107">
        <v>3.8546875249639901E-3</v>
      </c>
      <c r="M65" s="107">
        <v>0.916818794721317</v>
      </c>
      <c r="N65" s="107">
        <v>3.9599162561789997E-2</v>
      </c>
    </row>
    <row r="66" spans="1:14">
      <c r="A66" s="14">
        <v>43781</v>
      </c>
      <c r="B66" s="107">
        <v>966</v>
      </c>
      <c r="C66" s="107">
        <v>982</v>
      </c>
      <c r="D66" s="107">
        <v>3174</v>
      </c>
      <c r="E66" s="107">
        <v>3229</v>
      </c>
      <c r="F66" s="107">
        <v>0.30411892226695503</v>
      </c>
      <c r="G66" s="107">
        <v>0.29762379068558398</v>
      </c>
      <c r="H66" s="107">
        <v>8.2180620437085992E-3</v>
      </c>
      <c r="I66" s="107">
        <v>0.79034832626304896</v>
      </c>
      <c r="J66" s="107">
        <v>2.14</v>
      </c>
      <c r="K66" s="107">
        <v>0.97484827500341797</v>
      </c>
      <c r="L66" s="107">
        <v>6.4921374236117102E-2</v>
      </c>
      <c r="M66" s="107">
        <v>0.91662958867253697</v>
      </c>
      <c r="N66" s="107">
        <v>9.6667059120761997E-2</v>
      </c>
    </row>
    <row r="67" spans="1:14">
      <c r="A67" s="14">
        <v>43780</v>
      </c>
      <c r="B67" s="107">
        <v>980</v>
      </c>
      <c r="C67" s="107">
        <v>970</v>
      </c>
      <c r="D67" s="107">
        <v>3197</v>
      </c>
      <c r="E67" s="107">
        <v>3201</v>
      </c>
      <c r="F67" s="107">
        <v>0.30303030303030298</v>
      </c>
      <c r="G67" s="107">
        <v>0.29753746558355199</v>
      </c>
      <c r="H67" s="107">
        <v>8.1833127571368999E-3</v>
      </c>
      <c r="I67" s="107">
        <v>0.67122418631254299</v>
      </c>
      <c r="J67" s="107">
        <v>1.81</v>
      </c>
      <c r="K67" s="107">
        <v>0.97265742469499505</v>
      </c>
      <c r="L67" s="107">
        <v>0.188824486305322</v>
      </c>
      <c r="M67" s="107">
        <v>0.91623508244859397</v>
      </c>
      <c r="N67" s="107">
        <v>4.0024880897381397E-2</v>
      </c>
    </row>
    <row r="68" spans="1:14">
      <c r="A68" s="14">
        <v>43777</v>
      </c>
      <c r="B68" s="107">
        <v>965</v>
      </c>
      <c r="C68" s="107">
        <v>971</v>
      </c>
      <c r="D68" s="107">
        <v>3060</v>
      </c>
      <c r="E68" s="107">
        <v>3072</v>
      </c>
      <c r="F68" s="107">
        <v>0.31608072916666602</v>
      </c>
      <c r="G68" s="107">
        <v>0.29737170541779201</v>
      </c>
      <c r="H68" s="107">
        <v>8.1962721037490902E-3</v>
      </c>
      <c r="I68" s="107">
        <v>2.2826259928969801</v>
      </c>
      <c r="J68" s="107">
        <v>5.92</v>
      </c>
      <c r="K68" s="107">
        <v>0.97626768505010697</v>
      </c>
      <c r="L68" s="107">
        <v>0.18322554460193399</v>
      </c>
      <c r="M68" s="107">
        <v>0.91520706147714403</v>
      </c>
      <c r="N68" s="107">
        <v>3.0567645601381501E-2</v>
      </c>
    </row>
    <row r="69" spans="1:14">
      <c r="A69" s="14">
        <v>43776</v>
      </c>
      <c r="B69" s="107">
        <v>960</v>
      </c>
      <c r="C69" s="107">
        <v>959</v>
      </c>
      <c r="D69" s="107">
        <v>3007</v>
      </c>
      <c r="E69" s="107">
        <v>3014</v>
      </c>
      <c r="F69" s="107">
        <v>0.31818181818181801</v>
      </c>
      <c r="G69" s="107">
        <v>0.29703881486693101</v>
      </c>
      <c r="H69" s="107">
        <v>7.9324116604042195E-3</v>
      </c>
      <c r="I69" s="107">
        <v>2.6653941096407201</v>
      </c>
      <c r="J69" s="107">
        <v>6.64</v>
      </c>
      <c r="K69" s="107">
        <v>0.98327976540959305</v>
      </c>
      <c r="L69" s="107">
        <v>1.4179025791341501E-2</v>
      </c>
      <c r="M69" s="107">
        <v>0.91389300246126004</v>
      </c>
      <c r="N69" s="107">
        <v>4.3901601818213697E-2</v>
      </c>
    </row>
    <row r="70" spans="1:14">
      <c r="A70" s="14">
        <v>43775</v>
      </c>
      <c r="B70" s="107">
        <v>928</v>
      </c>
      <c r="C70" s="107">
        <v>930</v>
      </c>
      <c r="D70" s="107">
        <v>3048</v>
      </c>
      <c r="E70" s="107">
        <v>3031</v>
      </c>
      <c r="F70" s="107">
        <v>0.30682942923127599</v>
      </c>
      <c r="G70" s="107">
        <v>0.29673556857651401</v>
      </c>
      <c r="H70" s="107">
        <v>7.5435399673702301E-3</v>
      </c>
      <c r="I70" s="107">
        <v>1.3380800921614</v>
      </c>
      <c r="J70" s="107">
        <v>3.29</v>
      </c>
      <c r="K70" s="107">
        <v>0.97895365093730302</v>
      </c>
      <c r="L70" s="107">
        <v>0.22310403339003701</v>
      </c>
      <c r="M70" s="107">
        <v>0.91424183972212802</v>
      </c>
      <c r="N70" s="107">
        <v>7.0103515775916794E-2</v>
      </c>
    </row>
    <row r="71" spans="1:14">
      <c r="A71" s="14">
        <v>43774</v>
      </c>
      <c r="B71" s="107">
        <v>905</v>
      </c>
      <c r="C71" s="107">
        <v>918</v>
      </c>
      <c r="D71" s="107">
        <v>3028</v>
      </c>
      <c r="E71" s="107">
        <v>3022</v>
      </c>
      <c r="F71" s="107">
        <v>0.30377233620119098</v>
      </c>
      <c r="G71" s="107">
        <v>0.29658363637831497</v>
      </c>
      <c r="H71" s="107">
        <v>7.4529189875509796E-3</v>
      </c>
      <c r="I71" s="107">
        <v>0.96454823068437501</v>
      </c>
      <c r="J71" s="107">
        <v>2.37</v>
      </c>
      <c r="K71" s="107">
        <v>0.97230970632508595</v>
      </c>
      <c r="L71" s="107">
        <v>0.53221158882679298</v>
      </c>
      <c r="M71" s="107">
        <v>0.91369951155215801</v>
      </c>
      <c r="N71" s="107">
        <v>0.19918148055153001</v>
      </c>
    </row>
    <row r="72" spans="1:14">
      <c r="A72" s="14">
        <v>43770</v>
      </c>
      <c r="B72" s="107">
        <v>878</v>
      </c>
      <c r="C72" s="107">
        <v>892</v>
      </c>
      <c r="D72" s="107">
        <v>2908.5</v>
      </c>
      <c r="E72" s="107">
        <v>2954.5</v>
      </c>
      <c r="F72" s="107">
        <v>0.30191233711287802</v>
      </c>
      <c r="G72" s="107">
        <v>0.29642983780126397</v>
      </c>
      <c r="H72" s="107">
        <v>7.4219386953950396E-3</v>
      </c>
      <c r="I72" s="107">
        <v>0.73868830458222801</v>
      </c>
      <c r="J72" s="107">
        <v>1.82</v>
      </c>
      <c r="K72" s="107">
        <v>0.95835107783307605</v>
      </c>
      <c r="L72" s="107">
        <v>0.63601046774173398</v>
      </c>
      <c r="M72" s="107">
        <v>0.91445582923351498</v>
      </c>
      <c r="N72" s="107">
        <v>0.118399318586435</v>
      </c>
    </row>
    <row r="73" spans="1:14">
      <c r="A73" s="14">
        <v>43769</v>
      </c>
      <c r="B73" s="107">
        <v>885</v>
      </c>
      <c r="C73" s="107">
        <v>893</v>
      </c>
      <c r="D73" s="107">
        <v>2963.5</v>
      </c>
      <c r="E73" s="107">
        <v>2942</v>
      </c>
      <c r="F73" s="107">
        <v>0.30353501019714402</v>
      </c>
      <c r="G73" s="107">
        <v>0.29634714353614899</v>
      </c>
      <c r="H73" s="107">
        <v>7.3948947771285203E-3</v>
      </c>
      <c r="I73" s="107">
        <v>0.97200391318979296</v>
      </c>
      <c r="J73" s="107">
        <v>2.37</v>
      </c>
      <c r="K73" s="107">
        <v>0.95320727496584901</v>
      </c>
      <c r="L73" s="107">
        <v>0.76982109797901499</v>
      </c>
      <c r="M73" s="107">
        <v>0.91381408089168603</v>
      </c>
      <c r="N73" s="107">
        <v>0.13942513764116099</v>
      </c>
    </row>
    <row r="74" spans="1:14">
      <c r="A74" s="14">
        <v>43768</v>
      </c>
      <c r="B74" s="107">
        <v>892</v>
      </c>
      <c r="C74" s="107">
        <v>888</v>
      </c>
      <c r="D74" s="107">
        <v>3006</v>
      </c>
      <c r="E74" s="107">
        <v>2986.5</v>
      </c>
      <c r="F74" s="107">
        <v>0.29733802109492702</v>
      </c>
      <c r="G74" s="107">
        <v>0.29620745309302299</v>
      </c>
      <c r="H74" s="107">
        <v>7.3566506835272497E-3</v>
      </c>
      <c r="I74" s="107">
        <v>0.15367971792310001</v>
      </c>
      <c r="J74" s="107">
        <v>0.38</v>
      </c>
      <c r="K74" s="107">
        <v>0.94321647147076204</v>
      </c>
      <c r="L74" s="107">
        <v>0.90478290239292203</v>
      </c>
      <c r="M74" s="107">
        <v>0.91309858911258901</v>
      </c>
      <c r="N74" s="107">
        <v>0.167276646134568</v>
      </c>
    </row>
    <row r="75" spans="1:14">
      <c r="A75" s="14">
        <v>43767</v>
      </c>
      <c r="B75" s="107">
        <v>890</v>
      </c>
      <c r="C75" s="107">
        <v>895</v>
      </c>
      <c r="D75" s="107">
        <v>2975</v>
      </c>
      <c r="E75" s="107">
        <v>3006</v>
      </c>
      <c r="F75" s="107">
        <v>0.29773785761809701</v>
      </c>
      <c r="G75" s="107">
        <v>0.296183349300218</v>
      </c>
      <c r="H75" s="107">
        <v>7.3558684596004001E-3</v>
      </c>
      <c r="I75" s="107">
        <v>0.21132899893684301</v>
      </c>
      <c r="J75" s="107">
        <v>0.52</v>
      </c>
      <c r="K75" s="107">
        <v>0.93353156464317699</v>
      </c>
      <c r="L75" s="107">
        <v>0.89919265138906201</v>
      </c>
      <c r="M75" s="107">
        <v>0.91371234726336203</v>
      </c>
      <c r="N75" s="107">
        <v>7.2456968525407603E-2</v>
      </c>
    </row>
    <row r="76" spans="1:14">
      <c r="A76" s="14">
        <v>43766</v>
      </c>
      <c r="B76" s="107">
        <v>885</v>
      </c>
      <c r="C76" s="107">
        <v>885</v>
      </c>
      <c r="D76" s="107">
        <v>2935.5</v>
      </c>
      <c r="E76" s="107">
        <v>2950</v>
      </c>
      <c r="F76" s="107">
        <v>0.3</v>
      </c>
      <c r="G76" s="107">
        <v>0.296231840419652</v>
      </c>
      <c r="H76" s="107">
        <v>7.3779104937020399E-3</v>
      </c>
      <c r="I76" s="107">
        <v>0.51073533401692295</v>
      </c>
      <c r="J76" s="107">
        <v>1.26</v>
      </c>
      <c r="K76" s="107">
        <v>0.92860488997051704</v>
      </c>
      <c r="L76" s="107">
        <v>0.69774455385743395</v>
      </c>
      <c r="M76" s="107">
        <v>0.91385380531323601</v>
      </c>
      <c r="N76" s="107">
        <v>7.9913189811445601E-2</v>
      </c>
    </row>
    <row r="77" spans="1:14">
      <c r="A77" s="14">
        <v>43763</v>
      </c>
      <c r="B77" s="107">
        <v>874</v>
      </c>
      <c r="C77" s="107">
        <v>881</v>
      </c>
      <c r="D77" s="107">
        <v>2931</v>
      </c>
      <c r="E77" s="107">
        <v>2925.5</v>
      </c>
      <c r="F77" s="107">
        <v>0.30114510340112799</v>
      </c>
      <c r="G77" s="107">
        <v>0.296311986139142</v>
      </c>
      <c r="H77" s="107">
        <v>7.4506975421505797E-3</v>
      </c>
      <c r="I77" s="107">
        <v>0.64867983630307002</v>
      </c>
      <c r="J77" s="107">
        <v>1.6</v>
      </c>
      <c r="K77" s="107">
        <v>0.92233448615107905</v>
      </c>
      <c r="L77" s="107">
        <v>0.845104427178893</v>
      </c>
      <c r="M77" s="107">
        <v>0.91383125624272099</v>
      </c>
      <c r="N77" s="107">
        <v>7.5389411427921105E-2</v>
      </c>
    </row>
    <row r="78" spans="1:14">
      <c r="A78" s="14">
        <v>43762</v>
      </c>
      <c r="B78" s="107">
        <v>869</v>
      </c>
      <c r="C78" s="107">
        <v>871</v>
      </c>
      <c r="D78" s="107">
        <v>2900</v>
      </c>
      <c r="E78" s="107">
        <v>2931</v>
      </c>
      <c r="F78" s="107">
        <v>0.29716820197884602</v>
      </c>
      <c r="G78" s="107">
        <v>0.29632402590026402</v>
      </c>
      <c r="H78" s="107">
        <v>7.4592224629631302E-3</v>
      </c>
      <c r="I78" s="107">
        <v>0.113172127895887</v>
      </c>
      <c r="J78" s="107">
        <v>0.28000000000000003</v>
      </c>
      <c r="K78" s="107">
        <v>0.91767548194210402</v>
      </c>
      <c r="L78" s="107">
        <v>0.82960349713322901</v>
      </c>
      <c r="M78" s="107">
        <v>0.91402573964561495</v>
      </c>
      <c r="N78" s="107">
        <v>7.9144150178542899E-2</v>
      </c>
    </row>
    <row r="79" spans="1:14">
      <c r="A79" s="14">
        <v>43761</v>
      </c>
      <c r="B79" s="107">
        <v>859</v>
      </c>
      <c r="C79" s="107">
        <v>863</v>
      </c>
      <c r="D79" s="107">
        <v>2850</v>
      </c>
      <c r="E79" s="107">
        <v>2877</v>
      </c>
      <c r="F79" s="107">
        <v>0.29996524157108101</v>
      </c>
      <c r="G79" s="107">
        <v>0.29641435190494297</v>
      </c>
      <c r="H79" s="107">
        <v>7.50974381079615E-3</v>
      </c>
      <c r="I79" s="107">
        <v>0.472837656729786</v>
      </c>
      <c r="J79" s="107">
        <v>1.18</v>
      </c>
      <c r="K79" s="107">
        <v>0.91672111968709602</v>
      </c>
      <c r="L79" s="107">
        <v>0.69114046185870803</v>
      </c>
      <c r="M79" s="107">
        <v>0.91246022014998796</v>
      </c>
      <c r="N79" s="107">
        <v>8.8295364967932999E-3</v>
      </c>
    </row>
    <row r="80" spans="1:14">
      <c r="A80" s="14">
        <v>43759</v>
      </c>
      <c r="B80" s="107">
        <v>860</v>
      </c>
      <c r="C80" s="107">
        <v>858</v>
      </c>
      <c r="D80" s="107">
        <v>2910</v>
      </c>
      <c r="E80" s="107">
        <v>2895</v>
      </c>
      <c r="F80" s="107">
        <v>0.29637305699481797</v>
      </c>
      <c r="G80" s="107">
        <v>0.29646604317347902</v>
      </c>
      <c r="H80" s="107">
        <v>7.5472563983422104E-3</v>
      </c>
      <c r="I80" s="107">
        <v>-1.23205273218704E-2</v>
      </c>
      <c r="J80" s="107">
        <v>-0.03</v>
      </c>
      <c r="K80" s="107">
        <v>0.91536039533837599</v>
      </c>
      <c r="L80" s="107">
        <v>0.59460389135606995</v>
      </c>
      <c r="M80" s="107">
        <v>0.91056295243924201</v>
      </c>
      <c r="N80" s="107">
        <v>6.1449393120689899E-3</v>
      </c>
    </row>
    <row r="81" spans="1:14">
      <c r="A81" s="14">
        <v>43756</v>
      </c>
      <c r="B81" s="107">
        <v>856</v>
      </c>
      <c r="C81" s="107">
        <v>857</v>
      </c>
      <c r="D81" s="107">
        <v>2911</v>
      </c>
      <c r="E81" s="107">
        <v>2908.5</v>
      </c>
      <c r="F81" s="107">
        <v>0.29465360151280701</v>
      </c>
      <c r="G81" s="107">
        <v>0.29653080545982802</v>
      </c>
      <c r="H81" s="107">
        <v>7.5669942859443E-3</v>
      </c>
      <c r="I81" s="107">
        <v>-0.248077886157303</v>
      </c>
      <c r="J81" s="107">
        <v>-0.64</v>
      </c>
      <c r="K81" s="107">
        <v>0.91309689282565498</v>
      </c>
      <c r="L81" s="107">
        <v>0.60064515903926097</v>
      </c>
      <c r="M81" s="107">
        <v>0.90991604219414801</v>
      </c>
      <c r="N81" s="107">
        <v>5.68346696281788E-3</v>
      </c>
    </row>
    <row r="82" spans="1:14">
      <c r="A82" s="14">
        <v>43755</v>
      </c>
      <c r="B82" s="107">
        <v>864</v>
      </c>
      <c r="C82" s="107">
        <v>857</v>
      </c>
      <c r="D82" s="107">
        <v>2913</v>
      </c>
      <c r="E82" s="107">
        <v>2909.5</v>
      </c>
      <c r="F82" s="107">
        <v>0.29455232857879299</v>
      </c>
      <c r="G82" s="107">
        <v>0.29658533433971701</v>
      </c>
      <c r="H82" s="107">
        <v>7.5680057064797203E-3</v>
      </c>
      <c r="I82" s="107">
        <v>-0.268631636889964</v>
      </c>
      <c r="J82" s="107">
        <v>-0.69</v>
      </c>
      <c r="K82" s="107">
        <v>0.91076974602446004</v>
      </c>
      <c r="L82" s="107">
        <v>0.59829397726352296</v>
      </c>
      <c r="M82" s="107">
        <v>0.90950101533817096</v>
      </c>
      <c r="N82" s="107">
        <v>3.0333794109386899E-3</v>
      </c>
    </row>
    <row r="83" spans="1:14">
      <c r="A83" s="14">
        <v>43754</v>
      </c>
      <c r="B83" s="107">
        <v>862</v>
      </c>
      <c r="C83" s="107">
        <v>862</v>
      </c>
      <c r="D83" s="107">
        <v>2925</v>
      </c>
      <c r="E83" s="107">
        <v>2920</v>
      </c>
      <c r="F83" s="107">
        <v>0.295205479452054</v>
      </c>
      <c r="G83" s="107">
        <v>0.29667446628285499</v>
      </c>
      <c r="H83" s="107">
        <v>7.5828881113217898E-3</v>
      </c>
      <c r="I83" s="107">
        <v>-0.19372392276338499</v>
      </c>
      <c r="J83" s="107">
        <v>-0.5</v>
      </c>
      <c r="K83" s="107">
        <v>0.90904798270378795</v>
      </c>
      <c r="L83" s="107">
        <v>0.54644748318623804</v>
      </c>
      <c r="M83" s="107">
        <v>0.90885965672049296</v>
      </c>
      <c r="N83" s="107">
        <v>4.1717771551732499E-3</v>
      </c>
    </row>
    <row r="84" spans="1:14">
      <c r="A84" s="14">
        <v>43753</v>
      </c>
      <c r="B84" s="107">
        <v>848</v>
      </c>
      <c r="C84" s="107">
        <v>847</v>
      </c>
      <c r="D84" s="107">
        <v>2883.5</v>
      </c>
      <c r="E84" s="107">
        <v>2899.5</v>
      </c>
      <c r="F84" s="107">
        <v>0.29211933091912401</v>
      </c>
      <c r="G84" s="107">
        <v>0.29673692855853701</v>
      </c>
      <c r="H84" s="107">
        <v>7.5898216871935599E-3</v>
      </c>
      <c r="I84" s="107">
        <v>-0.60839342868944701</v>
      </c>
      <c r="J84" s="107">
        <v>-1.58</v>
      </c>
      <c r="K84" s="107">
        <v>0.909077160603875</v>
      </c>
      <c r="L84" s="107">
        <v>0.53911958322958498</v>
      </c>
      <c r="M84" s="107">
        <v>0.90805061655494201</v>
      </c>
      <c r="N84" s="107">
        <v>2.58056305233748E-3</v>
      </c>
    </row>
    <row r="85" spans="1:14">
      <c r="A85" s="14">
        <v>43749</v>
      </c>
      <c r="B85" s="107">
        <v>822</v>
      </c>
      <c r="C85" s="107">
        <v>825</v>
      </c>
      <c r="D85" s="107">
        <v>2800</v>
      </c>
      <c r="E85" s="107">
        <v>2828.5</v>
      </c>
      <c r="F85" s="107">
        <v>0.29167403217252902</v>
      </c>
      <c r="G85" s="107">
        <v>0.29677619326217403</v>
      </c>
      <c r="H85" s="107">
        <v>7.5734313948279596E-3</v>
      </c>
      <c r="I85" s="107">
        <v>-0.67369212496322295</v>
      </c>
      <c r="J85" s="107">
        <v>-1.75</v>
      </c>
      <c r="K85" s="107">
        <v>0.909441125651683</v>
      </c>
      <c r="L85" s="107">
        <v>0.56557482904721901</v>
      </c>
      <c r="M85" s="107">
        <v>0.90465799739882602</v>
      </c>
      <c r="N85" s="107">
        <v>1.7586612536933501E-3</v>
      </c>
    </row>
    <row r="86" spans="1:14">
      <c r="A86" s="14">
        <v>43748</v>
      </c>
      <c r="B86" s="107">
        <v>810</v>
      </c>
      <c r="C86" s="107">
        <v>810</v>
      </c>
      <c r="D86" s="107">
        <v>2731</v>
      </c>
      <c r="E86" s="107">
        <v>2765</v>
      </c>
      <c r="F86" s="107">
        <v>0.29294755877034301</v>
      </c>
      <c r="G86" s="107">
        <v>0.29679793434221202</v>
      </c>
      <c r="H86" s="107">
        <v>7.5610837863670797E-3</v>
      </c>
      <c r="I86" s="107">
        <v>-0.50923593504032005</v>
      </c>
      <c r="J86" s="107">
        <v>-1.31</v>
      </c>
      <c r="K86" s="107">
        <v>0.910650371856074</v>
      </c>
      <c r="L86" s="107">
        <v>0.53608478055792397</v>
      </c>
      <c r="M86" s="107">
        <v>0.90280930322168995</v>
      </c>
      <c r="N86" s="107">
        <v>9.9937187670721794E-2</v>
      </c>
    </row>
    <row r="87" spans="1:14">
      <c r="A87" s="14">
        <v>43747</v>
      </c>
      <c r="B87" s="107">
        <v>803</v>
      </c>
      <c r="C87" s="107">
        <v>803</v>
      </c>
      <c r="D87" s="107">
        <v>2680</v>
      </c>
      <c r="E87" s="107">
        <v>2743</v>
      </c>
      <c r="F87" s="107">
        <v>0.29274516952242002</v>
      </c>
      <c r="G87" s="107">
        <v>0.296810983522454</v>
      </c>
      <c r="H87" s="107">
        <v>7.5552697064074498E-3</v>
      </c>
      <c r="I87" s="107">
        <v>-0.53814280072433096</v>
      </c>
      <c r="J87" s="107">
        <v>-1.39</v>
      </c>
      <c r="K87" s="107">
        <v>0.91147184517094604</v>
      </c>
      <c r="L87" s="107">
        <v>0.56995541066515898</v>
      </c>
      <c r="M87" s="107">
        <v>0.90267554821770801</v>
      </c>
      <c r="N87" s="107">
        <v>2.3071177794583902E-3</v>
      </c>
    </row>
    <row r="88" spans="1:14">
      <c r="A88" s="14">
        <v>43746</v>
      </c>
      <c r="B88" s="107">
        <v>809</v>
      </c>
      <c r="C88" s="107">
        <v>810</v>
      </c>
      <c r="D88" s="107">
        <v>2726.5</v>
      </c>
      <c r="E88" s="107">
        <v>2724</v>
      </c>
      <c r="F88" s="107">
        <v>0.29735682819383202</v>
      </c>
      <c r="G88" s="107">
        <v>0.296887024110706</v>
      </c>
      <c r="H88" s="107">
        <v>7.5426551835909598E-3</v>
      </c>
      <c r="I88" s="107">
        <v>6.2286299942304398E-2</v>
      </c>
      <c r="J88" s="107">
        <v>0.16</v>
      </c>
      <c r="K88" s="107">
        <v>0.91242800128263302</v>
      </c>
      <c r="L88" s="107">
        <v>0.556705013658503</v>
      </c>
      <c r="M88" s="107">
        <v>0.902559701467327</v>
      </c>
      <c r="N88" s="107">
        <v>2.5022483291908299E-3</v>
      </c>
    </row>
    <row r="89" spans="1:14">
      <c r="A89" s="14">
        <v>43745</v>
      </c>
      <c r="B89" s="107">
        <v>813</v>
      </c>
      <c r="C89" s="107">
        <v>807</v>
      </c>
      <c r="D89" s="107">
        <v>2740</v>
      </c>
      <c r="E89" s="107">
        <v>2730</v>
      </c>
      <c r="F89" s="107">
        <v>0.295604395604395</v>
      </c>
      <c r="G89" s="107">
        <v>0.29685050058464602</v>
      </c>
      <c r="H89" s="107">
        <v>7.5469227532773799E-3</v>
      </c>
      <c r="I89" s="107">
        <v>-0.165114314931853</v>
      </c>
      <c r="J89" s="107">
        <v>-0.42</v>
      </c>
      <c r="K89" s="107">
        <v>0.91334668219579396</v>
      </c>
      <c r="L89" s="107">
        <v>0.56392164745097295</v>
      </c>
      <c r="M89" s="107">
        <v>0.90213310738017205</v>
      </c>
      <c r="N89" s="107">
        <v>2.5155508197421401E-3</v>
      </c>
    </row>
    <row r="90" spans="1:14">
      <c r="A90" s="14">
        <v>43742</v>
      </c>
      <c r="B90" s="107">
        <v>805</v>
      </c>
      <c r="C90" s="107">
        <v>815</v>
      </c>
      <c r="D90" s="107">
        <v>2748</v>
      </c>
      <c r="E90" s="107">
        <v>2755</v>
      </c>
      <c r="F90" s="107">
        <v>0.29582577132486298</v>
      </c>
      <c r="G90" s="107">
        <v>0.29681848439644798</v>
      </c>
      <c r="H90" s="107">
        <v>7.5572274541501798E-3</v>
      </c>
      <c r="I90" s="107">
        <v>-0.13135942746293999</v>
      </c>
      <c r="J90" s="107">
        <v>-0.34</v>
      </c>
      <c r="K90" s="107">
        <v>0.91332010340680003</v>
      </c>
      <c r="L90" s="107">
        <v>0.62790365670590897</v>
      </c>
      <c r="M90" s="107">
        <v>0.90306625900454796</v>
      </c>
      <c r="N90" s="107">
        <v>1.1237218707322099E-3</v>
      </c>
    </row>
    <row r="91" spans="1:14">
      <c r="A91" s="14">
        <v>43741</v>
      </c>
      <c r="B91" s="107">
        <v>812</v>
      </c>
      <c r="C91" s="107">
        <v>815</v>
      </c>
      <c r="D91" s="107">
        <v>2736.5</v>
      </c>
      <c r="E91" s="107">
        <v>2742.5</v>
      </c>
      <c r="F91" s="107">
        <v>0.29717411121239701</v>
      </c>
      <c r="G91" s="107">
        <v>0.29680447110911301</v>
      </c>
      <c r="H91" s="107">
        <v>7.5600291457909698E-3</v>
      </c>
      <c r="I91" s="107">
        <v>4.8894005056781403E-2</v>
      </c>
      <c r="J91" s="107">
        <v>0.12</v>
      </c>
      <c r="K91" s="107">
        <v>0.91362405241660805</v>
      </c>
      <c r="L91" s="107">
        <v>0.559653942399847</v>
      </c>
      <c r="M91" s="107">
        <v>0.90402201297725904</v>
      </c>
      <c r="N91" s="107">
        <v>1.2353562186855501E-3</v>
      </c>
    </row>
    <row r="92" spans="1:14">
      <c r="A92" s="14">
        <v>43740</v>
      </c>
      <c r="B92" s="107">
        <v>825</v>
      </c>
      <c r="C92" s="107">
        <v>829</v>
      </c>
      <c r="D92" s="107">
        <v>2795.5</v>
      </c>
      <c r="E92" s="107">
        <v>2818</v>
      </c>
      <c r="F92" s="107">
        <v>0.29418026969481897</v>
      </c>
      <c r="G92" s="107">
        <v>0.29685424883983202</v>
      </c>
      <c r="H92" s="107">
        <v>7.5745758455142602E-3</v>
      </c>
      <c r="I92" s="107">
        <v>-0.35302031421303098</v>
      </c>
      <c r="J92" s="107">
        <v>-0.91</v>
      </c>
      <c r="K92" s="107">
        <v>0.91330802112825105</v>
      </c>
      <c r="L92" s="107">
        <v>0.57088216584346396</v>
      </c>
      <c r="M92" s="107">
        <v>0.90518438794862099</v>
      </c>
      <c r="N92" s="107">
        <v>1.5331511472309999E-3</v>
      </c>
    </row>
    <row r="93" spans="1:14">
      <c r="A93" s="14">
        <v>43739</v>
      </c>
      <c r="B93" s="107">
        <v>824</v>
      </c>
      <c r="C93" s="107">
        <v>840</v>
      </c>
      <c r="D93" s="107">
        <v>2813</v>
      </c>
      <c r="E93" s="107">
        <v>2868.5</v>
      </c>
      <c r="F93" s="107">
        <v>0.29283597699145802</v>
      </c>
      <c r="G93" s="107">
        <v>0.29693015104652798</v>
      </c>
      <c r="H93" s="107">
        <v>7.5759225268299301E-3</v>
      </c>
      <c r="I93" s="107">
        <v>-0.54041920842902602</v>
      </c>
      <c r="J93" s="107">
        <v>-1.4</v>
      </c>
      <c r="K93" s="107">
        <v>0.91381922452963704</v>
      </c>
      <c r="L93" s="107">
        <v>0.58400419459161101</v>
      </c>
      <c r="M93" s="107">
        <v>0.90758911327661096</v>
      </c>
      <c r="N93" s="107">
        <v>4.0718738024747401E-4</v>
      </c>
    </row>
    <row r="94" spans="1:14">
      <c r="A94" s="14">
        <v>43738</v>
      </c>
      <c r="B94" s="107">
        <v>832</v>
      </c>
      <c r="C94" s="107">
        <v>824</v>
      </c>
      <c r="D94" s="107">
        <v>2835.5</v>
      </c>
      <c r="E94" s="107">
        <v>2798.5</v>
      </c>
      <c r="F94" s="107">
        <v>0.29444345184920401</v>
      </c>
      <c r="G94" s="107">
        <v>0.29704992250883999</v>
      </c>
      <c r="H94" s="107">
        <v>7.5812542986699403E-3</v>
      </c>
      <c r="I94" s="107">
        <v>-0.34380467360030798</v>
      </c>
      <c r="J94" s="107">
        <v>-0.89</v>
      </c>
      <c r="K94" s="107">
        <v>0.91488222960101195</v>
      </c>
      <c r="L94" s="107">
        <v>0.54296579865769001</v>
      </c>
      <c r="M94" s="107">
        <v>0.90923471477449402</v>
      </c>
      <c r="N94" s="107">
        <v>9.6892279377216398E-4</v>
      </c>
    </row>
    <row r="95" spans="1:14">
      <c r="A95" s="14">
        <v>43735</v>
      </c>
      <c r="B95" s="107">
        <v>837</v>
      </c>
      <c r="C95" s="107">
        <v>834</v>
      </c>
      <c r="D95" s="107">
        <v>2855</v>
      </c>
      <c r="E95" s="107">
        <v>2840</v>
      </c>
      <c r="F95" s="107">
        <v>0.29366197183098502</v>
      </c>
      <c r="G95" s="107">
        <v>0.29718021310600701</v>
      </c>
      <c r="H95" s="107">
        <v>7.6192136629822096E-3</v>
      </c>
      <c r="I95" s="107">
        <v>-0.46175910410742999</v>
      </c>
      <c r="J95" s="107">
        <v>-1.2</v>
      </c>
      <c r="K95" s="107">
        <v>0.91517659203822399</v>
      </c>
      <c r="L95" s="107">
        <v>0.52034091747977496</v>
      </c>
      <c r="M95" s="107">
        <v>0.91101688420596805</v>
      </c>
      <c r="N95" s="107">
        <v>1.4821471424575801E-2</v>
      </c>
    </row>
    <row r="96" spans="1:14">
      <c r="A96" s="14">
        <v>43734</v>
      </c>
      <c r="B96" s="107">
        <v>868</v>
      </c>
      <c r="C96" s="107">
        <v>851</v>
      </c>
      <c r="D96" s="107">
        <v>2889</v>
      </c>
      <c r="E96" s="107">
        <v>2898.5</v>
      </c>
      <c r="F96" s="107">
        <v>0.29360013800241502</v>
      </c>
      <c r="G96" s="107">
        <v>0.29729349712667802</v>
      </c>
      <c r="H96" s="107">
        <v>7.6292173739274998E-3</v>
      </c>
      <c r="I96" s="107">
        <v>-0.48410720828132697</v>
      </c>
      <c r="J96" s="107">
        <v>-1.26</v>
      </c>
      <c r="K96" s="107">
        <v>0.91494526602062898</v>
      </c>
      <c r="L96" s="107">
        <v>0.53120278535473198</v>
      </c>
      <c r="M96" s="107">
        <v>0.91280108662285997</v>
      </c>
      <c r="N96" s="107">
        <v>1.3977458450596499E-2</v>
      </c>
    </row>
    <row r="97" spans="1:14">
      <c r="A97" s="14">
        <v>43733</v>
      </c>
      <c r="B97" s="107">
        <v>833</v>
      </c>
      <c r="C97" s="107">
        <v>841</v>
      </c>
      <c r="D97" s="107">
        <v>2812</v>
      </c>
      <c r="E97" s="107">
        <v>2860</v>
      </c>
      <c r="F97" s="107">
        <v>0.29405594405594399</v>
      </c>
      <c r="G97" s="107">
        <v>0.29740122939913699</v>
      </c>
      <c r="H97" s="107">
        <v>7.6333499685829597E-3</v>
      </c>
      <c r="I97" s="107">
        <v>-0.438246033125889</v>
      </c>
      <c r="J97" s="107">
        <v>-1.1399999999999999</v>
      </c>
      <c r="K97" s="107">
        <v>0.91466623339956299</v>
      </c>
      <c r="L97" s="107">
        <v>0.52497588468719203</v>
      </c>
      <c r="M97" s="107">
        <v>0.91446405849382695</v>
      </c>
      <c r="N97" s="107">
        <v>1.37497250259926E-2</v>
      </c>
    </row>
    <row r="98" spans="1:14">
      <c r="A98" s="14">
        <v>43732</v>
      </c>
      <c r="B98" s="107">
        <v>839</v>
      </c>
      <c r="C98" s="107">
        <v>842</v>
      </c>
      <c r="D98" s="107">
        <v>2872.5</v>
      </c>
      <c r="E98" s="107">
        <v>2858.5</v>
      </c>
      <c r="F98" s="107">
        <v>0.29456008396011801</v>
      </c>
      <c r="G98" s="107">
        <v>0.297470023100114</v>
      </c>
      <c r="H98" s="107">
        <v>7.6261374920379797E-3</v>
      </c>
      <c r="I98" s="107">
        <v>-0.38157443962082599</v>
      </c>
      <c r="J98" s="107">
        <v>-0.99</v>
      </c>
      <c r="K98" s="107">
        <v>0.91417668193778101</v>
      </c>
      <c r="L98" s="107">
        <v>0.49453963472984402</v>
      </c>
      <c r="M98" s="107">
        <v>0.91633192048436496</v>
      </c>
      <c r="N98" s="107">
        <v>4.5871425595775204E-3</v>
      </c>
    </row>
    <row r="99" spans="1:14">
      <c r="A99" s="14">
        <v>43728</v>
      </c>
      <c r="B99" s="107">
        <v>850</v>
      </c>
      <c r="C99" s="107">
        <v>852</v>
      </c>
      <c r="D99" s="107">
        <v>2906.5</v>
      </c>
      <c r="E99" s="107">
        <v>2905.5</v>
      </c>
      <c r="F99" s="107">
        <v>0.29323696437790397</v>
      </c>
      <c r="G99" s="107">
        <v>0.29760218560616802</v>
      </c>
      <c r="H99" s="107">
        <v>7.6603757102068201E-3</v>
      </c>
      <c r="I99" s="107">
        <v>-0.56984427310111796</v>
      </c>
      <c r="J99" s="107">
        <v>-1.49</v>
      </c>
      <c r="K99" s="107">
        <v>0.91299600919600199</v>
      </c>
      <c r="L99" s="107">
        <v>0.43789278572894402</v>
      </c>
      <c r="M99" s="107">
        <v>0.91798364662640497</v>
      </c>
      <c r="N99" s="107">
        <v>4.5783015843412402E-3</v>
      </c>
    </row>
    <row r="100" spans="1:14">
      <c r="A100" s="14">
        <v>43727</v>
      </c>
      <c r="B100" s="107">
        <v>835</v>
      </c>
      <c r="C100" s="107">
        <v>836</v>
      </c>
      <c r="D100" s="107">
        <v>2910</v>
      </c>
      <c r="E100" s="107">
        <v>2885.5</v>
      </c>
      <c r="F100" s="107">
        <v>0.28972448449142202</v>
      </c>
      <c r="G100" s="107">
        <v>0.29772131291710002</v>
      </c>
      <c r="H100" s="107">
        <v>7.66103643692997E-3</v>
      </c>
      <c r="I100" s="107">
        <v>-1.04383114367258</v>
      </c>
      <c r="J100" s="107">
        <v>-2.76</v>
      </c>
      <c r="K100" s="107">
        <v>0.91477375743623701</v>
      </c>
      <c r="L100" s="107">
        <v>0.39312007054923997</v>
      </c>
      <c r="M100" s="107">
        <v>0.91965928314467105</v>
      </c>
      <c r="N100" s="107">
        <v>8.3815291215433001E-3</v>
      </c>
    </row>
    <row r="101" spans="1:14">
      <c r="A101" s="14">
        <v>43726</v>
      </c>
      <c r="B101" s="107">
        <v>846</v>
      </c>
      <c r="C101" s="107">
        <v>840</v>
      </c>
      <c r="D101" s="107">
        <v>2907</v>
      </c>
      <c r="E101" s="107">
        <v>2897</v>
      </c>
      <c r="F101" s="107">
        <v>0.28995512599240503</v>
      </c>
      <c r="G101" s="107">
        <v>0.29783400444305103</v>
      </c>
      <c r="H101" s="107">
        <v>7.6045304794851798E-3</v>
      </c>
      <c r="I101" s="107">
        <v>-1.03607691124401</v>
      </c>
      <c r="J101" s="107">
        <v>-2.72</v>
      </c>
      <c r="K101" s="107">
        <v>0.91627423464444702</v>
      </c>
      <c r="L101" s="107">
        <v>0.36492481044015901</v>
      </c>
      <c r="M101" s="107">
        <v>0.92106732773005096</v>
      </c>
      <c r="N101" s="107">
        <v>8.5187751937559394E-3</v>
      </c>
    </row>
    <row r="102" spans="1:14">
      <c r="A102" s="14">
        <v>43725</v>
      </c>
      <c r="B102" s="107">
        <v>853</v>
      </c>
      <c r="C102" s="107">
        <v>848</v>
      </c>
      <c r="D102" s="107">
        <v>2914</v>
      </c>
      <c r="E102" s="107">
        <v>2928</v>
      </c>
      <c r="F102" s="107">
        <v>0.28961748633879703</v>
      </c>
      <c r="G102" s="107">
        <v>0.297981515877701</v>
      </c>
      <c r="H102" s="107">
        <v>7.55742327874547E-3</v>
      </c>
      <c r="I102" s="107">
        <v>-1.1067303273096101</v>
      </c>
      <c r="J102" s="107">
        <v>-2.89</v>
      </c>
      <c r="K102" s="107">
        <v>0.91732685151415705</v>
      </c>
      <c r="L102" s="107">
        <v>0.44057498779780402</v>
      </c>
      <c r="M102" s="107">
        <v>0.92163939150479801</v>
      </c>
      <c r="N102" s="107">
        <v>3.2009647999878703E-2</v>
      </c>
    </row>
    <row r="103" spans="1:14">
      <c r="A103" s="14">
        <v>43721</v>
      </c>
      <c r="B103" s="107">
        <v>864</v>
      </c>
      <c r="C103" s="107">
        <v>861</v>
      </c>
      <c r="D103" s="107">
        <v>2960</v>
      </c>
      <c r="E103" s="107">
        <v>2933</v>
      </c>
      <c r="F103" s="107">
        <v>0.29355608591885402</v>
      </c>
      <c r="G103" s="107">
        <v>0.29804916571676598</v>
      </c>
      <c r="H103" s="107">
        <v>7.5047756237830001E-3</v>
      </c>
      <c r="I103" s="107">
        <v>-0.59869608675215602</v>
      </c>
      <c r="J103" s="107">
        <v>-1.53</v>
      </c>
      <c r="K103" s="107">
        <v>0.91670817798285997</v>
      </c>
      <c r="L103" s="107">
        <v>0.34625656093558399</v>
      </c>
      <c r="M103" s="107">
        <v>0.92169185682447496</v>
      </c>
      <c r="N103" s="107">
        <v>3.5253530342112503E-2</v>
      </c>
    </row>
    <row r="104" spans="1:14">
      <c r="A104" s="14">
        <v>43720</v>
      </c>
      <c r="B104" s="107">
        <v>850</v>
      </c>
      <c r="C104" s="107">
        <v>855</v>
      </c>
      <c r="D104" s="107">
        <v>2894</v>
      </c>
      <c r="E104" s="107">
        <v>2929.5</v>
      </c>
      <c r="F104" s="107">
        <v>0.29185867895545298</v>
      </c>
      <c r="G104" s="107">
        <v>0.29802538298848202</v>
      </c>
      <c r="H104" s="107">
        <v>7.5217835849944199E-3</v>
      </c>
      <c r="I104" s="107">
        <v>-0.81984597979283003</v>
      </c>
      <c r="J104" s="107">
        <v>-2.11</v>
      </c>
      <c r="K104" s="107">
        <v>0.91752859216428995</v>
      </c>
      <c r="L104" s="107">
        <v>0.29392250541266501</v>
      </c>
      <c r="M104" s="107">
        <v>0.921404571896702</v>
      </c>
      <c r="N104" s="107">
        <v>4.2119906147765597E-2</v>
      </c>
    </row>
    <row r="105" spans="1:14">
      <c r="A105" s="14">
        <v>43719</v>
      </c>
      <c r="B105" s="107">
        <v>831</v>
      </c>
      <c r="C105" s="107">
        <v>841</v>
      </c>
      <c r="D105" s="107">
        <v>2825</v>
      </c>
      <c r="E105" s="107">
        <v>2895.5</v>
      </c>
      <c r="F105" s="107">
        <v>0.29045069936107698</v>
      </c>
      <c r="G105" s="107">
        <v>0.29805210481420202</v>
      </c>
      <c r="H105" s="107">
        <v>7.50336572881663E-3</v>
      </c>
      <c r="I105" s="107">
        <v>-1.01306609964807</v>
      </c>
      <c r="J105" s="107">
        <v>-2.62</v>
      </c>
      <c r="K105" s="107">
        <v>0.92001784047372503</v>
      </c>
      <c r="L105" s="107">
        <v>0.36547784030036901</v>
      </c>
      <c r="M105" s="107">
        <v>0.91957446463079795</v>
      </c>
      <c r="N105" s="107">
        <v>4.4920542250366298E-2</v>
      </c>
    </row>
    <row r="106" spans="1:14">
      <c r="A106" s="14">
        <v>43718</v>
      </c>
      <c r="B106" s="107">
        <v>792</v>
      </c>
      <c r="C106" s="107">
        <v>819</v>
      </c>
      <c r="D106" s="107">
        <v>2753</v>
      </c>
      <c r="E106" s="107">
        <v>2791</v>
      </c>
      <c r="F106" s="107">
        <v>0.29344321031888199</v>
      </c>
      <c r="G106" s="107">
        <v>0.29808905791538798</v>
      </c>
      <c r="H106" s="107">
        <v>7.4726003235495598E-3</v>
      </c>
      <c r="I106" s="107">
        <v>-0.62171766123567096</v>
      </c>
      <c r="J106" s="107">
        <v>-1.58</v>
      </c>
      <c r="K106" s="107">
        <v>0.92135794375181101</v>
      </c>
      <c r="L106" s="107">
        <v>0.24085519063812899</v>
      </c>
      <c r="M106" s="107">
        <v>0.91772556634976199</v>
      </c>
      <c r="N106" s="107">
        <v>3.7347504393791302E-2</v>
      </c>
    </row>
    <row r="107" spans="1:14">
      <c r="A107" s="14">
        <v>43717</v>
      </c>
      <c r="B107" s="107">
        <v>778</v>
      </c>
      <c r="C107" s="107">
        <v>778</v>
      </c>
      <c r="D107" s="107">
        <v>2716.5</v>
      </c>
      <c r="E107" s="107">
        <v>2727</v>
      </c>
      <c r="F107" s="107">
        <v>0.28529519618628502</v>
      </c>
      <c r="G107" s="107">
        <v>0.29807134438234301</v>
      </c>
      <c r="H107" s="107">
        <v>7.48515619543618E-3</v>
      </c>
      <c r="I107" s="107">
        <v>-1.70686460809564</v>
      </c>
      <c r="J107" s="107">
        <v>-4.4800000000000004</v>
      </c>
      <c r="K107" s="107">
        <v>0.92600537391548199</v>
      </c>
      <c r="L107" s="107">
        <v>0.250308312860055</v>
      </c>
      <c r="M107" s="107">
        <v>0.91580325700329401</v>
      </c>
      <c r="N107" s="107">
        <v>3.9063298754629702E-2</v>
      </c>
    </row>
    <row r="108" spans="1:14">
      <c r="A108" s="14">
        <v>43714</v>
      </c>
      <c r="B108" s="107">
        <v>780</v>
      </c>
      <c r="C108" s="107">
        <v>787</v>
      </c>
      <c r="D108" s="107">
        <v>2688</v>
      </c>
      <c r="E108" s="107">
        <v>2734</v>
      </c>
      <c r="F108" s="107">
        <v>0.287856620336503</v>
      </c>
      <c r="G108" s="107">
        <v>0.29810611619493599</v>
      </c>
      <c r="H108" s="107">
        <v>7.4315903715814003E-3</v>
      </c>
      <c r="I108" s="107">
        <v>-1.3791793338916101</v>
      </c>
      <c r="J108" s="107">
        <v>-3.56</v>
      </c>
      <c r="K108" s="107">
        <v>0.92909522069347905</v>
      </c>
      <c r="L108" s="107">
        <v>0.26700610756841597</v>
      </c>
      <c r="M108" s="107">
        <v>0.91457132447843004</v>
      </c>
      <c r="N108" s="107">
        <v>2.4950062280699799E-2</v>
      </c>
    </row>
    <row r="109" spans="1:14">
      <c r="A109" s="14">
        <v>43713</v>
      </c>
      <c r="B109" s="107">
        <v>747</v>
      </c>
      <c r="C109" s="107">
        <v>765</v>
      </c>
      <c r="D109" s="107">
        <v>2609</v>
      </c>
      <c r="E109" s="107">
        <v>2654</v>
      </c>
      <c r="F109" s="107">
        <v>0.28824415975885398</v>
      </c>
      <c r="G109" s="107">
        <v>0.29814347674360703</v>
      </c>
      <c r="H109" s="107">
        <v>7.3868783567493197E-3</v>
      </c>
      <c r="I109" s="107">
        <v>-1.3401218358642699</v>
      </c>
      <c r="J109" s="107">
        <v>-3.43</v>
      </c>
      <c r="K109" s="107">
        <v>0.93076985226045705</v>
      </c>
      <c r="L109" s="107">
        <v>0.227882939987093</v>
      </c>
      <c r="M109" s="107">
        <v>0.91287505301232297</v>
      </c>
      <c r="N109" s="107">
        <v>2.5192941802718902E-2</v>
      </c>
    </row>
    <row r="110" spans="1:14">
      <c r="A110" s="14">
        <v>43712</v>
      </c>
      <c r="B110" s="107">
        <v>747</v>
      </c>
      <c r="C110" s="107">
        <v>737</v>
      </c>
      <c r="D110" s="107">
        <v>2560</v>
      </c>
      <c r="E110" s="107">
        <v>2577</v>
      </c>
      <c r="F110" s="107">
        <v>0.28599146294140398</v>
      </c>
      <c r="G110" s="107">
        <v>0.29814135102419798</v>
      </c>
      <c r="H110" s="107">
        <v>7.3897491554487304E-3</v>
      </c>
      <c r="I110" s="107">
        <v>-1.64415433152222</v>
      </c>
      <c r="J110" s="107">
        <v>-4.25</v>
      </c>
      <c r="K110" s="107">
        <v>0.93196874640321103</v>
      </c>
      <c r="L110" s="107">
        <v>0.37562451679064901</v>
      </c>
      <c r="M110" s="107">
        <v>0.91074776142659897</v>
      </c>
      <c r="N110" s="107">
        <v>2.7723110353427501E-2</v>
      </c>
    </row>
    <row r="111" spans="1:14">
      <c r="A111" s="14">
        <v>43711</v>
      </c>
      <c r="B111" s="107">
        <v>752</v>
      </c>
      <c r="C111" s="107">
        <v>756</v>
      </c>
      <c r="D111" s="107">
        <v>2534</v>
      </c>
      <c r="E111" s="107">
        <v>2563</v>
      </c>
      <c r="F111" s="107">
        <v>0.29496683573936699</v>
      </c>
      <c r="G111" s="107">
        <v>0.29814506030431698</v>
      </c>
      <c r="H111" s="107">
        <v>7.38371695367512E-3</v>
      </c>
      <c r="I111" s="107">
        <v>-0.43043694454834802</v>
      </c>
      <c r="J111" s="107">
        <v>-1.08</v>
      </c>
      <c r="K111" s="107">
        <v>0.93092469282804202</v>
      </c>
      <c r="L111" s="107">
        <v>0.37458138724774598</v>
      </c>
      <c r="M111" s="107">
        <v>0.90939056736422097</v>
      </c>
      <c r="N111" s="107">
        <v>1.6384360658961698E-2</v>
      </c>
    </row>
    <row r="112" spans="1:14">
      <c r="A112" s="14">
        <v>43710</v>
      </c>
      <c r="B112" s="107">
        <v>752</v>
      </c>
      <c r="C112" s="107">
        <v>752</v>
      </c>
      <c r="D112" s="107">
        <v>2519</v>
      </c>
      <c r="E112" s="107">
        <v>2532.5</v>
      </c>
      <c r="F112" s="107">
        <v>0.29693978282329703</v>
      </c>
      <c r="G112" s="107">
        <v>0.29808604303500003</v>
      </c>
      <c r="H112" s="107">
        <v>7.4264501035113699E-3</v>
      </c>
      <c r="I112" s="107">
        <v>-0.15434833543968901</v>
      </c>
      <c r="J112" s="107">
        <v>-0.39</v>
      </c>
      <c r="K112" s="107">
        <v>0.92967431937662104</v>
      </c>
      <c r="L112" s="107">
        <v>0.35679609992637601</v>
      </c>
      <c r="M112" s="107">
        <v>0.90832462513981604</v>
      </c>
      <c r="N112" s="107">
        <v>1.5960786495461302E-2</v>
      </c>
    </row>
    <row r="113" spans="1:14">
      <c r="A113" s="14">
        <v>43707</v>
      </c>
      <c r="B113" s="107">
        <v>741</v>
      </c>
      <c r="C113" s="107">
        <v>755</v>
      </c>
      <c r="D113" s="107">
        <v>2494.5</v>
      </c>
      <c r="E113" s="107">
        <v>2523.5</v>
      </c>
      <c r="F113" s="107">
        <v>0.29918763621953598</v>
      </c>
      <c r="G113" s="107">
        <v>0.29803406735584398</v>
      </c>
      <c r="H113" s="107">
        <v>7.4479007321847099E-3</v>
      </c>
      <c r="I113" s="107">
        <v>0.154885101879328</v>
      </c>
      <c r="J113" s="107">
        <v>0.39</v>
      </c>
      <c r="K113" s="107">
        <v>0.92847259915089997</v>
      </c>
      <c r="L113" s="107">
        <v>0.35070406409866201</v>
      </c>
      <c r="M113" s="107">
        <v>0.90761480532652195</v>
      </c>
      <c r="N113" s="107">
        <v>1.32325373177205E-2</v>
      </c>
    </row>
    <row r="114" spans="1:14">
      <c r="A114" s="14">
        <v>43706</v>
      </c>
      <c r="B114" s="107">
        <v>738</v>
      </c>
      <c r="C114" s="107">
        <v>739</v>
      </c>
      <c r="D114" s="107">
        <v>2470</v>
      </c>
      <c r="E114" s="107">
        <v>2470</v>
      </c>
      <c r="F114" s="107">
        <v>0.299190283400809</v>
      </c>
      <c r="G114" s="107">
        <v>0.29795220725081401</v>
      </c>
      <c r="H114" s="107">
        <v>7.4684832772571102E-3</v>
      </c>
      <c r="I114" s="107">
        <v>0.165773438064138</v>
      </c>
      <c r="J114" s="107">
        <v>0.41</v>
      </c>
      <c r="K114" s="107">
        <v>0.92565159363046301</v>
      </c>
      <c r="L114" s="107">
        <v>0.36561511960381798</v>
      </c>
      <c r="M114" s="107">
        <v>0.90730293381568705</v>
      </c>
      <c r="N114" s="107">
        <v>7.9110756757953208E-3</v>
      </c>
    </row>
    <row r="115" spans="1:14">
      <c r="A115" s="14">
        <v>43705</v>
      </c>
      <c r="B115" s="107">
        <v>737</v>
      </c>
      <c r="C115" s="107">
        <v>734</v>
      </c>
      <c r="D115" s="107">
        <v>2482</v>
      </c>
      <c r="E115" s="107">
        <v>2490</v>
      </c>
      <c r="F115" s="107">
        <v>0.29477911646586302</v>
      </c>
      <c r="G115" s="107">
        <v>0.29787309979750198</v>
      </c>
      <c r="H115" s="107">
        <v>7.4863510176017001E-3</v>
      </c>
      <c r="I115" s="107">
        <v>-0.41328323028997399</v>
      </c>
      <c r="J115" s="107">
        <v>-1.05</v>
      </c>
      <c r="K115" s="107">
        <v>0.92082763717490901</v>
      </c>
      <c r="L115" s="107">
        <v>0.41316900265262402</v>
      </c>
      <c r="M115" s="107">
        <v>0.90700292844783104</v>
      </c>
      <c r="N115" s="107">
        <v>6.0789509986336598E-3</v>
      </c>
    </row>
    <row r="116" spans="1:14">
      <c r="A116" s="14">
        <v>43704</v>
      </c>
      <c r="B116" s="107">
        <v>715</v>
      </c>
      <c r="C116" s="107">
        <v>730</v>
      </c>
      <c r="D116" s="107">
        <v>2486.5</v>
      </c>
      <c r="E116" s="107">
        <v>2484</v>
      </c>
      <c r="F116" s="107">
        <v>0.29388083735909798</v>
      </c>
      <c r="G116" s="107">
        <v>0.29775358796117501</v>
      </c>
      <c r="H116" s="107">
        <v>7.6053885282376501E-3</v>
      </c>
      <c r="I116" s="107">
        <v>-0.50921140816125698</v>
      </c>
      <c r="J116" s="107">
        <v>-1.32</v>
      </c>
      <c r="K116" s="107">
        <v>0.91597537306241195</v>
      </c>
      <c r="L116" s="107">
        <v>0.32949016621014099</v>
      </c>
      <c r="M116" s="107">
        <v>0.90647734412613201</v>
      </c>
      <c r="N116" s="107">
        <v>5.5506598329567603E-3</v>
      </c>
    </row>
    <row r="117" spans="1:14">
      <c r="A117" s="14">
        <v>43703</v>
      </c>
      <c r="B117" s="107">
        <v>698</v>
      </c>
      <c r="C117" s="107">
        <v>700</v>
      </c>
      <c r="D117" s="107">
        <v>2415</v>
      </c>
      <c r="E117" s="107">
        <v>2453</v>
      </c>
      <c r="F117" s="107">
        <v>0.28536485935589001</v>
      </c>
      <c r="G117" s="107">
        <v>0.29805363254026701</v>
      </c>
      <c r="H117" s="107">
        <v>7.8854244321734501E-3</v>
      </c>
      <c r="I117" s="107">
        <v>-1.60914270290952</v>
      </c>
      <c r="J117" s="107">
        <v>-4.45</v>
      </c>
      <c r="K117" s="107">
        <v>0.90856040770479896</v>
      </c>
      <c r="L117" s="107">
        <v>0.40883775165071701</v>
      </c>
      <c r="M117" s="107">
        <v>0.90527533936503901</v>
      </c>
      <c r="N117" s="107">
        <v>7.1503355188748501E-3</v>
      </c>
    </row>
    <row r="118" spans="1:14">
      <c r="A118" s="14">
        <v>43700</v>
      </c>
      <c r="B118" s="107">
        <v>725</v>
      </c>
      <c r="C118" s="107">
        <v>724</v>
      </c>
      <c r="D118" s="107">
        <v>2459.5</v>
      </c>
      <c r="E118" s="107">
        <v>2488.5</v>
      </c>
      <c r="F118" s="107">
        <v>0.29093831625477101</v>
      </c>
      <c r="G118" s="107">
        <v>0.29849746635094898</v>
      </c>
      <c r="H118" s="107">
        <v>8.0928147622598597E-3</v>
      </c>
      <c r="I118" s="107">
        <v>-0.93405697748435101</v>
      </c>
      <c r="J118" s="107">
        <v>-2.6</v>
      </c>
      <c r="K118" s="107">
        <v>0.90081228366987198</v>
      </c>
      <c r="L118" s="107">
        <v>0.43158992751143599</v>
      </c>
      <c r="M118" s="107">
        <v>0.90414998722742501</v>
      </c>
      <c r="N118" s="107">
        <v>7.8852917533877506E-3</v>
      </c>
    </row>
    <row r="119" spans="1:14">
      <c r="A119" s="14">
        <v>43699</v>
      </c>
      <c r="B119" s="107">
        <v>712</v>
      </c>
      <c r="C119" s="107">
        <v>719</v>
      </c>
      <c r="D119" s="107">
        <v>2473.5</v>
      </c>
      <c r="E119" s="107">
        <v>2476</v>
      </c>
      <c r="F119" s="107">
        <v>0.29038772213247099</v>
      </c>
      <c r="G119" s="107">
        <v>0.29880182004914302</v>
      </c>
      <c r="H119" s="107">
        <v>8.2308594356257196E-3</v>
      </c>
      <c r="I119" s="107">
        <v>-1.0222623752086899</v>
      </c>
      <c r="J119" s="107">
        <v>-2.9</v>
      </c>
      <c r="K119" s="107">
        <v>0.88780484022919104</v>
      </c>
      <c r="L119" s="107">
        <v>2.3223500361111701E-2</v>
      </c>
      <c r="M119" s="107">
        <v>0.90296994576068701</v>
      </c>
      <c r="N119" s="107">
        <v>6.6116606839661599E-3</v>
      </c>
    </row>
    <row r="120" spans="1:14">
      <c r="A120" s="14">
        <v>43698</v>
      </c>
      <c r="B120" s="107">
        <v>706</v>
      </c>
      <c r="C120" s="107">
        <v>710</v>
      </c>
      <c r="D120" s="107">
        <v>2465</v>
      </c>
      <c r="E120" s="107">
        <v>2480.5</v>
      </c>
      <c r="F120" s="107">
        <v>0.286232614392259</v>
      </c>
      <c r="G120" s="107">
        <v>0.29910721265665402</v>
      </c>
      <c r="H120" s="107">
        <v>8.3372312042570701E-3</v>
      </c>
      <c r="I120" s="107">
        <v>-1.5442294868614099</v>
      </c>
      <c r="J120" s="107">
        <v>-4.5</v>
      </c>
      <c r="K120" s="107">
        <v>0.87514597670060901</v>
      </c>
      <c r="L120" s="107">
        <v>9.0022717479654995E-3</v>
      </c>
      <c r="M120" s="107">
        <v>0.90158226580998302</v>
      </c>
      <c r="N120" s="107">
        <v>6.0204344938440896E-3</v>
      </c>
    </row>
    <row r="121" spans="1:14">
      <c r="A121" s="14">
        <v>43697</v>
      </c>
      <c r="B121" s="107">
        <v>715</v>
      </c>
      <c r="C121" s="107">
        <v>721</v>
      </c>
      <c r="D121" s="107">
        <v>2474.5</v>
      </c>
      <c r="E121" s="107">
        <v>2495</v>
      </c>
      <c r="F121" s="107">
        <v>0.28897795591182301</v>
      </c>
      <c r="G121" s="107">
        <v>0.29959046607069101</v>
      </c>
      <c r="H121" s="107">
        <v>8.6225021207989895E-3</v>
      </c>
      <c r="I121" s="107">
        <v>-1.23079240923216</v>
      </c>
      <c r="J121" s="107">
        <v>-3.67</v>
      </c>
      <c r="K121" s="107">
        <v>0.85863922658561298</v>
      </c>
      <c r="L121" s="107">
        <v>2.96651482251588E-2</v>
      </c>
      <c r="M121" s="107">
        <v>0.90028185932577798</v>
      </c>
      <c r="N121" s="107">
        <v>6.4402296331237396E-3</v>
      </c>
    </row>
    <row r="122" spans="1:14">
      <c r="A122" s="14">
        <v>43696</v>
      </c>
      <c r="B122" s="107">
        <v>724</v>
      </c>
      <c r="C122" s="107">
        <v>719</v>
      </c>
      <c r="D122" s="107">
        <v>2462</v>
      </c>
      <c r="E122" s="107">
        <v>2472</v>
      </c>
      <c r="F122" s="107">
        <v>0.29085760517799297</v>
      </c>
      <c r="G122" s="107">
        <v>0.300151812058426</v>
      </c>
      <c r="H122" s="107">
        <v>9.2601864104480108E-3</v>
      </c>
      <c r="I122" s="107">
        <v>-1.0036738428879</v>
      </c>
      <c r="J122" s="107">
        <v>-3.2</v>
      </c>
      <c r="K122" s="107">
        <v>0.83401811715697605</v>
      </c>
      <c r="L122" s="107">
        <v>0.31074356478459902</v>
      </c>
      <c r="M122" s="107">
        <v>0.89888351810998401</v>
      </c>
      <c r="N122" s="107">
        <v>6.26422475070996E-3</v>
      </c>
    </row>
    <row r="123" spans="1:14">
      <c r="A123" s="14">
        <v>43693</v>
      </c>
      <c r="B123" s="107">
        <v>710</v>
      </c>
      <c r="C123" s="107">
        <v>715</v>
      </c>
      <c r="D123" s="107">
        <v>2430.5</v>
      </c>
      <c r="E123" s="107">
        <v>2458.5</v>
      </c>
      <c r="F123" s="107">
        <v>0.29082774049216997</v>
      </c>
      <c r="G123" s="107">
        <v>0.30076843162136202</v>
      </c>
      <c r="H123" s="107">
        <v>1.01205399809794E-2</v>
      </c>
      <c r="I123" s="107">
        <v>-0.98222932253365203</v>
      </c>
      <c r="J123" s="107">
        <v>-3.42</v>
      </c>
      <c r="K123" s="107">
        <v>0.80581391929017998</v>
      </c>
      <c r="L123" s="107">
        <v>0.18208314153167701</v>
      </c>
      <c r="M123" s="107">
        <v>0.89737486027948599</v>
      </c>
      <c r="N123" s="107">
        <v>5.2171869246863097E-3</v>
      </c>
    </row>
    <row r="124" spans="1:14">
      <c r="A124" s="14">
        <v>43692</v>
      </c>
      <c r="B124" s="107">
        <v>715</v>
      </c>
      <c r="C124" s="107">
        <v>718</v>
      </c>
      <c r="D124" s="107">
        <v>2433.5</v>
      </c>
      <c r="E124" s="107">
        <v>2460</v>
      </c>
      <c r="F124" s="107">
        <v>0.29186991869918699</v>
      </c>
      <c r="G124" s="107">
        <v>0.30138685244580699</v>
      </c>
      <c r="H124" s="107">
        <v>1.08826075961249E-2</v>
      </c>
      <c r="I124" s="107">
        <v>-0.87450858285191302</v>
      </c>
      <c r="J124" s="107">
        <v>-3.26</v>
      </c>
      <c r="K124" s="107">
        <v>0.77051650045994302</v>
      </c>
      <c r="L124" s="107">
        <v>1.6848167379194999E-2</v>
      </c>
      <c r="M124" s="107">
        <v>0.895736404785205</v>
      </c>
      <c r="N124" s="107">
        <v>5.0411607796634703E-3</v>
      </c>
    </row>
    <row r="125" spans="1:14">
      <c r="A125" s="14">
        <v>43691</v>
      </c>
      <c r="B125" s="107">
        <v>736</v>
      </c>
      <c r="C125" s="107">
        <v>733</v>
      </c>
      <c r="D125" s="107">
        <v>2506.5</v>
      </c>
      <c r="E125" s="107">
        <v>2495.5</v>
      </c>
      <c r="F125" s="107">
        <v>0.29372871168102499</v>
      </c>
      <c r="G125" s="107">
        <v>0.30202109291514601</v>
      </c>
      <c r="H125" s="107">
        <v>1.16673223593534E-2</v>
      </c>
      <c r="I125" s="107">
        <v>-0.71073558942791504</v>
      </c>
      <c r="J125" s="107">
        <v>-2.82</v>
      </c>
      <c r="K125" s="107">
        <v>0.73260899502167698</v>
      </c>
      <c r="L125" s="107">
        <v>1.7006200981030901E-2</v>
      </c>
      <c r="M125" s="107">
        <v>0.89423622633093702</v>
      </c>
      <c r="N125" s="107">
        <v>4.45299696321681E-3</v>
      </c>
    </row>
    <row r="126" spans="1:14">
      <c r="A126" s="14">
        <v>43690</v>
      </c>
      <c r="B126" s="107">
        <v>727</v>
      </c>
      <c r="C126" s="107">
        <v>726</v>
      </c>
      <c r="D126" s="107">
        <v>2500.5</v>
      </c>
      <c r="E126" s="107">
        <v>2482</v>
      </c>
      <c r="F126" s="107">
        <v>0.29250604351329501</v>
      </c>
      <c r="G126" s="107">
        <v>0.30259084726179603</v>
      </c>
      <c r="H126" s="107">
        <v>1.22759542065624E-2</v>
      </c>
      <c r="I126" s="107">
        <v>-0.82150874618853098</v>
      </c>
      <c r="J126" s="107">
        <v>-3.45</v>
      </c>
      <c r="K126" s="107">
        <v>0.67163769191029499</v>
      </c>
      <c r="L126" s="107">
        <v>0.351153731553148</v>
      </c>
      <c r="M126" s="107">
        <v>0.89277702185868402</v>
      </c>
      <c r="N126" s="107">
        <v>4.5957739057846999E-3</v>
      </c>
    </row>
    <row r="127" spans="1:14">
      <c r="A127" s="14">
        <v>43686</v>
      </c>
      <c r="B127" s="107">
        <v>750</v>
      </c>
      <c r="C127" s="107">
        <v>742</v>
      </c>
      <c r="D127" s="107">
        <v>2556</v>
      </c>
      <c r="E127" s="107">
        <v>2542</v>
      </c>
      <c r="F127" s="107">
        <v>0.29189614476789899</v>
      </c>
      <c r="G127" s="107">
        <v>0.30312138273637901</v>
      </c>
      <c r="H127" s="107">
        <v>1.26817578923659E-2</v>
      </c>
      <c r="I127" s="107">
        <v>-0.88514842057013199</v>
      </c>
      <c r="J127" s="107">
        <v>-3.85</v>
      </c>
      <c r="K127" s="107">
        <v>0.59486035760155898</v>
      </c>
      <c r="L127" s="107">
        <v>5.8752088914176499E-2</v>
      </c>
      <c r="M127" s="107">
        <v>0.89220648776080103</v>
      </c>
      <c r="N127" s="107">
        <v>4.6527952061750496E-3</v>
      </c>
    </row>
    <row r="128" spans="1:14">
      <c r="A128" s="14">
        <v>43685</v>
      </c>
      <c r="B128" s="107">
        <v>759</v>
      </c>
      <c r="C128" s="107">
        <v>745</v>
      </c>
      <c r="D128" s="107">
        <v>2519.5</v>
      </c>
      <c r="E128" s="107">
        <v>2535</v>
      </c>
      <c r="F128" s="107">
        <v>0.29388560157790899</v>
      </c>
      <c r="G128" s="107">
        <v>0.30373416600067299</v>
      </c>
      <c r="H128" s="107">
        <v>1.3223348806442801E-2</v>
      </c>
      <c r="I128" s="107">
        <v>-0.74478595149554105</v>
      </c>
      <c r="J128" s="107">
        <v>-3.35</v>
      </c>
      <c r="K128" s="107">
        <v>0.51843985335841003</v>
      </c>
      <c r="L128" s="107">
        <v>0.35341317097960001</v>
      </c>
      <c r="M128" s="107">
        <v>0.89124881753794705</v>
      </c>
      <c r="N128" s="107">
        <v>4.7448626455283303E-3</v>
      </c>
    </row>
    <row r="129" spans="1:14">
      <c r="A129" s="14">
        <v>43684</v>
      </c>
      <c r="B129" s="107">
        <v>793</v>
      </c>
      <c r="C129" s="107">
        <v>789</v>
      </c>
      <c r="D129" s="107">
        <v>2538.5</v>
      </c>
      <c r="E129" s="107">
        <v>2536.5</v>
      </c>
      <c r="F129" s="107">
        <v>0.31105854523950299</v>
      </c>
      <c r="G129" s="107">
        <v>0.30429412768432901</v>
      </c>
      <c r="H129" s="107">
        <v>1.3675910963273899E-2</v>
      </c>
      <c r="I129" s="107">
        <v>0.49462281330576302</v>
      </c>
      <c r="J129" s="107">
        <v>2.17</v>
      </c>
      <c r="K129" s="107">
        <v>0.57432989070010798</v>
      </c>
      <c r="L129" s="107">
        <v>0.39027888993146997</v>
      </c>
      <c r="M129" s="107">
        <v>0.89003874369372904</v>
      </c>
      <c r="N129" s="107">
        <v>5.1030972575001401E-3</v>
      </c>
    </row>
    <row r="130" spans="1:14">
      <c r="A130" s="14">
        <v>43683</v>
      </c>
      <c r="B130" s="107">
        <v>778</v>
      </c>
      <c r="C130" s="107">
        <v>802</v>
      </c>
      <c r="D130" s="107">
        <v>2516</v>
      </c>
      <c r="E130" s="107">
        <v>2560.5</v>
      </c>
      <c r="F130" s="107">
        <v>0.31322007420425602</v>
      </c>
      <c r="G130" s="107">
        <v>0.30466949755671502</v>
      </c>
      <c r="H130" s="107">
        <v>1.4231501882280799E-2</v>
      </c>
      <c r="I130" s="107">
        <v>0.60082039958038602</v>
      </c>
      <c r="J130" s="107">
        <v>2.73</v>
      </c>
      <c r="K130" s="107">
        <v>0.68149887314595903</v>
      </c>
      <c r="L130" s="107">
        <v>0.224276971438537</v>
      </c>
      <c r="M130" s="107">
        <v>0.88902467600085999</v>
      </c>
      <c r="N130" s="107">
        <v>5.6190788463312399E-3</v>
      </c>
    </row>
    <row r="131" spans="1:14">
      <c r="A131" s="14">
        <v>43682</v>
      </c>
      <c r="B131" s="107">
        <v>808</v>
      </c>
      <c r="C131" s="107">
        <v>807</v>
      </c>
      <c r="D131" s="107">
        <v>2612.5</v>
      </c>
      <c r="E131" s="107">
        <v>2566</v>
      </c>
      <c r="F131" s="107">
        <v>0.31449727201870598</v>
      </c>
      <c r="G131" s="107">
        <v>0.30496648759919998</v>
      </c>
      <c r="H131" s="107">
        <v>1.4633575994397E-2</v>
      </c>
      <c r="I131" s="107">
        <v>0.65129565207812301</v>
      </c>
      <c r="J131" s="107">
        <v>3.03</v>
      </c>
      <c r="K131" s="107">
        <v>0.69584204174588904</v>
      </c>
      <c r="L131" s="107">
        <v>0.13910972189813001</v>
      </c>
      <c r="M131" s="107">
        <v>0.88835166793204301</v>
      </c>
      <c r="N131" s="107">
        <v>4.6009701901240201E-3</v>
      </c>
    </row>
    <row r="132" spans="1:14">
      <c r="A132" s="14">
        <v>43679</v>
      </c>
      <c r="B132" s="107">
        <v>820</v>
      </c>
      <c r="C132" s="107">
        <v>818</v>
      </c>
      <c r="D132" s="107">
        <v>2675</v>
      </c>
      <c r="E132" s="107">
        <v>2613</v>
      </c>
      <c r="F132" s="107">
        <v>0.31305013394565601</v>
      </c>
      <c r="G132" s="107">
        <v>0.30527113034834102</v>
      </c>
      <c r="H132" s="107">
        <v>1.5060419923049E-2</v>
      </c>
      <c r="I132" s="15">
        <v>0.51651970111466305</v>
      </c>
      <c r="J132" s="107">
        <v>2.48</v>
      </c>
      <c r="K132" s="107">
        <v>0.71594232023318605</v>
      </c>
      <c r="L132" s="107">
        <v>0.105752692586305</v>
      </c>
      <c r="M132" s="107">
        <v>0.88784721589253301</v>
      </c>
      <c r="N132" s="107">
        <v>4.93299690802487E-3</v>
      </c>
    </row>
    <row r="133" spans="1:14">
      <c r="A133" s="14">
        <v>43678</v>
      </c>
      <c r="B133" s="107">
        <v>840</v>
      </c>
      <c r="C133" s="107">
        <v>847</v>
      </c>
      <c r="D133" s="107">
        <v>2699</v>
      </c>
      <c r="E133" s="107">
        <v>2722.5</v>
      </c>
      <c r="F133" s="107">
        <v>0.31111111111111101</v>
      </c>
      <c r="G133" s="107">
        <v>0.305575859945663</v>
      </c>
      <c r="H133" s="107">
        <v>1.54411425406256E-2</v>
      </c>
      <c r="I133" s="15">
        <v>0.35847419651004098</v>
      </c>
      <c r="J133" s="107">
        <v>1.78</v>
      </c>
      <c r="K133" s="107">
        <v>0.73130862283090203</v>
      </c>
      <c r="L133" s="107">
        <v>4.0847241041679902E-2</v>
      </c>
      <c r="M133" s="107">
        <v>0.88746505804185505</v>
      </c>
      <c r="N133" s="107">
        <v>4.8111659177330198E-3</v>
      </c>
    </row>
    <row r="134" spans="1:14">
      <c r="A134" s="14">
        <v>43677</v>
      </c>
      <c r="B134" s="107">
        <v>857</v>
      </c>
      <c r="C134" s="107">
        <v>855</v>
      </c>
      <c r="D134" s="107">
        <v>2731.5</v>
      </c>
      <c r="E134" s="107">
        <v>2710.5</v>
      </c>
      <c r="F134" s="107">
        <v>0.31543995572772499</v>
      </c>
      <c r="G134" s="107">
        <v>0.30590608329878699</v>
      </c>
      <c r="H134" s="107">
        <v>1.5816261682793001E-2</v>
      </c>
      <c r="I134" s="107">
        <v>0.60278924439586001</v>
      </c>
      <c r="J134" s="107">
        <v>3.02</v>
      </c>
      <c r="K134" s="107">
        <v>0.75960045555741895</v>
      </c>
      <c r="L134" s="107">
        <v>2.79120045620142E-2</v>
      </c>
      <c r="M134" s="107">
        <v>0.886808216167284</v>
      </c>
      <c r="N134" s="107">
        <v>4.6725621494222999E-3</v>
      </c>
    </row>
    <row r="135" spans="1:14">
      <c r="A135" s="14">
        <v>43676</v>
      </c>
      <c r="B135" s="107">
        <v>854</v>
      </c>
      <c r="C135" s="107">
        <v>872</v>
      </c>
      <c r="D135" s="107">
        <v>2776.5</v>
      </c>
      <c r="E135" s="107">
        <v>2772</v>
      </c>
      <c r="F135" s="107">
        <v>0.31457431457431401</v>
      </c>
      <c r="G135" s="107">
        <v>0.30617163210584097</v>
      </c>
      <c r="H135" s="107">
        <v>1.6138021781478398E-2</v>
      </c>
      <c r="I135" s="107">
        <v>0.52067611397802605</v>
      </c>
      <c r="J135" s="107">
        <v>2.67</v>
      </c>
      <c r="K135" s="107">
        <v>0.77762852238213798</v>
      </c>
      <c r="L135" s="107">
        <v>3.8237598541145498E-3</v>
      </c>
      <c r="M135" s="107">
        <v>0.88675624456334601</v>
      </c>
      <c r="N135" s="107">
        <v>2.92869324938656E-3</v>
      </c>
    </row>
    <row r="136" spans="1:14">
      <c r="A136" s="14">
        <v>43675</v>
      </c>
      <c r="B136" s="107">
        <v>860</v>
      </c>
      <c r="C136" s="107">
        <v>851</v>
      </c>
      <c r="D136" s="107">
        <v>2777.5</v>
      </c>
      <c r="E136" s="107">
        <v>2763.5</v>
      </c>
      <c r="F136" s="107">
        <v>0.30794282612628898</v>
      </c>
      <c r="G136" s="107">
        <v>0.306402179464416</v>
      </c>
      <c r="H136" s="107">
        <v>1.6378138898298901E-2</v>
      </c>
      <c r="I136" s="107">
        <v>9.4067260721087995E-2</v>
      </c>
      <c r="J136" s="107">
        <v>0.5</v>
      </c>
      <c r="K136" s="107">
        <v>0.78630009599503703</v>
      </c>
      <c r="L136" s="107">
        <v>3.9672570108746303E-3</v>
      </c>
      <c r="M136" s="107">
        <v>0.88611973224310903</v>
      </c>
      <c r="N136" s="107">
        <v>3.5087495254133801E-3</v>
      </c>
    </row>
    <row r="137" spans="1:14">
      <c r="A137" s="14">
        <v>43672</v>
      </c>
      <c r="B137" s="107">
        <v>872</v>
      </c>
      <c r="C137" s="107">
        <v>868</v>
      </c>
      <c r="D137" s="107">
        <v>2793</v>
      </c>
      <c r="E137" s="107">
        <v>2785.5</v>
      </c>
      <c r="F137" s="107">
        <v>0.31161371387542602</v>
      </c>
      <c r="G137" s="107">
        <v>0.306674699052012</v>
      </c>
      <c r="H137" s="107">
        <v>1.6570422416279498E-2</v>
      </c>
      <c r="I137" s="107">
        <v>0.29806209518000898</v>
      </c>
      <c r="J137" s="107">
        <v>1.58</v>
      </c>
      <c r="K137" s="107">
        <v>0.79821718441143696</v>
      </c>
      <c r="L137" s="107">
        <v>3.4321298426917401E-3</v>
      </c>
      <c r="M137" s="107">
        <v>0.88591057889972802</v>
      </c>
      <c r="N137" s="107">
        <v>3.4570561874859899E-3</v>
      </c>
    </row>
    <row r="138" spans="1:14">
      <c r="A138" s="14">
        <v>43671</v>
      </c>
      <c r="B138" s="107">
        <v>879</v>
      </c>
      <c r="C138" s="107">
        <v>883</v>
      </c>
      <c r="D138" s="107">
        <v>2837</v>
      </c>
      <c r="E138" s="107">
        <v>2843</v>
      </c>
      <c r="F138" s="107">
        <v>0.31058740766795601</v>
      </c>
      <c r="G138" s="107">
        <v>0.30687923284042401</v>
      </c>
      <c r="H138" s="107">
        <v>1.6724084761332698E-2</v>
      </c>
      <c r="I138" s="107">
        <v>0.221726622440055</v>
      </c>
      <c r="J138" s="107">
        <v>1.19</v>
      </c>
      <c r="K138" s="107">
        <v>0.86003438430670998</v>
      </c>
      <c r="L138" s="107">
        <v>3.2080601134912901E-3</v>
      </c>
      <c r="M138" s="107">
        <v>0.88584402074269497</v>
      </c>
      <c r="N138" s="107">
        <v>3.1789770283651301E-3</v>
      </c>
    </row>
    <row r="139" spans="1:14">
      <c r="A139" s="14">
        <v>43670</v>
      </c>
      <c r="B139" s="107">
        <v>864</v>
      </c>
      <c r="C139" s="107">
        <v>866</v>
      </c>
      <c r="D139" s="107">
        <v>2840</v>
      </c>
      <c r="E139" s="107">
        <v>2850.5</v>
      </c>
      <c r="F139" s="107">
        <v>0.30380634976319898</v>
      </c>
      <c r="G139" s="107">
        <v>0.30711105775854902</v>
      </c>
      <c r="H139" s="107">
        <v>1.6893527530179201E-2</v>
      </c>
      <c r="I139" s="107">
        <v>-0.19561977150401699</v>
      </c>
      <c r="J139" s="107">
        <v>-1.0900000000000001</v>
      </c>
      <c r="K139" s="107">
        <v>0.89211886246056504</v>
      </c>
      <c r="L139" s="107">
        <v>0.103233794529866</v>
      </c>
      <c r="M139" s="107">
        <v>0.88550739873677897</v>
      </c>
      <c r="N139" s="107">
        <v>3.2841581565707799E-3</v>
      </c>
    </row>
    <row r="140" spans="1:14">
      <c r="A140" s="14">
        <v>43669</v>
      </c>
      <c r="B140" s="107">
        <v>840</v>
      </c>
      <c r="C140" s="107">
        <v>858</v>
      </c>
      <c r="D140" s="107">
        <v>2771</v>
      </c>
      <c r="E140" s="107">
        <v>2814.5</v>
      </c>
      <c r="F140" s="107">
        <v>0.30484988452655798</v>
      </c>
      <c r="G140" s="107">
        <v>0.30747873461265501</v>
      </c>
      <c r="H140" s="107">
        <v>1.71162182459598E-2</v>
      </c>
      <c r="I140" s="107">
        <v>-0.153588254620286</v>
      </c>
      <c r="J140" s="107">
        <v>-0.86</v>
      </c>
      <c r="K140" s="107">
        <v>0.90962704646085701</v>
      </c>
      <c r="L140" s="107">
        <v>0.108012623485577</v>
      </c>
      <c r="M140" s="107">
        <v>0.88496799296270501</v>
      </c>
      <c r="N140" s="107">
        <v>3.0325791656970499E-3</v>
      </c>
    </row>
    <row r="141" spans="1:14">
      <c r="A141" s="14">
        <v>43668</v>
      </c>
      <c r="B141" s="107">
        <v>828</v>
      </c>
      <c r="C141" s="107">
        <v>834</v>
      </c>
      <c r="D141" s="107">
        <v>2808</v>
      </c>
      <c r="E141" s="107">
        <v>2802</v>
      </c>
      <c r="F141" s="107">
        <v>0.297644539614561</v>
      </c>
      <c r="G141" s="107">
        <v>0.30783922251846702</v>
      </c>
      <c r="H141" s="107">
        <v>1.7340299967312199E-2</v>
      </c>
      <c r="I141" s="107">
        <v>-0.58791848601951002</v>
      </c>
      <c r="J141" s="107">
        <v>-3.43</v>
      </c>
      <c r="K141" s="107">
        <v>0.92999252553002498</v>
      </c>
      <c r="L141" s="107">
        <v>0.61125483910287504</v>
      </c>
      <c r="M141" s="107">
        <v>0.88424206603886801</v>
      </c>
      <c r="N141" s="107">
        <v>3.2021913003102802E-3</v>
      </c>
    </row>
    <row r="142" spans="1:14">
      <c r="A142" s="14">
        <v>43665</v>
      </c>
      <c r="B142" s="107">
        <v>798</v>
      </c>
      <c r="C142" s="107">
        <v>816</v>
      </c>
      <c r="D142" s="107">
        <v>2757</v>
      </c>
      <c r="E142" s="107">
        <v>2808</v>
      </c>
      <c r="F142" s="107">
        <v>0.29059829059829001</v>
      </c>
      <c r="G142" s="107">
        <v>0.308249931344037</v>
      </c>
      <c r="H142" s="107">
        <v>1.7458360724506902E-2</v>
      </c>
      <c r="I142" s="107">
        <v>-1.01107091463452</v>
      </c>
      <c r="J142" s="107">
        <v>-6.07</v>
      </c>
      <c r="K142" s="107">
        <v>0.94249435090913802</v>
      </c>
      <c r="L142" s="107">
        <v>5.7118849613492402E-2</v>
      </c>
      <c r="M142" s="107">
        <v>0.88352093656834496</v>
      </c>
      <c r="N142" s="107">
        <v>3.0981250300008601E-3</v>
      </c>
    </row>
    <row r="143" spans="1:14">
      <c r="A143" s="14">
        <v>43664</v>
      </c>
      <c r="B143" s="107">
        <v>821</v>
      </c>
      <c r="C143" s="107">
        <v>801</v>
      </c>
      <c r="D143" s="107">
        <v>2800</v>
      </c>
      <c r="E143" s="107">
        <v>2751.5</v>
      </c>
      <c r="F143" s="107">
        <v>0.29111393785208001</v>
      </c>
      <c r="G143" s="107">
        <v>0.30880066963149599</v>
      </c>
      <c r="H143" s="107">
        <v>1.75441337013519E-2</v>
      </c>
      <c r="I143" s="107">
        <v>-1.0081279634828899</v>
      </c>
      <c r="J143" s="107">
        <v>-6.08</v>
      </c>
      <c r="K143" s="107">
        <v>0.95118112556273304</v>
      </c>
      <c r="L143" s="107">
        <v>3.66193468013652E-2</v>
      </c>
      <c r="M143" s="107">
        <v>0.88242703053233795</v>
      </c>
      <c r="N143" s="107">
        <v>3.46913629493324E-3</v>
      </c>
    </row>
    <row r="144" spans="1:14">
      <c r="A144" s="14">
        <v>43663</v>
      </c>
      <c r="B144" s="107">
        <v>838</v>
      </c>
      <c r="C144" s="107">
        <v>829</v>
      </c>
      <c r="D144" s="107">
        <v>2826.5</v>
      </c>
      <c r="E144" s="107">
        <v>2806</v>
      </c>
      <c r="F144" s="107">
        <v>0.29543834640056998</v>
      </c>
      <c r="G144" s="107">
        <v>0.30933158908533898</v>
      </c>
      <c r="H144" s="107">
        <v>1.7603265375959298E-2</v>
      </c>
      <c r="I144" s="107">
        <v>-0.78924235862191205</v>
      </c>
      <c r="J144" s="107">
        <v>-4.7</v>
      </c>
      <c r="K144" s="107">
        <v>0.95747104887714796</v>
      </c>
      <c r="L144" s="107">
        <v>8.6459044588338904E-2</v>
      </c>
      <c r="M144" s="107">
        <v>0.88157915243956197</v>
      </c>
      <c r="N144" s="107">
        <v>4.5539163112201398E-3</v>
      </c>
    </row>
    <row r="145" spans="1:14">
      <c r="A145" s="14">
        <v>43662</v>
      </c>
      <c r="B145" s="107">
        <v>831</v>
      </c>
      <c r="C145" s="107">
        <v>838</v>
      </c>
      <c r="D145" s="107">
        <v>2830</v>
      </c>
      <c r="E145" s="107">
        <v>2836.5</v>
      </c>
      <c r="F145" s="107">
        <v>0.29543451436629597</v>
      </c>
      <c r="G145" s="107">
        <v>0.30978509749057498</v>
      </c>
      <c r="H145" s="107">
        <v>1.7677474872765098E-2</v>
      </c>
      <c r="I145" s="107">
        <v>-0.81180051039915901</v>
      </c>
      <c r="J145" s="107">
        <v>-4.8600000000000003</v>
      </c>
      <c r="K145" s="107">
        <v>0.96203427450379497</v>
      </c>
      <c r="L145" s="107">
        <v>9.6504241323095694E-2</v>
      </c>
      <c r="M145" s="107">
        <v>0.88076372439112605</v>
      </c>
      <c r="N145" s="107">
        <v>5.6546982681500999E-3</v>
      </c>
    </row>
    <row r="146" spans="1:14">
      <c r="A146" s="14">
        <v>43658</v>
      </c>
      <c r="B146" s="107">
        <v>835</v>
      </c>
      <c r="C146" s="107">
        <v>832</v>
      </c>
      <c r="D146" s="107">
        <v>2865</v>
      </c>
      <c r="E146" s="107">
        <v>2847</v>
      </c>
      <c r="F146" s="107">
        <v>0.29223744292237402</v>
      </c>
      <c r="G146" s="107">
        <v>0.31016817102528499</v>
      </c>
      <c r="H146" s="107">
        <v>1.76736418237372E-2</v>
      </c>
      <c r="I146" s="107">
        <v>-1.0145463103607999</v>
      </c>
      <c r="J146" s="107">
        <v>-6.14</v>
      </c>
      <c r="K146" s="107">
        <v>0.96720186778407202</v>
      </c>
      <c r="L146" s="107">
        <v>2.3655518985198101E-2</v>
      </c>
      <c r="M146" s="107">
        <v>0.87994412767465602</v>
      </c>
      <c r="N146" s="107">
        <v>5.7412789446085397E-3</v>
      </c>
    </row>
    <row r="147" spans="1:14">
      <c r="A147" s="14">
        <v>43657</v>
      </c>
      <c r="B147" s="107">
        <v>835</v>
      </c>
      <c r="C147" s="107">
        <v>841</v>
      </c>
      <c r="D147" s="107">
        <v>2830</v>
      </c>
      <c r="E147" s="107">
        <v>2844</v>
      </c>
      <c r="F147" s="107">
        <v>0.29571026722925398</v>
      </c>
      <c r="G147" s="107">
        <v>0.31048310652202699</v>
      </c>
      <c r="H147" s="107">
        <v>1.75614126127621E-2</v>
      </c>
      <c r="I147" s="107">
        <v>-0.84121019296801303</v>
      </c>
      <c r="J147" s="107">
        <v>-5</v>
      </c>
      <c r="K147" s="107">
        <v>0.96861444500057503</v>
      </c>
      <c r="L147" s="107">
        <v>1.3656687997703299E-2</v>
      </c>
      <c r="M147" s="107">
        <v>0.87898501876048896</v>
      </c>
      <c r="N147" s="107">
        <v>6.3484725779948499E-3</v>
      </c>
    </row>
    <row r="148" spans="1:14">
      <c r="A148" s="14">
        <v>43656</v>
      </c>
      <c r="B148" s="107">
        <v>830</v>
      </c>
      <c r="C148" s="107">
        <v>838</v>
      </c>
      <c r="D148" s="107">
        <v>2858.5</v>
      </c>
      <c r="E148" s="107">
        <v>2859.5</v>
      </c>
      <c r="F148" s="107">
        <v>0.29305822696275502</v>
      </c>
      <c r="G148" s="107">
        <v>0.31071888986837598</v>
      </c>
      <c r="H148" s="107">
        <v>1.74800107031826E-2</v>
      </c>
      <c r="I148" s="107">
        <v>-1.0103347878617199</v>
      </c>
      <c r="J148" s="107">
        <v>-6.03</v>
      </c>
      <c r="K148" s="107">
        <v>0.97022725069261895</v>
      </c>
      <c r="L148" s="107">
        <v>1.9031708064121699E-2</v>
      </c>
      <c r="M148" s="107">
        <v>0.878138318327502</v>
      </c>
      <c r="N148" s="107">
        <v>5.9169153331275698E-3</v>
      </c>
    </row>
    <row r="149" spans="1:14">
      <c r="A149" s="14">
        <v>43655</v>
      </c>
      <c r="B149" s="107">
        <v>855</v>
      </c>
      <c r="C149" s="107">
        <v>843</v>
      </c>
      <c r="D149" s="107">
        <v>2855</v>
      </c>
      <c r="E149" s="107">
        <v>2852.5</v>
      </c>
      <c r="F149" s="107">
        <v>0.29553023663453099</v>
      </c>
      <c r="G149" s="107">
        <v>0.31102610652807</v>
      </c>
      <c r="H149" s="107">
        <v>1.7369045686945601E-2</v>
      </c>
      <c r="I149" s="107">
        <v>-0.89215436316030206</v>
      </c>
      <c r="J149" s="107">
        <v>-5.24</v>
      </c>
      <c r="K149" s="107">
        <v>0.97210061772985701</v>
      </c>
      <c r="L149" s="107">
        <v>2.0173898374317299E-2</v>
      </c>
      <c r="M149" s="107">
        <v>0.87730650609844396</v>
      </c>
      <c r="N149" s="107">
        <v>5.2412830286559103E-3</v>
      </c>
    </row>
    <row r="150" spans="1:14">
      <c r="A150" s="14">
        <v>43654</v>
      </c>
      <c r="B150" s="107">
        <v>871</v>
      </c>
      <c r="C150" s="107">
        <v>855</v>
      </c>
      <c r="D150" s="107">
        <v>2837</v>
      </c>
      <c r="E150" s="107">
        <v>2837</v>
      </c>
      <c r="F150" s="107">
        <v>0.30137469157560798</v>
      </c>
      <c r="G150" s="107">
        <v>0.31129898436738201</v>
      </c>
      <c r="H150" s="107">
        <v>1.72840099632426E-2</v>
      </c>
      <c r="I150" s="107">
        <v>-0.57418925428068501</v>
      </c>
      <c r="J150" s="107">
        <v>-3.29</v>
      </c>
      <c r="K150" s="107">
        <v>0.97351487465806097</v>
      </c>
      <c r="L150" s="107">
        <v>1.8834132750929499E-2</v>
      </c>
      <c r="M150" s="107">
        <v>0.87625462951230404</v>
      </c>
      <c r="N150" s="107">
        <v>5.4643969140476898E-3</v>
      </c>
    </row>
    <row r="151" spans="1:14">
      <c r="A151" s="14">
        <v>43651</v>
      </c>
      <c r="B151" s="107">
        <v>848</v>
      </c>
      <c r="C151" s="107">
        <v>868</v>
      </c>
      <c r="D151" s="107">
        <v>2826.5</v>
      </c>
      <c r="E151" s="107">
        <v>2836.5</v>
      </c>
      <c r="F151" s="107">
        <v>0.30601092896174797</v>
      </c>
      <c r="G151" s="107">
        <v>0.31149280643096999</v>
      </c>
      <c r="H151" s="107">
        <v>1.7253111720064902E-2</v>
      </c>
      <c r="I151" s="107">
        <v>-0.317732682554076</v>
      </c>
      <c r="J151" s="107">
        <v>-1.79</v>
      </c>
      <c r="K151" s="107">
        <v>0.97463341315437102</v>
      </c>
      <c r="L151" s="107">
        <v>1.8937888721448099E-2</v>
      </c>
      <c r="M151" s="107">
        <v>0.87503882343689998</v>
      </c>
      <c r="N151" s="107">
        <v>6.3028343972359596E-3</v>
      </c>
    </row>
    <row r="152" spans="1:14">
      <c r="A152" s="14">
        <v>43650</v>
      </c>
      <c r="B152" s="107">
        <v>853</v>
      </c>
      <c r="C152" s="107">
        <v>848</v>
      </c>
      <c r="D152" s="107">
        <v>2805.5</v>
      </c>
      <c r="E152" s="107">
        <v>2807.5</v>
      </c>
      <c r="F152" s="107">
        <v>0.30204808548530698</v>
      </c>
      <c r="G152" s="107">
        <v>0.31165709044896001</v>
      </c>
      <c r="H152" s="107">
        <v>1.7258791903417101E-2</v>
      </c>
      <c r="I152" s="107">
        <v>-0.55675999904437201</v>
      </c>
      <c r="J152" s="107">
        <v>-3.18</v>
      </c>
      <c r="K152" s="107">
        <v>0.97553442443386496</v>
      </c>
      <c r="L152" s="107">
        <v>1.6571828358753999E-2</v>
      </c>
      <c r="M152" s="107">
        <v>0.87373442906433496</v>
      </c>
      <c r="N152" s="107">
        <v>5.9668460872223401E-3</v>
      </c>
    </row>
    <row r="153" spans="1:14">
      <c r="A153" s="14">
        <v>43649</v>
      </c>
      <c r="B153" s="107">
        <v>847</v>
      </c>
      <c r="C153" s="107">
        <v>848</v>
      </c>
      <c r="D153" s="107">
        <v>2805</v>
      </c>
      <c r="E153" s="107">
        <v>2790</v>
      </c>
      <c r="F153" s="107">
        <v>0.30394265232974899</v>
      </c>
      <c r="G153" s="107">
        <v>0.31194003316212598</v>
      </c>
      <c r="H153" s="107">
        <v>1.7272883052231701E-2</v>
      </c>
      <c r="I153" s="107">
        <v>-0.46300208298721102</v>
      </c>
      <c r="J153" s="107">
        <v>-2.63</v>
      </c>
      <c r="K153" s="107">
        <v>0.97611593851029099</v>
      </c>
      <c r="L153" s="107">
        <v>2.24678869921041E-2</v>
      </c>
      <c r="M153" s="107">
        <v>0.87241431910882905</v>
      </c>
      <c r="N153" s="107">
        <v>5.2616741465530501E-3</v>
      </c>
    </row>
    <row r="154" spans="1:14">
      <c r="A154" s="14">
        <v>43648</v>
      </c>
      <c r="B154" s="107">
        <v>859</v>
      </c>
      <c r="C154" s="107">
        <v>862</v>
      </c>
      <c r="D154" s="107">
        <v>2845</v>
      </c>
      <c r="E154" s="107">
        <v>2837</v>
      </c>
      <c r="F154" s="107">
        <v>0.30384208671131402</v>
      </c>
      <c r="G154" s="107">
        <v>0.31219767577095697</v>
      </c>
      <c r="H154" s="107">
        <v>1.7295769877072001E-2</v>
      </c>
      <c r="I154" s="107">
        <v>-0.48310015217761498</v>
      </c>
      <c r="J154" s="107">
        <v>-2.75</v>
      </c>
      <c r="K154" s="107">
        <v>0.97649315490957</v>
      </c>
      <c r="L154" s="107">
        <v>2.2654018206714099E-2</v>
      </c>
      <c r="M154" s="107">
        <v>0.87110441331900401</v>
      </c>
      <c r="N154" s="107">
        <v>5.9406060312733096E-3</v>
      </c>
    </row>
    <row r="155" spans="1:14">
      <c r="A155" s="14">
        <v>43647</v>
      </c>
      <c r="B155" s="107">
        <v>844</v>
      </c>
      <c r="C155" s="107">
        <v>857</v>
      </c>
      <c r="D155" s="107">
        <v>2800.5</v>
      </c>
      <c r="E155" s="107">
        <v>2845</v>
      </c>
      <c r="F155" s="107">
        <v>0.301230228471001</v>
      </c>
      <c r="G155" s="107">
        <v>0.31248763687231301</v>
      </c>
      <c r="H155" s="107">
        <v>1.7335506759549601E-2</v>
      </c>
      <c r="I155" s="107">
        <v>-0.649384443008032</v>
      </c>
      <c r="J155" s="107">
        <v>-3.74</v>
      </c>
      <c r="K155" s="107">
        <v>0.97699659292594798</v>
      </c>
      <c r="L155" s="107">
        <v>2.2413802962583801E-2</v>
      </c>
      <c r="M155" s="107">
        <v>0.86981848345302903</v>
      </c>
      <c r="N155" s="107">
        <v>6.0549210027118702E-3</v>
      </c>
    </row>
    <row r="156" spans="1:14">
      <c r="A156" s="14">
        <v>43644</v>
      </c>
      <c r="B156" s="107">
        <v>837</v>
      </c>
      <c r="C156" s="107">
        <v>832</v>
      </c>
      <c r="D156" s="107">
        <v>2760</v>
      </c>
      <c r="E156" s="107">
        <v>2785</v>
      </c>
      <c r="F156" s="107">
        <v>0.29874326750448799</v>
      </c>
      <c r="G156" s="107">
        <v>0.312800408700185</v>
      </c>
      <c r="H156" s="107">
        <v>1.7341191833660001E-2</v>
      </c>
      <c r="I156" s="107">
        <v>-0.81062139964405</v>
      </c>
      <c r="J156" s="107">
        <v>-4.71</v>
      </c>
      <c r="K156" s="107">
        <v>0.97632920554248304</v>
      </c>
      <c r="L156" s="107">
        <v>3.2205424954039698E-2</v>
      </c>
      <c r="M156" s="107">
        <v>0.86788631446205</v>
      </c>
      <c r="N156" s="107">
        <v>7.27281694733999E-3</v>
      </c>
    </row>
    <row r="157" spans="1:14">
      <c r="A157" s="14">
        <v>43643</v>
      </c>
      <c r="B157" s="107">
        <v>824</v>
      </c>
      <c r="C157" s="107">
        <v>840</v>
      </c>
      <c r="D157" s="107">
        <v>2754</v>
      </c>
      <c r="E157" s="107">
        <v>2788.5</v>
      </c>
      <c r="F157" s="107">
        <v>0.30123722431414701</v>
      </c>
      <c r="G157" s="107">
        <v>0.31317978356584503</v>
      </c>
      <c r="H157" s="107">
        <v>1.7340748353799802E-2</v>
      </c>
      <c r="I157" s="107">
        <v>-0.68869918460472701</v>
      </c>
      <c r="J157" s="107">
        <v>-3.96</v>
      </c>
      <c r="K157" s="107">
        <v>0.97596179489801804</v>
      </c>
      <c r="L157" s="107">
        <v>2.2719459863054001E-2</v>
      </c>
      <c r="M157" s="107">
        <v>0.86604022458885099</v>
      </c>
      <c r="N157" s="107">
        <v>6.5384091467818196E-3</v>
      </c>
    </row>
    <row r="158" spans="1:14">
      <c r="A158" s="14">
        <v>43642</v>
      </c>
      <c r="B158" s="107">
        <v>806</v>
      </c>
      <c r="C158" s="107">
        <v>819</v>
      </c>
      <c r="D158" s="107">
        <v>2723.5</v>
      </c>
      <c r="E158" s="107">
        <v>2731</v>
      </c>
      <c r="F158" s="107">
        <v>0.29989015012815801</v>
      </c>
      <c r="G158" s="107">
        <v>0.31357035925545501</v>
      </c>
      <c r="H158" s="107">
        <v>1.7397162417135899E-2</v>
      </c>
      <c r="I158" s="107">
        <v>-0.78634715244266495</v>
      </c>
      <c r="J158" s="107">
        <v>-4.5599999999999996</v>
      </c>
      <c r="K158" s="107">
        <v>0.97575945053109803</v>
      </c>
      <c r="L158" s="107">
        <v>3.2972332382179899E-2</v>
      </c>
      <c r="M158" s="107">
        <v>0.86316903492120101</v>
      </c>
      <c r="N158" s="107">
        <v>8.3401308624844704E-3</v>
      </c>
    </row>
    <row r="159" spans="1:14">
      <c r="A159" s="14">
        <v>43641</v>
      </c>
      <c r="B159" s="107">
        <v>822</v>
      </c>
      <c r="C159" s="107">
        <v>816</v>
      </c>
      <c r="D159" s="107">
        <v>2760</v>
      </c>
      <c r="E159" s="107">
        <v>2765.5</v>
      </c>
      <c r="F159" s="107">
        <v>0.295064183691918</v>
      </c>
      <c r="G159" s="107">
        <v>0.31393919707391299</v>
      </c>
      <c r="H159" s="107">
        <v>1.7396458319874401E-2</v>
      </c>
      <c r="I159" s="107">
        <v>-1.08499172848486</v>
      </c>
      <c r="J159" s="107">
        <v>-6.4</v>
      </c>
      <c r="K159" s="107">
        <v>0.97555602519255202</v>
      </c>
      <c r="L159" s="107">
        <v>2.69338794045944E-2</v>
      </c>
      <c r="M159" s="107">
        <v>0.86109190512663603</v>
      </c>
      <c r="N159" s="107">
        <v>7.79933426708044E-3</v>
      </c>
    </row>
    <row r="160" spans="1:14">
      <c r="A160" s="14">
        <v>43640</v>
      </c>
      <c r="B160" s="107">
        <v>813</v>
      </c>
      <c r="C160" s="107">
        <v>817</v>
      </c>
      <c r="D160" s="107">
        <v>2760</v>
      </c>
      <c r="E160" s="107">
        <v>2785.5</v>
      </c>
      <c r="F160" s="107">
        <v>0.29330461317537199</v>
      </c>
      <c r="G160" s="107">
        <v>0.31437479137059399</v>
      </c>
      <c r="H160" s="107">
        <v>1.7327261834272498E-2</v>
      </c>
      <c r="I160" s="107">
        <v>-1.21601314718669</v>
      </c>
      <c r="J160" s="107">
        <v>-7.18</v>
      </c>
      <c r="K160" s="107">
        <v>0.97445793821603899</v>
      </c>
      <c r="L160" s="107">
        <v>4.5101338544551201E-2</v>
      </c>
      <c r="M160" s="107">
        <v>0.85892745353604105</v>
      </c>
      <c r="N160" s="107">
        <v>1.0182699334627799E-2</v>
      </c>
    </row>
    <row r="161" spans="1:14">
      <c r="A161" s="14">
        <v>43637</v>
      </c>
      <c r="B161" s="107">
        <v>827</v>
      </c>
      <c r="C161" s="107">
        <v>813</v>
      </c>
      <c r="D161" s="107">
        <v>2770</v>
      </c>
      <c r="E161" s="107">
        <v>2766</v>
      </c>
      <c r="F161" s="107">
        <v>0.29392624728850297</v>
      </c>
      <c r="G161" s="107">
        <v>0.31484930476379802</v>
      </c>
      <c r="H161" s="107">
        <v>1.7230783448126102E-2</v>
      </c>
      <c r="I161" s="107">
        <v>-1.2142835836968799</v>
      </c>
      <c r="J161" s="107">
        <v>-7.12</v>
      </c>
      <c r="K161" s="107">
        <v>0.97423100827190801</v>
      </c>
      <c r="L161" s="107">
        <v>2.1188476581247499E-2</v>
      </c>
      <c r="M161" s="107">
        <v>0.85561847657168599</v>
      </c>
      <c r="N161" s="107">
        <v>1.4822261859279999E-2</v>
      </c>
    </row>
    <row r="162" spans="1:14">
      <c r="A162" s="14">
        <v>43636</v>
      </c>
      <c r="B162" s="107">
        <v>832</v>
      </c>
      <c r="C162" s="107">
        <v>827</v>
      </c>
      <c r="D162" s="107">
        <v>2828</v>
      </c>
      <c r="E162" s="107">
        <v>2771</v>
      </c>
      <c r="F162" s="107">
        <v>0.29844821364128399</v>
      </c>
      <c r="G162" s="107">
        <v>0.31533415043387297</v>
      </c>
      <c r="H162" s="107">
        <v>1.71466196246793E-2</v>
      </c>
      <c r="I162" s="107">
        <v>-0.98479683822251896</v>
      </c>
      <c r="J162" s="107">
        <v>-5.66</v>
      </c>
      <c r="K162" s="107">
        <v>0.97387211112724403</v>
      </c>
      <c r="L162" s="107">
        <v>2.0691547288173798E-2</v>
      </c>
      <c r="M162" s="107">
        <v>0.85129555788466205</v>
      </c>
      <c r="N162" s="107">
        <v>2.3414695081406499E-2</v>
      </c>
    </row>
    <row r="163" spans="1:14">
      <c r="A163" s="14">
        <v>43635</v>
      </c>
      <c r="B163" s="107">
        <v>816</v>
      </c>
      <c r="C163" s="107">
        <v>832</v>
      </c>
      <c r="D163" s="107">
        <v>2804</v>
      </c>
      <c r="E163" s="107">
        <v>2824</v>
      </c>
      <c r="F163" s="107">
        <v>0.29461756373937598</v>
      </c>
      <c r="G163" s="107">
        <v>0.31579787621774702</v>
      </c>
      <c r="H163" s="107">
        <v>1.7153971977266501E-2</v>
      </c>
      <c r="I163" s="107">
        <v>-1.23471767975601</v>
      </c>
      <c r="J163" s="107">
        <v>-7.19</v>
      </c>
      <c r="K163" s="107">
        <v>0.972812919033058</v>
      </c>
      <c r="L163" s="107">
        <v>1.6728567153944301E-2</v>
      </c>
      <c r="M163" s="107">
        <v>0.84725035037057905</v>
      </c>
      <c r="N163" s="107">
        <v>3.05658251083437E-2</v>
      </c>
    </row>
    <row r="164" spans="1:14">
      <c r="A164" s="14">
        <v>43634</v>
      </c>
      <c r="B164" s="107">
        <v>808</v>
      </c>
      <c r="C164" s="107">
        <v>811</v>
      </c>
      <c r="D164" s="107">
        <v>2781.5</v>
      </c>
      <c r="E164" s="107">
        <v>2766</v>
      </c>
      <c r="F164" s="107">
        <v>0.29320318148951502</v>
      </c>
      <c r="G164" s="107">
        <v>0.31633806475749998</v>
      </c>
      <c r="H164" s="107">
        <v>1.7116351865570201E-2</v>
      </c>
      <c r="I164" s="107">
        <v>-1.3516246598389301</v>
      </c>
      <c r="J164" s="107">
        <v>-7.89</v>
      </c>
      <c r="K164" s="107">
        <v>0.97089833080739996</v>
      </c>
      <c r="L164" s="107">
        <v>2.5131807850625999E-2</v>
      </c>
      <c r="M164" s="107">
        <v>0.84199990549888004</v>
      </c>
      <c r="N164" s="107">
        <v>3.8602997636123099E-2</v>
      </c>
    </row>
    <row r="165" spans="1:14">
      <c r="A165" s="14">
        <v>43633</v>
      </c>
      <c r="B165" s="107">
        <v>822</v>
      </c>
      <c r="C165" s="107">
        <v>818</v>
      </c>
      <c r="D165" s="107">
        <v>2753</v>
      </c>
      <c r="E165" s="107">
        <v>2775</v>
      </c>
      <c r="F165" s="107">
        <v>0.29477477477477398</v>
      </c>
      <c r="G165" s="107">
        <v>0.31691722233764003</v>
      </c>
      <c r="H165" s="107">
        <v>1.70585273209698E-2</v>
      </c>
      <c r="I165" s="107">
        <v>-1.2980280856745401</v>
      </c>
      <c r="J165" s="107">
        <v>-7.51</v>
      </c>
      <c r="K165" s="107">
        <v>0.96979507159440703</v>
      </c>
      <c r="L165" s="107">
        <v>2.2097206972643502E-2</v>
      </c>
      <c r="M165" s="107">
        <v>0.83588064061404499</v>
      </c>
      <c r="N165" s="107">
        <v>5.2051976159094501E-2</v>
      </c>
    </row>
    <row r="166" spans="1:14">
      <c r="A166" s="14">
        <v>43630</v>
      </c>
      <c r="B166" s="107">
        <v>829</v>
      </c>
      <c r="C166" s="107">
        <v>829</v>
      </c>
      <c r="D166" s="107">
        <v>2755</v>
      </c>
      <c r="E166" s="107">
        <v>2755</v>
      </c>
      <c r="F166" s="107">
        <v>0.30090744101633299</v>
      </c>
      <c r="G166" s="107">
        <v>0.31752443631926602</v>
      </c>
      <c r="H166" s="107">
        <v>1.7070073213280499E-2</v>
      </c>
      <c r="I166" s="107">
        <v>-0.97345776408293705</v>
      </c>
      <c r="J166" s="107">
        <v>-5.52</v>
      </c>
      <c r="K166" s="107">
        <v>0.968823603759151</v>
      </c>
      <c r="L166" s="107">
        <v>2.8029663692368999E-2</v>
      </c>
      <c r="M166" s="107">
        <v>0.83011681079131205</v>
      </c>
      <c r="N166" s="107">
        <v>4.92413030514397E-2</v>
      </c>
    </row>
    <row r="167" spans="1:14">
      <c r="A167" s="14">
        <v>43629</v>
      </c>
      <c r="B167" s="107">
        <v>826</v>
      </c>
      <c r="C167" s="107">
        <v>826</v>
      </c>
      <c r="D167" s="107">
        <v>2769.5</v>
      </c>
      <c r="E167" s="107">
        <v>2754.5</v>
      </c>
      <c r="F167" s="107">
        <v>0.29987293519695002</v>
      </c>
      <c r="G167" s="107">
        <v>0.31813702113692699</v>
      </c>
      <c r="H167" s="107">
        <v>1.7285774879497E-2</v>
      </c>
      <c r="I167" s="107">
        <v>-1.0565963092369</v>
      </c>
      <c r="J167" s="107">
        <v>-6.09</v>
      </c>
      <c r="K167" s="107">
        <v>0.96805974268308603</v>
      </c>
      <c r="L167" s="107">
        <v>2.3269526303138499E-2</v>
      </c>
      <c r="M167" s="107">
        <v>0.82525122387165994</v>
      </c>
      <c r="N167" s="107">
        <v>4.64935019252571E-2</v>
      </c>
    </row>
    <row r="168" spans="1:14">
      <c r="A168" s="14">
        <v>43628</v>
      </c>
      <c r="B168" s="107">
        <v>834</v>
      </c>
      <c r="C168" s="107">
        <v>838</v>
      </c>
      <c r="D168" s="107">
        <v>2780</v>
      </c>
      <c r="E168" s="107">
        <v>2776.5</v>
      </c>
      <c r="F168" s="107">
        <v>0.30181883666486498</v>
      </c>
      <c r="G168" s="107">
        <v>0.31878370538075101</v>
      </c>
      <c r="H168" s="107">
        <v>1.74963612732402E-2</v>
      </c>
      <c r="I168" s="107">
        <v>-0.96962268045024802</v>
      </c>
      <c r="J168" s="107">
        <v>-5.62</v>
      </c>
      <c r="K168" s="107">
        <v>0.96758195263422697</v>
      </c>
      <c r="L168" s="107">
        <v>2.14002448326771E-2</v>
      </c>
      <c r="M168" s="107">
        <v>0.82020198169723801</v>
      </c>
      <c r="N168" s="107">
        <v>6.4252610624808901E-2</v>
      </c>
    </row>
    <row r="169" spans="1:14">
      <c r="A169" s="14">
        <v>43627</v>
      </c>
      <c r="B169" s="107">
        <v>844</v>
      </c>
      <c r="C169" s="107">
        <v>848</v>
      </c>
      <c r="D169" s="107">
        <v>2770.5</v>
      </c>
      <c r="E169" s="107">
        <v>2787.5</v>
      </c>
      <c r="F169" s="107">
        <v>0.30421524663677102</v>
      </c>
      <c r="G169" s="107">
        <v>0.31946585893162399</v>
      </c>
      <c r="H169" s="107">
        <v>1.7816061391064002E-2</v>
      </c>
      <c r="I169" s="107">
        <v>-0.85600357790090098</v>
      </c>
      <c r="J169" s="107">
        <v>-5.01</v>
      </c>
      <c r="K169" s="107">
        <v>0.96744127539284797</v>
      </c>
      <c r="L169" s="107">
        <v>1.5014790126556401E-2</v>
      </c>
      <c r="M169" s="107">
        <v>0.81712691761455403</v>
      </c>
      <c r="N169" s="107">
        <v>4.1490569327775298E-2</v>
      </c>
    </row>
    <row r="170" spans="1:14">
      <c r="A170" s="14">
        <v>43626</v>
      </c>
      <c r="B170" s="107">
        <v>840</v>
      </c>
      <c r="C170" s="107">
        <v>840</v>
      </c>
      <c r="D170" s="107">
        <v>2780</v>
      </c>
      <c r="E170" s="107">
        <v>2780</v>
      </c>
      <c r="F170" s="107">
        <v>0.30215827338129497</v>
      </c>
      <c r="G170" s="107">
        <v>0.32007912578611097</v>
      </c>
      <c r="H170" s="107">
        <v>1.80703562445278E-2</v>
      </c>
      <c r="I170" s="107">
        <v>-0.99172656932223202</v>
      </c>
      <c r="J170" s="107">
        <v>-5.93</v>
      </c>
      <c r="K170" s="107">
        <v>0.96699939044538297</v>
      </c>
      <c r="L170" s="107">
        <v>1.46753268042697E-2</v>
      </c>
      <c r="M170" s="107">
        <v>0.813262580256778</v>
      </c>
      <c r="N170" s="107">
        <v>5.7213297997503E-2</v>
      </c>
    </row>
    <row r="171" spans="1:14">
      <c r="A171" s="14">
        <v>43623</v>
      </c>
      <c r="B171" s="107">
        <v>820</v>
      </c>
      <c r="C171" s="107">
        <v>826</v>
      </c>
      <c r="D171" s="107">
        <v>2740</v>
      </c>
      <c r="E171" s="107">
        <v>2738</v>
      </c>
      <c r="F171" s="107">
        <v>0.301680058436815</v>
      </c>
      <c r="G171" s="107">
        <v>0.32060148330292498</v>
      </c>
      <c r="H171" s="107">
        <v>1.8110964542479902E-2</v>
      </c>
      <c r="I171" s="107">
        <v>-1.0447497051705601</v>
      </c>
      <c r="J171" s="107">
        <v>-6.27</v>
      </c>
      <c r="K171" s="107">
        <v>0.96637938262327505</v>
      </c>
      <c r="L171" s="107">
        <v>1.32715863152164E-2</v>
      </c>
      <c r="M171" s="107">
        <v>0.80960146287921997</v>
      </c>
      <c r="N171" s="107">
        <v>3.4939687630059703E-2</v>
      </c>
    </row>
    <row r="172" spans="1:14">
      <c r="A172" s="14">
        <v>43622</v>
      </c>
      <c r="B172" s="107">
        <v>836</v>
      </c>
      <c r="C172" s="107">
        <v>820</v>
      </c>
      <c r="D172" s="107">
        <v>2750.5</v>
      </c>
      <c r="E172" s="107">
        <v>2740.5</v>
      </c>
      <c r="F172" s="107">
        <v>0.29921547162926398</v>
      </c>
      <c r="G172" s="107">
        <v>0.32115977784754901</v>
      </c>
      <c r="H172" s="107">
        <v>1.8164384030118601E-2</v>
      </c>
      <c r="I172" s="107">
        <v>-1.20809525838576</v>
      </c>
      <c r="J172" s="107">
        <v>-7.33</v>
      </c>
      <c r="K172" s="107">
        <v>0.96578102606485305</v>
      </c>
      <c r="L172" s="107">
        <v>6.0412857474924997E-3</v>
      </c>
      <c r="M172" s="107">
        <v>0.80586062932987002</v>
      </c>
      <c r="N172" s="107">
        <v>3.29039192703992E-2</v>
      </c>
    </row>
    <row r="173" spans="1:14">
      <c r="A173" s="14">
        <v>43621</v>
      </c>
      <c r="B173" s="107">
        <v>847</v>
      </c>
      <c r="C173" s="107">
        <v>851</v>
      </c>
      <c r="D173" s="107">
        <v>2801</v>
      </c>
      <c r="E173" s="107">
        <v>2795</v>
      </c>
      <c r="F173" s="107">
        <v>0.30447227191413201</v>
      </c>
      <c r="G173" s="107">
        <v>0.32182560545746403</v>
      </c>
      <c r="H173" s="107">
        <v>1.8262769541494899E-2</v>
      </c>
      <c r="I173" s="107">
        <v>-0.95020273370383801</v>
      </c>
      <c r="J173" s="107">
        <v>-5.7</v>
      </c>
      <c r="K173" s="107">
        <v>0.96567195962365904</v>
      </c>
      <c r="L173" s="107">
        <v>3.3022923193718498E-3</v>
      </c>
      <c r="M173" s="107">
        <v>0.80302914265553305</v>
      </c>
      <c r="N173" s="107">
        <v>3.5745399241698901E-2</v>
      </c>
    </row>
    <row r="174" spans="1:14">
      <c r="A174" s="14">
        <v>43620</v>
      </c>
      <c r="B174" s="107">
        <v>807</v>
      </c>
      <c r="C174" s="107">
        <v>821</v>
      </c>
      <c r="D174" s="107">
        <v>2659.5</v>
      </c>
      <c r="E174" s="107">
        <v>2717</v>
      </c>
      <c r="F174" s="107">
        <v>0.30217151269782799</v>
      </c>
      <c r="G174" s="107">
        <v>0.32233571148283302</v>
      </c>
      <c r="H174" s="107">
        <v>1.8305192567987499E-2</v>
      </c>
      <c r="I174" s="107">
        <v>-1.10155622291942</v>
      </c>
      <c r="J174" s="107">
        <v>-6.67</v>
      </c>
      <c r="K174" s="107">
        <v>0.96601084589591102</v>
      </c>
      <c r="L174" s="107">
        <v>5.4059134459516099E-4</v>
      </c>
      <c r="M174" s="107">
        <v>0.798224925790321</v>
      </c>
      <c r="N174" s="107">
        <v>4.2192509103818103E-2</v>
      </c>
    </row>
    <row r="175" spans="1:14">
      <c r="A175" s="14">
        <v>43619</v>
      </c>
      <c r="B175" s="107">
        <v>788</v>
      </c>
      <c r="C175" s="107">
        <v>793</v>
      </c>
      <c r="D175" s="107">
        <v>2615.5</v>
      </c>
      <c r="E175" s="107">
        <v>2659.5</v>
      </c>
      <c r="F175" s="107">
        <v>0.29817634893777001</v>
      </c>
      <c r="G175" s="107">
        <v>0.32288148593933402</v>
      </c>
      <c r="H175" s="107">
        <v>1.83060707889778E-2</v>
      </c>
      <c r="I175" s="107">
        <v>-1.34955978737059</v>
      </c>
      <c r="J175" s="107">
        <v>-8.2899999999999991</v>
      </c>
      <c r="K175" s="107">
        <v>0.96659200564243897</v>
      </c>
      <c r="L175" s="107">
        <v>2.6622281945683701E-3</v>
      </c>
      <c r="M175" s="107">
        <v>0.790169910519124</v>
      </c>
      <c r="N175" s="107">
        <v>0.23562127874761701</v>
      </c>
    </row>
    <row r="176" spans="1:14">
      <c r="A176" s="14">
        <v>43616</v>
      </c>
      <c r="B176" s="107">
        <v>805</v>
      </c>
      <c r="C176" s="107">
        <v>798</v>
      </c>
      <c r="D176" s="107">
        <v>2700</v>
      </c>
      <c r="E176" s="107">
        <v>2651</v>
      </c>
      <c r="F176" s="107">
        <v>0.30101848359109701</v>
      </c>
      <c r="G176" s="107">
        <v>0.32350986498809298</v>
      </c>
      <c r="H176" s="107">
        <v>1.8256053891630101E-2</v>
      </c>
      <c r="I176" s="107">
        <v>-1.23199578235839</v>
      </c>
      <c r="J176" s="107">
        <v>-7.47</v>
      </c>
      <c r="K176" s="107">
        <v>0.96885276058157799</v>
      </c>
      <c r="L176" s="107">
        <v>9.5548074437643699E-4</v>
      </c>
      <c r="M176" s="107">
        <v>0.78223083931097104</v>
      </c>
      <c r="N176" s="107">
        <v>0.17960271183875301</v>
      </c>
    </row>
    <row r="177" spans="1:14">
      <c r="A177" s="14">
        <v>43615</v>
      </c>
      <c r="B177" s="107">
        <v>804</v>
      </c>
      <c r="C177" s="107">
        <v>816</v>
      </c>
      <c r="D177" s="107">
        <v>2745.5</v>
      </c>
      <c r="E177" s="107">
        <v>2769</v>
      </c>
      <c r="F177" s="107">
        <v>0.29469122426868899</v>
      </c>
      <c r="G177" s="107">
        <v>0.32405860784385698</v>
      </c>
      <c r="H177" s="107">
        <v>1.81901709554372E-2</v>
      </c>
      <c r="I177" s="107">
        <v>-1.61446440757009</v>
      </c>
      <c r="J177" s="107">
        <v>-9.9700000000000006</v>
      </c>
      <c r="K177" s="107">
        <v>0.96746997013707503</v>
      </c>
      <c r="L177" s="107">
        <v>9.6774069232210104E-4</v>
      </c>
      <c r="M177" s="107">
        <v>0.77564039220635494</v>
      </c>
      <c r="N177" s="107">
        <v>0.17617188456364</v>
      </c>
    </row>
    <row r="178" spans="1:14">
      <c r="A178" s="14">
        <v>43614</v>
      </c>
      <c r="B178" s="107">
        <v>804</v>
      </c>
      <c r="C178" s="107">
        <v>805</v>
      </c>
      <c r="D178" s="107">
        <v>2748</v>
      </c>
      <c r="E178" s="107">
        <v>2759</v>
      </c>
      <c r="F178" s="107">
        <v>0.29177238129757099</v>
      </c>
      <c r="G178" s="107">
        <v>0.32455255031125002</v>
      </c>
      <c r="H178" s="107">
        <v>1.7886452457125401E-2</v>
      </c>
      <c r="I178" s="107">
        <v>-1.83268141585112</v>
      </c>
      <c r="J178" s="107">
        <v>-11.23</v>
      </c>
      <c r="K178" s="107">
        <v>0.96555224090064895</v>
      </c>
      <c r="L178" s="107">
        <v>1.0276496361963799E-3</v>
      </c>
      <c r="M178" s="107">
        <v>0.76874629451224197</v>
      </c>
      <c r="N178" s="107">
        <v>0.17246870209785101</v>
      </c>
    </row>
    <row r="179" spans="1:14">
      <c r="A179" s="14">
        <v>43613</v>
      </c>
      <c r="B179" s="107">
        <v>807</v>
      </c>
      <c r="C179" s="107">
        <v>814</v>
      </c>
      <c r="D179" s="107">
        <v>2762</v>
      </c>
      <c r="E179" s="107">
        <v>2770</v>
      </c>
      <c r="F179" s="107">
        <v>0.29386281588447599</v>
      </c>
      <c r="G179" s="107">
        <v>0.32485331506806298</v>
      </c>
      <c r="H179" s="107">
        <v>1.7518588437977801E-2</v>
      </c>
      <c r="I179" s="107">
        <v>-1.7690066350553399</v>
      </c>
      <c r="J179" s="107">
        <v>-10.55</v>
      </c>
      <c r="K179" s="107">
        <v>0.96360197053294105</v>
      </c>
      <c r="L179" s="107">
        <v>1.21139932983181E-3</v>
      </c>
      <c r="M179" s="107">
        <v>0.76153883174881098</v>
      </c>
      <c r="N179" s="107">
        <v>0.186520012293799</v>
      </c>
    </row>
    <row r="180" spans="1:14">
      <c r="A180" s="14">
        <v>43612</v>
      </c>
      <c r="B180" s="107">
        <v>813</v>
      </c>
      <c r="C180" s="107">
        <v>809</v>
      </c>
      <c r="D180" s="107">
        <v>2765.5</v>
      </c>
      <c r="E180" s="107">
        <v>2759</v>
      </c>
      <c r="F180" s="107">
        <v>0.29322218194998101</v>
      </c>
      <c r="G180" s="107">
        <v>0.32507590544947801</v>
      </c>
      <c r="H180" s="107">
        <v>1.7227042873247299E-2</v>
      </c>
      <c r="I180" s="107">
        <v>-1.84905347562369</v>
      </c>
      <c r="J180" s="107">
        <v>-10.86</v>
      </c>
      <c r="K180" s="107">
        <v>0.96125758202128297</v>
      </c>
      <c r="L180" s="107">
        <v>1.1339287011987E-3</v>
      </c>
      <c r="M180" s="107">
        <v>0.75548358244432301</v>
      </c>
      <c r="N180" s="107">
        <v>0.140273704520437</v>
      </c>
    </row>
    <row r="181" spans="1:14">
      <c r="A181" s="14">
        <v>43609</v>
      </c>
      <c r="B181" s="107">
        <v>809</v>
      </c>
      <c r="C181" s="107">
        <v>815</v>
      </c>
      <c r="D181" s="107">
        <v>2771</v>
      </c>
      <c r="E181" s="107">
        <v>2790</v>
      </c>
      <c r="F181" s="107">
        <v>0.292114695340501</v>
      </c>
      <c r="G181" s="107">
        <v>0.32527611899797199</v>
      </c>
      <c r="H181" s="107">
        <v>1.6940550065968601E-2</v>
      </c>
      <c r="I181" s="107">
        <v>-1.95751752619221</v>
      </c>
      <c r="J181" s="107">
        <v>-11.35</v>
      </c>
      <c r="K181" s="107">
        <v>0.95973724823183804</v>
      </c>
      <c r="L181" s="107">
        <v>8.2034252912697601E-4</v>
      </c>
      <c r="M181" s="107">
        <v>0.75070987325676597</v>
      </c>
      <c r="N181" s="107">
        <v>0.101348818985236</v>
      </c>
    </row>
    <row r="182" spans="1:14">
      <c r="A182" s="14">
        <v>43608</v>
      </c>
      <c r="B182" s="107">
        <v>812</v>
      </c>
      <c r="C182" s="107">
        <v>808</v>
      </c>
      <c r="D182" s="107">
        <v>2807.5</v>
      </c>
      <c r="E182" s="107">
        <v>2806.5</v>
      </c>
      <c r="F182" s="107">
        <v>0.28790308213076699</v>
      </c>
      <c r="G182" s="107">
        <v>0.32551479517103798</v>
      </c>
      <c r="H182" s="107">
        <v>1.6594217682892501E-2</v>
      </c>
      <c r="I182" s="107">
        <v>-2.2665553603678301</v>
      </c>
      <c r="J182" s="107">
        <v>-13.06</v>
      </c>
      <c r="K182" s="107">
        <v>0.95696130542755398</v>
      </c>
      <c r="L182" s="107">
        <v>5.8715072116342503E-4</v>
      </c>
      <c r="M182" s="107">
        <v>0.74713008185944196</v>
      </c>
      <c r="N182" s="107">
        <v>0.102198237679785</v>
      </c>
    </row>
    <row r="183" spans="1:14">
      <c r="A183" s="14">
        <v>43607</v>
      </c>
      <c r="B183" s="107">
        <v>823</v>
      </c>
      <c r="C183" s="107">
        <v>823</v>
      </c>
      <c r="D183" s="107">
        <v>2843.5</v>
      </c>
      <c r="E183" s="107">
        <v>2831.5</v>
      </c>
      <c r="F183" s="107">
        <v>0.29065866148684399</v>
      </c>
      <c r="G183" s="107">
        <v>0.32583198484519199</v>
      </c>
      <c r="H183" s="107">
        <v>1.6092018329434101E-2</v>
      </c>
      <c r="I183" s="107">
        <v>-2.1857620739849599</v>
      </c>
      <c r="J183" s="107">
        <v>-12.1</v>
      </c>
      <c r="K183" s="107">
        <v>0.95446363311238902</v>
      </c>
      <c r="L183" s="107">
        <v>3.6905419205610898E-4</v>
      </c>
      <c r="M183" s="107">
        <v>0.74541957916006196</v>
      </c>
      <c r="N183" s="107">
        <v>8.5779542420319294E-2</v>
      </c>
    </row>
    <row r="184" spans="1:14">
      <c r="A184" s="14">
        <v>43606</v>
      </c>
      <c r="B184" s="107">
        <v>804</v>
      </c>
      <c r="C184" s="107">
        <v>816</v>
      </c>
      <c r="D184" s="107">
        <v>2809</v>
      </c>
      <c r="E184" s="107">
        <v>2832.5</v>
      </c>
      <c r="F184" s="107">
        <v>0.28808473080317698</v>
      </c>
      <c r="G184" s="107">
        <v>0.32610721122081898</v>
      </c>
      <c r="H184" s="107">
        <v>1.5658776088242701E-2</v>
      </c>
      <c r="I184" s="107">
        <v>-2.4281898025344799</v>
      </c>
      <c r="J184" s="107">
        <v>-13.2</v>
      </c>
      <c r="K184" s="107">
        <v>0.95214149474863996</v>
      </c>
      <c r="L184" s="107">
        <v>1.1172663911530999E-2</v>
      </c>
      <c r="M184" s="107">
        <v>0.74431120270059303</v>
      </c>
      <c r="N184" s="107">
        <v>7.0811557186484103E-2</v>
      </c>
    </row>
    <row r="185" spans="1:14">
      <c r="A185" s="14">
        <v>43605</v>
      </c>
      <c r="B185" s="107">
        <v>812</v>
      </c>
      <c r="C185" s="107">
        <v>810</v>
      </c>
      <c r="D185" s="107">
        <v>2828.5</v>
      </c>
      <c r="E185" s="107">
        <v>2829.5</v>
      </c>
      <c r="F185" s="107">
        <v>0.28626965895034401</v>
      </c>
      <c r="G185" s="107">
        <v>0.32643429421641801</v>
      </c>
      <c r="H185" s="107">
        <v>1.51076476711714E-2</v>
      </c>
      <c r="I185" s="107">
        <v>-2.6585631423425502</v>
      </c>
      <c r="J185" s="107">
        <v>-14.03</v>
      </c>
      <c r="K185" s="107">
        <v>0.94813124855240805</v>
      </c>
      <c r="L185" s="107">
        <v>1.26174059920213E-2</v>
      </c>
      <c r="M185" s="107">
        <v>0.74309998878429895</v>
      </c>
      <c r="N185" s="107">
        <v>8.1605092011366107E-2</v>
      </c>
    </row>
    <row r="186" spans="1:14">
      <c r="A186" s="14">
        <v>43602</v>
      </c>
      <c r="B186" s="107">
        <v>816</v>
      </c>
      <c r="C186" s="107">
        <v>817</v>
      </c>
      <c r="D186" s="107">
        <v>2814.5</v>
      </c>
      <c r="E186" s="107">
        <v>2812</v>
      </c>
      <c r="F186" s="107">
        <v>0.29054054054054002</v>
      </c>
      <c r="G186" s="107">
        <v>0.32671390008387802</v>
      </c>
      <c r="H186" s="107">
        <v>1.45453003210449E-2</v>
      </c>
      <c r="I186" s="107">
        <v>-2.4869448375019698</v>
      </c>
      <c r="J186" s="107">
        <v>-12.45</v>
      </c>
      <c r="K186" s="107">
        <v>0.901370123518763</v>
      </c>
      <c r="L186" s="107">
        <v>0.49517772412154698</v>
      </c>
      <c r="M186" s="107">
        <v>0.74021172107775302</v>
      </c>
      <c r="N186" s="107">
        <v>8.9226226437251505E-2</v>
      </c>
    </row>
    <row r="187" spans="1:14">
      <c r="A187" s="14">
        <v>43601</v>
      </c>
      <c r="B187" s="107">
        <v>823</v>
      </c>
      <c r="C187" s="107">
        <v>817</v>
      </c>
      <c r="D187" s="107">
        <v>2825</v>
      </c>
      <c r="E187" s="107">
        <v>2788</v>
      </c>
      <c r="F187" s="107">
        <v>0.29304160688665698</v>
      </c>
      <c r="G187" s="107">
        <v>0.32695652307117601</v>
      </c>
      <c r="H187" s="107">
        <v>1.40843481196978E-2</v>
      </c>
      <c r="I187" s="107">
        <v>-2.40798621961686</v>
      </c>
      <c r="J187" s="107">
        <v>-11.57</v>
      </c>
      <c r="K187" s="107">
        <v>0.88639352904578295</v>
      </c>
      <c r="L187" s="107">
        <v>0.29856749141553401</v>
      </c>
      <c r="M187" s="107">
        <v>0.73674970282860996</v>
      </c>
      <c r="N187" s="107">
        <v>7.5880428414147702E-2</v>
      </c>
    </row>
    <row r="188" spans="1:14">
      <c r="A188" s="14">
        <v>43600</v>
      </c>
      <c r="B188" s="107">
        <v>823</v>
      </c>
      <c r="C188" s="107">
        <v>822</v>
      </c>
      <c r="D188" s="107">
        <v>2796</v>
      </c>
      <c r="E188" s="107">
        <v>2805</v>
      </c>
      <c r="F188" s="107">
        <v>0.29304812834224597</v>
      </c>
      <c r="G188" s="107">
        <v>0.32718538963039701</v>
      </c>
      <c r="H188" s="107">
        <v>1.3664589066371E-2</v>
      </c>
      <c r="I188" s="107">
        <v>-2.4982281664191599</v>
      </c>
      <c r="J188" s="107">
        <v>-11.65</v>
      </c>
      <c r="K188" s="107">
        <v>0.86780083427294297</v>
      </c>
      <c r="L188" s="107">
        <v>0.120279118274082</v>
      </c>
      <c r="M188" s="107">
        <v>0.73381395002909</v>
      </c>
      <c r="N188" s="107">
        <v>6.7836356679389101E-2</v>
      </c>
    </row>
    <row r="189" spans="1:14">
      <c r="A189" s="14">
        <v>43599</v>
      </c>
      <c r="B189" s="107">
        <v>814</v>
      </c>
      <c r="C189" s="107">
        <v>822</v>
      </c>
      <c r="D189" s="107">
        <v>2781.5</v>
      </c>
      <c r="E189" s="107">
        <v>2803</v>
      </c>
      <c r="F189" s="107">
        <v>0.29325722440242502</v>
      </c>
      <c r="G189" s="107">
        <v>0.32736724662315903</v>
      </c>
      <c r="H189" s="107">
        <v>1.32948155483716E-2</v>
      </c>
      <c r="I189" s="107">
        <v>-2.5656634420107398</v>
      </c>
      <c r="J189" s="107">
        <v>-11.63</v>
      </c>
      <c r="K189" s="107">
        <v>0.81416224174447804</v>
      </c>
      <c r="L189" s="107">
        <v>0.75206759640086496</v>
      </c>
      <c r="M189" s="107">
        <v>0.729515993963329</v>
      </c>
      <c r="N189" s="107">
        <v>3.6460006104470401E-2</v>
      </c>
    </row>
    <row r="190" spans="1:14">
      <c r="A190" s="14">
        <v>43598</v>
      </c>
      <c r="B190" s="107">
        <v>836</v>
      </c>
      <c r="C190" s="107">
        <v>805</v>
      </c>
      <c r="D190" s="107">
        <v>2832.5</v>
      </c>
      <c r="E190" s="107">
        <v>2816.5</v>
      </c>
      <c r="F190" s="107">
        <v>0.28581572874134498</v>
      </c>
      <c r="G190" s="107">
        <v>0.32758274813518101</v>
      </c>
      <c r="H190" s="107">
        <v>1.2864183785318801E-2</v>
      </c>
      <c r="I190" s="107">
        <v>-3.2467679326458501</v>
      </c>
      <c r="J190" s="107">
        <v>-14.61</v>
      </c>
      <c r="K190" s="107">
        <v>0.76350016470524795</v>
      </c>
      <c r="L190" s="107">
        <v>0.15486224451059</v>
      </c>
      <c r="M190" s="107">
        <v>0.72539464760055505</v>
      </c>
      <c r="N190" s="107">
        <v>0.19968353257098101</v>
      </c>
    </row>
    <row r="191" spans="1:14">
      <c r="A191" s="14">
        <v>43595</v>
      </c>
      <c r="B191" s="107">
        <v>896</v>
      </c>
      <c r="C191" s="107">
        <v>896</v>
      </c>
      <c r="D191" s="107">
        <v>2883.5</v>
      </c>
      <c r="E191" s="107">
        <v>2832</v>
      </c>
      <c r="F191" s="107">
        <v>0.31638418079095998</v>
      </c>
      <c r="G191" s="107">
        <v>0.32789232865746698</v>
      </c>
      <c r="H191" s="107">
        <v>1.2112756931828599E-2</v>
      </c>
      <c r="I191" s="107">
        <v>-0.95008493370052205</v>
      </c>
      <c r="J191" s="107">
        <v>-3.64</v>
      </c>
      <c r="K191" s="107">
        <v>0.67120826120812005</v>
      </c>
      <c r="L191" s="107">
        <v>0.53730996654786101</v>
      </c>
      <c r="M191" s="107">
        <v>0.72504468491412</v>
      </c>
      <c r="N191" s="107">
        <v>0.184932687597784</v>
      </c>
    </row>
    <row r="192" spans="1:14">
      <c r="A192" s="14">
        <v>43594</v>
      </c>
      <c r="B192" s="107">
        <v>928</v>
      </c>
      <c r="C192" s="107">
        <v>908</v>
      </c>
      <c r="D192" s="107">
        <v>2977.5</v>
      </c>
      <c r="E192" s="107">
        <v>2849.5</v>
      </c>
      <c r="F192" s="107">
        <v>0.31865239515704502</v>
      </c>
      <c r="G192" s="107">
        <v>0.32783251431360799</v>
      </c>
      <c r="H192" s="107">
        <v>1.2180325900443E-2</v>
      </c>
      <c r="I192" s="107">
        <v>-0.75368419791047103</v>
      </c>
      <c r="J192" s="107">
        <v>-2.88</v>
      </c>
      <c r="K192" s="107">
        <v>0.60641774024402895</v>
      </c>
      <c r="L192" s="107">
        <v>0.49323687950044698</v>
      </c>
      <c r="M192" s="107">
        <v>0.72409897073853802</v>
      </c>
      <c r="N192" s="107">
        <v>0.19269028592727599</v>
      </c>
    </row>
    <row r="193" spans="1:14">
      <c r="A193" s="14">
        <v>43593</v>
      </c>
      <c r="B193" s="107">
        <v>950</v>
      </c>
      <c r="C193" s="107">
        <v>938</v>
      </c>
      <c r="D193" s="107">
        <v>3054</v>
      </c>
      <c r="E193" s="107">
        <v>2989.5</v>
      </c>
      <c r="F193" s="107">
        <v>0.31376484361933399</v>
      </c>
      <c r="G193" s="107">
        <v>0.32772682307218698</v>
      </c>
      <c r="H193" s="107">
        <v>1.22933918293965E-2</v>
      </c>
      <c r="I193" s="107">
        <v>-1.13573045149889</v>
      </c>
      <c r="J193" s="107">
        <v>-4.45</v>
      </c>
      <c r="K193" s="107">
        <v>0.58526998425168397</v>
      </c>
      <c r="L193" s="107">
        <v>0.76998623590595505</v>
      </c>
      <c r="M193" s="107">
        <v>0.72571832575398199</v>
      </c>
      <c r="N193" s="107">
        <v>0.189698477393138</v>
      </c>
    </row>
    <row r="194" spans="1:14">
      <c r="A194" s="14">
        <v>43592</v>
      </c>
      <c r="B194" s="107">
        <v>980</v>
      </c>
      <c r="C194" s="107">
        <v>964</v>
      </c>
      <c r="D194" s="107">
        <v>3094</v>
      </c>
      <c r="E194" s="107">
        <v>3077</v>
      </c>
      <c r="F194" s="107">
        <v>0.31329216769580698</v>
      </c>
      <c r="G194" s="107">
        <v>0.32776946306787103</v>
      </c>
      <c r="H194" s="107">
        <v>1.22503612072059E-2</v>
      </c>
      <c r="I194" s="107">
        <v>-1.1817851838971301</v>
      </c>
      <c r="J194" s="107">
        <v>-4.62</v>
      </c>
      <c r="K194" s="107">
        <v>0.59206686829424904</v>
      </c>
      <c r="L194" s="107">
        <v>0.74548980281574795</v>
      </c>
      <c r="M194" s="107">
        <v>0.73040215504612305</v>
      </c>
      <c r="N194" s="107">
        <v>0.22308449574360401</v>
      </c>
    </row>
    <row r="195" spans="1:14">
      <c r="A195" s="14">
        <v>43581</v>
      </c>
      <c r="B195" s="107">
        <v>1008</v>
      </c>
      <c r="C195" s="107">
        <v>1000</v>
      </c>
      <c r="D195" s="107">
        <v>3100</v>
      </c>
      <c r="E195" s="107">
        <v>3101</v>
      </c>
      <c r="F195" s="107">
        <v>0.32247662044501701</v>
      </c>
      <c r="G195" s="107">
        <v>0.32781331824549997</v>
      </c>
      <c r="H195" s="107">
        <v>1.22042559566544E-2</v>
      </c>
      <c r="I195" s="107">
        <v>-0.43728170069822597</v>
      </c>
      <c r="J195" s="107">
        <v>-1.65</v>
      </c>
      <c r="K195" s="107">
        <v>0.38617493629495198</v>
      </c>
      <c r="L195" s="107">
        <v>0.67994824301999501</v>
      </c>
      <c r="M195" s="107">
        <v>0.74965035567331095</v>
      </c>
      <c r="N195" s="107">
        <v>0.19469030631322301</v>
      </c>
    </row>
    <row r="196" spans="1:14">
      <c r="A196" s="14">
        <v>43580</v>
      </c>
      <c r="B196" s="107">
        <v>1047</v>
      </c>
      <c r="C196" s="107">
        <v>1028</v>
      </c>
      <c r="D196" s="107">
        <v>3088</v>
      </c>
      <c r="E196" s="107">
        <v>3105</v>
      </c>
      <c r="F196" s="107">
        <v>0.33107890499194798</v>
      </c>
      <c r="G196" s="107">
        <v>0.32769434765556299</v>
      </c>
      <c r="H196" s="107">
        <v>1.22988243227062E-2</v>
      </c>
      <c r="I196" s="107">
        <v>0.27519356709054099</v>
      </c>
      <c r="J196" s="107">
        <v>1.02</v>
      </c>
      <c r="K196" s="107">
        <v>0.38601505996632401</v>
      </c>
      <c r="L196" s="107">
        <v>0.652157166325675</v>
      </c>
      <c r="M196" s="107">
        <v>0.75203184321380101</v>
      </c>
      <c r="N196" s="107">
        <v>0.20568278014635299</v>
      </c>
    </row>
    <row r="197" spans="1:14">
      <c r="A197" s="14">
        <v>43579</v>
      </c>
      <c r="B197" s="107">
        <v>1065</v>
      </c>
      <c r="C197" s="107">
        <v>1043</v>
      </c>
      <c r="D197" s="107">
        <v>3172</v>
      </c>
      <c r="E197" s="107">
        <v>3094</v>
      </c>
      <c r="F197" s="107">
        <v>0.33710407239819001</v>
      </c>
      <c r="G197" s="107">
        <v>0.32759355654584499</v>
      </c>
      <c r="H197" s="107">
        <v>1.2301648990203499E-2</v>
      </c>
      <c r="I197" s="107">
        <v>0.77310902464525999</v>
      </c>
      <c r="J197" s="107">
        <v>2.82</v>
      </c>
      <c r="K197" s="107">
        <v>0.368534227081453</v>
      </c>
      <c r="L197" s="107">
        <v>0.61013226506212304</v>
      </c>
      <c r="M197" s="107">
        <v>0.75513817984368103</v>
      </c>
      <c r="N197" s="107">
        <v>0.19689251313304301</v>
      </c>
    </row>
    <row r="198" spans="1:14">
      <c r="A198" s="14">
        <v>43578</v>
      </c>
      <c r="B198" s="107">
        <v>1078</v>
      </c>
      <c r="C198" s="107">
        <v>1073</v>
      </c>
      <c r="D198" s="107">
        <v>3180</v>
      </c>
      <c r="E198" s="107">
        <v>3182</v>
      </c>
      <c r="F198" s="107">
        <v>0.337209302325581</v>
      </c>
      <c r="G198" s="107">
        <v>0.32740528253052098</v>
      </c>
      <c r="H198" s="107">
        <v>1.2262646028575699E-2</v>
      </c>
      <c r="I198" s="107">
        <v>0.799502796722107</v>
      </c>
      <c r="J198" s="107">
        <v>2.91</v>
      </c>
      <c r="K198" s="107">
        <v>0.3344453300679</v>
      </c>
      <c r="L198" s="107">
        <v>2.9365912520684899E-2</v>
      </c>
      <c r="M198" s="107">
        <v>0.75898550368957896</v>
      </c>
      <c r="N198" s="107">
        <v>0.18133367595192099</v>
      </c>
    </row>
    <row r="199" spans="1:14">
      <c r="A199" s="14">
        <v>43577</v>
      </c>
      <c r="B199" s="107">
        <v>1070</v>
      </c>
      <c r="C199" s="107">
        <v>1075</v>
      </c>
      <c r="D199" s="107">
        <v>3197</v>
      </c>
      <c r="E199" s="107">
        <v>3167</v>
      </c>
      <c r="F199" s="107">
        <v>0.33943795389958897</v>
      </c>
      <c r="G199" s="107">
        <v>0.32735437068354101</v>
      </c>
      <c r="H199" s="107">
        <v>1.22297185293449E-2</v>
      </c>
      <c r="I199" s="107">
        <v>0.98805080321791205</v>
      </c>
      <c r="J199" s="107">
        <v>3.56</v>
      </c>
      <c r="K199" s="107">
        <v>0.28881137532934797</v>
      </c>
      <c r="L199" s="107">
        <v>4.3949832197865198E-2</v>
      </c>
      <c r="M199" s="107">
        <v>0.76191949636718204</v>
      </c>
      <c r="N199" s="107">
        <v>0.18664052210966001</v>
      </c>
    </row>
    <row r="200" spans="1:14">
      <c r="A200" s="14">
        <v>43574</v>
      </c>
      <c r="B200" s="107">
        <v>1079</v>
      </c>
      <c r="C200" s="107">
        <v>1076</v>
      </c>
      <c r="D200" s="107">
        <v>3205</v>
      </c>
      <c r="E200" s="107">
        <v>3198</v>
      </c>
      <c r="F200" s="107">
        <v>0.33646028767979902</v>
      </c>
      <c r="G200" s="107">
        <v>0.32723384805982197</v>
      </c>
      <c r="H200" s="107">
        <v>1.21543501270135E-2</v>
      </c>
      <c r="I200" s="107">
        <v>0.75910595988769203</v>
      </c>
      <c r="J200" s="107">
        <v>2.74</v>
      </c>
      <c r="K200" s="107">
        <v>0.22272415375422699</v>
      </c>
      <c r="L200" s="107">
        <v>2.1286727959778099E-2</v>
      </c>
      <c r="M200" s="107">
        <v>0.76497631837271396</v>
      </c>
      <c r="N200" s="107">
        <v>0.19171383935738001</v>
      </c>
    </row>
    <row r="201" spans="1:14">
      <c r="A201" s="14">
        <v>43573</v>
      </c>
      <c r="B201" s="107">
        <v>1075</v>
      </c>
      <c r="C201" s="107">
        <v>1068</v>
      </c>
      <c r="D201" s="107">
        <v>3190</v>
      </c>
      <c r="E201" s="107">
        <v>3214</v>
      </c>
      <c r="F201" s="107">
        <v>0.33229620410703098</v>
      </c>
      <c r="G201" s="107">
        <v>0.32706192983736898</v>
      </c>
      <c r="H201" s="107">
        <v>1.2113751507175601E-2</v>
      </c>
      <c r="I201" s="107">
        <v>0.43209358113062102</v>
      </c>
      <c r="J201" s="107">
        <v>1.58</v>
      </c>
      <c r="K201" s="107">
        <v>0.19632729773388299</v>
      </c>
      <c r="L201" s="107">
        <v>4.7597463169778302E-2</v>
      </c>
      <c r="M201" s="107">
        <v>0.76835595694844305</v>
      </c>
      <c r="N201" s="107">
        <v>0.18579804057315699</v>
      </c>
    </row>
    <row r="202" spans="1:14">
      <c r="A202" s="14">
        <v>43572</v>
      </c>
      <c r="B202" s="107">
        <v>1061</v>
      </c>
      <c r="C202" s="107">
        <v>1071</v>
      </c>
      <c r="D202" s="107">
        <v>3162</v>
      </c>
      <c r="E202" s="107">
        <v>3170</v>
      </c>
      <c r="F202" s="107">
        <v>0.33785488958990501</v>
      </c>
      <c r="G202" s="107">
        <v>0.32695642263601998</v>
      </c>
      <c r="H202" s="107">
        <v>1.2102157628486499E-2</v>
      </c>
      <c r="I202" s="107">
        <v>0.90053916734913997</v>
      </c>
      <c r="J202" s="107">
        <v>3.23</v>
      </c>
      <c r="K202" s="107">
        <v>0.15119344198627699</v>
      </c>
      <c r="L202" s="107">
        <v>7.0843257930537307E-2</v>
      </c>
      <c r="M202" s="107">
        <v>0.77077137671732399</v>
      </c>
      <c r="N202" s="107">
        <v>0.18953099588174199</v>
      </c>
    </row>
    <row r="203" spans="1:14">
      <c r="A203" s="14">
        <v>43571</v>
      </c>
      <c r="B203" s="107">
        <v>1057</v>
      </c>
      <c r="C203" s="107">
        <v>1054</v>
      </c>
      <c r="D203" s="107">
        <v>3091</v>
      </c>
      <c r="E203" s="107">
        <v>3138</v>
      </c>
      <c r="F203" s="107">
        <v>0.33588272785213502</v>
      </c>
      <c r="G203" s="107">
        <v>0.32676910762689498</v>
      </c>
      <c r="H203" s="107">
        <v>1.2040587939403999E-2</v>
      </c>
      <c r="I203" s="107">
        <v>0.75690823995519596</v>
      </c>
      <c r="J203" s="107">
        <v>2.71</v>
      </c>
      <c r="K203" s="107">
        <v>0.12558947129046399</v>
      </c>
      <c r="L203" s="107">
        <v>6.2068315113057999E-2</v>
      </c>
      <c r="M203" s="107">
        <v>0.77076118117363701</v>
      </c>
      <c r="N203" s="107">
        <v>0.21541724503913201</v>
      </c>
    </row>
    <row r="204" spans="1:14">
      <c r="A204" s="14">
        <v>43570</v>
      </c>
      <c r="B204" s="107">
        <v>1055</v>
      </c>
      <c r="C204" s="107">
        <v>1058</v>
      </c>
      <c r="D204" s="107">
        <v>3125</v>
      </c>
      <c r="E204" s="107">
        <v>3119</v>
      </c>
      <c r="F204" s="107">
        <v>0.33921128566848302</v>
      </c>
      <c r="G204" s="107">
        <v>0.32660016293344502</v>
      </c>
      <c r="H204" s="107">
        <v>1.2000353881244199E-2</v>
      </c>
      <c r="I204" s="107">
        <v>1.05089590355729</v>
      </c>
      <c r="J204" s="107">
        <v>3.72</v>
      </c>
      <c r="K204" s="107">
        <v>0.10488079945137301</v>
      </c>
      <c r="L204" s="107">
        <v>0.726601372920328</v>
      </c>
      <c r="M204" s="107">
        <v>0.77131905798457101</v>
      </c>
      <c r="N204" s="107">
        <v>0.22514628960080799</v>
      </c>
    </row>
    <row r="205" spans="1:14">
      <c r="A205" s="14">
        <v>43567</v>
      </c>
      <c r="B205" s="107">
        <v>1031</v>
      </c>
      <c r="C205" s="107">
        <v>1035</v>
      </c>
      <c r="D205" s="107">
        <v>3085</v>
      </c>
      <c r="E205" s="107">
        <v>3085</v>
      </c>
      <c r="F205" s="107">
        <v>0.33549432739059898</v>
      </c>
      <c r="G205" s="107">
        <v>0.32638759631083603</v>
      </c>
      <c r="H205" s="107">
        <v>1.19159869020747E-2</v>
      </c>
      <c r="I205" s="107">
        <v>0.76424480444651599</v>
      </c>
      <c r="J205" s="107">
        <v>2.71</v>
      </c>
      <c r="K205" s="107">
        <v>9.7984399381583903E-2</v>
      </c>
      <c r="L205" s="107">
        <v>0.66485890607641496</v>
      </c>
      <c r="M205" s="107">
        <v>0.77181809300861404</v>
      </c>
      <c r="N205" s="107">
        <v>0.21684082253689799</v>
      </c>
    </row>
    <row r="206" spans="1:14">
      <c r="A206" s="14">
        <v>43566</v>
      </c>
      <c r="B206" s="107">
        <v>1034</v>
      </c>
      <c r="C206" s="107">
        <v>1037</v>
      </c>
      <c r="D206" s="107">
        <v>3071</v>
      </c>
      <c r="E206" s="107">
        <v>3074</v>
      </c>
      <c r="F206" s="107">
        <v>0.337345478204294</v>
      </c>
      <c r="G206" s="107">
        <v>0.32636612196764497</v>
      </c>
      <c r="H206" s="107">
        <v>1.19009977154038E-2</v>
      </c>
      <c r="I206" s="107">
        <v>0.92255762913373296</v>
      </c>
      <c r="J206" s="107">
        <v>3.25</v>
      </c>
      <c r="K206" s="107">
        <v>0.102903409977843</v>
      </c>
      <c r="L206" s="107">
        <v>0.63538410451226701</v>
      </c>
      <c r="M206" s="107">
        <v>0.77101257227554798</v>
      </c>
      <c r="N206" s="107">
        <v>0.24120425412739199</v>
      </c>
    </row>
    <row r="207" spans="1:14">
      <c r="A207" s="14">
        <v>43565</v>
      </c>
      <c r="B207" s="107">
        <v>1042</v>
      </c>
      <c r="C207" s="107">
        <v>1045</v>
      </c>
      <c r="D207" s="107">
        <v>3110</v>
      </c>
      <c r="E207" s="107">
        <v>3111</v>
      </c>
      <c r="F207" s="107">
        <v>0.33590485374477602</v>
      </c>
      <c r="G207" s="107">
        <v>0.326305340728199</v>
      </c>
      <c r="H207" s="107">
        <v>1.1856325376454801E-2</v>
      </c>
      <c r="I207" s="107">
        <v>0.80965330418816905</v>
      </c>
      <c r="J207" s="107">
        <v>2.86</v>
      </c>
      <c r="K207" s="107">
        <v>9.0126095041173304E-2</v>
      </c>
      <c r="L207" s="107">
        <v>0.60937348735088104</v>
      </c>
      <c r="M207" s="107">
        <v>0.76977219925464502</v>
      </c>
      <c r="N207" s="107">
        <v>0.26444351399687399</v>
      </c>
    </row>
    <row r="208" spans="1:14">
      <c r="A208" s="14">
        <v>43564</v>
      </c>
      <c r="B208" s="107">
        <v>1053</v>
      </c>
      <c r="C208" s="107">
        <v>1056</v>
      </c>
      <c r="D208" s="107">
        <v>3127</v>
      </c>
      <c r="E208" s="107">
        <v>3144</v>
      </c>
      <c r="F208" s="107">
        <v>0.33587786259541902</v>
      </c>
      <c r="G208" s="107">
        <v>0.326305980661242</v>
      </c>
      <c r="H208" s="107">
        <v>1.1856844766950999E-2</v>
      </c>
      <c r="I208" s="107">
        <v>0.80728744639190797</v>
      </c>
      <c r="J208" s="107">
        <v>2.85</v>
      </c>
      <c r="K208" s="107">
        <v>8.3278321983637396E-2</v>
      </c>
      <c r="L208" s="107">
        <v>0.63656839709384005</v>
      </c>
      <c r="M208" s="107">
        <v>0.76913664106645896</v>
      </c>
      <c r="N208" s="107">
        <v>0.25890405526618998</v>
      </c>
    </row>
    <row r="209" spans="1:14">
      <c r="A209" s="14">
        <v>43563</v>
      </c>
      <c r="B209" s="107">
        <v>1060</v>
      </c>
      <c r="C209" s="107">
        <v>1050</v>
      </c>
      <c r="D209" s="107">
        <v>3168</v>
      </c>
      <c r="E209" s="107">
        <v>3131</v>
      </c>
      <c r="F209" s="107">
        <v>0.33535611625678602</v>
      </c>
      <c r="G209" s="107">
        <v>0.326297744034729</v>
      </c>
      <c r="H209" s="107">
        <v>1.18504053982867E-2</v>
      </c>
      <c r="I209" s="107">
        <v>0.76439344626700101</v>
      </c>
      <c r="J209" s="107">
        <v>2.7</v>
      </c>
      <c r="K209" s="107">
        <v>7.5492448243001095E-2</v>
      </c>
      <c r="L209" s="107">
        <v>0.54508514891648696</v>
      </c>
      <c r="M209" s="107">
        <v>0.76851431582275798</v>
      </c>
      <c r="N209" s="107">
        <v>0.24810712500957599</v>
      </c>
    </row>
    <row r="210" spans="1:14">
      <c r="A210" s="14">
        <v>43560</v>
      </c>
      <c r="B210" s="107">
        <v>1044</v>
      </c>
      <c r="C210" s="107">
        <v>1055</v>
      </c>
      <c r="D210" s="107">
        <v>3150</v>
      </c>
      <c r="E210" s="107">
        <v>3179</v>
      </c>
      <c r="F210" s="107">
        <v>0.33186536646744202</v>
      </c>
      <c r="G210" s="107">
        <v>0.32629528870138103</v>
      </c>
      <c r="H210" s="107">
        <v>1.18485472349114E-2</v>
      </c>
      <c r="I210" s="107">
        <v>0.47010638989133402</v>
      </c>
      <c r="J210" s="107">
        <v>1.68</v>
      </c>
      <c r="K210" s="107">
        <v>8.9534922936276296E-2</v>
      </c>
      <c r="L210" s="107">
        <v>0.72282167888821003</v>
      </c>
      <c r="M210" s="107">
        <v>0.76829354535078598</v>
      </c>
      <c r="N210" s="107">
        <v>0.24094758190245499</v>
      </c>
    </row>
    <row r="211" spans="1:14">
      <c r="A211" s="14">
        <v>43559</v>
      </c>
      <c r="B211" s="107">
        <v>1030</v>
      </c>
      <c r="C211" s="107">
        <v>1039</v>
      </c>
      <c r="D211" s="107">
        <v>3150</v>
      </c>
      <c r="E211" s="107">
        <v>3164</v>
      </c>
      <c r="F211" s="107">
        <v>0.32838179519595401</v>
      </c>
      <c r="G211" s="107">
        <v>0.32628838029534302</v>
      </c>
      <c r="H211" s="107">
        <v>1.18454481801937E-2</v>
      </c>
      <c r="I211" s="107">
        <v>0.176727369768228</v>
      </c>
      <c r="J211" s="107">
        <v>0.64</v>
      </c>
      <c r="K211" s="107">
        <v>7.91339143672984E-2</v>
      </c>
      <c r="L211" s="107">
        <v>0.76694478908837405</v>
      </c>
      <c r="M211" s="107">
        <v>0.76757872488386902</v>
      </c>
      <c r="N211" s="107">
        <v>0.25261336015131403</v>
      </c>
    </row>
    <row r="212" spans="1:14">
      <c r="A212" s="14">
        <v>43558</v>
      </c>
      <c r="B212" s="107">
        <v>1020</v>
      </c>
      <c r="C212" s="107">
        <v>1025</v>
      </c>
      <c r="D212" s="107">
        <v>3115</v>
      </c>
      <c r="E212" s="107">
        <v>3135</v>
      </c>
      <c r="F212" s="107">
        <v>0.326953748006379</v>
      </c>
      <c r="G212" s="107">
        <v>0.32633681645391199</v>
      </c>
      <c r="H212" s="107">
        <v>1.18613256042328E-2</v>
      </c>
      <c r="I212" s="107">
        <v>5.2012024039422698E-2</v>
      </c>
      <c r="J212" s="107">
        <v>0.19</v>
      </c>
      <c r="K212" s="107">
        <v>0.16353417399164</v>
      </c>
      <c r="L212" s="107">
        <v>0.90766010645837103</v>
      </c>
      <c r="M212" s="107">
        <v>0.76683968973558003</v>
      </c>
      <c r="N212" s="107">
        <v>0.24706013521898099</v>
      </c>
    </row>
    <row r="213" spans="1:14">
      <c r="A213" s="14">
        <v>43557</v>
      </c>
      <c r="B213" s="107">
        <v>1018</v>
      </c>
      <c r="C213" s="107">
        <v>1020</v>
      </c>
      <c r="D213" s="107">
        <v>3113</v>
      </c>
      <c r="E213" s="107">
        <v>3110</v>
      </c>
      <c r="F213" s="107">
        <v>0.32797427652733102</v>
      </c>
      <c r="G213" s="107">
        <v>0.32636715014867301</v>
      </c>
      <c r="H213" s="107">
        <v>1.1865772733422399E-2</v>
      </c>
      <c r="I213" s="107">
        <v>0.135442201259349</v>
      </c>
      <c r="J213" s="107">
        <v>0.49</v>
      </c>
      <c r="K213" s="107">
        <v>0.162878486993036</v>
      </c>
      <c r="L213" s="107">
        <v>0.90740049267368394</v>
      </c>
      <c r="M213" s="107">
        <v>0.766066248552141</v>
      </c>
      <c r="N213" s="107">
        <v>0.24371432380880101</v>
      </c>
    </row>
    <row r="214" spans="1:14">
      <c r="A214" s="14">
        <v>43556</v>
      </c>
      <c r="B214" s="107">
        <v>1017</v>
      </c>
      <c r="C214" s="107">
        <v>1019</v>
      </c>
      <c r="D214" s="107">
        <v>3040</v>
      </c>
      <c r="E214" s="107">
        <v>3075</v>
      </c>
      <c r="F214" s="107">
        <v>0.33138211382113802</v>
      </c>
      <c r="G214" s="107">
        <v>0.32647613446207502</v>
      </c>
      <c r="H214" s="107">
        <v>1.1917458061730101E-2</v>
      </c>
      <c r="I214" s="107">
        <v>0.41166323671129401</v>
      </c>
      <c r="J214" s="107">
        <v>1.48</v>
      </c>
      <c r="K214" s="107">
        <v>0.16468366443625301</v>
      </c>
      <c r="L214" s="107">
        <v>0.920338722953568</v>
      </c>
      <c r="M214" s="107">
        <v>0.76519591823629995</v>
      </c>
      <c r="N214" s="107">
        <v>0.24889016370050299</v>
      </c>
    </row>
    <row r="215" spans="1:14">
      <c r="A215" s="14">
        <v>43553</v>
      </c>
      <c r="B215" s="107">
        <v>993</v>
      </c>
      <c r="C215" s="107">
        <v>994</v>
      </c>
      <c r="D215" s="107">
        <v>3017</v>
      </c>
      <c r="E215" s="107">
        <v>2995</v>
      </c>
      <c r="F215" s="107">
        <v>0.33188647746243699</v>
      </c>
      <c r="G215" s="107">
        <v>0.326509284661956</v>
      </c>
      <c r="H215" s="107">
        <v>1.19345044426437E-2</v>
      </c>
      <c r="I215" s="107">
        <v>0.45055853188740802</v>
      </c>
      <c r="J215" s="107">
        <v>1.62</v>
      </c>
      <c r="K215" s="107">
        <v>0.15874435107632501</v>
      </c>
      <c r="L215" s="107">
        <v>0.91790188690864805</v>
      </c>
      <c r="M215" s="107">
        <v>0.76346514583104697</v>
      </c>
      <c r="N215" s="107">
        <v>0.25578613493253199</v>
      </c>
    </row>
    <row r="216" spans="1:14">
      <c r="A216" s="14">
        <v>43552</v>
      </c>
      <c r="B216" s="107">
        <v>992</v>
      </c>
      <c r="C216" s="107">
        <v>986</v>
      </c>
      <c r="D216" s="107">
        <v>3000</v>
      </c>
      <c r="E216" s="107">
        <v>3002</v>
      </c>
      <c r="F216" s="107">
        <v>0.32844770153231101</v>
      </c>
      <c r="G216" s="107">
        <v>0.32642132999953999</v>
      </c>
      <c r="H216" s="107">
        <v>1.19188490892313E-2</v>
      </c>
      <c r="I216" s="107">
        <v>0.17001402715991101</v>
      </c>
      <c r="J216" s="107">
        <v>0.62</v>
      </c>
      <c r="K216" s="107">
        <v>0.14856880816981499</v>
      </c>
      <c r="L216" s="107">
        <v>0.933940576241158</v>
      </c>
      <c r="M216" s="107">
        <v>0.76181464031619295</v>
      </c>
      <c r="N216" s="107">
        <v>0.254607697059412</v>
      </c>
    </row>
    <row r="217" spans="1:14">
      <c r="A217" s="14">
        <v>43551</v>
      </c>
      <c r="B217" s="107">
        <v>1010</v>
      </c>
      <c r="C217" s="107">
        <v>1006</v>
      </c>
      <c r="D217" s="107">
        <v>3039</v>
      </c>
      <c r="E217" s="107">
        <v>3031</v>
      </c>
      <c r="F217" s="107">
        <v>0.33190366215770301</v>
      </c>
      <c r="G217" s="107">
        <v>0.32625126561161599</v>
      </c>
      <c r="H217" s="107">
        <v>1.19795641260423E-2</v>
      </c>
      <c r="I217" s="107">
        <v>0.47183657824403602</v>
      </c>
      <c r="J217" s="107">
        <v>1.7</v>
      </c>
      <c r="K217" s="107">
        <v>0.189060202552882</v>
      </c>
      <c r="L217" s="107">
        <v>0.774578318543374</v>
      </c>
      <c r="M217" s="107">
        <v>0.75959434698640405</v>
      </c>
      <c r="N217" s="107">
        <v>0.283859759895701</v>
      </c>
    </row>
    <row r="218" spans="1:14">
      <c r="A218" s="14">
        <v>43550</v>
      </c>
      <c r="B218" s="107">
        <v>995</v>
      </c>
      <c r="C218" s="107">
        <v>1011</v>
      </c>
      <c r="D218" s="107">
        <v>2987.5</v>
      </c>
      <c r="E218" s="107">
        <v>3055</v>
      </c>
      <c r="F218" s="107">
        <v>0.330932896890343</v>
      </c>
      <c r="G218" s="107">
        <v>0.326031588217367</v>
      </c>
      <c r="H218" s="107">
        <v>1.2024876415964199E-2</v>
      </c>
      <c r="I218" s="107">
        <v>0.407597425822117</v>
      </c>
      <c r="J218" s="107">
        <v>1.48</v>
      </c>
      <c r="K218" s="107">
        <v>0.23244792462984701</v>
      </c>
      <c r="L218" s="107">
        <v>0.50984545760794797</v>
      </c>
      <c r="M218" s="107">
        <v>0.758561302644158</v>
      </c>
      <c r="N218" s="107">
        <v>0.24686926547160701</v>
      </c>
    </row>
    <row r="219" spans="1:14">
      <c r="A219" s="14">
        <v>43549</v>
      </c>
      <c r="B219" s="107">
        <v>982</v>
      </c>
      <c r="C219" s="107">
        <v>976</v>
      </c>
      <c r="D219" s="107">
        <v>2984</v>
      </c>
      <c r="E219" s="107">
        <v>2962.5</v>
      </c>
      <c r="F219" s="107">
        <v>0.32945147679324799</v>
      </c>
      <c r="G219" s="107">
        <v>0.32589243624609898</v>
      </c>
      <c r="H219" s="107">
        <v>1.20277379982239E-2</v>
      </c>
      <c r="I219" s="107">
        <v>0.29590273313864002</v>
      </c>
      <c r="J219" s="107">
        <v>1.08</v>
      </c>
      <c r="K219" s="107">
        <v>0.33448987599732399</v>
      </c>
      <c r="L219" s="107">
        <v>0.93260490107050797</v>
      </c>
      <c r="M219" s="107">
        <v>0.75622950449100801</v>
      </c>
      <c r="N219" s="107">
        <v>0.239320639858006</v>
      </c>
    </row>
    <row r="220" spans="1:14">
      <c r="A220" s="14">
        <v>43546</v>
      </c>
      <c r="B220" s="107">
        <v>984</v>
      </c>
      <c r="C220" s="107">
        <v>990</v>
      </c>
      <c r="D220" s="107">
        <v>3060</v>
      </c>
      <c r="E220" s="107">
        <v>3054</v>
      </c>
      <c r="F220" s="107">
        <v>0.32416502946954801</v>
      </c>
      <c r="G220" s="107">
        <v>0.32573047856121601</v>
      </c>
      <c r="H220" s="107">
        <v>1.2060459983115101E-2</v>
      </c>
      <c r="I220" s="107">
        <v>-0.12980011490940299</v>
      </c>
      <c r="J220" s="107">
        <v>-0.48</v>
      </c>
      <c r="K220" s="107">
        <v>0.42876617760478097</v>
      </c>
      <c r="L220" s="107">
        <v>0.91210575958316797</v>
      </c>
      <c r="M220" s="107">
        <v>0.75432341595792995</v>
      </c>
      <c r="N220" s="107">
        <v>0.22390034361358699</v>
      </c>
    </row>
    <row r="221" spans="1:14">
      <c r="A221" s="14">
        <v>43544</v>
      </c>
      <c r="B221" s="107">
        <v>963</v>
      </c>
      <c r="C221" s="107">
        <v>976</v>
      </c>
      <c r="D221" s="107">
        <v>3093</v>
      </c>
      <c r="E221" s="107">
        <v>3090</v>
      </c>
      <c r="F221" s="107">
        <v>0.31585760517799299</v>
      </c>
      <c r="G221" s="107">
        <v>0.32556428440853902</v>
      </c>
      <c r="H221" s="107">
        <v>1.21663038227498E-2</v>
      </c>
      <c r="I221" s="107">
        <v>-0.79783304543117795</v>
      </c>
      <c r="J221" s="107">
        <v>-3.07</v>
      </c>
      <c r="K221" s="107">
        <v>0.45111479923030701</v>
      </c>
      <c r="L221" s="107">
        <v>0.75145357031945703</v>
      </c>
      <c r="M221" s="107">
        <v>0.75175126906721002</v>
      </c>
      <c r="N221" s="107">
        <v>0.24120990455864999</v>
      </c>
    </row>
    <row r="222" spans="1:14">
      <c r="A222" s="14">
        <v>43543</v>
      </c>
      <c r="B222" s="107">
        <v>962</v>
      </c>
      <c r="C222" s="107">
        <v>964</v>
      </c>
      <c r="D222" s="107">
        <v>3066</v>
      </c>
      <c r="E222" s="107">
        <v>3076</v>
      </c>
      <c r="F222" s="107">
        <v>0.31339401820546098</v>
      </c>
      <c r="G222" s="107">
        <v>0.32549471161076698</v>
      </c>
      <c r="H222" s="107">
        <v>1.22363302529707E-2</v>
      </c>
      <c r="I222" s="107">
        <v>-0.98891523480811405</v>
      </c>
      <c r="J222" s="107">
        <v>-3.86</v>
      </c>
      <c r="K222" s="107">
        <v>0.46476593031700902</v>
      </c>
      <c r="L222" s="107">
        <v>0.74948689831090198</v>
      </c>
      <c r="M222" s="107">
        <v>0.74993993309314699</v>
      </c>
      <c r="N222" s="107">
        <v>0.227914329718758</v>
      </c>
    </row>
    <row r="223" spans="1:14">
      <c r="A223" s="14">
        <v>43542</v>
      </c>
      <c r="B223" s="107">
        <v>963</v>
      </c>
      <c r="C223" s="107">
        <v>966</v>
      </c>
      <c r="D223" s="107">
        <v>3065</v>
      </c>
      <c r="E223" s="107">
        <v>3056</v>
      </c>
      <c r="F223" s="107">
        <v>0.31609947643978997</v>
      </c>
      <c r="G223" s="107">
        <v>0.32549598537267199</v>
      </c>
      <c r="H223" s="107">
        <v>1.22350754520738E-2</v>
      </c>
      <c r="I223" s="107">
        <v>-0.76799762859569098</v>
      </c>
      <c r="J223" s="107">
        <v>-2.97</v>
      </c>
      <c r="K223" s="107">
        <v>0.46617910715469302</v>
      </c>
      <c r="L223" s="107">
        <v>0.70229403769020105</v>
      </c>
      <c r="M223" s="107">
        <v>0.74603127981318496</v>
      </c>
      <c r="N223" s="107">
        <v>0.27292272522312699</v>
      </c>
    </row>
    <row r="224" spans="1:14">
      <c r="A224" s="14">
        <v>43539</v>
      </c>
      <c r="B224" s="107">
        <v>958</v>
      </c>
      <c r="C224" s="107">
        <v>966</v>
      </c>
      <c r="D224" s="107">
        <v>3046</v>
      </c>
      <c r="E224" s="107">
        <v>3057</v>
      </c>
      <c r="F224" s="107">
        <v>0.315996074582924</v>
      </c>
      <c r="G224" s="107">
        <v>0.32547712988261202</v>
      </c>
      <c r="H224" s="107">
        <v>1.2250621701076899E-2</v>
      </c>
      <c r="I224" s="107">
        <v>-0.77392442041165999</v>
      </c>
      <c r="J224" s="107">
        <v>-3</v>
      </c>
      <c r="K224" s="107">
        <v>0.46206731344958502</v>
      </c>
      <c r="L224" s="107">
        <v>0.63318863114019397</v>
      </c>
      <c r="M224" s="107">
        <v>0.74229738183105198</v>
      </c>
      <c r="N224" s="107">
        <v>0.26457217134087302</v>
      </c>
    </row>
    <row r="225" spans="1:14">
      <c r="A225" s="14">
        <v>43538</v>
      </c>
      <c r="B225" s="107">
        <v>964</v>
      </c>
      <c r="C225" s="107">
        <v>955</v>
      </c>
      <c r="D225" s="107">
        <v>3042</v>
      </c>
      <c r="E225" s="107">
        <v>3023</v>
      </c>
      <c r="F225" s="107">
        <v>0.31591134634468998</v>
      </c>
      <c r="G225" s="107">
        <v>0.32542051344913397</v>
      </c>
      <c r="H225" s="107">
        <v>1.23040034239354E-2</v>
      </c>
      <c r="I225" s="107">
        <v>-0.77285146767311197</v>
      </c>
      <c r="J225" s="107">
        <v>-3.01</v>
      </c>
      <c r="K225" s="107">
        <v>0.45888718003418599</v>
      </c>
      <c r="L225" s="107">
        <v>0.66057682547549901</v>
      </c>
      <c r="M225" s="107">
        <v>0.739003740193928</v>
      </c>
      <c r="N225" s="107">
        <v>0.252850481243727</v>
      </c>
    </row>
    <row r="226" spans="1:14">
      <c r="A226" s="14">
        <v>43537</v>
      </c>
      <c r="B226" s="107">
        <v>971</v>
      </c>
      <c r="C226" s="107">
        <v>962</v>
      </c>
      <c r="D226" s="107">
        <v>3055</v>
      </c>
      <c r="E226" s="107">
        <v>3022</v>
      </c>
      <c r="F226" s="107">
        <v>0.31833223031105201</v>
      </c>
      <c r="G226" s="107">
        <v>0.32532705777112297</v>
      </c>
      <c r="H226" s="107">
        <v>1.2402104051008001E-2</v>
      </c>
      <c r="I226" s="107">
        <v>-0.56400328777296105</v>
      </c>
      <c r="J226" s="107">
        <v>-2.2000000000000002</v>
      </c>
      <c r="K226" s="107">
        <v>0.45132929541707301</v>
      </c>
      <c r="L226" s="107">
        <v>0.74488552513643602</v>
      </c>
      <c r="M226" s="107">
        <v>0.73570981180894301</v>
      </c>
      <c r="N226" s="107">
        <v>0.27840361537050801</v>
      </c>
    </row>
    <row r="227" spans="1:14">
      <c r="A227" s="14">
        <v>43536</v>
      </c>
      <c r="B227" s="107">
        <v>977</v>
      </c>
      <c r="C227" s="107">
        <v>985</v>
      </c>
      <c r="D227" s="107">
        <v>3037</v>
      </c>
      <c r="E227" s="107">
        <v>3047</v>
      </c>
      <c r="F227" s="107">
        <v>0.32326878897276001</v>
      </c>
      <c r="G227" s="107">
        <v>0.32512785416429502</v>
      </c>
      <c r="H227" s="107">
        <v>1.26307342742375E-2</v>
      </c>
      <c r="I227" s="107">
        <v>-0.14718583664035001</v>
      </c>
      <c r="J227" s="107">
        <v>-0.57999999999999996</v>
      </c>
      <c r="K227" s="107">
        <v>0.45012381056495798</v>
      </c>
      <c r="L227" s="107">
        <v>0.75932163236954697</v>
      </c>
      <c r="M227" s="107">
        <v>0.73267458994081602</v>
      </c>
      <c r="N227" s="107">
        <v>0.28133068336155598</v>
      </c>
    </row>
    <row r="228" spans="1:14">
      <c r="A228" s="14">
        <v>43535</v>
      </c>
      <c r="B228" s="107">
        <v>973</v>
      </c>
      <c r="C228" s="107">
        <v>974</v>
      </c>
      <c r="D228" s="107">
        <v>2997.5</v>
      </c>
      <c r="E228" s="107">
        <v>3013</v>
      </c>
      <c r="F228" s="107">
        <v>0.32326584799203401</v>
      </c>
      <c r="G228" s="107">
        <v>0.32486834184386798</v>
      </c>
      <c r="H228" s="107">
        <v>1.2864058482427301E-2</v>
      </c>
      <c r="I228" s="107">
        <v>-0.12457140598538401</v>
      </c>
      <c r="J228" s="107">
        <v>-0.5</v>
      </c>
      <c r="K228" s="107">
        <v>0.44323185238198198</v>
      </c>
      <c r="L228" s="107">
        <v>0.738414475490488</v>
      </c>
      <c r="M228" s="107">
        <v>0.72802347109945298</v>
      </c>
      <c r="N228" s="107">
        <v>0.32373336997787</v>
      </c>
    </row>
    <row r="229" spans="1:14">
      <c r="A229" s="14">
        <v>43532</v>
      </c>
      <c r="B229" s="107">
        <v>980</v>
      </c>
      <c r="C229" s="107">
        <v>974</v>
      </c>
      <c r="D229" s="107">
        <v>3025</v>
      </c>
      <c r="E229" s="107">
        <v>2991.5</v>
      </c>
      <c r="F229" s="107">
        <v>0.32558916931305298</v>
      </c>
      <c r="G229" s="107">
        <v>0.32461232435259402</v>
      </c>
      <c r="H229" s="107">
        <v>1.30826167215438E-2</v>
      </c>
      <c r="I229" s="107">
        <v>7.4667398827849799E-2</v>
      </c>
      <c r="J229" s="107">
        <v>0.3</v>
      </c>
      <c r="K229" s="107">
        <v>0.43635219440131101</v>
      </c>
      <c r="L229" s="107">
        <v>0.68962474171080901</v>
      </c>
      <c r="M229" s="107">
        <v>0.72307509817131899</v>
      </c>
      <c r="N229" s="107">
        <v>0.32804119249850799</v>
      </c>
    </row>
    <row r="230" spans="1:14">
      <c r="A230" s="14">
        <v>43531</v>
      </c>
      <c r="B230" s="107">
        <v>1000</v>
      </c>
      <c r="C230" s="107">
        <v>989</v>
      </c>
      <c r="D230" s="107">
        <v>3066</v>
      </c>
      <c r="E230" s="107">
        <v>3046</v>
      </c>
      <c r="F230" s="107">
        <v>0.32468811556139199</v>
      </c>
      <c r="G230" s="107">
        <v>0.32429605754680002</v>
      </c>
      <c r="H230" s="107">
        <v>1.33393703094675E-2</v>
      </c>
      <c r="I230" s="107">
        <v>2.9391043617219201E-2</v>
      </c>
      <c r="J230" s="107">
        <v>0.12</v>
      </c>
      <c r="K230" s="107">
        <v>0.434835458792943</v>
      </c>
      <c r="L230" s="107">
        <v>0.71586576218646203</v>
      </c>
      <c r="M230" s="107">
        <v>0.716503685843903</v>
      </c>
      <c r="N230" s="107">
        <v>0.42424986661903902</v>
      </c>
    </row>
    <row r="231" spans="1:14">
      <c r="A231" s="14">
        <v>43530</v>
      </c>
      <c r="B231" s="107">
        <v>1019</v>
      </c>
      <c r="C231" s="107">
        <v>1013</v>
      </c>
      <c r="D231" s="107">
        <v>3099</v>
      </c>
      <c r="E231" s="107">
        <v>3096</v>
      </c>
      <c r="F231" s="107">
        <v>0.32719638242894</v>
      </c>
      <c r="G231" s="107">
        <v>0.323992883078904</v>
      </c>
      <c r="H231" s="107">
        <v>1.3583179612446599E-2</v>
      </c>
      <c r="I231" s="107">
        <v>0.235843111954471</v>
      </c>
      <c r="J231" s="107">
        <v>0.98</v>
      </c>
      <c r="K231" s="107">
        <v>0.434591488163666</v>
      </c>
      <c r="L231" s="107">
        <v>0.71081776710886002</v>
      </c>
      <c r="M231" s="107">
        <v>0.71131525692709197</v>
      </c>
      <c r="N231" s="107">
        <v>0.41026878069950601</v>
      </c>
    </row>
    <row r="232" spans="1:14">
      <c r="A232" s="14">
        <v>43529</v>
      </c>
      <c r="B232" s="107">
        <v>1011</v>
      </c>
      <c r="C232" s="107">
        <v>1022</v>
      </c>
      <c r="D232" s="107">
        <v>3100</v>
      </c>
      <c r="E232" s="107">
        <v>3092</v>
      </c>
      <c r="F232" s="107">
        <v>0.33053040103492798</v>
      </c>
      <c r="G232" s="107">
        <v>0.32368311017497398</v>
      </c>
      <c r="H232" s="107">
        <v>1.37702228899859E-2</v>
      </c>
      <c r="I232" s="107">
        <v>0.49725345149890998</v>
      </c>
      <c r="J232" s="107">
        <v>2.0699999999999998</v>
      </c>
      <c r="K232" s="107">
        <v>0.432141511865129</v>
      </c>
      <c r="L232" s="107">
        <v>0.74595720434180501</v>
      </c>
      <c r="M232" s="107">
        <v>0.70659132498379895</v>
      </c>
      <c r="N232" s="107">
        <v>0.39884151576346799</v>
      </c>
    </row>
    <row r="233" spans="1:14">
      <c r="A233" s="14">
        <v>43528</v>
      </c>
      <c r="B233" s="107">
        <v>1040</v>
      </c>
      <c r="C233" s="107">
        <v>1020</v>
      </c>
      <c r="D233" s="107">
        <v>3167</v>
      </c>
      <c r="E233" s="107">
        <v>3114</v>
      </c>
      <c r="F233" s="107">
        <v>0.32755298651252401</v>
      </c>
      <c r="G233" s="107">
        <v>0.32328339110235099</v>
      </c>
      <c r="H233" s="107">
        <v>1.3998872378667E-2</v>
      </c>
      <c r="I233" s="107">
        <v>0.30499566641374798</v>
      </c>
      <c r="J233" s="107">
        <v>1.3</v>
      </c>
      <c r="K233" s="107">
        <v>0.43217947266844697</v>
      </c>
      <c r="L233" s="107">
        <v>0.74097141019692503</v>
      </c>
      <c r="M233" s="107">
        <v>0.70169405237321902</v>
      </c>
      <c r="N233" s="107">
        <v>0.42083599456819498</v>
      </c>
    </row>
    <row r="234" spans="1:14">
      <c r="A234" s="14">
        <v>43525</v>
      </c>
      <c r="B234" s="107">
        <v>1036</v>
      </c>
      <c r="C234" s="107">
        <v>1034</v>
      </c>
      <c r="D234" s="107">
        <v>3160</v>
      </c>
      <c r="E234" s="107">
        <v>3155</v>
      </c>
      <c r="F234" s="107">
        <v>0.32773375594294701</v>
      </c>
      <c r="G234" s="107">
        <v>0.32311133125534403</v>
      </c>
      <c r="H234" s="107">
        <v>1.40246182029512E-2</v>
      </c>
      <c r="I234" s="107">
        <v>0.32959362035471002</v>
      </c>
      <c r="J234" s="107">
        <v>1.41</v>
      </c>
      <c r="K234" s="107">
        <v>0.44108473674139198</v>
      </c>
      <c r="L234" s="107">
        <v>0.67373707663696503</v>
      </c>
      <c r="M234" s="107">
        <v>0.69621412400631699</v>
      </c>
      <c r="N234" s="107">
        <v>0.45761926726310598</v>
      </c>
    </row>
    <row r="235" spans="1:14">
      <c r="A235" s="14">
        <v>43524</v>
      </c>
      <c r="B235" s="107">
        <v>1050</v>
      </c>
      <c r="C235" s="107">
        <v>1037</v>
      </c>
      <c r="D235" s="107">
        <v>3153</v>
      </c>
      <c r="E235" s="107">
        <v>3153</v>
      </c>
      <c r="F235" s="107">
        <v>0.328893117665715</v>
      </c>
      <c r="G235" s="107">
        <v>0.32280546101732699</v>
      </c>
      <c r="H235" s="107">
        <v>1.41698757949769E-2</v>
      </c>
      <c r="I235" s="107">
        <v>0.42961961956971401</v>
      </c>
      <c r="J235" s="107">
        <v>1.85</v>
      </c>
      <c r="K235" s="107">
        <v>0.43357441210671499</v>
      </c>
      <c r="L235" s="107">
        <v>0.63058847703268195</v>
      </c>
      <c r="M235" s="107">
        <v>0.69104001079728605</v>
      </c>
      <c r="N235" s="107">
        <v>0.45508693432800501</v>
      </c>
    </row>
    <row r="236" spans="1:14">
      <c r="A236" s="14">
        <v>43523</v>
      </c>
      <c r="B236" s="107">
        <v>1048</v>
      </c>
      <c r="C236" s="107">
        <v>1049</v>
      </c>
      <c r="D236" s="107">
        <v>3154</v>
      </c>
      <c r="E236" s="107">
        <v>3176</v>
      </c>
      <c r="F236" s="107">
        <v>0.33028967254407998</v>
      </c>
      <c r="G236" s="107">
        <v>0.322603469863044</v>
      </c>
      <c r="H236" s="107">
        <v>1.41896196570847E-2</v>
      </c>
      <c r="I236" s="107">
        <v>0.54167785090689902</v>
      </c>
      <c r="J236" s="107">
        <v>2.33</v>
      </c>
      <c r="K236" s="107">
        <v>0.42385601314632998</v>
      </c>
      <c r="L236" s="107">
        <v>0.60286251435389404</v>
      </c>
      <c r="M236" s="107">
        <v>0.68863261183542501</v>
      </c>
      <c r="N236" s="107">
        <v>0.389807164733534</v>
      </c>
    </row>
    <row r="237" spans="1:14">
      <c r="A237" s="14">
        <v>43522</v>
      </c>
      <c r="B237" s="107">
        <v>1057</v>
      </c>
      <c r="C237" s="107">
        <v>1051</v>
      </c>
      <c r="D237" s="107">
        <v>3140</v>
      </c>
      <c r="E237" s="107">
        <v>3154</v>
      </c>
      <c r="F237" s="107">
        <v>0.33322764743183197</v>
      </c>
      <c r="G237" s="107">
        <v>0.322440165854739</v>
      </c>
      <c r="H237" s="107">
        <v>1.4170687256986499E-2</v>
      </c>
      <c r="I237" s="107">
        <v>0.76125323927212896</v>
      </c>
      <c r="J237" s="107">
        <v>3.24</v>
      </c>
      <c r="K237" s="107">
        <v>0.41226291277882798</v>
      </c>
      <c r="L237" s="107">
        <v>0.57090194235358405</v>
      </c>
      <c r="M237" s="107">
        <v>0.68595036952663002</v>
      </c>
      <c r="N237" s="107">
        <v>0.65280330737384196</v>
      </c>
    </row>
    <row r="238" spans="1:14">
      <c r="A238" s="14">
        <v>43521</v>
      </c>
      <c r="B238" s="107">
        <v>1060</v>
      </c>
      <c r="C238" s="107">
        <v>1056</v>
      </c>
      <c r="D238" s="107">
        <v>3159</v>
      </c>
      <c r="E238" s="107">
        <v>3151</v>
      </c>
      <c r="F238" s="107">
        <v>0.33513170422088201</v>
      </c>
      <c r="G238" s="107">
        <v>0.32204511579096001</v>
      </c>
      <c r="H238" s="107">
        <v>1.42770432400836E-2</v>
      </c>
      <c r="I238" s="107">
        <v>0.91661755237810705</v>
      </c>
      <c r="J238" s="107">
        <v>3.9</v>
      </c>
      <c r="K238" s="107">
        <v>0.398789403571847</v>
      </c>
      <c r="L238" s="107">
        <v>0.59015828452218599</v>
      </c>
      <c r="M238" s="107">
        <v>0.68162680716619894</v>
      </c>
      <c r="N238" s="107">
        <v>0.68086160792736905</v>
      </c>
    </row>
    <row r="239" spans="1:14">
      <c r="A239" s="14">
        <v>43518</v>
      </c>
      <c r="B239" s="107">
        <v>1047</v>
      </c>
      <c r="C239" s="107">
        <v>1052</v>
      </c>
      <c r="D239" s="107">
        <v>3089</v>
      </c>
      <c r="E239" s="107">
        <v>3125</v>
      </c>
      <c r="F239" s="107">
        <v>0.33663999999999999</v>
      </c>
      <c r="G239" s="107">
        <v>0.32156723096784001</v>
      </c>
      <c r="H239" s="107">
        <v>1.44300335617601E-2</v>
      </c>
      <c r="I239" s="107">
        <v>1.0445415090442001</v>
      </c>
      <c r="J239" s="107">
        <v>4.4800000000000004</v>
      </c>
      <c r="K239" s="107">
        <v>0.39879520387925399</v>
      </c>
      <c r="L239" s="107">
        <v>0.52851355330448602</v>
      </c>
      <c r="M239" s="107">
        <v>0.67703737818343002</v>
      </c>
      <c r="N239" s="107">
        <v>0.68969946314011699</v>
      </c>
    </row>
    <row r="240" spans="1:14">
      <c r="A240" s="14">
        <v>43517</v>
      </c>
      <c r="B240" s="107">
        <v>1053</v>
      </c>
      <c r="C240" s="107">
        <v>1056</v>
      </c>
      <c r="D240" s="107">
        <v>3074</v>
      </c>
      <c r="E240" s="107">
        <v>3103</v>
      </c>
      <c r="F240" s="107">
        <v>0.34031582339671201</v>
      </c>
      <c r="G240" s="107">
        <v>0.32130559207165099</v>
      </c>
      <c r="H240" s="107">
        <v>1.4331932416017001E-2</v>
      </c>
      <c r="I240" s="107">
        <v>1.32642485139102</v>
      </c>
      <c r="J240" s="107">
        <v>5.59</v>
      </c>
      <c r="K240" s="107">
        <v>0.39841926254144799</v>
      </c>
      <c r="L240" s="107">
        <v>0.42402559353108998</v>
      </c>
      <c r="M240" s="107">
        <v>0.66992454529357703</v>
      </c>
      <c r="N240" s="107">
        <v>0.75115534860825295</v>
      </c>
    </row>
    <row r="241" spans="1:14">
      <c r="A241" s="14">
        <v>43516</v>
      </c>
      <c r="B241" s="107">
        <v>1050</v>
      </c>
      <c r="C241" s="107">
        <v>1052</v>
      </c>
      <c r="D241" s="107">
        <v>3051</v>
      </c>
      <c r="E241" s="107">
        <v>3033</v>
      </c>
      <c r="F241" s="107">
        <v>0.34685130234091599</v>
      </c>
      <c r="G241" s="107">
        <v>0.32108742241072802</v>
      </c>
      <c r="H241" s="107">
        <v>1.41644494210986E-2</v>
      </c>
      <c r="I241" s="107">
        <v>1.81891149908107</v>
      </c>
      <c r="J241" s="107">
        <v>7.43</v>
      </c>
      <c r="K241" s="107">
        <v>0.41395043265495102</v>
      </c>
      <c r="L241" s="107">
        <v>0.37565903192398498</v>
      </c>
      <c r="M241" s="107">
        <v>0.66262380544282395</v>
      </c>
      <c r="N241" s="107">
        <v>0.77746639078361202</v>
      </c>
    </row>
    <row r="242" spans="1:14">
      <c r="A242" s="14">
        <v>43515</v>
      </c>
      <c r="B242" s="107">
        <v>1061</v>
      </c>
      <c r="C242" s="107">
        <v>1050</v>
      </c>
      <c r="D242" s="107">
        <v>3000</v>
      </c>
      <c r="E242" s="107">
        <v>3014</v>
      </c>
      <c r="F242" s="107">
        <v>0.34837425348374201</v>
      </c>
      <c r="G242" s="107">
        <v>0.320801949126787</v>
      </c>
      <c r="H242" s="107">
        <v>1.3854690840067701E-2</v>
      </c>
      <c r="I242" s="107">
        <v>1.9901060713109799</v>
      </c>
      <c r="J242" s="107">
        <v>7.91</v>
      </c>
      <c r="K242" s="107">
        <v>0.43227799780731002</v>
      </c>
      <c r="L242" s="107">
        <v>0.238239514297795</v>
      </c>
      <c r="M242" s="107">
        <v>0.65675259580826595</v>
      </c>
      <c r="N242" s="107">
        <v>0.77299881283429805</v>
      </c>
    </row>
    <row r="243" spans="1:14">
      <c r="A243" s="14">
        <v>43514</v>
      </c>
      <c r="B243" s="107">
        <v>1069</v>
      </c>
      <c r="C243" s="107">
        <v>1060</v>
      </c>
      <c r="D243" s="107">
        <v>3015</v>
      </c>
      <c r="E243" s="107">
        <v>3003</v>
      </c>
      <c r="F243" s="107">
        <v>0.35298035298035202</v>
      </c>
      <c r="G243" s="107">
        <v>0.32042143883430901</v>
      </c>
      <c r="H243" s="107">
        <v>1.3479009058606099E-2</v>
      </c>
      <c r="I243" s="107">
        <v>2.4155272842742899</v>
      </c>
      <c r="J243" s="107">
        <v>9.2200000000000006</v>
      </c>
      <c r="K243" s="107">
        <v>0.460877708287734</v>
      </c>
      <c r="L243" s="107">
        <v>0.34151764960536501</v>
      </c>
      <c r="M243" s="107">
        <v>0.65026299542075405</v>
      </c>
      <c r="N243" s="107">
        <v>0.80501257830620399</v>
      </c>
    </row>
    <row r="244" spans="1:14">
      <c r="A244" s="14">
        <v>43511</v>
      </c>
      <c r="B244" s="107">
        <v>1041</v>
      </c>
      <c r="C244" s="107">
        <v>1041</v>
      </c>
      <c r="D244" s="107">
        <v>3011</v>
      </c>
      <c r="E244" s="107">
        <v>2972.5</v>
      </c>
      <c r="F244" s="107">
        <v>0.35021026072329597</v>
      </c>
      <c r="G244" s="107">
        <v>0.320383246560277</v>
      </c>
      <c r="H244" s="107">
        <v>1.3390467779146899E-2</v>
      </c>
      <c r="I244" s="107">
        <v>2.2274811197760398</v>
      </c>
      <c r="J244" s="107">
        <v>8.52</v>
      </c>
      <c r="K244" s="107">
        <v>0.47629860321661799</v>
      </c>
      <c r="L244" s="107">
        <v>0.490222951713432</v>
      </c>
      <c r="M244" s="107">
        <v>0.64143904385030903</v>
      </c>
      <c r="N244" s="107">
        <v>0.83943231182350997</v>
      </c>
    </row>
    <row r="245" spans="1:14">
      <c r="A245" s="14">
        <v>43510</v>
      </c>
      <c r="B245" s="107">
        <v>1039</v>
      </c>
      <c r="C245" s="107">
        <v>1038</v>
      </c>
      <c r="D245" s="107">
        <v>3055</v>
      </c>
      <c r="E245" s="107">
        <v>3041</v>
      </c>
      <c r="F245" s="107">
        <v>0.34133508714238697</v>
      </c>
      <c r="G245" s="107">
        <v>0.32035453806902098</v>
      </c>
      <c r="H245" s="107">
        <v>1.33286548205958E-2</v>
      </c>
      <c r="I245" s="107">
        <v>1.5740935117432699</v>
      </c>
      <c r="J245" s="107">
        <v>6.15</v>
      </c>
      <c r="K245" s="107">
        <v>0.47837365476684401</v>
      </c>
      <c r="L245" s="107">
        <v>0.439293955775095</v>
      </c>
      <c r="M245" s="107">
        <v>0.63043251901679298</v>
      </c>
      <c r="N245" s="107">
        <v>0.88616838923151897</v>
      </c>
    </row>
    <row r="246" spans="1:14">
      <c r="A246" s="14">
        <v>43509</v>
      </c>
      <c r="B246" s="107">
        <v>1006</v>
      </c>
      <c r="C246" s="107">
        <v>1031</v>
      </c>
      <c r="D246" s="107">
        <v>2986.5</v>
      </c>
      <c r="E246" s="107">
        <v>3001</v>
      </c>
      <c r="F246" s="107">
        <v>0.34355214928357197</v>
      </c>
      <c r="G246" s="107">
        <v>0.32040379343733699</v>
      </c>
      <c r="H246" s="107">
        <v>1.3412657433467E-2</v>
      </c>
      <c r="I246" s="107">
        <v>1.7258590224242301</v>
      </c>
      <c r="J246" s="107">
        <v>6.74</v>
      </c>
      <c r="K246" s="107">
        <v>0.487874349947306</v>
      </c>
      <c r="L246" s="107">
        <v>0.33634280070476602</v>
      </c>
      <c r="M246" s="107">
        <v>0.62167638543834403</v>
      </c>
      <c r="N246" s="107">
        <v>0.85500680925775896</v>
      </c>
    </row>
    <row r="247" spans="1:14">
      <c r="A247" s="14">
        <v>43508</v>
      </c>
      <c r="B247" s="107">
        <v>1003</v>
      </c>
      <c r="C247" s="107">
        <v>1030</v>
      </c>
      <c r="D247" s="107">
        <v>2926</v>
      </c>
      <c r="E247" s="107">
        <v>2950</v>
      </c>
      <c r="F247" s="107">
        <v>0.34915254237288101</v>
      </c>
      <c r="G247" s="107">
        <v>0.32046475118587803</v>
      </c>
      <c r="H247" s="107">
        <v>1.35276197249587E-2</v>
      </c>
      <c r="I247" s="107">
        <v>2.1206828525844199</v>
      </c>
      <c r="J247" s="107">
        <v>8.2200000000000006</v>
      </c>
      <c r="K247" s="107">
        <v>0.50595679720423603</v>
      </c>
      <c r="L247" s="107">
        <v>0.56240305590048101</v>
      </c>
      <c r="M247" s="107">
        <v>0.61203331472130496</v>
      </c>
      <c r="N247" s="107">
        <v>0.86909077477763497</v>
      </c>
    </row>
    <row r="248" spans="1:14">
      <c r="A248" s="14">
        <v>43504</v>
      </c>
      <c r="B248" s="107">
        <v>1014</v>
      </c>
      <c r="C248" s="107">
        <v>1003</v>
      </c>
      <c r="D248" s="107">
        <v>2982</v>
      </c>
      <c r="E248" s="107">
        <v>2926.5</v>
      </c>
      <c r="F248" s="107">
        <v>0.34273022381684598</v>
      </c>
      <c r="G248" s="107">
        <v>0.32045493448214302</v>
      </c>
      <c r="H248" s="107">
        <v>1.3507049549662999E-2</v>
      </c>
      <c r="I248" s="107">
        <v>1.6491602590780601</v>
      </c>
      <c r="J248" s="107">
        <v>6.5</v>
      </c>
      <c r="K248" s="107">
        <v>0.50463533494458401</v>
      </c>
      <c r="L248" s="107">
        <v>0.31579513845131302</v>
      </c>
      <c r="M248" s="107">
        <v>0.60177007691225104</v>
      </c>
      <c r="N248" s="107">
        <v>0.83115970940825901</v>
      </c>
    </row>
    <row r="249" spans="1:14">
      <c r="A249" s="14">
        <v>43503</v>
      </c>
      <c r="B249" s="107">
        <v>1025</v>
      </c>
      <c r="C249" s="107">
        <v>1030</v>
      </c>
      <c r="D249" s="107">
        <v>3004</v>
      </c>
      <c r="E249" s="107">
        <v>3002</v>
      </c>
      <c r="F249" s="107">
        <v>0.34310459693537598</v>
      </c>
      <c r="G249" s="107">
        <v>0.32057791154312398</v>
      </c>
      <c r="H249" s="107">
        <v>1.3749116888870301E-2</v>
      </c>
      <c r="I249" s="107">
        <v>1.63840962109264</v>
      </c>
      <c r="J249" s="107">
        <v>6.57</v>
      </c>
      <c r="K249" s="107">
        <v>0.51781688356502198</v>
      </c>
      <c r="L249" s="107">
        <v>0.19596090955543299</v>
      </c>
      <c r="M249" s="107">
        <v>0.59537299166135704</v>
      </c>
      <c r="N249" s="107">
        <v>0.77450228453824599</v>
      </c>
    </row>
    <row r="250" spans="1:14">
      <c r="A250" s="14">
        <v>43502</v>
      </c>
      <c r="B250" s="107">
        <v>1041</v>
      </c>
      <c r="C250" s="107">
        <v>1048</v>
      </c>
      <c r="D250" s="107">
        <v>3060</v>
      </c>
      <c r="E250" s="107">
        <v>3035</v>
      </c>
      <c r="F250" s="107">
        <v>0.345304777594728</v>
      </c>
      <c r="G250" s="107">
        <v>0.32070114099380698</v>
      </c>
      <c r="H250" s="107">
        <v>1.3989776416126001E-2</v>
      </c>
      <c r="I250" s="107">
        <v>1.7586869060008601</v>
      </c>
      <c r="J250" s="107">
        <v>7.13</v>
      </c>
      <c r="K250" s="107">
        <v>0.56077400274549805</v>
      </c>
      <c r="L250" s="107">
        <v>9.8368553095265099E-2</v>
      </c>
      <c r="M250" s="107">
        <v>0.59021960313060196</v>
      </c>
      <c r="N250" s="107">
        <v>0.76458830542620304</v>
      </c>
    </row>
    <row r="251" spans="1:14">
      <c r="A251" s="14">
        <v>43501</v>
      </c>
      <c r="B251" s="107">
        <v>1044</v>
      </c>
      <c r="C251" s="107">
        <v>1045</v>
      </c>
      <c r="D251" s="107">
        <v>3102</v>
      </c>
      <c r="E251" s="107">
        <v>3054</v>
      </c>
      <c r="F251" s="107">
        <v>0.34217419777341102</v>
      </c>
      <c r="G251" s="107">
        <v>0.32087068517475398</v>
      </c>
      <c r="H251" s="107">
        <v>1.43591015726086E-2</v>
      </c>
      <c r="I251" s="107">
        <v>1.4836243403484399</v>
      </c>
      <c r="J251" s="107">
        <v>6.23</v>
      </c>
      <c r="K251" s="107">
        <v>0.59652418344587199</v>
      </c>
      <c r="L251" s="107">
        <v>0.14556706782791901</v>
      </c>
      <c r="M251" s="107">
        <v>0.590133959728256</v>
      </c>
      <c r="N251" s="107">
        <v>0.41293220273291698</v>
      </c>
    </row>
    <row r="252" spans="1:14">
      <c r="A252" s="14">
        <v>43500</v>
      </c>
      <c r="B252" s="107">
        <v>1025</v>
      </c>
      <c r="C252" s="107">
        <v>1039</v>
      </c>
      <c r="D252" s="107">
        <v>3105</v>
      </c>
      <c r="E252" s="107">
        <v>3132</v>
      </c>
      <c r="F252" s="107">
        <v>0.331736909323116</v>
      </c>
      <c r="G252" s="107">
        <v>0.32104316202031002</v>
      </c>
      <c r="H252" s="107">
        <v>1.4687882579998399E-2</v>
      </c>
      <c r="I252" s="107">
        <v>0.72806595808219798</v>
      </c>
      <c r="J252" s="107">
        <v>3.22</v>
      </c>
      <c r="K252" s="107">
        <v>0.61155102371523495</v>
      </c>
      <c r="L252" s="107">
        <v>0.31049175618138097</v>
      </c>
      <c r="M252" s="107">
        <v>0.59448784735222504</v>
      </c>
      <c r="N252" s="107">
        <v>0.37473948850074701</v>
      </c>
    </row>
    <row r="253" spans="1:14">
      <c r="A253" s="14">
        <v>43497</v>
      </c>
      <c r="B253" s="107">
        <v>1030</v>
      </c>
      <c r="C253" s="107">
        <v>1020</v>
      </c>
      <c r="D253" s="107">
        <v>3247</v>
      </c>
      <c r="E253" s="107">
        <v>3245</v>
      </c>
      <c r="F253" s="107">
        <v>0.31432973805855102</v>
      </c>
      <c r="G253" s="107">
        <v>0.32140444407212299</v>
      </c>
      <c r="H253" s="107">
        <v>1.5268256022521499E-2</v>
      </c>
      <c r="I253" s="107">
        <v>-0.46336045211296101</v>
      </c>
      <c r="J253" s="107">
        <v>-2.25</v>
      </c>
      <c r="K253" s="107">
        <v>0.61318203417697503</v>
      </c>
      <c r="L253" s="107">
        <v>0.36602754804753901</v>
      </c>
      <c r="M253" s="107">
        <v>0.59973798704456904</v>
      </c>
      <c r="N253" s="107">
        <v>0.38454222017173001</v>
      </c>
    </row>
    <row r="254" spans="1:14">
      <c r="A254" s="14">
        <v>43496</v>
      </c>
      <c r="B254" s="107">
        <v>1025</v>
      </c>
      <c r="C254" s="107">
        <v>1009</v>
      </c>
      <c r="D254" s="107">
        <v>3288</v>
      </c>
      <c r="E254" s="107">
        <v>3249</v>
      </c>
      <c r="F254" s="107">
        <v>0.31055709449061197</v>
      </c>
      <c r="G254" s="107">
        <v>0.32187401908530799</v>
      </c>
      <c r="H254" s="107">
        <v>1.55817997327845E-2</v>
      </c>
      <c r="I254" s="107">
        <v>-0.72629123649206195</v>
      </c>
      <c r="J254" s="107">
        <v>-3.64</v>
      </c>
      <c r="K254" s="107">
        <v>0.60295100438463101</v>
      </c>
      <c r="L254" s="107">
        <v>0.25701651075642301</v>
      </c>
      <c r="M254" s="107">
        <v>0.60490292064940998</v>
      </c>
      <c r="N254" s="107">
        <v>0.39723550717293998</v>
      </c>
    </row>
    <row r="255" spans="1:14">
      <c r="A255" s="14">
        <v>43495</v>
      </c>
      <c r="B255" s="107">
        <v>1016</v>
      </c>
      <c r="C255" s="107">
        <v>999</v>
      </c>
      <c r="D255" s="107">
        <v>3287</v>
      </c>
      <c r="E255" s="107">
        <v>3241</v>
      </c>
      <c r="F255" s="107">
        <v>0.30823819808700997</v>
      </c>
      <c r="G255" s="107">
        <v>0.32239971764547598</v>
      </c>
      <c r="H255" s="107">
        <v>1.5853847016379201E-2</v>
      </c>
      <c r="I255" s="107">
        <v>-0.89325446018470001</v>
      </c>
      <c r="J255" s="107">
        <v>-4.59</v>
      </c>
      <c r="K255" s="107">
        <v>0.58644358420628295</v>
      </c>
      <c r="L255" s="107">
        <v>0.339635845084304</v>
      </c>
      <c r="M255" s="107">
        <v>0.60859423203028296</v>
      </c>
      <c r="N255" s="107">
        <v>0.36884373745410298</v>
      </c>
    </row>
    <row r="256" spans="1:14">
      <c r="A256" s="14">
        <v>43494</v>
      </c>
      <c r="B256" s="107">
        <v>1011</v>
      </c>
      <c r="C256" s="107">
        <v>1006</v>
      </c>
      <c r="D256" s="107">
        <v>3237</v>
      </c>
      <c r="E256" s="107">
        <v>3245</v>
      </c>
      <c r="F256" s="107">
        <v>0.31001540832049301</v>
      </c>
      <c r="G256" s="107">
        <v>0.32289600849800199</v>
      </c>
      <c r="H256" s="107">
        <v>1.5984822212072199E-2</v>
      </c>
      <c r="I256" s="107">
        <v>-0.80580190424525699</v>
      </c>
      <c r="J256" s="107">
        <v>-4.1500000000000004</v>
      </c>
      <c r="K256" s="107">
        <v>0.58906071449402797</v>
      </c>
      <c r="L256" s="107">
        <v>0.24025944233325999</v>
      </c>
      <c r="M256" s="107">
        <v>0.61316607875713702</v>
      </c>
      <c r="N256" s="107">
        <v>0.35922607626768999</v>
      </c>
    </row>
    <row r="257" spans="1:14">
      <c r="A257" s="14">
        <v>43493</v>
      </c>
      <c r="B257" s="107">
        <v>1014</v>
      </c>
      <c r="C257" s="107">
        <v>1013</v>
      </c>
      <c r="D257" s="107">
        <v>3283</v>
      </c>
      <c r="E257" s="107">
        <v>3250</v>
      </c>
      <c r="F257" s="107">
        <v>0.31169230769230699</v>
      </c>
      <c r="G257" s="107">
        <v>0.32340482875606003</v>
      </c>
      <c r="H257" s="107">
        <v>1.61729767392952E-2</v>
      </c>
      <c r="I257" s="107">
        <v>-0.72420317252390498</v>
      </c>
      <c r="J257" s="107">
        <v>-3.76</v>
      </c>
      <c r="K257" s="107">
        <v>0.59076073770266302</v>
      </c>
      <c r="L257" s="107">
        <v>0.221257492435846</v>
      </c>
      <c r="M257" s="107">
        <v>0.61856695411118401</v>
      </c>
      <c r="N257" s="107">
        <v>0.37634633790209698</v>
      </c>
    </row>
    <row r="258" spans="1:14">
      <c r="A258" s="14">
        <v>43490</v>
      </c>
      <c r="B258" s="107">
        <v>1026</v>
      </c>
      <c r="C258" s="107">
        <v>1022</v>
      </c>
      <c r="D258" s="107">
        <v>3266</v>
      </c>
      <c r="E258" s="107">
        <v>3283</v>
      </c>
      <c r="F258" s="107">
        <v>0.31130063965884802</v>
      </c>
      <c r="G258" s="107">
        <v>0.32390641084882299</v>
      </c>
      <c r="H258" s="107">
        <v>1.6383920624934E-2</v>
      </c>
      <c r="I258" s="107">
        <v>-0.76939894171546797</v>
      </c>
      <c r="J258" s="107">
        <v>-4.05</v>
      </c>
      <c r="K258" s="107">
        <v>0.586916805712559</v>
      </c>
      <c r="L258" s="107">
        <v>0.22268620008323201</v>
      </c>
      <c r="M258" s="107">
        <v>0.62367076313116199</v>
      </c>
      <c r="N258" s="107">
        <v>0.36715323599212302</v>
      </c>
    </row>
    <row r="259" spans="1:14">
      <c r="A259" s="14">
        <v>43489</v>
      </c>
      <c r="B259" s="107">
        <v>987</v>
      </c>
      <c r="C259" s="107">
        <v>1011</v>
      </c>
      <c r="D259" s="107">
        <v>3188</v>
      </c>
      <c r="E259" s="107">
        <v>3234</v>
      </c>
      <c r="F259" s="107">
        <v>0.31261595547309801</v>
      </c>
      <c r="G259" s="107">
        <v>0.32431492479087398</v>
      </c>
      <c r="H259" s="107">
        <v>1.6446366708310602E-2</v>
      </c>
      <c r="I259" s="107">
        <v>-0.71134065810804104</v>
      </c>
      <c r="J259" s="107">
        <v>-3.74</v>
      </c>
      <c r="K259" s="107">
        <v>0.60138002639756605</v>
      </c>
      <c r="L259" s="107">
        <v>0.25095455965189201</v>
      </c>
      <c r="M259" s="107">
        <v>0.62820174080361002</v>
      </c>
      <c r="N259" s="107">
        <v>0.331849443570159</v>
      </c>
    </row>
    <row r="260" spans="1:14">
      <c r="A260" s="14">
        <v>43488</v>
      </c>
      <c r="B260" s="107">
        <v>992</v>
      </c>
      <c r="C260" s="107">
        <v>993</v>
      </c>
      <c r="D260" s="107">
        <v>3218</v>
      </c>
      <c r="E260" s="107">
        <v>3232</v>
      </c>
      <c r="F260" s="107">
        <v>0.30724009900990101</v>
      </c>
      <c r="G260" s="107">
        <v>0.32473611216771497</v>
      </c>
      <c r="H260" s="107">
        <v>1.6545560527863198E-2</v>
      </c>
      <c r="I260" s="107">
        <v>-1.0574445712099101</v>
      </c>
      <c r="J260" s="107">
        <v>-5.69</v>
      </c>
      <c r="K260" s="107">
        <v>0.54968071794566697</v>
      </c>
      <c r="L260" s="107">
        <v>0.20460322922341601</v>
      </c>
      <c r="M260" s="107">
        <v>0.63372084514992699</v>
      </c>
      <c r="N260" s="107">
        <v>0.34625709608722</v>
      </c>
    </row>
    <row r="261" spans="1:14">
      <c r="A261" s="14">
        <v>43487</v>
      </c>
      <c r="B261" s="107">
        <v>1013</v>
      </c>
      <c r="C261" s="107">
        <v>1000</v>
      </c>
      <c r="D261" s="107">
        <v>3265</v>
      </c>
      <c r="E261" s="107">
        <v>3239</v>
      </c>
      <c r="F261" s="107">
        <v>0.30873726458783501</v>
      </c>
      <c r="G261" s="107">
        <v>0.32521842795526901</v>
      </c>
      <c r="H261" s="107">
        <v>1.6555750567432099E-2</v>
      </c>
      <c r="I261" s="107">
        <v>-0.99549478595399699</v>
      </c>
      <c r="J261" s="107">
        <v>-5.34</v>
      </c>
      <c r="K261" s="107">
        <v>0.50795472148415199</v>
      </c>
      <c r="L261" s="107">
        <v>0.216464606975107</v>
      </c>
      <c r="M261" s="107">
        <v>0.63945598041282903</v>
      </c>
      <c r="N261" s="107">
        <v>0.34067280168528902</v>
      </c>
    </row>
    <row r="262" spans="1:14">
      <c r="A262" s="14">
        <v>43486</v>
      </c>
      <c r="B262" s="107">
        <v>1000</v>
      </c>
      <c r="C262" s="107">
        <v>1006</v>
      </c>
      <c r="D262" s="107">
        <v>3253</v>
      </c>
      <c r="E262" s="107">
        <v>3243</v>
      </c>
      <c r="F262" s="107">
        <v>0.31020659882824497</v>
      </c>
      <c r="G262" s="107">
        <v>0.32568465294127502</v>
      </c>
      <c r="H262" s="107">
        <v>1.6577396692816201E-2</v>
      </c>
      <c r="I262" s="107">
        <v>-0.93368424486924795</v>
      </c>
      <c r="J262" s="107">
        <v>-4.99</v>
      </c>
      <c r="K262" s="107">
        <v>0.47736059344901999</v>
      </c>
      <c r="L262" s="107">
        <v>0.29783950321144298</v>
      </c>
      <c r="M262" s="107">
        <v>0.64414644245331398</v>
      </c>
      <c r="N262" s="107">
        <v>0.31540924324867597</v>
      </c>
    </row>
    <row r="263" spans="1:14">
      <c r="A263" s="14">
        <v>43483</v>
      </c>
      <c r="B263" s="107">
        <v>985</v>
      </c>
      <c r="C263" s="107">
        <v>986</v>
      </c>
      <c r="D263" s="107">
        <v>3219</v>
      </c>
      <c r="E263" s="107">
        <v>3215</v>
      </c>
      <c r="F263" s="107">
        <v>0.30668740279937701</v>
      </c>
      <c r="G263" s="107">
        <v>0.32616290208363702</v>
      </c>
      <c r="H263" s="107">
        <v>1.6641237779131599E-2</v>
      </c>
      <c r="I263" s="107">
        <v>-1.17031554640017</v>
      </c>
      <c r="J263" s="107">
        <v>-6.35</v>
      </c>
      <c r="K263" s="107">
        <v>0.45218912277134998</v>
      </c>
      <c r="L263" s="107">
        <v>0.41617924801515699</v>
      </c>
      <c r="M263" s="107">
        <v>0.64826135842412602</v>
      </c>
      <c r="N263" s="107">
        <v>0.31622826845436802</v>
      </c>
    </row>
    <row r="264" spans="1:14">
      <c r="A264" s="14">
        <v>43482</v>
      </c>
      <c r="B264" s="107">
        <v>986</v>
      </c>
      <c r="C264" s="107">
        <v>992</v>
      </c>
      <c r="D264" s="107">
        <v>3204</v>
      </c>
      <c r="E264" s="107">
        <v>3206</v>
      </c>
      <c r="F264" s="107">
        <v>0.30941983780411703</v>
      </c>
      <c r="G264" s="107">
        <v>0.32659402491927397</v>
      </c>
      <c r="H264" s="107">
        <v>1.65496912486006E-2</v>
      </c>
      <c r="I264" s="107">
        <v>-1.03773459318216</v>
      </c>
      <c r="J264" s="107">
        <v>-5.55</v>
      </c>
      <c r="K264" s="107">
        <v>0.431626014638059</v>
      </c>
      <c r="L264" s="107">
        <v>0.52905861004187005</v>
      </c>
      <c r="M264" s="107">
        <v>0.65190845617775395</v>
      </c>
      <c r="N264" s="107">
        <v>0.31494086095913199</v>
      </c>
    </row>
    <row r="265" spans="1:14">
      <c r="A265" s="14">
        <v>43481</v>
      </c>
      <c r="B265" s="107">
        <v>995</v>
      </c>
      <c r="C265" s="107">
        <v>992</v>
      </c>
      <c r="D265" s="107">
        <v>3203</v>
      </c>
      <c r="E265" s="107">
        <v>3210</v>
      </c>
      <c r="F265" s="107">
        <v>0.309034267912772</v>
      </c>
      <c r="G265" s="107">
        <v>0.32691414464132401</v>
      </c>
      <c r="H265" s="107">
        <v>1.6446274943265698E-2</v>
      </c>
      <c r="I265" s="107">
        <v>-1.08716878382683</v>
      </c>
      <c r="J265" s="107">
        <v>-5.79</v>
      </c>
      <c r="K265" s="107">
        <v>0.411486827320657</v>
      </c>
      <c r="L265" s="107">
        <v>0.680900727399533</v>
      </c>
      <c r="M265" s="107">
        <v>0.65681474609989998</v>
      </c>
      <c r="N265" s="107">
        <v>0.35022409087384299</v>
      </c>
    </row>
    <row r="266" spans="1:14">
      <c r="A266" s="14">
        <v>43480</v>
      </c>
      <c r="B266" s="107">
        <v>970</v>
      </c>
      <c r="C266" s="107">
        <v>1004</v>
      </c>
      <c r="D266" s="107">
        <v>3184</v>
      </c>
      <c r="E266" s="107">
        <v>3219</v>
      </c>
      <c r="F266" s="107">
        <v>0.31189810500155302</v>
      </c>
      <c r="G266" s="107">
        <v>0.32737726487644903</v>
      </c>
      <c r="H266" s="107">
        <v>1.6425298783945799E-2</v>
      </c>
      <c r="I266" s="107">
        <v>-0.94239746128850799</v>
      </c>
      <c r="J266" s="107">
        <v>-4.96</v>
      </c>
      <c r="K266" s="107">
        <v>0.38693824120164699</v>
      </c>
      <c r="L266" s="107">
        <v>0.66382906855671797</v>
      </c>
      <c r="M266" s="107">
        <v>0.661447797552142</v>
      </c>
      <c r="N266" s="107">
        <v>0.34376222446209198</v>
      </c>
    </row>
    <row r="267" spans="1:14">
      <c r="A267" s="14">
        <v>43476</v>
      </c>
      <c r="B267" s="107">
        <v>989</v>
      </c>
      <c r="C267" s="107">
        <v>985</v>
      </c>
      <c r="D267" s="107">
        <v>3131</v>
      </c>
      <c r="E267" s="107">
        <v>3170</v>
      </c>
      <c r="F267" s="107">
        <v>0.31072555205047298</v>
      </c>
      <c r="G267" s="107">
        <v>0.32790874072935899</v>
      </c>
      <c r="H267" s="107">
        <v>1.6560174148631202E-2</v>
      </c>
      <c r="I267" s="107">
        <v>-1.03762125474427</v>
      </c>
      <c r="J267" s="107">
        <v>-5.53</v>
      </c>
      <c r="K267" s="107">
        <v>0.33801970849899199</v>
      </c>
      <c r="L267" s="107">
        <v>0.78329940971868794</v>
      </c>
      <c r="M267" s="107">
        <v>0.67029791175404196</v>
      </c>
      <c r="N267" s="107">
        <v>0.37155317171365698</v>
      </c>
    </row>
    <row r="268" spans="1:14">
      <c r="A268" s="14">
        <v>43475</v>
      </c>
      <c r="B268" s="107">
        <v>974</v>
      </c>
      <c r="C268" s="107">
        <v>981</v>
      </c>
      <c r="D268" s="107">
        <v>3074</v>
      </c>
      <c r="E268" s="107">
        <v>3095</v>
      </c>
      <c r="F268" s="107">
        <v>0.31696284329563801</v>
      </c>
      <c r="G268" s="107">
        <v>0.32856069885792699</v>
      </c>
      <c r="H268" s="107">
        <v>1.6831149231980001E-2</v>
      </c>
      <c r="I268" s="107">
        <v>-0.68907092453632401</v>
      </c>
      <c r="J268" s="107">
        <v>-3.66</v>
      </c>
      <c r="K268" s="107">
        <v>0.31933629451219803</v>
      </c>
      <c r="L268" s="107">
        <v>0.84383091526377296</v>
      </c>
      <c r="M268" s="107">
        <v>0.67364204646614401</v>
      </c>
      <c r="N268" s="107">
        <v>0.364046625773218</v>
      </c>
    </row>
    <row r="269" spans="1:14">
      <c r="A269" s="14">
        <v>43474</v>
      </c>
      <c r="B269" s="107">
        <v>974</v>
      </c>
      <c r="C269" s="107">
        <v>989</v>
      </c>
      <c r="D269" s="107">
        <v>3119</v>
      </c>
      <c r="E269" s="107">
        <v>3124</v>
      </c>
      <c r="F269" s="107">
        <v>0.316581306017925</v>
      </c>
      <c r="G269" s="107">
        <v>0.329109162366861</v>
      </c>
      <c r="H269" s="107">
        <v>1.7112150293879799E-2</v>
      </c>
      <c r="I269" s="107">
        <v>-0.73210298728008705</v>
      </c>
      <c r="J269" s="107">
        <v>-3.96</v>
      </c>
      <c r="K269" s="107">
        <v>0.33918777746525702</v>
      </c>
      <c r="L269" s="107">
        <v>0.836353259092389</v>
      </c>
      <c r="M269" s="107">
        <v>0.677686356172164</v>
      </c>
      <c r="N269" s="107">
        <v>0.30919602030006399</v>
      </c>
    </row>
    <row r="270" spans="1:14">
      <c r="A270" s="14">
        <v>43473</v>
      </c>
      <c r="B270" s="107">
        <v>968</v>
      </c>
      <c r="C270" s="107">
        <v>967</v>
      </c>
      <c r="D270" s="107">
        <v>3025</v>
      </c>
      <c r="E270" s="107">
        <v>3084</v>
      </c>
      <c r="F270" s="107">
        <v>0.31355382619973998</v>
      </c>
      <c r="G270" s="107">
        <v>0.329696133667364</v>
      </c>
      <c r="H270" s="107">
        <v>1.7424532021736501E-2</v>
      </c>
      <c r="I270" s="107">
        <v>-0.92641268342168204</v>
      </c>
      <c r="J270" s="107">
        <v>-5.15</v>
      </c>
      <c r="K270" s="107">
        <v>0.36037951540108598</v>
      </c>
      <c r="L270" s="107">
        <v>0.87413764606345101</v>
      </c>
      <c r="M270" s="107">
        <v>0.680311622226065</v>
      </c>
      <c r="N270" s="107">
        <v>0.367377976546506</v>
      </c>
    </row>
    <row r="271" spans="1:14">
      <c r="A271" s="14">
        <v>43472</v>
      </c>
      <c r="B271" s="107">
        <v>964</v>
      </c>
      <c r="C271" s="107">
        <v>967</v>
      </c>
      <c r="D271" s="107">
        <v>2962.5</v>
      </c>
      <c r="E271" s="107">
        <v>2989</v>
      </c>
      <c r="F271" s="107">
        <v>0.32351957176313101</v>
      </c>
      <c r="G271" s="107">
        <v>0.33047317451320102</v>
      </c>
      <c r="H271" s="107">
        <v>1.79780003034542E-2</v>
      </c>
      <c r="I271" s="107">
        <v>-0.38678399336401598</v>
      </c>
      <c r="J271" s="107">
        <v>-2.15</v>
      </c>
      <c r="K271" s="107">
        <v>0.35219852361876802</v>
      </c>
      <c r="L271" s="107">
        <v>0.85202459235505101</v>
      </c>
      <c r="M271" s="107">
        <v>0.67674807950842097</v>
      </c>
      <c r="N271" s="107">
        <v>0.33549854246781902</v>
      </c>
    </row>
    <row r="272" spans="1:14">
      <c r="A272" s="14">
        <v>43469</v>
      </c>
      <c r="B272" s="107">
        <v>935</v>
      </c>
      <c r="C272" s="107">
        <v>931</v>
      </c>
      <c r="D272" s="107">
        <v>2800</v>
      </c>
      <c r="E272" s="107">
        <v>2882.5</v>
      </c>
      <c r="F272" s="107">
        <v>0.322983521248915</v>
      </c>
      <c r="G272" s="107">
        <v>0.33111232124381901</v>
      </c>
      <c r="H272" s="107">
        <v>1.8562041433658E-2</v>
      </c>
      <c r="I272" s="107">
        <v>-0.43792596972465803</v>
      </c>
      <c r="J272" s="107">
        <v>-2.52</v>
      </c>
      <c r="K272" s="107">
        <v>0.37135581271436602</v>
      </c>
      <c r="L272" s="107">
        <v>0.90866909221418901</v>
      </c>
      <c r="M272" s="107">
        <v>0.67645706801721694</v>
      </c>
      <c r="N272" s="107">
        <v>0.40688892738641202</v>
      </c>
    </row>
    <row r="273" spans="1:14">
      <c r="A273" s="14">
        <v>43462</v>
      </c>
      <c r="B273" s="107">
        <v>956</v>
      </c>
      <c r="C273" s="107">
        <v>965</v>
      </c>
      <c r="D273" s="107">
        <v>2887</v>
      </c>
      <c r="E273" s="107">
        <v>2894.5</v>
      </c>
      <c r="F273" s="107">
        <v>0.333390913802038</v>
      </c>
      <c r="G273" s="107">
        <v>0.33173992515381101</v>
      </c>
      <c r="H273" s="107">
        <v>1.9065509756732098E-2</v>
      </c>
      <c r="I273" s="107">
        <v>8.65955680856728E-2</v>
      </c>
      <c r="J273" s="107">
        <v>0.5</v>
      </c>
      <c r="K273" s="107">
        <v>0.56019350699238102</v>
      </c>
      <c r="L273" s="107">
        <v>0.88152745626218099</v>
      </c>
      <c r="M273" s="107">
        <v>0.67937572891266895</v>
      </c>
      <c r="N273" s="107">
        <v>0.39147713658043598</v>
      </c>
    </row>
    <row r="274" spans="1:14">
      <c r="A274" s="14">
        <v>43461</v>
      </c>
      <c r="B274" s="107">
        <v>940</v>
      </c>
      <c r="C274" s="107">
        <v>957</v>
      </c>
      <c r="D274" s="107">
        <v>2881.5</v>
      </c>
      <c r="E274" s="107">
        <v>2896.5</v>
      </c>
      <c r="F274" s="107">
        <v>0.33039875712066202</v>
      </c>
      <c r="G274" s="107">
        <v>0.33213975971839199</v>
      </c>
      <c r="H274" s="107">
        <v>1.9407321174935901E-2</v>
      </c>
      <c r="I274" s="107">
        <v>-8.9708547719488899E-2</v>
      </c>
      <c r="J274" s="107">
        <v>-0.53</v>
      </c>
      <c r="K274" s="107">
        <v>0.58507177635737595</v>
      </c>
      <c r="L274" s="107">
        <v>0.85781018140099397</v>
      </c>
      <c r="M274" s="107">
        <v>0.67736619868007497</v>
      </c>
      <c r="N274" s="107">
        <v>0.31876736058309402</v>
      </c>
    </row>
    <row r="275" spans="1:14">
      <c r="A275" s="14">
        <v>43460</v>
      </c>
      <c r="B275" s="107">
        <v>897</v>
      </c>
      <c r="C275" s="107">
        <v>900</v>
      </c>
      <c r="D275" s="107">
        <v>2778</v>
      </c>
      <c r="E275" s="107">
        <v>2781.5</v>
      </c>
      <c r="F275" s="107">
        <v>0.32356642099586502</v>
      </c>
      <c r="G275" s="107">
        <v>0.33260615727241799</v>
      </c>
      <c r="H275" s="107">
        <v>1.9776680476828599E-2</v>
      </c>
      <c r="I275" s="107">
        <v>-0.45709067743417497</v>
      </c>
      <c r="J275" s="107">
        <v>-2.79</v>
      </c>
      <c r="K275" s="107">
        <v>0.57930521653127198</v>
      </c>
      <c r="L275" s="107">
        <v>0.85198216143845196</v>
      </c>
      <c r="M275" s="107">
        <v>0.67236970962567999</v>
      </c>
      <c r="N275" s="107">
        <v>0.30555736878946299</v>
      </c>
    </row>
    <row r="276" spans="1:14">
      <c r="A276" s="14">
        <v>43459</v>
      </c>
      <c r="B276" s="107">
        <v>942</v>
      </c>
      <c r="C276" s="107">
        <v>894</v>
      </c>
      <c r="D276" s="107">
        <v>2839.5</v>
      </c>
      <c r="E276" s="107">
        <v>2756</v>
      </c>
      <c r="F276" s="107">
        <v>0.32438316400580502</v>
      </c>
      <c r="G276" s="107">
        <v>0.33317468539448297</v>
      </c>
      <c r="H276" s="107">
        <v>2.0118573378768E-2</v>
      </c>
      <c r="I276" s="107">
        <v>-0.43698532809269902</v>
      </c>
      <c r="J276" s="107">
        <v>-2.71</v>
      </c>
      <c r="K276" s="107">
        <v>0.57104513278638203</v>
      </c>
      <c r="L276" s="107">
        <v>0.86618639343390202</v>
      </c>
      <c r="M276" s="107">
        <v>0.66657065530501403</v>
      </c>
      <c r="N276" s="107">
        <v>0.353039636600257</v>
      </c>
    </row>
    <row r="277" spans="1:14">
      <c r="A277" s="14">
        <v>43455</v>
      </c>
      <c r="B277" s="107">
        <v>953</v>
      </c>
      <c r="C277" s="107">
        <v>946</v>
      </c>
      <c r="D277" s="107">
        <v>2957</v>
      </c>
      <c r="E277" s="107">
        <v>2921.5</v>
      </c>
      <c r="F277" s="107">
        <v>0.32380626390552703</v>
      </c>
      <c r="G277" s="107">
        <v>0.33364758772814501</v>
      </c>
      <c r="H277" s="107">
        <v>2.0322181046977202E-2</v>
      </c>
      <c r="I277" s="107">
        <v>-0.48426513866144899</v>
      </c>
      <c r="J277" s="107">
        <v>-3.04</v>
      </c>
      <c r="K277" s="107">
        <v>0.59407848993842804</v>
      </c>
      <c r="L277" s="107">
        <v>0.814052937017537</v>
      </c>
      <c r="M277" s="107">
        <v>0.66799392538956803</v>
      </c>
      <c r="N277" s="107">
        <v>0.37257093873972302</v>
      </c>
    </row>
    <row r="278" spans="1:14">
      <c r="A278" s="14">
        <v>43454</v>
      </c>
      <c r="B278" s="107">
        <v>974</v>
      </c>
      <c r="C278" s="107">
        <v>958</v>
      </c>
      <c r="D278" s="107">
        <v>3022</v>
      </c>
      <c r="E278" s="107">
        <v>2964</v>
      </c>
      <c r="F278" s="107">
        <v>0.32321187584345401</v>
      </c>
      <c r="G278" s="107">
        <v>0.33410904065494101</v>
      </c>
      <c r="H278" s="107">
        <v>2.0485748671042799E-2</v>
      </c>
      <c r="I278" s="107">
        <v>-0.53193881202351101</v>
      </c>
      <c r="J278" s="107">
        <v>-3.37</v>
      </c>
      <c r="K278" s="107">
        <v>0.60674459029043204</v>
      </c>
      <c r="L278" s="107">
        <v>0.78168985883187903</v>
      </c>
      <c r="M278" s="107">
        <v>0.666140994282304</v>
      </c>
      <c r="N278" s="107">
        <v>0.37246683422879201</v>
      </c>
    </row>
    <row r="279" spans="1:14">
      <c r="A279" s="14">
        <v>43453</v>
      </c>
      <c r="B279" s="107">
        <v>995</v>
      </c>
      <c r="C279" s="107">
        <v>985</v>
      </c>
      <c r="D279" s="107">
        <v>3029</v>
      </c>
      <c r="E279" s="107">
        <v>3047</v>
      </c>
      <c r="F279" s="107">
        <v>0.32326878897276001</v>
      </c>
      <c r="G279" s="107">
        <v>0.33455856072267398</v>
      </c>
      <c r="H279" s="107">
        <v>2.0611209659809799E-2</v>
      </c>
      <c r="I279" s="107">
        <v>-0.54774911013247796</v>
      </c>
      <c r="J279" s="107">
        <v>-3.49</v>
      </c>
      <c r="K279" s="107">
        <v>0.62059782054611701</v>
      </c>
      <c r="L279" s="107">
        <v>0.82293069015458098</v>
      </c>
      <c r="M279" s="107">
        <v>0.66548966766498296</v>
      </c>
      <c r="N279" s="107">
        <v>0.408853562905927</v>
      </c>
    </row>
    <row r="280" spans="1:14">
      <c r="A280" s="14">
        <v>43452</v>
      </c>
      <c r="B280" s="107">
        <v>1002</v>
      </c>
      <c r="C280" s="107">
        <v>1011</v>
      </c>
      <c r="D280" s="107">
        <v>3049</v>
      </c>
      <c r="E280" s="107">
        <v>3028</v>
      </c>
      <c r="F280" s="107">
        <v>0.333883751651254</v>
      </c>
      <c r="G280" s="107">
        <v>0.33492848501432099</v>
      </c>
      <c r="H280" s="107">
        <v>2.06541931975198E-2</v>
      </c>
      <c r="I280" s="107">
        <v>-5.0582143445420301E-2</v>
      </c>
      <c r="J280" s="107">
        <v>-0.31</v>
      </c>
      <c r="K280" s="107">
        <v>0.63347785553484404</v>
      </c>
      <c r="L280" s="107">
        <v>0.85747847228539198</v>
      </c>
      <c r="M280" s="107">
        <v>0.66522882412042705</v>
      </c>
      <c r="N280" s="107">
        <v>0.40237783921276998</v>
      </c>
    </row>
    <row r="281" spans="1:14">
      <c r="A281" s="14">
        <v>43451</v>
      </c>
      <c r="B281" s="107">
        <v>1027</v>
      </c>
      <c r="C281" s="107">
        <v>1015</v>
      </c>
      <c r="D281" s="107">
        <v>3054</v>
      </c>
      <c r="E281" s="107">
        <v>3050</v>
      </c>
      <c r="F281" s="107">
        <v>0.332786885245901</v>
      </c>
      <c r="G281" s="107">
        <v>0.33509918570413499</v>
      </c>
      <c r="H281" s="107">
        <v>2.06977121662325E-2</v>
      </c>
      <c r="I281" s="107">
        <v>-0.111717683561493</v>
      </c>
      <c r="J281" s="107">
        <v>-0.69</v>
      </c>
      <c r="K281" s="107">
        <v>0.63232667895344796</v>
      </c>
      <c r="L281" s="107">
        <v>0.89476104419120595</v>
      </c>
      <c r="M281" s="107">
        <v>0.66465651988577101</v>
      </c>
      <c r="N281" s="107">
        <v>0.42274602411636802</v>
      </c>
    </row>
    <row r="282" spans="1:14">
      <c r="A282" s="14">
        <v>43448</v>
      </c>
      <c r="B282" s="107">
        <v>1044</v>
      </c>
      <c r="C282" s="107">
        <v>1026</v>
      </c>
      <c r="D282" s="107">
        <v>3078</v>
      </c>
      <c r="E282" s="107">
        <v>3054</v>
      </c>
      <c r="F282" s="107">
        <v>0.33595284872298598</v>
      </c>
      <c r="G282" s="107">
        <v>0.33524597748589302</v>
      </c>
      <c r="H282" s="107">
        <v>2.0719820817756501E-2</v>
      </c>
      <c r="I282" s="107">
        <v>3.41157022211021E-2</v>
      </c>
      <c r="J282" s="107">
        <v>0.21</v>
      </c>
      <c r="K282" s="107">
        <v>0.63235626546623602</v>
      </c>
      <c r="L282" s="107">
        <v>0.89605492011578602</v>
      </c>
      <c r="M282" s="107">
        <v>0.66373517131844795</v>
      </c>
      <c r="N282" s="107">
        <v>0.40426804811816103</v>
      </c>
    </row>
    <row r="283" spans="1:14">
      <c r="A283" s="14">
        <v>43447</v>
      </c>
      <c r="B283" s="107">
        <v>1039</v>
      </c>
      <c r="C283" s="107">
        <v>1044</v>
      </c>
      <c r="D283" s="107">
        <v>3112</v>
      </c>
      <c r="E283" s="107">
        <v>3114</v>
      </c>
      <c r="F283" s="107">
        <v>0.33526011560693603</v>
      </c>
      <c r="G283" s="107">
        <v>0.33538429732400898</v>
      </c>
      <c r="H283" s="107">
        <v>2.07586685337409E-2</v>
      </c>
      <c r="I283" s="107">
        <v>-5.98216195181851E-3</v>
      </c>
      <c r="J283" s="107">
        <v>-0.04</v>
      </c>
      <c r="K283" s="107">
        <v>0.62709216450241601</v>
      </c>
      <c r="L283" s="107">
        <v>0.88566174109629803</v>
      </c>
      <c r="M283" s="107">
        <v>0.66415497932523304</v>
      </c>
      <c r="N283" s="107">
        <v>0.42157785542176002</v>
      </c>
    </row>
    <row r="284" spans="1:14">
      <c r="A284" s="14">
        <v>43446</v>
      </c>
      <c r="B284" s="107">
        <v>1035</v>
      </c>
      <c r="C284" s="107">
        <v>1033</v>
      </c>
      <c r="D284" s="107">
        <v>3067</v>
      </c>
      <c r="E284" s="107">
        <v>3082</v>
      </c>
      <c r="F284" s="107">
        <v>0.33517196625567802</v>
      </c>
      <c r="G284" s="107">
        <v>0.33551801249990798</v>
      </c>
      <c r="H284" s="107">
        <v>2.0789714060205602E-2</v>
      </c>
      <c r="I284" s="107">
        <v>-1.6645069923929501E-2</v>
      </c>
      <c r="J284" s="107">
        <v>-0.1</v>
      </c>
      <c r="K284" s="107">
        <v>0.616816066482064</v>
      </c>
      <c r="L284" s="107">
        <v>0.90451194556802705</v>
      </c>
      <c r="M284" s="107">
        <v>0.66430263949767399</v>
      </c>
      <c r="N284" s="107">
        <v>0.42585401297151898</v>
      </c>
    </row>
    <row r="285" spans="1:14">
      <c r="A285" s="14">
        <v>43445</v>
      </c>
      <c r="B285" s="107">
        <v>1019</v>
      </c>
      <c r="C285" s="107">
        <v>1001</v>
      </c>
      <c r="D285" s="107">
        <v>3048</v>
      </c>
      <c r="E285" s="107">
        <v>3021</v>
      </c>
      <c r="F285" s="107">
        <v>0.33134723601456401</v>
      </c>
      <c r="G285" s="107">
        <v>0.33558190406496202</v>
      </c>
      <c r="H285" s="107">
        <v>2.0795914733599801E-2</v>
      </c>
      <c r="I285" s="107">
        <v>-0.20362980444211801</v>
      </c>
      <c r="J285" s="107">
        <v>-1.28</v>
      </c>
      <c r="K285" s="107">
        <v>0.58876755092787203</v>
      </c>
      <c r="L285" s="107">
        <v>0.95119346558233298</v>
      </c>
      <c r="M285" s="107">
        <v>0.662673998981269</v>
      </c>
      <c r="N285" s="107">
        <v>0.46739862313557901</v>
      </c>
    </row>
    <row r="286" spans="1:14">
      <c r="A286" s="14">
        <v>43444</v>
      </c>
      <c r="B286" s="107">
        <v>999</v>
      </c>
      <c r="C286" s="107">
        <v>1007</v>
      </c>
      <c r="D286" s="107">
        <v>3003</v>
      </c>
      <c r="E286" s="107">
        <v>3033</v>
      </c>
      <c r="F286" s="107">
        <v>0.33201450708869101</v>
      </c>
      <c r="G286" s="107">
        <v>0.33562414580383798</v>
      </c>
      <c r="H286" s="107">
        <v>2.0790487081749E-2</v>
      </c>
      <c r="I286" s="107">
        <v>-0.17361972814558199</v>
      </c>
      <c r="J286" s="107">
        <v>-1.0900000000000001</v>
      </c>
      <c r="K286" s="107">
        <v>0.56790425770623199</v>
      </c>
      <c r="L286" s="107">
        <v>0.95283460924239505</v>
      </c>
      <c r="M286" s="107">
        <v>0.66102137475817202</v>
      </c>
      <c r="N286" s="107">
        <v>0.46331633224498697</v>
      </c>
    </row>
    <row r="287" spans="1:14">
      <c r="A287" s="14">
        <v>43441</v>
      </c>
      <c r="B287" s="107">
        <v>1032</v>
      </c>
      <c r="C287" s="107">
        <v>1016</v>
      </c>
      <c r="D287" s="107">
        <v>3111</v>
      </c>
      <c r="E287" s="107">
        <v>3086</v>
      </c>
      <c r="F287" s="107">
        <v>0.32922877511341497</v>
      </c>
      <c r="G287" s="107">
        <v>0.33573005696296099</v>
      </c>
      <c r="H287" s="107">
        <v>2.0792061511646202E-2</v>
      </c>
      <c r="I287" s="107">
        <v>-0.31268096460296502</v>
      </c>
      <c r="J287" s="107">
        <v>-1.97</v>
      </c>
      <c r="K287" s="107">
        <v>0.54826015557200702</v>
      </c>
      <c r="L287" s="107">
        <v>0.94948537005734901</v>
      </c>
      <c r="M287" s="107">
        <v>0.65967948228543805</v>
      </c>
      <c r="N287" s="107">
        <v>0.48480470373172302</v>
      </c>
    </row>
    <row r="288" spans="1:14">
      <c r="A288" s="14">
        <v>43440</v>
      </c>
      <c r="B288" s="107">
        <v>1035</v>
      </c>
      <c r="C288" s="107">
        <v>1035</v>
      </c>
      <c r="D288" s="107">
        <v>3115</v>
      </c>
      <c r="E288" s="107">
        <v>3079</v>
      </c>
      <c r="F288" s="107">
        <v>0.33614810003247803</v>
      </c>
      <c r="G288" s="107">
        <v>0.33589073223664501</v>
      </c>
      <c r="H288" s="107">
        <v>2.0787762160645599E-2</v>
      </c>
      <c r="I288" s="107">
        <v>1.23807360236302E-2</v>
      </c>
      <c r="J288" s="107">
        <v>0.08</v>
      </c>
      <c r="K288" s="107">
        <v>0.53683343076090795</v>
      </c>
      <c r="L288" s="107">
        <v>0.92607656679183603</v>
      </c>
      <c r="M288" s="107">
        <v>0.65875600730469697</v>
      </c>
      <c r="N288" s="107">
        <v>0.46728752081931202</v>
      </c>
    </row>
    <row r="289" spans="1:14">
      <c r="A289" s="14">
        <v>43439</v>
      </c>
      <c r="B289" s="107">
        <v>1025</v>
      </c>
      <c r="C289" s="107">
        <v>1040</v>
      </c>
      <c r="D289" s="107">
        <v>3120</v>
      </c>
      <c r="E289" s="107">
        <v>3115</v>
      </c>
      <c r="F289" s="107">
        <v>0.333868378812199</v>
      </c>
      <c r="G289" s="107">
        <v>0.33600881793779103</v>
      </c>
      <c r="H289" s="107">
        <v>2.0814026803796199E-2</v>
      </c>
      <c r="I289" s="107">
        <v>-0.102836377879663</v>
      </c>
      <c r="J289" s="107">
        <v>-0.64</v>
      </c>
      <c r="K289" s="107">
        <v>0.52562644618560095</v>
      </c>
      <c r="L289" s="107">
        <v>0.933642667379601</v>
      </c>
      <c r="M289" s="107">
        <v>0.65768052046654502</v>
      </c>
      <c r="N289" s="107">
        <v>0.46241326603022997</v>
      </c>
    </row>
    <row r="290" spans="1:14">
      <c r="A290" s="14">
        <v>43438</v>
      </c>
      <c r="B290" s="107">
        <v>1055</v>
      </c>
      <c r="C290" s="107">
        <v>1038</v>
      </c>
      <c r="D290" s="107">
        <v>3300</v>
      </c>
      <c r="E290" s="107">
        <v>3191</v>
      </c>
      <c r="F290" s="107">
        <v>0.32528987778125901</v>
      </c>
      <c r="G290" s="107">
        <v>0.33613804149773602</v>
      </c>
      <c r="H290" s="107">
        <v>2.0830415919197199E-2</v>
      </c>
      <c r="I290" s="107">
        <v>-0.52078478694602504</v>
      </c>
      <c r="J290" s="107">
        <v>-3.33</v>
      </c>
      <c r="K290" s="107">
        <v>0.515787316712504</v>
      </c>
      <c r="L290" s="107">
        <v>0.92385300864016495</v>
      </c>
      <c r="M290" s="107">
        <v>0.65724950567094897</v>
      </c>
      <c r="N290" s="107">
        <v>0.44862052260273899</v>
      </c>
    </row>
    <row r="291" spans="1:14">
      <c r="A291" s="14">
        <v>43437</v>
      </c>
      <c r="B291" s="107">
        <v>1032</v>
      </c>
      <c r="C291" s="107">
        <v>1032</v>
      </c>
      <c r="D291" s="107">
        <v>3250</v>
      </c>
      <c r="E291" s="107">
        <v>3269</v>
      </c>
      <c r="F291" s="107">
        <v>0.315692872438054</v>
      </c>
      <c r="G291" s="107">
        <v>0.33639000928678298</v>
      </c>
      <c r="H291" s="107">
        <v>2.08119568145359E-2</v>
      </c>
      <c r="I291" s="107">
        <v>-0.99448298077734598</v>
      </c>
      <c r="J291" s="107">
        <v>-6.56</v>
      </c>
      <c r="K291" s="107">
        <v>0.51782321060623704</v>
      </c>
      <c r="L291" s="107">
        <v>0.89044491982108898</v>
      </c>
      <c r="M291" s="107">
        <v>0.65746466944697701</v>
      </c>
      <c r="N291" s="107">
        <v>0.44548683641131898</v>
      </c>
    </row>
    <row r="292" spans="1:14">
      <c r="A292" s="14">
        <v>43434</v>
      </c>
      <c r="B292" s="107">
        <v>1007</v>
      </c>
      <c r="C292" s="107">
        <v>1010</v>
      </c>
      <c r="D292" s="107">
        <v>3171</v>
      </c>
      <c r="E292" s="107">
        <v>3202</v>
      </c>
      <c r="F292" s="107">
        <v>0.31542785758900599</v>
      </c>
      <c r="G292" s="107">
        <v>0.33676910032413998</v>
      </c>
      <c r="H292" s="107">
        <v>2.0690091574814801E-2</v>
      </c>
      <c r="I292" s="107">
        <v>-1.0314716422575501</v>
      </c>
      <c r="J292" s="107">
        <v>-6.77</v>
      </c>
      <c r="K292" s="107">
        <v>0.52458370496026496</v>
      </c>
      <c r="L292" s="107">
        <v>0.88846168037830298</v>
      </c>
      <c r="M292" s="107">
        <v>0.65664575735484498</v>
      </c>
      <c r="N292" s="107">
        <v>0.465788637828838</v>
      </c>
    </row>
    <row r="293" spans="1:14">
      <c r="A293" s="14">
        <v>43433</v>
      </c>
      <c r="B293" s="107">
        <v>1013</v>
      </c>
      <c r="C293" s="107">
        <v>1007</v>
      </c>
      <c r="D293" s="107">
        <v>3157</v>
      </c>
      <c r="E293" s="107">
        <v>3142</v>
      </c>
      <c r="F293" s="107">
        <v>0.32049649904519401</v>
      </c>
      <c r="G293" s="107">
        <v>0.337188497430777</v>
      </c>
      <c r="H293" s="107">
        <v>2.05717070149764E-2</v>
      </c>
      <c r="I293" s="107">
        <v>-0.81140560544788498</v>
      </c>
      <c r="J293" s="107">
        <v>-5.21</v>
      </c>
      <c r="K293" s="107">
        <v>0.53111165965926999</v>
      </c>
      <c r="L293" s="107">
        <v>0.84939196860735899</v>
      </c>
      <c r="M293" s="107">
        <v>0.65463263448681597</v>
      </c>
      <c r="N293" s="107">
        <v>0.474273766285496</v>
      </c>
    </row>
    <row r="294" spans="1:14">
      <c r="A294" s="14">
        <v>43432</v>
      </c>
      <c r="B294" s="107">
        <v>1000</v>
      </c>
      <c r="C294" s="107">
        <v>1003</v>
      </c>
      <c r="D294" s="107">
        <v>3205</v>
      </c>
      <c r="E294" s="107">
        <v>3161</v>
      </c>
      <c r="F294" s="107">
        <v>0.31730465042708</v>
      </c>
      <c r="G294" s="107">
        <v>0.33752328678634202</v>
      </c>
      <c r="H294" s="107">
        <v>2.05015299984465E-2</v>
      </c>
      <c r="I294" s="107">
        <v>-0.98620134013387095</v>
      </c>
      <c r="J294" s="107">
        <v>-6.37</v>
      </c>
      <c r="K294" s="107">
        <v>0.54038021177788698</v>
      </c>
      <c r="L294" s="107">
        <v>0.79396872056409595</v>
      </c>
      <c r="M294" s="107">
        <v>0.65223319395021995</v>
      </c>
      <c r="N294" s="107">
        <v>0.47394522046458298</v>
      </c>
    </row>
    <row r="295" spans="1:14">
      <c r="A295" s="14">
        <v>43431</v>
      </c>
      <c r="B295" s="107">
        <v>991</v>
      </c>
      <c r="C295" s="107">
        <v>999</v>
      </c>
      <c r="D295" s="107">
        <v>3198</v>
      </c>
      <c r="E295" s="107">
        <v>3205</v>
      </c>
      <c r="F295" s="107">
        <v>0.31170046801871998</v>
      </c>
      <c r="G295" s="107">
        <v>0.33796967533768202</v>
      </c>
      <c r="H295" s="107">
        <v>2.0420760009290301E-2</v>
      </c>
      <c r="I295" s="107">
        <v>-1.28639714227144</v>
      </c>
      <c r="J295" s="107">
        <v>-8.43</v>
      </c>
      <c r="K295" s="107">
        <v>0.550526945599633</v>
      </c>
      <c r="L295" s="107">
        <v>0.76848477643319002</v>
      </c>
      <c r="M295" s="107">
        <v>0.65053666322736803</v>
      </c>
      <c r="N295" s="107">
        <v>0.36756746652171701</v>
      </c>
    </row>
    <row r="296" spans="1:14">
      <c r="A296" s="14">
        <v>43430</v>
      </c>
      <c r="B296" s="107">
        <v>980</v>
      </c>
      <c r="C296" s="107">
        <v>981</v>
      </c>
      <c r="D296" s="107">
        <v>3136</v>
      </c>
      <c r="E296" s="107">
        <v>3158</v>
      </c>
      <c r="F296" s="107">
        <v>0.31063964534515498</v>
      </c>
      <c r="G296" s="107">
        <v>0.33812705109256702</v>
      </c>
      <c r="H296" s="107">
        <v>2.0262574717484501E-2</v>
      </c>
      <c r="I296" s="107">
        <v>-1.3565603646457101</v>
      </c>
      <c r="J296" s="107">
        <v>-8.85</v>
      </c>
      <c r="K296" s="107">
        <v>0.553713973266032</v>
      </c>
      <c r="L296" s="107">
        <v>0.78626229129092695</v>
      </c>
      <c r="M296" s="107">
        <v>0.64735863891001899</v>
      </c>
      <c r="N296" s="107">
        <v>0.426236391157294</v>
      </c>
    </row>
    <row r="297" spans="1:14">
      <c r="A297" s="14">
        <v>43426</v>
      </c>
      <c r="B297" s="107">
        <v>999</v>
      </c>
      <c r="C297" s="107">
        <v>990</v>
      </c>
      <c r="D297" s="107">
        <v>3146</v>
      </c>
      <c r="E297" s="107">
        <v>3158</v>
      </c>
      <c r="F297" s="107">
        <v>0.31348955034832099</v>
      </c>
      <c r="G297" s="107">
        <v>0.338299944528622</v>
      </c>
      <c r="H297" s="107">
        <v>2.00818118829677E-2</v>
      </c>
      <c r="I297" s="107">
        <v>-1.2354659193547901</v>
      </c>
      <c r="J297" s="107">
        <v>-7.91</v>
      </c>
      <c r="K297" s="107">
        <v>0.55536781063326401</v>
      </c>
      <c r="L297" s="107">
        <v>0.76950200655019796</v>
      </c>
      <c r="M297" s="107">
        <v>0.64407599526111103</v>
      </c>
      <c r="N297" s="107">
        <v>0.46123783973675903</v>
      </c>
    </row>
    <row r="298" spans="1:14">
      <c r="A298" s="14">
        <v>43425</v>
      </c>
      <c r="B298" s="107">
        <v>968</v>
      </c>
      <c r="C298" s="107">
        <v>990</v>
      </c>
      <c r="D298" s="107">
        <v>3107</v>
      </c>
      <c r="E298" s="107">
        <v>3146</v>
      </c>
      <c r="F298" s="107">
        <v>0.31468531468531402</v>
      </c>
      <c r="G298" s="107">
        <v>0.33846363731643098</v>
      </c>
      <c r="H298" s="107">
        <v>1.9928358127368598E-2</v>
      </c>
      <c r="I298" s="107">
        <v>-1.19319025075429</v>
      </c>
      <c r="J298" s="107">
        <v>-7.56</v>
      </c>
      <c r="K298" s="107">
        <v>0.553602809920408</v>
      </c>
      <c r="L298" s="107">
        <v>0.73636328849475297</v>
      </c>
      <c r="M298" s="107">
        <v>0.64094768310765005</v>
      </c>
      <c r="N298" s="107">
        <v>0.433264747641111</v>
      </c>
    </row>
    <row r="299" spans="1:14">
      <c r="A299" s="14">
        <v>43424</v>
      </c>
      <c r="B299" s="107">
        <v>974</v>
      </c>
      <c r="C299" s="107">
        <v>987</v>
      </c>
      <c r="D299" s="107">
        <v>3148</v>
      </c>
      <c r="E299" s="107">
        <v>3166</v>
      </c>
      <c r="F299" s="107">
        <v>0.311749842072015</v>
      </c>
      <c r="G299" s="107">
        <v>0.33865442089182901</v>
      </c>
      <c r="H299" s="107">
        <v>1.9767648074848401E-2</v>
      </c>
      <c r="I299" s="107">
        <v>-1.36104096541697</v>
      </c>
      <c r="J299" s="107">
        <v>-8.6300000000000008</v>
      </c>
      <c r="K299" s="107">
        <v>0.55378173258334795</v>
      </c>
      <c r="L299" s="107">
        <v>0.68598650437808695</v>
      </c>
      <c r="M299" s="107">
        <v>0.63784874407981895</v>
      </c>
      <c r="N299" s="107">
        <v>0.40178675600500102</v>
      </c>
    </row>
    <row r="300" spans="1:14">
      <c r="A300" s="14">
        <v>43423</v>
      </c>
      <c r="B300" s="107">
        <v>966</v>
      </c>
      <c r="C300" s="107">
        <v>982</v>
      </c>
      <c r="D300" s="107">
        <v>3179</v>
      </c>
      <c r="E300" s="107">
        <v>3179</v>
      </c>
      <c r="F300" s="107">
        <v>0.30890217049386598</v>
      </c>
      <c r="G300" s="107">
        <v>0.338909082709409</v>
      </c>
      <c r="H300" s="107">
        <v>1.9541132720053998E-2</v>
      </c>
      <c r="I300" s="107">
        <v>-1.5355769107871999</v>
      </c>
      <c r="J300" s="107">
        <v>-9.7100000000000009</v>
      </c>
      <c r="K300" s="107">
        <v>0.55589603985609004</v>
      </c>
      <c r="L300" s="107">
        <v>0.47153064068210798</v>
      </c>
      <c r="M300" s="107">
        <v>0.63459379979481401</v>
      </c>
      <c r="N300" s="107">
        <v>0.35331938714817601</v>
      </c>
    </row>
    <row r="301" spans="1:14">
      <c r="A301" s="14">
        <v>43420</v>
      </c>
      <c r="B301" s="107">
        <v>972</v>
      </c>
      <c r="C301" s="107">
        <v>966</v>
      </c>
      <c r="D301" s="107">
        <v>3211</v>
      </c>
      <c r="E301" s="107">
        <v>3184</v>
      </c>
      <c r="F301" s="107">
        <v>0.30339195979899403</v>
      </c>
      <c r="G301" s="107">
        <v>0.33912159729390701</v>
      </c>
      <c r="H301" s="107">
        <v>1.9298810228039E-2</v>
      </c>
      <c r="I301" s="107">
        <v>-1.8513906853698601</v>
      </c>
      <c r="J301" s="107">
        <v>-11.78</v>
      </c>
      <c r="K301" s="107">
        <v>0.56108622151910903</v>
      </c>
      <c r="L301" s="107">
        <v>0.28798332739964999</v>
      </c>
      <c r="M301" s="107">
        <v>0.63122380278827905</v>
      </c>
      <c r="N301" s="107">
        <v>0.34798189262311602</v>
      </c>
    </row>
    <row r="302" spans="1:14">
      <c r="A302" s="14">
        <v>43419</v>
      </c>
      <c r="B302" s="107">
        <v>976</v>
      </c>
      <c r="C302" s="107">
        <v>974</v>
      </c>
      <c r="D302" s="107">
        <v>3220</v>
      </c>
      <c r="E302" s="107">
        <v>3206</v>
      </c>
      <c r="F302" s="107">
        <v>0.30380536494073601</v>
      </c>
      <c r="G302" s="107">
        <v>0.339507568381336</v>
      </c>
      <c r="H302" s="107">
        <v>1.8864965266006999E-2</v>
      </c>
      <c r="I302" s="107">
        <v>-1.8925136058920899</v>
      </c>
      <c r="J302" s="107">
        <v>-11.75</v>
      </c>
      <c r="K302" s="107">
        <v>0.56854289198115604</v>
      </c>
      <c r="L302" s="107">
        <v>0.54693060684992201</v>
      </c>
      <c r="M302" s="107">
        <v>0.62821807717610201</v>
      </c>
      <c r="N302" s="107">
        <v>0.32885769181563201</v>
      </c>
    </row>
    <row r="303" spans="1:14">
      <c r="A303" s="14">
        <v>43418</v>
      </c>
      <c r="B303" s="107">
        <v>974</v>
      </c>
      <c r="C303" s="107">
        <v>980</v>
      </c>
      <c r="D303" s="107">
        <v>3223</v>
      </c>
      <c r="E303" s="107">
        <v>3223</v>
      </c>
      <c r="F303" s="107">
        <v>0.30406453614644702</v>
      </c>
      <c r="G303" s="107">
        <v>0.33983541149016799</v>
      </c>
      <c r="H303" s="107">
        <v>1.8450774331936599E-2</v>
      </c>
      <c r="I303" s="107">
        <v>-1.93871946511235</v>
      </c>
      <c r="J303" s="107">
        <v>-11.76</v>
      </c>
      <c r="K303" s="107">
        <v>0.57874221314148</v>
      </c>
      <c r="L303" s="107">
        <v>0.29882521576412102</v>
      </c>
      <c r="M303" s="107">
        <v>0.62466810470008305</v>
      </c>
      <c r="N303" s="107">
        <v>0.32210475860825499</v>
      </c>
    </row>
    <row r="304" spans="1:14">
      <c r="A304" s="14">
        <v>43417</v>
      </c>
      <c r="B304" s="107">
        <v>976</v>
      </c>
      <c r="C304" s="107">
        <v>969</v>
      </c>
      <c r="D304" s="107">
        <v>3212</v>
      </c>
      <c r="E304" s="107">
        <v>3210</v>
      </c>
      <c r="F304" s="107">
        <v>0.30186915887850402</v>
      </c>
      <c r="G304" s="107">
        <v>0.34020717111718002</v>
      </c>
      <c r="H304" s="107">
        <v>1.8001720062181099E-2</v>
      </c>
      <c r="I304" s="107">
        <v>-2.1296860581238701</v>
      </c>
      <c r="J304" s="107">
        <v>-12.7</v>
      </c>
      <c r="K304" s="107">
        <v>0.59108744170772998</v>
      </c>
      <c r="L304" s="107">
        <v>0.48008900028879897</v>
      </c>
      <c r="M304" s="107">
        <v>0.62159785066290696</v>
      </c>
      <c r="N304" s="107">
        <v>0.40177942336353201</v>
      </c>
    </row>
    <row r="305" spans="1:14">
      <c r="A305" s="14">
        <v>43416</v>
      </c>
      <c r="B305" s="107">
        <v>989</v>
      </c>
      <c r="C305" s="107">
        <v>991</v>
      </c>
      <c r="D305" s="107">
        <v>3252</v>
      </c>
      <c r="E305" s="107">
        <v>3282</v>
      </c>
      <c r="F305" s="107">
        <v>0.30195003046922603</v>
      </c>
      <c r="G305" s="107">
        <v>0.34062935239893999</v>
      </c>
      <c r="H305" s="107">
        <v>1.74608213858484E-2</v>
      </c>
      <c r="I305" s="107">
        <v>-2.21520632248507</v>
      </c>
      <c r="J305" s="107">
        <v>-12.81</v>
      </c>
      <c r="K305" s="107">
        <v>0.61276559497170002</v>
      </c>
      <c r="L305" s="107">
        <v>0.47001627151685099</v>
      </c>
      <c r="M305" s="107">
        <v>0.62026150567332605</v>
      </c>
      <c r="N305" s="107">
        <v>0.37407080376896601</v>
      </c>
    </row>
    <row r="306" spans="1:14">
      <c r="A306" s="14">
        <v>43413</v>
      </c>
      <c r="B306" s="107">
        <v>995</v>
      </c>
      <c r="C306" s="107">
        <v>997</v>
      </c>
      <c r="D306" s="107">
        <v>3266</v>
      </c>
      <c r="E306" s="107">
        <v>3280</v>
      </c>
      <c r="F306" s="107">
        <v>0.303963414634146</v>
      </c>
      <c r="G306" s="107">
        <v>0.34101573552138797</v>
      </c>
      <c r="H306" s="107">
        <v>1.6912652393604202E-2</v>
      </c>
      <c r="I306" s="107">
        <v>-2.1908048498208301</v>
      </c>
      <c r="J306" s="107">
        <v>-12.19</v>
      </c>
      <c r="K306" s="107">
        <v>0.63737349809216604</v>
      </c>
      <c r="L306" s="107">
        <v>0.18258521003656</v>
      </c>
      <c r="M306" s="107">
        <v>0.61958911242735204</v>
      </c>
      <c r="N306" s="107">
        <v>0.291623091722224</v>
      </c>
    </row>
    <row r="307" spans="1:14">
      <c r="A307" s="14">
        <v>43412</v>
      </c>
      <c r="B307" s="107">
        <v>1005</v>
      </c>
      <c r="C307" s="107">
        <v>981</v>
      </c>
      <c r="D307" s="107">
        <v>3287</v>
      </c>
      <c r="E307" s="107">
        <v>3264</v>
      </c>
      <c r="F307" s="107">
        <v>0.300551470588235</v>
      </c>
      <c r="G307" s="107">
        <v>0.34138034115195698</v>
      </c>
      <c r="H307" s="107">
        <v>1.63968350304858E-2</v>
      </c>
      <c r="I307" s="15">
        <v>-2.4900458221242601</v>
      </c>
      <c r="J307" s="107">
        <v>-13.58</v>
      </c>
      <c r="K307" s="107">
        <v>0.66716738631718397</v>
      </c>
      <c r="L307" s="107">
        <v>0.43512023176868903</v>
      </c>
      <c r="M307" s="107">
        <v>0.61892281110069503</v>
      </c>
      <c r="N307" s="107">
        <v>0.34501177046629999</v>
      </c>
    </row>
    <row r="308" spans="1:14">
      <c r="A308" s="14">
        <v>43411</v>
      </c>
      <c r="B308" s="107">
        <v>1018</v>
      </c>
      <c r="C308" s="107">
        <v>1016</v>
      </c>
      <c r="D308" s="107">
        <v>3295</v>
      </c>
      <c r="E308" s="107">
        <v>3229</v>
      </c>
      <c r="F308" s="107">
        <v>0.31464849798699202</v>
      </c>
      <c r="G308" s="107">
        <v>0.34183246151747199</v>
      </c>
      <c r="H308" s="107">
        <v>1.5718257546397899E-2</v>
      </c>
      <c r="I308" s="107">
        <v>-1.72945146433924</v>
      </c>
      <c r="J308" s="107">
        <v>-8.64</v>
      </c>
      <c r="K308" s="107">
        <v>0.664621279089187</v>
      </c>
      <c r="L308" s="107">
        <v>0.22561009536048701</v>
      </c>
      <c r="M308" s="107">
        <v>0.61699016839415999</v>
      </c>
      <c r="N308" s="107">
        <v>0.53288645770047804</v>
      </c>
    </row>
    <row r="309" spans="1:14">
      <c r="A309" s="14">
        <v>43410</v>
      </c>
      <c r="B309" s="107">
        <v>1010</v>
      </c>
      <c r="C309" s="107">
        <v>1011</v>
      </c>
      <c r="D309" s="107">
        <v>3234</v>
      </c>
      <c r="E309" s="107">
        <v>3317</v>
      </c>
      <c r="F309" s="107">
        <v>0.30479348809164902</v>
      </c>
      <c r="G309" s="107">
        <v>0.34205189102183298</v>
      </c>
      <c r="H309" s="107">
        <v>1.54498136478467E-2</v>
      </c>
      <c r="I309" s="107">
        <v>-2.4115762027574399</v>
      </c>
      <c r="J309" s="107">
        <v>-12.22</v>
      </c>
      <c r="K309" s="107">
        <v>0.68098191040467204</v>
      </c>
      <c r="L309" s="107">
        <v>0.37501791281980201</v>
      </c>
      <c r="M309" s="107">
        <v>0.61630414610807804</v>
      </c>
      <c r="N309" s="107">
        <v>0.61447074908583099</v>
      </c>
    </row>
    <row r="310" spans="1:14">
      <c r="A310" s="14">
        <v>43409</v>
      </c>
      <c r="B310" s="107">
        <v>1016</v>
      </c>
      <c r="C310" s="107">
        <v>1009</v>
      </c>
      <c r="D310" s="107">
        <v>3199</v>
      </c>
      <c r="E310" s="107">
        <v>3216</v>
      </c>
      <c r="F310" s="107">
        <v>0.313743781094527</v>
      </c>
      <c r="G310" s="107">
        <v>0.34242573489412298</v>
      </c>
      <c r="H310" s="107">
        <v>1.4872164412837801E-2</v>
      </c>
      <c r="I310" s="107">
        <v>-1.92856621292037</v>
      </c>
      <c r="J310" s="107">
        <v>-9.14</v>
      </c>
      <c r="K310" s="107">
        <v>0.68130161868050498</v>
      </c>
      <c r="L310" s="107">
        <v>0.41073161037791001</v>
      </c>
      <c r="M310" s="107">
        <v>0.61435632785351701</v>
      </c>
      <c r="N310" s="107">
        <v>0.55471825088874305</v>
      </c>
    </row>
    <row r="311" spans="1:14">
      <c r="A311" s="14">
        <v>43406</v>
      </c>
      <c r="B311" s="107">
        <v>1017</v>
      </c>
      <c r="C311" s="107">
        <v>1033</v>
      </c>
      <c r="D311" s="107">
        <v>3258</v>
      </c>
      <c r="E311" s="107">
        <v>3248</v>
      </c>
      <c r="F311" s="107">
        <v>0.318041871921182</v>
      </c>
      <c r="G311" s="107">
        <v>0.34263624198253001</v>
      </c>
      <c r="H311" s="107">
        <v>1.4573432831356601E-2</v>
      </c>
      <c r="I311" s="107">
        <v>-1.6876167987291599</v>
      </c>
      <c r="J311" s="107">
        <v>-7.73</v>
      </c>
      <c r="K311" s="107">
        <v>0.68457206782644897</v>
      </c>
      <c r="L311" s="107">
        <v>9.5742429043656901E-2</v>
      </c>
      <c r="M311" s="107">
        <v>0.61171161780023398</v>
      </c>
      <c r="N311" s="107">
        <v>0.44681441476403999</v>
      </c>
    </row>
    <row r="312" spans="1:14">
      <c r="A312" s="14">
        <v>43405</v>
      </c>
      <c r="B312" s="107">
        <v>974</v>
      </c>
      <c r="C312" s="107">
        <v>987</v>
      </c>
      <c r="D312" s="107">
        <v>3241</v>
      </c>
      <c r="E312" s="107">
        <v>3251</v>
      </c>
      <c r="F312" s="107">
        <v>0.303598892648415</v>
      </c>
      <c r="G312" s="107">
        <v>0.34275319196590198</v>
      </c>
      <c r="H312" s="107">
        <v>1.44098730822937E-2</v>
      </c>
      <c r="I312" s="107">
        <v>-2.7171855778242899</v>
      </c>
      <c r="J312" s="107">
        <v>-12.9</v>
      </c>
      <c r="K312" s="107">
        <v>0.70537283291309105</v>
      </c>
      <c r="L312" s="107">
        <v>1.6216575203107202E-2</v>
      </c>
      <c r="M312" s="107">
        <v>0.60853959860323803</v>
      </c>
      <c r="N312" s="107">
        <v>0.42460981287474697</v>
      </c>
    </row>
    <row r="313" spans="1:14">
      <c r="A313" s="14">
        <v>43404</v>
      </c>
      <c r="B313" s="107">
        <v>968</v>
      </c>
      <c r="C313" s="107">
        <v>970</v>
      </c>
      <c r="D313" s="107">
        <v>3135</v>
      </c>
      <c r="E313" s="107">
        <v>3241</v>
      </c>
      <c r="F313" s="107">
        <v>0.29929034248688602</v>
      </c>
      <c r="G313" s="107">
        <v>0.34303894508619998</v>
      </c>
      <c r="H313" s="107">
        <v>1.3831484895989E-2</v>
      </c>
      <c r="I313" s="107">
        <v>-3.1629722280938899</v>
      </c>
      <c r="J313" s="107">
        <v>-14.62</v>
      </c>
      <c r="K313" s="107">
        <v>0.72899537057361996</v>
      </c>
      <c r="L313" s="107">
        <v>0.17869413954153501</v>
      </c>
      <c r="M313" s="107">
        <v>0.60009221460601303</v>
      </c>
      <c r="N313" s="107">
        <v>0.62515339114827395</v>
      </c>
    </row>
    <row r="314" spans="1:14">
      <c r="A314" s="14">
        <v>43403</v>
      </c>
      <c r="B314" s="107">
        <v>959</v>
      </c>
      <c r="C314" s="107">
        <v>965</v>
      </c>
      <c r="D314" s="107">
        <v>2980</v>
      </c>
      <c r="E314" s="107">
        <v>3044</v>
      </c>
      <c r="F314" s="107">
        <v>0.31701708278580798</v>
      </c>
      <c r="G314" s="107">
        <v>0.34336875085007501</v>
      </c>
      <c r="H314" s="107">
        <v>1.3057641752246101E-2</v>
      </c>
      <c r="I314" s="107">
        <v>-2.01810315861472</v>
      </c>
      <c r="J314" s="107">
        <v>-8.31</v>
      </c>
      <c r="K314" s="107">
        <v>0.71673944768965303</v>
      </c>
      <c r="L314" s="107">
        <v>0.14812365540769501</v>
      </c>
      <c r="M314" s="107">
        <v>0.58706920883317104</v>
      </c>
      <c r="N314" s="107">
        <v>0.57263754695154101</v>
      </c>
    </row>
    <row r="315" spans="1:14">
      <c r="A315" s="14">
        <v>43402</v>
      </c>
      <c r="B315" s="107">
        <v>973</v>
      </c>
      <c r="C315" s="107">
        <v>967</v>
      </c>
      <c r="D315" s="107">
        <v>2999.5</v>
      </c>
      <c r="E315" s="107">
        <v>2985</v>
      </c>
      <c r="F315" s="107">
        <v>0.32395309882746998</v>
      </c>
      <c r="G315" s="107">
        <v>0.34344904191838699</v>
      </c>
      <c r="H315" s="107">
        <v>1.2913072968383101E-2</v>
      </c>
      <c r="I315" s="107">
        <v>-1.50978339072747</v>
      </c>
      <c r="J315" s="107">
        <v>-6.02</v>
      </c>
      <c r="K315" s="107">
        <v>0.68543326154853101</v>
      </c>
      <c r="L315" s="107">
        <v>0.11708647567795299</v>
      </c>
      <c r="M315" s="107">
        <v>0.57282220109382298</v>
      </c>
      <c r="N315" s="107">
        <v>0.57925016387905504</v>
      </c>
    </row>
    <row r="316" spans="1:14">
      <c r="A316" s="14">
        <v>43399</v>
      </c>
      <c r="B316" s="107">
        <v>950</v>
      </c>
      <c r="C316" s="107">
        <v>969</v>
      </c>
      <c r="D316" s="107">
        <v>2972</v>
      </c>
      <c r="E316" s="107">
        <v>2977.5</v>
      </c>
      <c r="F316" s="107">
        <v>0.32544080604533998</v>
      </c>
      <c r="G316" s="107">
        <v>0.34347634208149003</v>
      </c>
      <c r="H316" s="107">
        <v>1.2873931829605801E-2</v>
      </c>
      <c r="I316" s="107">
        <v>-1.4009345610075901</v>
      </c>
      <c r="J316" s="107">
        <v>-5.54</v>
      </c>
      <c r="K316" s="107">
        <v>0.64910900859576504</v>
      </c>
      <c r="L316" s="107">
        <v>5.1157536692755801E-3</v>
      </c>
      <c r="M316" s="107">
        <v>0.55855869693042604</v>
      </c>
      <c r="N316" s="107">
        <v>0.448145411148823</v>
      </c>
    </row>
    <row r="317" spans="1:14">
      <c r="A317" s="14">
        <v>43398</v>
      </c>
      <c r="B317" s="107">
        <v>997</v>
      </c>
      <c r="C317" s="107">
        <v>936</v>
      </c>
      <c r="D317" s="107">
        <v>2950</v>
      </c>
      <c r="E317" s="107">
        <v>2926.5</v>
      </c>
      <c r="F317" s="107">
        <v>0.31983598154792398</v>
      </c>
      <c r="G317" s="107">
        <v>0.34346634944121501</v>
      </c>
      <c r="H317" s="107">
        <v>1.28882099266157E-2</v>
      </c>
      <c r="I317" s="107">
        <v>-1.8334871970459901</v>
      </c>
      <c r="J317" s="107">
        <v>-7.39</v>
      </c>
      <c r="K317" s="107">
        <v>0.58862353696695602</v>
      </c>
      <c r="L317" s="107">
        <v>0.50688867407525795</v>
      </c>
      <c r="M317" s="107">
        <v>0.54058514019540205</v>
      </c>
      <c r="N317" s="107">
        <v>0.72972111830125297</v>
      </c>
    </row>
    <row r="318" spans="1:14">
      <c r="A318" s="14">
        <v>43397</v>
      </c>
      <c r="B318" s="107">
        <v>1054</v>
      </c>
      <c r="C318" s="107">
        <v>1057</v>
      </c>
      <c r="D318" s="107">
        <v>3060</v>
      </c>
      <c r="E318" s="107">
        <v>3019</v>
      </c>
      <c r="F318" s="107">
        <v>0.35011593242795602</v>
      </c>
      <c r="G318" s="107">
        <v>0.34347696262404498</v>
      </c>
      <c r="H318" s="107">
        <v>1.28690599352473E-2</v>
      </c>
      <c r="I318" s="107">
        <v>0.51588615153830197</v>
      </c>
      <c r="J318" s="107">
        <v>1.9</v>
      </c>
      <c r="K318" s="107">
        <v>0.54534569215550299</v>
      </c>
      <c r="L318" s="107">
        <v>0.49748070411488199</v>
      </c>
      <c r="M318" s="107">
        <v>0.52959683687445802</v>
      </c>
      <c r="N318" s="107">
        <v>0.78953052935643397</v>
      </c>
    </row>
    <row r="319" spans="1:14">
      <c r="A319" s="14">
        <v>43396</v>
      </c>
      <c r="B319" s="107">
        <v>1053</v>
      </c>
      <c r="C319" s="107">
        <v>1048</v>
      </c>
      <c r="D319" s="107">
        <v>3056</v>
      </c>
      <c r="E319" s="107">
        <v>3011</v>
      </c>
      <c r="F319" s="107">
        <v>0.34805712387910898</v>
      </c>
      <c r="G319" s="107">
        <v>0.34313035823187399</v>
      </c>
      <c r="H319" s="107">
        <v>1.30345875337775E-2</v>
      </c>
      <c r="I319" s="107">
        <v>0.37797633676315201</v>
      </c>
      <c r="J319" s="107">
        <v>1.42</v>
      </c>
      <c r="K319" s="107">
        <v>0.49156303831442399</v>
      </c>
      <c r="L319" s="107">
        <v>0.53562513505853404</v>
      </c>
      <c r="M319" s="107">
        <v>0.51762023683899006</v>
      </c>
      <c r="N319" s="107">
        <v>0.80031841864949105</v>
      </c>
    </row>
    <row r="320" spans="1:14">
      <c r="A320" s="14">
        <v>43395</v>
      </c>
      <c r="B320" s="107">
        <v>1058</v>
      </c>
      <c r="C320" s="107">
        <v>1062</v>
      </c>
      <c r="D320" s="107">
        <v>3054</v>
      </c>
      <c r="E320" s="107">
        <v>3078</v>
      </c>
      <c r="F320" s="107">
        <v>0.34502923976608102</v>
      </c>
      <c r="G320" s="107">
        <v>0.34286433518324699</v>
      </c>
      <c r="H320" s="107">
        <v>1.31345368079219E-2</v>
      </c>
      <c r="I320" s="107">
        <v>0.16482534667903601</v>
      </c>
      <c r="J320" s="107">
        <v>0.63</v>
      </c>
      <c r="K320" s="107">
        <v>0.45625501278640102</v>
      </c>
      <c r="L320" s="107">
        <v>0.55558330820822599</v>
      </c>
      <c r="M320" s="107">
        <v>0.50698784253850804</v>
      </c>
      <c r="N320" s="107">
        <v>0.78099046314480303</v>
      </c>
    </row>
    <row r="321" spans="1:14">
      <c r="A321" s="14">
        <v>43392</v>
      </c>
      <c r="B321" s="107">
        <v>1064</v>
      </c>
      <c r="C321" s="107">
        <v>1067</v>
      </c>
      <c r="D321" s="107">
        <v>3057</v>
      </c>
      <c r="E321" s="107">
        <v>3065</v>
      </c>
      <c r="F321" s="107">
        <v>0.348123980424143</v>
      </c>
      <c r="G321" s="107">
        <v>0.34254224230827701</v>
      </c>
      <c r="H321" s="107">
        <v>1.3371555600015499E-2</v>
      </c>
      <c r="I321" s="107">
        <v>0.41743371398462198</v>
      </c>
      <c r="J321" s="107">
        <v>1.6</v>
      </c>
      <c r="K321" s="107">
        <v>0.408997900293879</v>
      </c>
      <c r="L321" s="107">
        <v>0.61463461209153303</v>
      </c>
      <c r="M321" s="107">
        <v>0.49537317815802701</v>
      </c>
      <c r="N321" s="107">
        <v>0.79779667109249297</v>
      </c>
    </row>
    <row r="322" spans="1:14">
      <c r="A322" s="14">
        <v>43391</v>
      </c>
      <c r="B322" s="107">
        <v>1083</v>
      </c>
      <c r="C322" s="107">
        <v>1078</v>
      </c>
      <c r="D322" s="107">
        <v>3100</v>
      </c>
      <c r="E322" s="107">
        <v>3094</v>
      </c>
      <c r="F322" s="107">
        <v>0.34841628959276</v>
      </c>
      <c r="G322" s="107">
        <v>0.34217944542464201</v>
      </c>
      <c r="H322" s="107">
        <v>1.3582651493955799E-2</v>
      </c>
      <c r="I322" s="107">
        <v>0.459177221096564</v>
      </c>
      <c r="J322" s="107">
        <v>1.79</v>
      </c>
      <c r="K322" s="107">
        <v>0.36682108271455899</v>
      </c>
      <c r="L322" s="107">
        <v>0.58344119481847601</v>
      </c>
      <c r="M322" s="107">
        <v>0.486262482542477</v>
      </c>
      <c r="N322" s="107">
        <v>0.75277290275777198</v>
      </c>
    </row>
    <row r="323" spans="1:14">
      <c r="A323" s="14">
        <v>43390</v>
      </c>
      <c r="B323" s="107">
        <v>1096</v>
      </c>
      <c r="C323" s="107">
        <v>1090</v>
      </c>
      <c r="D323" s="107">
        <v>3084</v>
      </c>
      <c r="E323" s="107">
        <v>3097</v>
      </c>
      <c r="F323" s="107">
        <v>0.35195350339037701</v>
      </c>
      <c r="G323" s="107">
        <v>0.341813021856468</v>
      </c>
      <c r="H323" s="107">
        <v>1.3778732501032001E-2</v>
      </c>
      <c r="I323" s="107">
        <v>0.735951694624292</v>
      </c>
      <c r="J323" s="107">
        <v>2.88</v>
      </c>
      <c r="K323" s="107">
        <v>0.32469153637313303</v>
      </c>
      <c r="L323" s="107">
        <v>0.88042631610030098</v>
      </c>
      <c r="M323" s="107">
        <v>0.47821682571537499</v>
      </c>
      <c r="N323" s="107">
        <v>0.72924229274528796</v>
      </c>
    </row>
    <row r="324" spans="1:14">
      <c r="A324" s="14">
        <v>43389</v>
      </c>
      <c r="B324" s="107">
        <v>1074</v>
      </c>
      <c r="C324" s="107">
        <v>1081</v>
      </c>
      <c r="D324" s="107">
        <v>3024</v>
      </c>
      <c r="E324" s="107">
        <v>3068</v>
      </c>
      <c r="F324" s="107">
        <v>0.35234680573663602</v>
      </c>
      <c r="G324" s="107">
        <v>0.341406465182792</v>
      </c>
      <c r="H324" s="107">
        <v>1.3922623488070799E-2</v>
      </c>
      <c r="I324" s="107">
        <v>0.78579590715915404</v>
      </c>
      <c r="J324" s="107">
        <v>3.1</v>
      </c>
      <c r="K324" s="107">
        <v>0.26534896126229301</v>
      </c>
      <c r="L324" s="107">
        <v>0.91815554337551897</v>
      </c>
      <c r="M324" s="107">
        <v>0.46977822462288799</v>
      </c>
      <c r="N324" s="107">
        <v>0.70500007051564195</v>
      </c>
    </row>
    <row r="325" spans="1:14">
      <c r="A325" s="14">
        <v>43388</v>
      </c>
      <c r="B325" s="107">
        <v>1093</v>
      </c>
      <c r="C325" s="107">
        <v>1078</v>
      </c>
      <c r="D325" s="107">
        <v>3060</v>
      </c>
      <c r="E325" s="107">
        <v>3011</v>
      </c>
      <c r="F325" s="107">
        <v>0.35802059116572499</v>
      </c>
      <c r="G325" s="107">
        <v>0.340904890201911</v>
      </c>
      <c r="H325" s="107">
        <v>1.41944135042392E-2</v>
      </c>
      <c r="I325" s="107">
        <v>1.2058054359697801</v>
      </c>
      <c r="J325" s="107">
        <v>4.78</v>
      </c>
      <c r="K325" s="107">
        <v>0.1896236375174</v>
      </c>
      <c r="L325" s="107">
        <v>0.92091897752218499</v>
      </c>
      <c r="M325" s="107">
        <v>0.460304953790244</v>
      </c>
      <c r="N325" s="107">
        <v>0.71174111298237996</v>
      </c>
    </row>
    <row r="326" spans="1:14">
      <c r="A326" s="14">
        <v>43385</v>
      </c>
      <c r="B326" s="107">
        <v>1100</v>
      </c>
      <c r="C326" s="107">
        <v>1098</v>
      </c>
      <c r="D326" s="107">
        <v>3054</v>
      </c>
      <c r="E326" s="107">
        <v>3092</v>
      </c>
      <c r="F326" s="107">
        <v>0.35510996119016802</v>
      </c>
      <c r="G326" s="107">
        <v>0.340481990364293</v>
      </c>
      <c r="H326" s="107">
        <v>1.4150597040031101E-2</v>
      </c>
      <c r="I326" s="107">
        <v>1.0337352398979001</v>
      </c>
      <c r="J326" s="107">
        <v>4.12</v>
      </c>
      <c r="K326" s="107">
        <v>0.14860062002483099</v>
      </c>
      <c r="L326" s="107">
        <v>0.95664878334964698</v>
      </c>
      <c r="M326" s="107">
        <v>0.45190132189814503</v>
      </c>
      <c r="N326" s="107">
        <v>0.73009288126895699</v>
      </c>
    </row>
    <row r="327" spans="1:14">
      <c r="A327" s="14">
        <v>43384</v>
      </c>
      <c r="B327" s="107">
        <v>1095</v>
      </c>
      <c r="C327" s="107">
        <v>1107</v>
      </c>
      <c r="D327" s="107">
        <v>3100</v>
      </c>
      <c r="E327" s="107">
        <v>3085</v>
      </c>
      <c r="F327" s="107">
        <v>0.35883306320907599</v>
      </c>
      <c r="G327" s="107">
        <v>0.34006139027752702</v>
      </c>
      <c r="H327" s="107">
        <v>1.41783381619018E-2</v>
      </c>
      <c r="I327" s="107">
        <v>1.3239684875050399</v>
      </c>
      <c r="J327" s="107">
        <v>5.23</v>
      </c>
      <c r="K327" s="107">
        <v>0.134173438049035</v>
      </c>
      <c r="L327" s="107">
        <v>0.97820729705895804</v>
      </c>
      <c r="M327" s="107">
        <v>0.444850327118056</v>
      </c>
      <c r="N327" s="107">
        <v>0.72306428991254601</v>
      </c>
    </row>
    <row r="328" spans="1:14">
      <c r="A328" s="14">
        <v>43383</v>
      </c>
      <c r="B328" s="107">
        <v>1130</v>
      </c>
      <c r="C328" s="107">
        <v>1121</v>
      </c>
      <c r="D328" s="107">
        <v>3231</v>
      </c>
      <c r="E328" s="107">
        <v>3207</v>
      </c>
      <c r="F328" s="107">
        <v>0.34954786404739602</v>
      </c>
      <c r="G328" s="107">
        <v>0.33948600588796102</v>
      </c>
      <c r="H328" s="107">
        <v>1.42801397184167E-2</v>
      </c>
      <c r="I328" s="107">
        <v>0.70460502192831997</v>
      </c>
      <c r="J328" s="107">
        <v>2.88</v>
      </c>
      <c r="K328" s="107">
        <v>0.15871722164299201</v>
      </c>
      <c r="L328" s="107">
        <v>0.93633329487880701</v>
      </c>
      <c r="M328" s="107">
        <v>0.43808420895661698</v>
      </c>
      <c r="N328" s="107">
        <v>0.73903098561788705</v>
      </c>
    </row>
    <row r="329" spans="1:14">
      <c r="A329" s="14">
        <v>43382</v>
      </c>
      <c r="B329" s="107">
        <v>1135</v>
      </c>
      <c r="C329" s="107">
        <v>1128</v>
      </c>
      <c r="D329" s="107">
        <v>3264</v>
      </c>
      <c r="E329" s="107">
        <v>3223</v>
      </c>
      <c r="F329" s="107">
        <v>0.34998448650325698</v>
      </c>
      <c r="G329" s="107">
        <v>0.33896343360464198</v>
      </c>
      <c r="H329" s="107">
        <v>1.4615551530735399E-2</v>
      </c>
      <c r="I329" s="107">
        <v>0.75406342863206</v>
      </c>
      <c r="J329" s="107">
        <v>3.15</v>
      </c>
      <c r="K329" s="107">
        <v>0.168615282149155</v>
      </c>
      <c r="L329" s="107">
        <v>0.87314331306529203</v>
      </c>
      <c r="M329" s="107">
        <v>0.43115081715056303</v>
      </c>
      <c r="N329" s="107">
        <v>0.76339846620768703</v>
      </c>
    </row>
    <row r="330" spans="1:14">
      <c r="A330" s="14">
        <v>43378</v>
      </c>
      <c r="B330" s="107">
        <v>1145</v>
      </c>
      <c r="C330" s="107">
        <v>1149</v>
      </c>
      <c r="D330" s="107">
        <v>3316</v>
      </c>
      <c r="E330" s="107">
        <v>3326</v>
      </c>
      <c r="F330" s="107">
        <v>0.34546001202645799</v>
      </c>
      <c r="G330" s="107">
        <v>0.33842442189918498</v>
      </c>
      <c r="H330" s="107">
        <v>1.4940979930640801E-2</v>
      </c>
      <c r="I330" s="107">
        <v>0.47089214763242199</v>
      </c>
      <c r="J330" s="107">
        <v>2.04</v>
      </c>
      <c r="K330" s="107">
        <v>0.22895617942496899</v>
      </c>
      <c r="L330" s="107">
        <v>0.94440389806210301</v>
      </c>
      <c r="M330" s="107">
        <v>0.42635929897820002</v>
      </c>
      <c r="N330" s="107">
        <v>0.70621855886715101</v>
      </c>
    </row>
    <row r="331" spans="1:14">
      <c r="A331" s="14">
        <v>43377</v>
      </c>
      <c r="B331" s="107">
        <v>1157</v>
      </c>
      <c r="C331" s="107">
        <v>1165</v>
      </c>
      <c r="D331" s="107">
        <v>3400</v>
      </c>
      <c r="E331" s="107">
        <v>3346</v>
      </c>
      <c r="F331" s="107">
        <v>0.34817692767483499</v>
      </c>
      <c r="G331" s="107">
        <v>0.33792354134267799</v>
      </c>
      <c r="H331" s="107">
        <v>1.5321557337649099E-2</v>
      </c>
      <c r="I331" s="107">
        <v>0.66921306406381098</v>
      </c>
      <c r="J331" s="107">
        <v>2.94</v>
      </c>
      <c r="K331" s="107">
        <v>0.27240398573553598</v>
      </c>
      <c r="L331" s="107">
        <v>0.93037907800064601</v>
      </c>
      <c r="M331" s="107">
        <v>0.42336657285243301</v>
      </c>
      <c r="N331" s="107">
        <v>0.66516086228106697</v>
      </c>
    </row>
    <row r="332" spans="1:14">
      <c r="A332" s="14">
        <v>43376</v>
      </c>
      <c r="B332" s="107">
        <v>1187</v>
      </c>
      <c r="C332" s="107">
        <v>1166</v>
      </c>
      <c r="D332" s="107">
        <v>3428</v>
      </c>
      <c r="E332" s="107">
        <v>3338</v>
      </c>
      <c r="F332" s="107">
        <v>0.34931096464949002</v>
      </c>
      <c r="G332" s="107">
        <v>0.337349627006373</v>
      </c>
      <c r="H332" s="107">
        <v>1.5727521599676199E-2</v>
      </c>
      <c r="I332" s="107">
        <v>0.76053544528998596</v>
      </c>
      <c r="J332" s="107">
        <v>3.42</v>
      </c>
      <c r="K332" s="107">
        <v>0.304639424330169</v>
      </c>
      <c r="L332" s="107">
        <v>0.87373708244310599</v>
      </c>
      <c r="M332" s="107">
        <v>0.42020594189238403</v>
      </c>
      <c r="N332" s="107">
        <v>0.66409262457433005</v>
      </c>
    </row>
    <row r="333" spans="1:14">
      <c r="A333" s="14">
        <v>43375</v>
      </c>
      <c r="B333" s="107">
        <v>1185</v>
      </c>
      <c r="C333" s="107">
        <v>1192</v>
      </c>
      <c r="D333" s="107">
        <v>3466</v>
      </c>
      <c r="E333" s="107">
        <v>3486</v>
      </c>
      <c r="F333" s="107">
        <v>0.34193918531267897</v>
      </c>
      <c r="G333" s="107">
        <v>0.33680196915900301</v>
      </c>
      <c r="H333" s="107">
        <v>1.60140016714687E-2</v>
      </c>
      <c r="I333" s="107">
        <v>0.320795280222063</v>
      </c>
      <c r="J333" s="107">
        <v>1.5</v>
      </c>
      <c r="K333" s="107">
        <v>0.30220373487994301</v>
      </c>
      <c r="L333" s="107">
        <v>0.92359023297021003</v>
      </c>
      <c r="M333" s="107">
        <v>0.417353951307049</v>
      </c>
      <c r="N333" s="107">
        <v>0.66107826968458405</v>
      </c>
    </row>
    <row r="334" spans="1:14">
      <c r="A334" s="14">
        <v>43374</v>
      </c>
      <c r="B334" s="107">
        <v>1173</v>
      </c>
      <c r="C334" s="107">
        <v>1182</v>
      </c>
      <c r="D334" s="107">
        <v>3400</v>
      </c>
      <c r="E334" s="107">
        <v>3434</v>
      </c>
      <c r="F334" s="107">
        <v>0.344205008736167</v>
      </c>
      <c r="G334" s="107">
        <v>0.33641132780178701</v>
      </c>
      <c r="H334" s="107">
        <v>1.6239676133785901E-2</v>
      </c>
      <c r="I334" s="107">
        <v>0.47991603220250501</v>
      </c>
      <c r="J334" s="107">
        <v>2.2599999999999998</v>
      </c>
      <c r="K334" s="107">
        <v>0.31499671889005298</v>
      </c>
      <c r="L334" s="107">
        <v>0.92567429384874</v>
      </c>
      <c r="M334" s="107">
        <v>0.414532619121247</v>
      </c>
      <c r="N334" s="107">
        <v>0.65493237289909401</v>
      </c>
    </row>
    <row r="335" spans="1:14">
      <c r="A335" s="14">
        <v>43371</v>
      </c>
      <c r="B335" s="107">
        <v>1184</v>
      </c>
      <c r="C335" s="107">
        <v>1181</v>
      </c>
      <c r="D335" s="107">
        <v>3462</v>
      </c>
      <c r="E335" s="107">
        <v>3439</v>
      </c>
      <c r="F335" s="107">
        <v>0.34341378307647502</v>
      </c>
      <c r="G335" s="107">
        <v>0.33596497011628501</v>
      </c>
      <c r="H335" s="107">
        <v>1.6477649885087702E-2</v>
      </c>
      <c r="I335" s="107">
        <v>0.45205554263727299</v>
      </c>
      <c r="J335" s="107">
        <v>2.17</v>
      </c>
      <c r="K335" s="107">
        <v>0.30396741377970898</v>
      </c>
      <c r="L335" s="107">
        <v>0.90432014639562797</v>
      </c>
      <c r="M335" s="107">
        <v>0.41124041968472602</v>
      </c>
      <c r="N335" s="107">
        <v>0.66832789712680696</v>
      </c>
    </row>
    <row r="336" spans="1:14">
      <c r="A336" s="14">
        <v>43370</v>
      </c>
      <c r="B336" s="107">
        <v>1182</v>
      </c>
      <c r="C336" s="107">
        <v>1171</v>
      </c>
      <c r="D336" s="107">
        <v>3470</v>
      </c>
      <c r="E336" s="107">
        <v>3407</v>
      </c>
      <c r="F336" s="107">
        <v>0.34370413853830301</v>
      </c>
      <c r="G336" s="107">
        <v>0.335631783060169</v>
      </c>
      <c r="H336" s="107">
        <v>1.6576014511180698E-2</v>
      </c>
      <c r="I336" s="107">
        <v>0.48699013099252297</v>
      </c>
      <c r="J336" s="107">
        <v>2.35</v>
      </c>
      <c r="K336" s="107">
        <v>0.30608414717222998</v>
      </c>
      <c r="L336" s="107">
        <v>0.89109271270645096</v>
      </c>
      <c r="M336" s="107">
        <v>0.40800296202451902</v>
      </c>
      <c r="N336" s="107">
        <v>0.66110381486800596</v>
      </c>
    </row>
    <row r="337" spans="1:14">
      <c r="A337" s="14">
        <v>43369</v>
      </c>
      <c r="B337" s="107">
        <v>1186</v>
      </c>
      <c r="C337" s="107">
        <v>1186</v>
      </c>
      <c r="D337" s="107">
        <v>3452</v>
      </c>
      <c r="E337" s="107">
        <v>3427</v>
      </c>
      <c r="F337" s="107">
        <v>0.34607528450539798</v>
      </c>
      <c r="G337" s="107">
        <v>0.335256054219985</v>
      </c>
      <c r="H337" s="107">
        <v>1.6707631893592499E-2</v>
      </c>
      <c r="I337" s="15">
        <v>0.64756216526187205</v>
      </c>
      <c r="J337" s="107">
        <v>3.13</v>
      </c>
      <c r="K337" s="107">
        <v>0.301555184049556</v>
      </c>
      <c r="L337" s="107">
        <v>0.94469422262890901</v>
      </c>
      <c r="M337" s="107">
        <v>0.40691269360219201</v>
      </c>
      <c r="N337" s="107">
        <v>0.61426427644020498</v>
      </c>
    </row>
    <row r="338" spans="1:14">
      <c r="A338" s="14">
        <v>43368</v>
      </c>
      <c r="B338" s="107">
        <v>1176</v>
      </c>
      <c r="C338" s="107">
        <v>1192</v>
      </c>
      <c r="D338" s="107">
        <v>3500</v>
      </c>
      <c r="E338" s="107">
        <v>3516</v>
      </c>
      <c r="F338" s="107">
        <v>0.339021615472127</v>
      </c>
      <c r="G338" s="107">
        <v>0.33492188011097002</v>
      </c>
      <c r="H338" s="107">
        <v>1.6738509581505301E-2</v>
      </c>
      <c r="I338" s="107">
        <v>0.24492833971832501</v>
      </c>
      <c r="J338" s="107">
        <v>1.21</v>
      </c>
      <c r="K338" s="107">
        <v>0.25306964299589102</v>
      </c>
      <c r="L338" s="107">
        <v>0.81875468119952099</v>
      </c>
      <c r="M338" s="107">
        <v>0.40463335019790497</v>
      </c>
      <c r="N338" s="107">
        <v>0.651443903593518</v>
      </c>
    </row>
    <row r="339" spans="1:14">
      <c r="A339" s="14">
        <v>43364</v>
      </c>
      <c r="B339" s="107">
        <v>1184</v>
      </c>
      <c r="C339" s="107">
        <v>1164</v>
      </c>
      <c r="D339" s="107">
        <v>3443</v>
      </c>
      <c r="E339" s="107">
        <v>3491</v>
      </c>
      <c r="F339" s="107">
        <v>0.33342881695789101</v>
      </c>
      <c r="G339" s="107">
        <v>0.33468515148235201</v>
      </c>
      <c r="H339" s="107">
        <v>1.6804274645982099E-2</v>
      </c>
      <c r="I339" s="107">
        <v>-7.4762794046626099E-2</v>
      </c>
      <c r="J339" s="107">
        <v>-0.38</v>
      </c>
      <c r="K339" s="107">
        <v>0.20635614685037401</v>
      </c>
      <c r="L339" s="107">
        <v>0.91542966219813604</v>
      </c>
      <c r="M339" s="107">
        <v>0.39985549111340801</v>
      </c>
      <c r="N339" s="107">
        <v>0.62368175969904804</v>
      </c>
    </row>
    <row r="340" spans="1:14">
      <c r="A340" s="14">
        <v>43363</v>
      </c>
      <c r="B340" s="107">
        <v>1187</v>
      </c>
      <c r="C340" s="107">
        <v>1175</v>
      </c>
      <c r="D340" s="107">
        <v>3425</v>
      </c>
      <c r="E340" s="107">
        <v>3418</v>
      </c>
      <c r="F340" s="107">
        <v>0.34376828554710298</v>
      </c>
      <c r="G340" s="107">
        <v>0.33452813287827898</v>
      </c>
      <c r="H340" s="107">
        <v>1.68701701376721E-2</v>
      </c>
      <c r="I340" s="107">
        <v>0.54772136815564498</v>
      </c>
      <c r="J340" s="107">
        <v>2.69</v>
      </c>
      <c r="K340" s="107">
        <v>0.146841942740501</v>
      </c>
      <c r="L340" s="107">
        <v>0.93983342723837204</v>
      </c>
      <c r="M340" s="107">
        <v>0.398243151445062</v>
      </c>
      <c r="N340" s="107">
        <v>0.60718215121837704</v>
      </c>
    </row>
    <row r="341" spans="1:14">
      <c r="A341" s="14">
        <v>43362</v>
      </c>
      <c r="B341" s="107">
        <v>1194</v>
      </c>
      <c r="C341" s="107">
        <v>1190</v>
      </c>
      <c r="D341" s="107">
        <v>3318</v>
      </c>
      <c r="E341" s="107">
        <v>3383</v>
      </c>
      <c r="F341" s="107">
        <v>0.35175879396984899</v>
      </c>
      <c r="G341" s="107">
        <v>0.33419647936261498</v>
      </c>
      <c r="H341" s="107">
        <v>1.6929652750948199E-2</v>
      </c>
      <c r="I341" s="107">
        <v>1.03737004329577</v>
      </c>
      <c r="J341" s="107">
        <v>4.99</v>
      </c>
      <c r="K341" s="107">
        <v>8.7970260678018095E-2</v>
      </c>
      <c r="L341" s="107">
        <v>0.94594149123461002</v>
      </c>
      <c r="M341" s="107">
        <v>0.39697549013630501</v>
      </c>
      <c r="N341" s="107">
        <v>0.61631138563378296</v>
      </c>
    </row>
    <row r="342" spans="1:14">
      <c r="A342" s="14">
        <v>43361</v>
      </c>
      <c r="B342" s="107">
        <v>1150</v>
      </c>
      <c r="C342" s="107">
        <v>1181</v>
      </c>
      <c r="D342" s="107">
        <v>3192</v>
      </c>
      <c r="E342" s="107">
        <v>3284</v>
      </c>
      <c r="F342" s="107">
        <v>0.35962241169305698</v>
      </c>
      <c r="G342" s="107">
        <v>0.33365025240742002</v>
      </c>
      <c r="H342" s="107">
        <v>1.7014877331516302E-2</v>
      </c>
      <c r="I342" s="107">
        <v>1.5264382328239701</v>
      </c>
      <c r="J342" s="107">
        <v>7.22</v>
      </c>
      <c r="K342" s="107">
        <v>5.9324160731717902E-2</v>
      </c>
      <c r="L342" s="107">
        <v>0.93244359800048404</v>
      </c>
      <c r="M342" s="107">
        <v>0.39680673096549302</v>
      </c>
      <c r="N342" s="107">
        <v>0.630759725869106</v>
      </c>
    </row>
    <row r="343" spans="1:14">
      <c r="A343" s="14">
        <v>43357</v>
      </c>
      <c r="B343" s="107">
        <v>1143</v>
      </c>
      <c r="C343" s="107">
        <v>1152</v>
      </c>
      <c r="D343" s="107">
        <v>3189</v>
      </c>
      <c r="E343" s="107">
        <v>3217</v>
      </c>
      <c r="F343" s="107">
        <v>0.35809760646565097</v>
      </c>
      <c r="G343" s="107">
        <v>0.33303686029767599</v>
      </c>
      <c r="H343" s="107">
        <v>1.6896340035369901E-2</v>
      </c>
      <c r="I343" s="107">
        <v>1.4832056004740799</v>
      </c>
      <c r="J343" s="107">
        <v>7</v>
      </c>
      <c r="K343" s="107">
        <v>1.9108278268781601E-2</v>
      </c>
      <c r="L343" s="107">
        <v>0.82856171051657901</v>
      </c>
      <c r="M343" s="107">
        <v>0.39577193880981298</v>
      </c>
      <c r="N343" s="107">
        <v>0.61614597492039702</v>
      </c>
    </row>
    <row r="344" spans="1:14">
      <c r="A344" s="14">
        <v>43356</v>
      </c>
      <c r="B344" s="107">
        <v>1152</v>
      </c>
      <c r="C344" s="107">
        <v>1146</v>
      </c>
      <c r="D344" s="107">
        <v>3131</v>
      </c>
      <c r="E344" s="107">
        <v>3178</v>
      </c>
      <c r="F344" s="107">
        <v>0.36060415355569497</v>
      </c>
      <c r="G344" s="107">
        <v>0.332412694551666</v>
      </c>
      <c r="H344" s="107">
        <v>1.6823534733944701E-2</v>
      </c>
      <c r="I344" s="107">
        <v>1.67571556452682</v>
      </c>
      <c r="J344" s="107">
        <v>7.82</v>
      </c>
      <c r="K344" s="107">
        <v>3.8404252270339397E-2</v>
      </c>
      <c r="L344" s="107">
        <v>0.77341821550073997</v>
      </c>
      <c r="M344" s="107">
        <v>0.39496272848009001</v>
      </c>
      <c r="N344" s="107">
        <v>0.58803305831578501</v>
      </c>
    </row>
    <row r="345" spans="1:14">
      <c r="A345" s="14">
        <v>43355</v>
      </c>
      <c r="B345" s="107">
        <v>1171</v>
      </c>
      <c r="C345" s="107">
        <v>1159</v>
      </c>
      <c r="D345" s="107">
        <v>3155</v>
      </c>
      <c r="E345" s="107">
        <v>3117</v>
      </c>
      <c r="F345" s="107">
        <v>0.37183188963747099</v>
      </c>
      <c r="G345" s="107">
        <v>0.33177862005643199</v>
      </c>
      <c r="H345" s="107">
        <v>1.6644280853072201E-2</v>
      </c>
      <c r="I345" s="107">
        <v>2.4064283662725399</v>
      </c>
      <c r="J345" s="107">
        <v>10.77</v>
      </c>
      <c r="K345" s="107">
        <v>8.7371465376431298E-2</v>
      </c>
      <c r="L345" s="107">
        <v>0.51443037867955599</v>
      </c>
      <c r="M345" s="107">
        <v>0.39534974959261598</v>
      </c>
      <c r="N345" s="107">
        <v>0.576165277169705</v>
      </c>
    </row>
    <row r="346" spans="1:14">
      <c r="A346" s="14">
        <v>43354</v>
      </c>
      <c r="B346" s="107">
        <v>1179</v>
      </c>
      <c r="C346" s="107">
        <v>1179</v>
      </c>
      <c r="D346" s="107">
        <v>3165</v>
      </c>
      <c r="E346" s="107">
        <v>3174</v>
      </c>
      <c r="F346" s="107">
        <v>0.37145557655954597</v>
      </c>
      <c r="G346" s="107">
        <v>0.33096230424363199</v>
      </c>
      <c r="H346" s="107">
        <v>1.61539884223698E-2</v>
      </c>
      <c r="I346" s="107">
        <v>2.5067043046681401</v>
      </c>
      <c r="J346" s="107">
        <v>10.9</v>
      </c>
      <c r="K346" s="107">
        <v>0.14780463010638201</v>
      </c>
      <c r="L346" s="107">
        <v>0.52771640384916696</v>
      </c>
      <c r="M346" s="107">
        <v>0.39787153095112898</v>
      </c>
      <c r="N346" s="107">
        <v>0.57810312321888102</v>
      </c>
    </row>
    <row r="347" spans="1:14">
      <c r="A347" s="14">
        <v>43353</v>
      </c>
      <c r="B347" s="107">
        <v>1155</v>
      </c>
      <c r="C347" s="107">
        <v>1169</v>
      </c>
      <c r="D347" s="107">
        <v>3140</v>
      </c>
      <c r="E347" s="107">
        <v>3159</v>
      </c>
      <c r="F347" s="107">
        <v>0.37005381449825803</v>
      </c>
      <c r="G347" s="107">
        <v>0.33024667565333499</v>
      </c>
      <c r="H347" s="107">
        <v>1.5520703973940699E-2</v>
      </c>
      <c r="I347" s="107">
        <v>2.5647766307353002</v>
      </c>
      <c r="J347" s="107">
        <v>10.76</v>
      </c>
      <c r="K347" s="107">
        <v>0.20478723051851799</v>
      </c>
      <c r="L347" s="107">
        <v>0.58973229591591303</v>
      </c>
      <c r="M347" s="107">
        <v>0.40046266099594402</v>
      </c>
      <c r="N347" s="107">
        <v>0.59835614181081098</v>
      </c>
    </row>
    <row r="348" spans="1:14">
      <c r="A348" s="14">
        <v>43350</v>
      </c>
      <c r="B348" s="107">
        <v>1152</v>
      </c>
      <c r="C348" s="107">
        <v>1153</v>
      </c>
      <c r="D348" s="107">
        <v>3221</v>
      </c>
      <c r="E348" s="107">
        <v>3173</v>
      </c>
      <c r="F348" s="107">
        <v>0.36337850614560302</v>
      </c>
      <c r="G348" s="107">
        <v>0.32961984796850602</v>
      </c>
      <c r="H348" s="107">
        <v>1.48345332424608E-2</v>
      </c>
      <c r="I348" s="107">
        <v>2.2756805101538302</v>
      </c>
      <c r="J348" s="107">
        <v>9.2899999999999991</v>
      </c>
      <c r="K348" s="107">
        <v>0.248867802680004</v>
      </c>
      <c r="L348" s="107">
        <v>0.48947215826787099</v>
      </c>
      <c r="M348" s="107">
        <v>0.40226363457053199</v>
      </c>
      <c r="N348" s="107">
        <v>0.58203199561558405</v>
      </c>
    </row>
    <row r="349" spans="1:14">
      <c r="A349" s="14">
        <v>43349</v>
      </c>
      <c r="B349" s="107">
        <v>1173</v>
      </c>
      <c r="C349" s="107">
        <v>1163</v>
      </c>
      <c r="D349" s="107">
        <v>3188</v>
      </c>
      <c r="E349" s="107">
        <v>3183</v>
      </c>
      <c r="F349" s="107">
        <v>0.36537857367263499</v>
      </c>
      <c r="G349" s="107">
        <v>0.32912484370078099</v>
      </c>
      <c r="H349" s="107">
        <v>1.4309932894178401E-2</v>
      </c>
      <c r="I349" s="107">
        <v>2.5334661063716801</v>
      </c>
      <c r="J349" s="107">
        <v>9.92</v>
      </c>
      <c r="K349" s="107">
        <v>0.30382625281882802</v>
      </c>
      <c r="L349" s="107">
        <v>0.40132060499018002</v>
      </c>
      <c r="M349" s="107">
        <v>0.40470767366579102</v>
      </c>
      <c r="N349" s="107">
        <v>0.57779414765126802</v>
      </c>
    </row>
    <row r="350" spans="1:14">
      <c r="A350" s="14">
        <v>43348</v>
      </c>
      <c r="B350" s="107">
        <v>1162</v>
      </c>
      <c r="C350" s="107">
        <v>1166</v>
      </c>
      <c r="D350" s="107">
        <v>3217</v>
      </c>
      <c r="E350" s="107">
        <v>3184</v>
      </c>
      <c r="F350" s="107">
        <v>0.36620603015075298</v>
      </c>
      <c r="G350" s="107">
        <v>0.328565030889934</v>
      </c>
      <c r="H350" s="107">
        <v>1.3688479200896201E-2</v>
      </c>
      <c r="I350" s="107">
        <v>2.7498306209468901</v>
      </c>
      <c r="J350" s="107">
        <v>10.28</v>
      </c>
      <c r="K350" s="107">
        <v>0.35899604885963499</v>
      </c>
      <c r="L350" s="107">
        <v>0.434107141659408</v>
      </c>
      <c r="M350" s="107">
        <v>0.40720277840213498</v>
      </c>
      <c r="N350" s="107">
        <v>0.59882248955498296</v>
      </c>
    </row>
    <row r="351" spans="1:14">
      <c r="A351" s="14">
        <v>43347</v>
      </c>
      <c r="B351" s="107">
        <v>1174</v>
      </c>
      <c r="C351" s="107">
        <v>1158</v>
      </c>
      <c r="D351" s="107">
        <v>3256</v>
      </c>
      <c r="E351" s="107">
        <v>3218</v>
      </c>
      <c r="F351" s="107">
        <v>0.35985083903045301</v>
      </c>
      <c r="G351" s="107">
        <v>0.327985921333668</v>
      </c>
      <c r="H351" s="107">
        <v>1.29844199353848E-2</v>
      </c>
      <c r="I351" s="107">
        <v>2.4540886582039301</v>
      </c>
      <c r="J351" s="107">
        <v>8.86</v>
      </c>
      <c r="K351" s="107">
        <v>0.39650238705643898</v>
      </c>
      <c r="L351" s="107">
        <v>0.35408059958215798</v>
      </c>
      <c r="M351" s="107">
        <v>0.40910622810640701</v>
      </c>
      <c r="N351" s="107">
        <v>0.58836644770704605</v>
      </c>
    </row>
    <row r="352" spans="1:14">
      <c r="A352" s="14">
        <v>43346</v>
      </c>
      <c r="B352" s="107">
        <v>1178</v>
      </c>
      <c r="C352" s="107">
        <v>1167</v>
      </c>
      <c r="D352" s="107">
        <v>3278</v>
      </c>
      <c r="E352" s="107">
        <v>3256</v>
      </c>
      <c r="F352" s="107">
        <v>0.35841523341523301</v>
      </c>
      <c r="G352" s="107">
        <v>0.32748898541541299</v>
      </c>
      <c r="H352" s="107">
        <v>1.24579079099953E-2</v>
      </c>
      <c r="I352" s="107">
        <v>2.4824591916438199</v>
      </c>
      <c r="J352" s="107">
        <v>8.6300000000000008</v>
      </c>
      <c r="K352" s="107">
        <v>0.41891955982833201</v>
      </c>
      <c r="L352" s="107">
        <v>0.31566953050272301</v>
      </c>
      <c r="M352" s="107">
        <v>0.41171844765897397</v>
      </c>
      <c r="N352" s="107">
        <v>0.58093837203324095</v>
      </c>
    </row>
    <row r="353" spans="1:14">
      <c r="A353" s="14">
        <v>43343</v>
      </c>
      <c r="B353" s="107">
        <v>1174</v>
      </c>
      <c r="C353" s="107">
        <v>1175</v>
      </c>
      <c r="D353" s="107">
        <v>3320</v>
      </c>
      <c r="E353" s="107">
        <v>3292</v>
      </c>
      <c r="F353" s="107">
        <v>0.35692588092345001</v>
      </c>
      <c r="G353" s="107">
        <v>0.32694943187585901</v>
      </c>
      <c r="H353" s="107">
        <v>1.19736990933632E-2</v>
      </c>
      <c r="I353" s="107">
        <v>2.5035245009795202</v>
      </c>
      <c r="J353" s="107">
        <v>8.4</v>
      </c>
      <c r="K353" s="107">
        <v>0.43917333992005297</v>
      </c>
      <c r="L353" s="107">
        <v>0.32780081144723899</v>
      </c>
      <c r="M353" s="107">
        <v>0.41657943552927601</v>
      </c>
      <c r="N353" s="107">
        <v>0.57340319973492604</v>
      </c>
    </row>
    <row r="354" spans="1:14">
      <c r="A354" s="14">
        <v>43342</v>
      </c>
      <c r="B354" s="107">
        <v>1184</v>
      </c>
      <c r="C354" s="107">
        <v>1178</v>
      </c>
      <c r="D354" s="107">
        <v>3408</v>
      </c>
      <c r="E354" s="107">
        <v>3356</v>
      </c>
      <c r="F354" s="107">
        <v>0.35101311084624498</v>
      </c>
      <c r="G354" s="107">
        <v>0.32647938797206399</v>
      </c>
      <c r="H354" s="107">
        <v>1.1469029157018499E-2</v>
      </c>
      <c r="I354" s="107">
        <v>2.1391281283095598</v>
      </c>
      <c r="J354" s="107">
        <v>6.99</v>
      </c>
      <c r="K354" s="107">
        <v>0.440767060867366</v>
      </c>
      <c r="L354" s="107">
        <v>0.37296175027768103</v>
      </c>
      <c r="M354" s="107">
        <v>0.42108512298901402</v>
      </c>
      <c r="N354" s="107">
        <v>0.579870369800073</v>
      </c>
    </row>
    <row r="355" spans="1:14">
      <c r="A355" s="14">
        <v>43341</v>
      </c>
      <c r="B355" s="107">
        <v>1163</v>
      </c>
      <c r="C355" s="107">
        <v>1177</v>
      </c>
      <c r="D355" s="107">
        <v>3377</v>
      </c>
      <c r="E355" s="107">
        <v>3395</v>
      </c>
      <c r="F355" s="107">
        <v>0.34668630338733403</v>
      </c>
      <c r="G355" s="107">
        <v>0.32611056847213599</v>
      </c>
      <c r="H355" s="107">
        <v>1.11133999272002E-2</v>
      </c>
      <c r="I355" s="107">
        <v>1.851434758938</v>
      </c>
      <c r="J355" s="107">
        <v>5.93</v>
      </c>
      <c r="K355" s="107">
        <v>0.43582110537514801</v>
      </c>
      <c r="L355" s="107">
        <v>0.42122885565035001</v>
      </c>
      <c r="M355" s="107">
        <v>0.42469169797755302</v>
      </c>
      <c r="N355" s="107">
        <v>0.59328548547543503</v>
      </c>
    </row>
    <row r="356" spans="1:14">
      <c r="A356" s="14">
        <v>43340</v>
      </c>
      <c r="B356" s="107">
        <v>1173</v>
      </c>
      <c r="C356" s="107">
        <v>1161</v>
      </c>
      <c r="D356" s="107">
        <v>3410</v>
      </c>
      <c r="E356" s="107">
        <v>3377</v>
      </c>
      <c r="F356" s="107">
        <v>0.34379626887770198</v>
      </c>
      <c r="G356" s="107">
        <v>0.32573134002825199</v>
      </c>
      <c r="H356" s="107">
        <v>1.0887796003357399E-2</v>
      </c>
      <c r="I356" s="107">
        <v>1.65919060605827</v>
      </c>
      <c r="J356" s="107">
        <v>5.25</v>
      </c>
      <c r="K356" s="107">
        <v>0.43365712385222899</v>
      </c>
      <c r="L356" s="107">
        <v>0.33714301006317299</v>
      </c>
      <c r="M356" s="107">
        <v>0.42861503047886601</v>
      </c>
      <c r="N356" s="107">
        <v>0.60129173414889803</v>
      </c>
    </row>
    <row r="357" spans="1:14">
      <c r="A357" s="14">
        <v>43339</v>
      </c>
      <c r="B357" s="107">
        <v>1146</v>
      </c>
      <c r="C357" s="107">
        <v>1155</v>
      </c>
      <c r="D357" s="107">
        <v>3309</v>
      </c>
      <c r="E357" s="107">
        <v>3335</v>
      </c>
      <c r="F357" s="107">
        <v>0.34632683658170899</v>
      </c>
      <c r="G357" s="107">
        <v>0.32535044654510797</v>
      </c>
      <c r="H357" s="107">
        <v>1.0747947852190401E-2</v>
      </c>
      <c r="I357" s="107">
        <v>1.9516646642759099</v>
      </c>
      <c r="J357" s="107">
        <v>6.06</v>
      </c>
      <c r="K357" s="107">
        <v>0.457378605991483</v>
      </c>
      <c r="L357" s="107">
        <v>0.33542007965305898</v>
      </c>
      <c r="M357" s="107">
        <v>0.43303325591767899</v>
      </c>
      <c r="N357" s="107">
        <v>0.60069353020460303</v>
      </c>
    </row>
    <row r="358" spans="1:14">
      <c r="A358" s="14">
        <v>43336</v>
      </c>
      <c r="B358" s="107">
        <v>1150</v>
      </c>
      <c r="C358" s="107">
        <v>1136</v>
      </c>
      <c r="D358" s="107">
        <v>3310</v>
      </c>
      <c r="E358" s="107">
        <v>3290</v>
      </c>
      <c r="F358" s="107">
        <v>0.345288753799392</v>
      </c>
      <c r="G358" s="107">
        <v>0.32517474637421701</v>
      </c>
      <c r="H358" s="107">
        <v>1.0508648491074499E-2</v>
      </c>
      <c r="I358" s="107">
        <v>1.91404322280439</v>
      </c>
      <c r="J358" s="107">
        <v>5.83</v>
      </c>
      <c r="K358" s="107">
        <v>0.48468305741539902</v>
      </c>
      <c r="L358" s="107">
        <v>0.389976823575863</v>
      </c>
      <c r="M358" s="107">
        <v>0.43654010465228998</v>
      </c>
      <c r="N358" s="107">
        <v>0.60094460753377099</v>
      </c>
    </row>
    <row r="359" spans="1:14">
      <c r="A359" s="14">
        <v>43335</v>
      </c>
      <c r="B359" s="107">
        <v>1132</v>
      </c>
      <c r="C359" s="107">
        <v>1128</v>
      </c>
      <c r="D359" s="107">
        <v>3356</v>
      </c>
      <c r="E359" s="107">
        <v>3318</v>
      </c>
      <c r="F359" s="107">
        <v>0.33996383363471899</v>
      </c>
      <c r="G359" s="107">
        <v>0.32510422965689101</v>
      </c>
      <c r="H359" s="107">
        <v>1.0390520608056999E-2</v>
      </c>
      <c r="I359" s="107">
        <v>1.43011159289797</v>
      </c>
      <c r="J359" s="107">
        <v>4.37</v>
      </c>
      <c r="K359" s="107">
        <v>0.51216518203219596</v>
      </c>
      <c r="L359" s="107">
        <v>0.44696913431905</v>
      </c>
      <c r="M359" s="107">
        <v>0.44032091086618003</v>
      </c>
      <c r="N359" s="107">
        <v>0.60006250061713295</v>
      </c>
    </row>
    <row r="360" spans="1:14">
      <c r="A360" s="14">
        <v>43334</v>
      </c>
      <c r="B360" s="107">
        <v>1118</v>
      </c>
      <c r="C360" s="107">
        <v>1132</v>
      </c>
      <c r="D360" s="107">
        <v>3346</v>
      </c>
      <c r="E360" s="107">
        <v>3384</v>
      </c>
      <c r="F360" s="107">
        <v>0.33451536643025997</v>
      </c>
      <c r="G360" s="107">
        <v>0.32509726896559399</v>
      </c>
      <c r="H360" s="107">
        <v>1.03807339656118E-2</v>
      </c>
      <c r="I360" s="107">
        <v>0.907267009814965</v>
      </c>
      <c r="J360" s="107">
        <v>2.82</v>
      </c>
      <c r="K360" s="107">
        <v>0.55481699906650706</v>
      </c>
      <c r="L360" s="107">
        <v>0.42472589938736499</v>
      </c>
      <c r="M360" s="107">
        <v>0.44334729471899298</v>
      </c>
      <c r="N360" s="107">
        <v>0.59924051870898398</v>
      </c>
    </row>
    <row r="361" spans="1:14">
      <c r="A361" s="14">
        <v>43333</v>
      </c>
      <c r="B361" s="107">
        <v>1128</v>
      </c>
      <c r="C361" s="107">
        <v>1129</v>
      </c>
      <c r="D361" s="107">
        <v>3315</v>
      </c>
      <c r="E361" s="107">
        <v>3321</v>
      </c>
      <c r="F361" s="107">
        <v>0.33995784402288398</v>
      </c>
      <c r="G361" s="107">
        <v>0.32512925875387</v>
      </c>
      <c r="H361" s="107">
        <v>1.04133535039158E-2</v>
      </c>
      <c r="I361" s="107">
        <v>1.42399710750602</v>
      </c>
      <c r="J361" s="107">
        <v>4.3600000000000003</v>
      </c>
      <c r="K361" s="107">
        <v>0.60599920498756299</v>
      </c>
      <c r="L361" s="107">
        <v>0.38711891871887</v>
      </c>
      <c r="M361" s="107">
        <v>0.44644713552619603</v>
      </c>
      <c r="N361" s="107">
        <v>0.59975514618451797</v>
      </c>
    </row>
    <row r="362" spans="1:14">
      <c r="A362" s="14">
        <v>43332</v>
      </c>
      <c r="B362" s="107">
        <v>1133</v>
      </c>
      <c r="C362" s="107">
        <v>1131</v>
      </c>
      <c r="D362" s="107">
        <v>3310</v>
      </c>
      <c r="E362" s="107">
        <v>3314</v>
      </c>
      <c r="F362" s="107">
        <v>0.34127942063971001</v>
      </c>
      <c r="G362" s="107">
        <v>0.32509865200239602</v>
      </c>
      <c r="H362" s="107">
        <v>1.03730199444947E-2</v>
      </c>
      <c r="I362" s="107">
        <v>1.55988986080192</v>
      </c>
      <c r="J362" s="107">
        <v>4.74</v>
      </c>
      <c r="K362" s="107">
        <v>0.64928505206851095</v>
      </c>
      <c r="L362" s="107">
        <v>0.27041953868582502</v>
      </c>
      <c r="M362" s="107">
        <v>0.45084019703707701</v>
      </c>
      <c r="N362" s="107">
        <v>0.60134971802634496</v>
      </c>
    </row>
    <row r="363" spans="1:14">
      <c r="A363" s="14">
        <v>43329</v>
      </c>
      <c r="B363" s="107">
        <v>1131</v>
      </c>
      <c r="C363" s="107">
        <v>1143</v>
      </c>
      <c r="D363" s="107">
        <v>3350</v>
      </c>
      <c r="E363" s="107">
        <v>3313</v>
      </c>
      <c r="F363" s="107">
        <v>0.345004527618472</v>
      </c>
      <c r="G363" s="107">
        <v>0.32498293884465901</v>
      </c>
      <c r="H363" s="107">
        <v>1.02394195481112E-2</v>
      </c>
      <c r="I363" s="107">
        <v>1.9553441168944501</v>
      </c>
      <c r="J363" s="107">
        <v>5.8</v>
      </c>
      <c r="K363" s="107">
        <v>0.68868850920165403</v>
      </c>
      <c r="L363" s="107">
        <v>0.23852971134961001</v>
      </c>
      <c r="M363" s="107">
        <v>0.45504674035822301</v>
      </c>
      <c r="N363" s="107">
        <v>0.60154843851173401</v>
      </c>
    </row>
    <row r="364" spans="1:14">
      <c r="A364" s="14">
        <v>43328</v>
      </c>
      <c r="B364" s="107">
        <v>1118</v>
      </c>
      <c r="C364" s="107">
        <v>1131</v>
      </c>
      <c r="D364" s="107">
        <v>3283</v>
      </c>
      <c r="E364" s="107">
        <v>3292</v>
      </c>
      <c r="F364" s="107">
        <v>0.34356014580801902</v>
      </c>
      <c r="G364" s="107">
        <v>0.324747489736466</v>
      </c>
      <c r="H364" s="107">
        <v>9.9759644720727892E-3</v>
      </c>
      <c r="I364" s="107">
        <v>1.88579822274006</v>
      </c>
      <c r="J364" s="107">
        <v>5.48</v>
      </c>
      <c r="K364" s="107">
        <v>0.71998946923690099</v>
      </c>
      <c r="L364" s="107">
        <v>0.2017864048047</v>
      </c>
      <c r="M364" s="107">
        <v>0.45720362458306701</v>
      </c>
      <c r="N364" s="107">
        <v>0.59303141428433204</v>
      </c>
    </row>
    <row r="365" spans="1:14">
      <c r="A365" s="14">
        <v>43327</v>
      </c>
      <c r="B365" s="107">
        <v>1148</v>
      </c>
      <c r="C365" s="107">
        <v>1131</v>
      </c>
      <c r="D365" s="107">
        <v>3329</v>
      </c>
      <c r="E365" s="107">
        <v>3286</v>
      </c>
      <c r="F365" s="107">
        <v>0.34418746195982902</v>
      </c>
      <c r="G365" s="107">
        <v>0.32444241560405701</v>
      </c>
      <c r="H365" s="107">
        <v>9.7431285752061607E-3</v>
      </c>
      <c r="I365" s="107">
        <v>2.0265612019139301</v>
      </c>
      <c r="J365" s="107">
        <v>5.74</v>
      </c>
      <c r="K365" s="107">
        <v>0.74874017039611895</v>
      </c>
      <c r="L365" s="107">
        <v>0.13796394672210099</v>
      </c>
      <c r="M365" s="107">
        <v>0.45877694378987599</v>
      </c>
      <c r="N365" s="107">
        <v>0.58047037618805097</v>
      </c>
    </row>
    <row r="366" spans="1:14">
      <c r="A366" s="14">
        <v>43326</v>
      </c>
      <c r="B366" s="107">
        <v>1143</v>
      </c>
      <c r="C366" s="107">
        <v>1148</v>
      </c>
      <c r="D366" s="107">
        <v>3315</v>
      </c>
      <c r="E366" s="107">
        <v>3336</v>
      </c>
      <c r="F366" s="107">
        <v>0.34412470023980801</v>
      </c>
      <c r="G366" s="107">
        <v>0.32403198704445202</v>
      </c>
      <c r="H366" s="107">
        <v>9.5491419065090108E-3</v>
      </c>
      <c r="I366" s="107">
        <v>2.1041380882254401</v>
      </c>
      <c r="J366" s="107">
        <v>5.84</v>
      </c>
      <c r="K366" s="107">
        <v>0.77336197806233298</v>
      </c>
      <c r="L366" s="107">
        <v>7.2421567867946707E-2</v>
      </c>
      <c r="M366" s="107">
        <v>0.46054179274877299</v>
      </c>
      <c r="N366" s="107">
        <v>0.606047018186751</v>
      </c>
    </row>
    <row r="367" spans="1:14">
      <c r="A367" s="14">
        <v>43325</v>
      </c>
      <c r="B367" s="107">
        <v>1150</v>
      </c>
      <c r="C367" s="107">
        <v>1135</v>
      </c>
      <c r="D367" s="107">
        <v>3343</v>
      </c>
      <c r="E367" s="107">
        <v>3272</v>
      </c>
      <c r="F367" s="107">
        <v>0.34688264058679702</v>
      </c>
      <c r="G367" s="107">
        <v>0.32364973432615102</v>
      </c>
      <c r="H367" s="107">
        <v>9.3079423657809607E-3</v>
      </c>
      <c r="I367" s="107">
        <v>2.49603030913222</v>
      </c>
      <c r="J367" s="107">
        <v>6.7</v>
      </c>
      <c r="K367" s="107">
        <v>0.80010763825417797</v>
      </c>
      <c r="L367" s="107">
        <v>2.7663052881193501E-2</v>
      </c>
      <c r="M367" s="107">
        <v>0.461803252004861</v>
      </c>
      <c r="N367" s="107">
        <v>0.60696896233827402</v>
      </c>
    </row>
    <row r="368" spans="1:14">
      <c r="A368" s="14">
        <v>43322</v>
      </c>
      <c r="B368" s="107">
        <v>1192</v>
      </c>
      <c r="C368" s="107">
        <v>1164</v>
      </c>
      <c r="D368" s="107">
        <v>3398</v>
      </c>
      <c r="E368" s="107">
        <v>3368</v>
      </c>
      <c r="F368" s="107">
        <v>0.345605700712589</v>
      </c>
      <c r="G368" s="107">
        <v>0.32330270731797101</v>
      </c>
      <c r="H368" s="107">
        <v>8.9120453471050395E-3</v>
      </c>
      <c r="I368" s="107">
        <v>2.5025673149051499</v>
      </c>
      <c r="J368" s="107">
        <v>6.45</v>
      </c>
      <c r="K368" s="107">
        <v>0.824657098377784</v>
      </c>
      <c r="L368" s="107">
        <v>3.41581256379521E-3</v>
      </c>
      <c r="M368" s="107">
        <v>0.46240573941570901</v>
      </c>
      <c r="N368" s="107">
        <v>0.60791540660014098</v>
      </c>
    </row>
    <row r="369" spans="1:14">
      <c r="A369" s="14">
        <v>43321</v>
      </c>
      <c r="B369" s="107">
        <v>1228</v>
      </c>
      <c r="C369" s="107">
        <v>1186</v>
      </c>
      <c r="D369" s="107">
        <v>3420</v>
      </c>
      <c r="E369" s="107">
        <v>3381</v>
      </c>
      <c r="F369" s="107">
        <v>0.35078379177758001</v>
      </c>
      <c r="G369" s="107">
        <v>0.32297943856470601</v>
      </c>
      <c r="H369" s="107">
        <v>8.5286592942455906E-3</v>
      </c>
      <c r="I369" s="107">
        <v>3.2601083304657901</v>
      </c>
      <c r="J369" s="107">
        <v>7.93</v>
      </c>
      <c r="K369" s="107">
        <v>0.84693545116356905</v>
      </c>
      <c r="L369" s="107">
        <v>0.65489889536442103</v>
      </c>
      <c r="M369" s="107">
        <v>0.46527725751298699</v>
      </c>
      <c r="N369" s="107">
        <v>0.60258459773338802</v>
      </c>
    </row>
    <row r="370" spans="1:14">
      <c r="A370" s="14">
        <v>43320</v>
      </c>
      <c r="B370" s="107">
        <v>1115</v>
      </c>
      <c r="C370" s="107">
        <v>1108</v>
      </c>
      <c r="D370" s="107">
        <v>3450</v>
      </c>
      <c r="E370" s="107">
        <v>3425</v>
      </c>
      <c r="F370" s="107">
        <v>0.32350364963503597</v>
      </c>
      <c r="G370" s="107">
        <v>0.32260795233865103</v>
      </c>
      <c r="H370" s="107">
        <v>7.8925477550924397E-3</v>
      </c>
      <c r="I370" s="107">
        <v>0.113486458895019</v>
      </c>
      <c r="J370" s="107">
        <v>0.28000000000000003</v>
      </c>
      <c r="K370" s="107">
        <v>0.84019446546852805</v>
      </c>
      <c r="L370" s="107">
        <v>0.66115432915602201</v>
      </c>
      <c r="M370" s="107">
        <v>0.46423834907400102</v>
      </c>
      <c r="N370" s="107">
        <v>0.61122812783771696</v>
      </c>
    </row>
    <row r="371" spans="1:14">
      <c r="A371" s="14">
        <v>43319</v>
      </c>
      <c r="B371" s="107">
        <v>1101</v>
      </c>
      <c r="C371" s="107">
        <v>1109</v>
      </c>
      <c r="D371" s="107">
        <v>3398</v>
      </c>
      <c r="E371" s="107">
        <v>3427</v>
      </c>
      <c r="F371" s="107">
        <v>0.32360665304931402</v>
      </c>
      <c r="G371" s="107">
        <v>0.322636663723811</v>
      </c>
      <c r="H371" s="107">
        <v>7.8996673927287896E-3</v>
      </c>
      <c r="I371" s="107">
        <v>0.12278862859407</v>
      </c>
      <c r="J371" s="107">
        <v>0.3</v>
      </c>
      <c r="K371" s="107">
        <v>0.841318036655198</v>
      </c>
      <c r="L371" s="107">
        <v>0.62673688998080301</v>
      </c>
      <c r="M371" s="107">
        <v>0.45610719300756403</v>
      </c>
      <c r="N371" s="107">
        <v>0.68918828774137697</v>
      </c>
    </row>
    <row r="372" spans="1:14">
      <c r="A372" s="14">
        <v>43318</v>
      </c>
      <c r="B372" s="107">
        <v>1111</v>
      </c>
      <c r="C372" s="107">
        <v>1105</v>
      </c>
      <c r="D372" s="107">
        <v>3405</v>
      </c>
      <c r="E372" s="107">
        <v>3392</v>
      </c>
      <c r="F372" s="107">
        <v>0.32576650943396201</v>
      </c>
      <c r="G372" s="107">
        <v>0.322558299704856</v>
      </c>
      <c r="H372" s="107">
        <v>7.9187845299962898E-3</v>
      </c>
      <c r="I372" s="107">
        <v>0.40513916207129602</v>
      </c>
      <c r="J372" s="107">
        <v>0.98</v>
      </c>
      <c r="K372" s="107">
        <v>0.84205988645127305</v>
      </c>
      <c r="L372" s="107">
        <v>0.63229457831130997</v>
      </c>
      <c r="M372" s="107">
        <v>0.44957548742949299</v>
      </c>
      <c r="N372" s="107">
        <v>0.65947150510670305</v>
      </c>
    </row>
    <row r="373" spans="1:14">
      <c r="A373" s="14">
        <v>43315</v>
      </c>
      <c r="B373" s="107">
        <v>1111</v>
      </c>
      <c r="C373" s="107">
        <v>1112</v>
      </c>
      <c r="D373" s="107">
        <v>3391</v>
      </c>
      <c r="E373" s="107">
        <v>3380</v>
      </c>
      <c r="F373" s="107">
        <v>0.32899408284023601</v>
      </c>
      <c r="G373" s="107">
        <v>0.32231376141741602</v>
      </c>
      <c r="H373" s="107">
        <v>8.0971113543338406E-3</v>
      </c>
      <c r="I373" s="107">
        <v>0.82502526277407295</v>
      </c>
      <c r="J373" s="107">
        <v>2.0299999999999998</v>
      </c>
      <c r="K373" s="107">
        <v>0.84341491385353295</v>
      </c>
      <c r="L373" s="107">
        <v>0.61734179466808403</v>
      </c>
      <c r="M373" s="107">
        <v>0.443077876418012</v>
      </c>
      <c r="N373" s="107">
        <v>0.65764239280103898</v>
      </c>
    </row>
    <row r="374" spans="1:14">
      <c r="A374" s="14">
        <v>43314</v>
      </c>
      <c r="B374" s="107">
        <v>1110</v>
      </c>
      <c r="C374" s="107">
        <v>1110</v>
      </c>
      <c r="D374" s="107">
        <v>3411</v>
      </c>
      <c r="E374" s="107">
        <v>3355</v>
      </c>
      <c r="F374" s="107">
        <v>0.33084947839046103</v>
      </c>
      <c r="G374" s="107">
        <v>0.32202729703771599</v>
      </c>
      <c r="H374" s="107">
        <v>8.2345880432010497E-3</v>
      </c>
      <c r="I374" s="107">
        <v>1.07135673411485</v>
      </c>
      <c r="J374" s="107">
        <v>2.67</v>
      </c>
      <c r="K374" s="107">
        <v>0.84567210738758603</v>
      </c>
      <c r="L374" s="107">
        <v>0.67402488375062597</v>
      </c>
      <c r="M374" s="107">
        <v>0.43714773538110302</v>
      </c>
      <c r="N374" s="107">
        <v>0.63894804490344104</v>
      </c>
    </row>
    <row r="375" spans="1:14">
      <c r="A375" s="14">
        <v>43313</v>
      </c>
      <c r="B375" s="107">
        <v>1122</v>
      </c>
      <c r="C375" s="107">
        <v>1122</v>
      </c>
      <c r="D375" s="107">
        <v>3495</v>
      </c>
      <c r="E375" s="107">
        <v>3454</v>
      </c>
      <c r="F375" s="107">
        <v>0.32484076433121001</v>
      </c>
      <c r="G375" s="107">
        <v>0.32173647600417199</v>
      </c>
      <c r="H375" s="107">
        <v>8.3027571978121096E-3</v>
      </c>
      <c r="I375" s="107">
        <v>0.37388643953789802</v>
      </c>
      <c r="J375" s="107">
        <v>0.96</v>
      </c>
      <c r="K375" s="107">
        <v>0.84962534976764403</v>
      </c>
      <c r="L375" s="107">
        <v>0.49098474284084798</v>
      </c>
      <c r="M375" s="107">
        <v>0.432009198173881</v>
      </c>
      <c r="N375" s="107">
        <v>0.64836943938073399</v>
      </c>
    </row>
    <row r="376" spans="1:14">
      <c r="A376" s="14">
        <v>43312</v>
      </c>
      <c r="B376" s="107">
        <v>1118</v>
      </c>
      <c r="C376" s="107">
        <v>1115</v>
      </c>
      <c r="D376" s="107">
        <v>3394</v>
      </c>
      <c r="E376" s="107">
        <v>3355</v>
      </c>
      <c r="F376" s="107">
        <v>0.33233979135618402</v>
      </c>
      <c r="G376" s="107">
        <v>0.32147844742844001</v>
      </c>
      <c r="H376" s="107">
        <v>8.5006243353438309E-3</v>
      </c>
      <c r="I376" s="107">
        <v>1.2777113185187401</v>
      </c>
      <c r="J376" s="107">
        <v>3.27</v>
      </c>
      <c r="K376" s="107">
        <v>0.86094403314957502</v>
      </c>
      <c r="L376" s="107">
        <v>0.44140520768344399</v>
      </c>
      <c r="M376" s="107">
        <v>0.423654494275713</v>
      </c>
      <c r="N376" s="107">
        <v>0.68911471599334495</v>
      </c>
    </row>
    <row r="377" spans="1:14">
      <c r="A377" s="14">
        <v>43311</v>
      </c>
      <c r="B377" s="107">
        <v>1109</v>
      </c>
      <c r="C377" s="107">
        <v>1108</v>
      </c>
      <c r="D377" s="107">
        <v>3369</v>
      </c>
      <c r="E377" s="107">
        <v>3374</v>
      </c>
      <c r="F377" s="107">
        <v>0.328393598103141</v>
      </c>
      <c r="G377" s="107">
        <v>0.321076864171224</v>
      </c>
      <c r="H377" s="107">
        <v>8.6874081675350507E-3</v>
      </c>
      <c r="I377" s="107">
        <v>0.84222288061236705</v>
      </c>
      <c r="J377" s="107">
        <v>2.23</v>
      </c>
      <c r="K377" s="107">
        <v>0.86201646652976205</v>
      </c>
      <c r="L377" s="107">
        <v>0.40231737669175099</v>
      </c>
      <c r="M377" s="107">
        <v>0.41764467789621401</v>
      </c>
      <c r="N377" s="107">
        <v>0.61607648903269097</v>
      </c>
    </row>
    <row r="378" spans="1:14">
      <c r="A378" s="14">
        <v>43308</v>
      </c>
      <c r="B378" s="107">
        <v>1119</v>
      </c>
      <c r="C378" s="107">
        <v>1117</v>
      </c>
      <c r="D378" s="107">
        <v>3355</v>
      </c>
      <c r="E378" s="107">
        <v>3365</v>
      </c>
      <c r="F378" s="107">
        <v>0.33194650817236199</v>
      </c>
      <c r="G378" s="107">
        <v>0.32074338504782002</v>
      </c>
      <c r="H378" s="107">
        <v>8.8780921790110497E-3</v>
      </c>
      <c r="I378" s="107">
        <v>1.26188407358824</v>
      </c>
      <c r="J378" s="107">
        <v>3.37</v>
      </c>
      <c r="K378" s="107">
        <v>0.86485990119428802</v>
      </c>
      <c r="L378" s="107">
        <v>0.36998441081067301</v>
      </c>
      <c r="M378" s="107">
        <v>0.41139996200746098</v>
      </c>
      <c r="N378" s="107">
        <v>0.62825957491360096</v>
      </c>
    </row>
    <row r="379" spans="1:14">
      <c r="A379" s="14">
        <v>43307</v>
      </c>
      <c r="B379" s="107">
        <v>1117</v>
      </c>
      <c r="C379" s="107">
        <v>1115</v>
      </c>
      <c r="D379" s="107">
        <v>3370</v>
      </c>
      <c r="E379" s="107">
        <v>3343</v>
      </c>
      <c r="F379" s="107">
        <v>0.33353275501046897</v>
      </c>
      <c r="G379" s="107">
        <v>0.32040636869879702</v>
      </c>
      <c r="H379" s="107">
        <v>8.9260389242082905E-3</v>
      </c>
      <c r="I379" s="107">
        <v>1.4705723807759901</v>
      </c>
      <c r="J379" s="107">
        <v>3.94</v>
      </c>
      <c r="K379" s="107">
        <v>0.87512856901390801</v>
      </c>
      <c r="L379" s="107">
        <v>0.337395756977939</v>
      </c>
      <c r="M379" s="107">
        <v>0.40386364901547001</v>
      </c>
      <c r="N379" s="107">
        <v>0.63687252145885598</v>
      </c>
    </row>
    <row r="380" spans="1:14">
      <c r="A380" s="14">
        <v>43306</v>
      </c>
      <c r="B380" s="107">
        <v>1098</v>
      </c>
      <c r="C380" s="107">
        <v>1101</v>
      </c>
      <c r="D380" s="107">
        <v>3305</v>
      </c>
      <c r="E380" s="107">
        <v>3327</v>
      </c>
      <c r="F380" s="107">
        <v>0.33092876465283999</v>
      </c>
      <c r="G380" s="107">
        <v>0.320074089168982</v>
      </c>
      <c r="H380" s="107">
        <v>8.8950114497940002E-3</v>
      </c>
      <c r="I380" s="107">
        <v>1.22031045661091</v>
      </c>
      <c r="J380" s="107">
        <v>3.28</v>
      </c>
      <c r="K380" s="107">
        <v>0.87896961469692603</v>
      </c>
      <c r="L380" s="107">
        <v>0.35241237332448799</v>
      </c>
      <c r="M380" s="107">
        <v>0.39620991317888898</v>
      </c>
      <c r="N380" s="107">
        <v>0.64686593617990396</v>
      </c>
    </row>
    <row r="381" spans="1:14">
      <c r="A381" s="14">
        <v>43305</v>
      </c>
      <c r="B381" s="107">
        <v>1093</v>
      </c>
      <c r="C381" s="107">
        <v>1091</v>
      </c>
      <c r="D381" s="107">
        <v>3298</v>
      </c>
      <c r="E381" s="107">
        <v>3293</v>
      </c>
      <c r="F381" s="107">
        <v>0.33130883692681401</v>
      </c>
      <c r="G381" s="107">
        <v>0.31974708796937801</v>
      </c>
      <c r="H381" s="107">
        <v>8.9406402980462402E-3</v>
      </c>
      <c r="I381" s="107">
        <v>1.2931678908905699</v>
      </c>
      <c r="J381" s="107">
        <v>3.49</v>
      </c>
      <c r="K381" s="107">
        <v>0.88380996555338198</v>
      </c>
      <c r="L381" s="107">
        <v>0.27350895290379201</v>
      </c>
      <c r="M381" s="107">
        <v>0.38827903172140399</v>
      </c>
      <c r="N381" s="107">
        <v>0.62435895192560797</v>
      </c>
    </row>
    <row r="382" spans="1:14">
      <c r="A382" s="14">
        <v>43304</v>
      </c>
      <c r="B382" s="107">
        <v>1076</v>
      </c>
      <c r="C382" s="107">
        <v>1088</v>
      </c>
      <c r="D382" s="107">
        <v>3248</v>
      </c>
      <c r="E382" s="107">
        <v>3253</v>
      </c>
      <c r="F382" s="107">
        <v>0.33446049800184402</v>
      </c>
      <c r="G382" s="107">
        <v>0.31944032313840798</v>
      </c>
      <c r="H382" s="107">
        <v>8.9333822241213796E-3</v>
      </c>
      <c r="I382" s="107">
        <v>1.68135365605196</v>
      </c>
      <c r="J382" s="107">
        <v>4.49</v>
      </c>
      <c r="K382" s="107">
        <v>0.89124720275069103</v>
      </c>
      <c r="L382" s="107">
        <v>0.26138610745819701</v>
      </c>
      <c r="M382" s="107">
        <v>0.37983107313394698</v>
      </c>
      <c r="N382" s="107">
        <v>0.60178683983578696</v>
      </c>
    </row>
    <row r="383" spans="1:14">
      <c r="A383" s="14">
        <v>43301</v>
      </c>
      <c r="B383" s="107">
        <v>1093</v>
      </c>
      <c r="C383" s="107">
        <v>1090</v>
      </c>
      <c r="D383" s="107">
        <v>3302</v>
      </c>
      <c r="E383" s="107">
        <v>3292</v>
      </c>
      <c r="F383" s="107">
        <v>0.33110571081409401</v>
      </c>
      <c r="G383" s="107">
        <v>0.31911916241816202</v>
      </c>
      <c r="H383" s="107">
        <v>8.8198757937094693E-3</v>
      </c>
      <c r="I383" s="107">
        <v>1.35903823095575</v>
      </c>
      <c r="J383" s="107">
        <v>3.62</v>
      </c>
      <c r="K383" s="107">
        <v>0.89528697412646996</v>
      </c>
      <c r="L383" s="107">
        <v>0.214516470868646</v>
      </c>
      <c r="M383" s="107">
        <v>0.37281552017375202</v>
      </c>
      <c r="N383" s="107">
        <v>0.55189197225850095</v>
      </c>
    </row>
    <row r="384" spans="1:14">
      <c r="A384" s="14">
        <v>43300</v>
      </c>
      <c r="B384" s="107">
        <v>1097</v>
      </c>
      <c r="C384" s="107">
        <v>1106</v>
      </c>
      <c r="D384" s="107">
        <v>3316</v>
      </c>
      <c r="E384" s="107">
        <v>3323</v>
      </c>
      <c r="F384" s="107">
        <v>0.33283177851339102</v>
      </c>
      <c r="G384" s="107">
        <v>0.318826696744411</v>
      </c>
      <c r="H384" s="107">
        <v>8.7811489974373297E-3</v>
      </c>
      <c r="I384" s="107">
        <v>1.59490310129879</v>
      </c>
      <c r="J384" s="107">
        <v>4.21</v>
      </c>
      <c r="K384" s="107">
        <v>0.90095205097629105</v>
      </c>
      <c r="L384" s="107">
        <v>0.237583838569628</v>
      </c>
      <c r="M384" s="107">
        <v>0.365983694821995</v>
      </c>
      <c r="N384" s="107">
        <v>0.54832160839577404</v>
      </c>
    </row>
    <row r="385" spans="1:14">
      <c r="A385" s="14">
        <v>43299</v>
      </c>
      <c r="B385" s="107">
        <v>1101</v>
      </c>
      <c r="C385" s="107">
        <v>1098</v>
      </c>
      <c r="D385" s="107">
        <v>3367</v>
      </c>
      <c r="E385" s="107">
        <v>3332</v>
      </c>
      <c r="F385" s="107">
        <v>0.32953181272509002</v>
      </c>
      <c r="G385" s="107">
        <v>0.31848730035330403</v>
      </c>
      <c r="H385" s="107">
        <v>8.7250262267825392E-3</v>
      </c>
      <c r="I385" s="107">
        <v>1.26584288513461</v>
      </c>
      <c r="J385" s="107">
        <v>3.35</v>
      </c>
      <c r="K385" s="107">
        <v>0.90483457194629302</v>
      </c>
      <c r="L385" s="107">
        <v>0.26516011985639198</v>
      </c>
      <c r="M385" s="107">
        <v>0.359002769332118</v>
      </c>
      <c r="N385" s="107">
        <v>0.52290679215180602</v>
      </c>
    </row>
    <row r="386" spans="1:14">
      <c r="A386" s="14">
        <v>43298</v>
      </c>
      <c r="B386" s="107">
        <v>1071</v>
      </c>
      <c r="C386" s="107">
        <v>1086</v>
      </c>
      <c r="D386" s="107">
        <v>3283</v>
      </c>
      <c r="E386" s="107">
        <v>3323</v>
      </c>
      <c r="F386" s="107">
        <v>0.32681312067408902</v>
      </c>
      <c r="G386" s="107">
        <v>0.318216952170087</v>
      </c>
      <c r="H386" s="107">
        <v>8.6926910287938794E-3</v>
      </c>
      <c r="I386" s="107">
        <v>0.988896128428849</v>
      </c>
      <c r="J386" s="107">
        <v>2.63</v>
      </c>
      <c r="K386" s="107">
        <v>0.90638286497949205</v>
      </c>
      <c r="L386" s="107">
        <v>0.23658098439087299</v>
      </c>
      <c r="M386" s="107">
        <v>0.35127295611693898</v>
      </c>
      <c r="N386" s="107">
        <v>0.56965156905808401</v>
      </c>
    </row>
    <row r="387" spans="1:14">
      <c r="A387" s="14">
        <v>43294</v>
      </c>
      <c r="B387" s="107">
        <v>1064</v>
      </c>
      <c r="C387" s="107">
        <v>1070</v>
      </c>
      <c r="D387" s="107">
        <v>3261</v>
      </c>
      <c r="E387" s="107">
        <v>3292</v>
      </c>
      <c r="F387" s="107">
        <v>0.32503037667071599</v>
      </c>
      <c r="G387" s="107">
        <v>0.31791344863809201</v>
      </c>
      <c r="H387" s="107">
        <v>8.7841566167708492E-3</v>
      </c>
      <c r="I387" s="107">
        <v>0.810200494266752</v>
      </c>
      <c r="J387" s="107">
        <v>2.19</v>
      </c>
      <c r="K387" s="107">
        <v>0.89609490692485905</v>
      </c>
      <c r="L387" s="107">
        <v>0.18029506131307299</v>
      </c>
      <c r="M387" s="107">
        <v>0.34193695127944401</v>
      </c>
      <c r="N387" s="107">
        <v>0.55548845577972905</v>
      </c>
    </row>
    <row r="388" spans="1:14">
      <c r="A388" s="14">
        <v>43293</v>
      </c>
      <c r="B388" s="107">
        <v>1051</v>
      </c>
      <c r="C388" s="107">
        <v>1056</v>
      </c>
      <c r="D388" s="107">
        <v>3247</v>
      </c>
      <c r="E388" s="107">
        <v>3259</v>
      </c>
      <c r="F388" s="107">
        <v>0.32402577477753902</v>
      </c>
      <c r="G388" s="107">
        <v>0.31771687842407498</v>
      </c>
      <c r="H388" s="107">
        <v>8.7876506623661005E-3</v>
      </c>
      <c r="I388" s="107">
        <v>0.71792753215391403</v>
      </c>
      <c r="J388" s="107">
        <v>1.95</v>
      </c>
      <c r="K388" s="107">
        <v>0.89129497090534904</v>
      </c>
      <c r="L388" s="107">
        <v>0.16547110525953501</v>
      </c>
      <c r="M388" s="107">
        <v>0.33056206376098102</v>
      </c>
      <c r="N388" s="107">
        <v>0.52747608738489005</v>
      </c>
    </row>
    <row r="389" spans="1:14">
      <c r="A389" s="14">
        <v>43292</v>
      </c>
      <c r="B389" s="107">
        <v>1064</v>
      </c>
      <c r="C389" s="107">
        <v>1046</v>
      </c>
      <c r="D389" s="107">
        <v>3241</v>
      </c>
      <c r="E389" s="107">
        <v>3238</v>
      </c>
      <c r="F389" s="107">
        <v>0.323038912909203</v>
      </c>
      <c r="G389" s="107">
        <v>0.317572043793928</v>
      </c>
      <c r="H389" s="107">
        <v>8.7719789107392008E-3</v>
      </c>
      <c r="I389" s="107">
        <v>0.623219591713988</v>
      </c>
      <c r="J389" s="107">
        <v>1.69</v>
      </c>
      <c r="K389" s="107">
        <v>0.88202787025080698</v>
      </c>
      <c r="L389" s="107">
        <v>0.26513914674042899</v>
      </c>
      <c r="M389" s="107">
        <v>0.31874316677125802</v>
      </c>
      <c r="N389" s="107">
        <v>0.50388953876855502</v>
      </c>
    </row>
    <row r="390" spans="1:14">
      <c r="A390" s="14">
        <v>43291</v>
      </c>
      <c r="B390" s="107">
        <v>1054</v>
      </c>
      <c r="C390" s="107">
        <v>1067</v>
      </c>
      <c r="D390" s="107">
        <v>3280</v>
      </c>
      <c r="E390" s="107">
        <v>3273</v>
      </c>
      <c r="F390" s="107">
        <v>0.32600061106018902</v>
      </c>
      <c r="G390" s="107">
        <v>0.31742120132121998</v>
      </c>
      <c r="H390" s="107">
        <v>8.7739442280081806E-3</v>
      </c>
      <c r="I390" s="107">
        <v>0.97782815983513705</v>
      </c>
      <c r="J390" s="107">
        <v>2.63</v>
      </c>
      <c r="K390" s="107">
        <v>0.871623573925707</v>
      </c>
      <c r="L390" s="107">
        <v>0.37431518312707901</v>
      </c>
      <c r="M390" s="107">
        <v>0.30741429226410499</v>
      </c>
      <c r="N390" s="107">
        <v>0.54267673187732701</v>
      </c>
    </row>
    <row r="391" spans="1:14">
      <c r="A391" s="14">
        <v>43290</v>
      </c>
      <c r="B391" s="107">
        <v>1045</v>
      </c>
      <c r="C391" s="107">
        <v>1052</v>
      </c>
      <c r="D391" s="107">
        <v>3227</v>
      </c>
      <c r="E391" s="107">
        <v>3240</v>
      </c>
      <c r="F391" s="107">
        <v>0.32469135802469101</v>
      </c>
      <c r="G391" s="107">
        <v>0.31710291078656</v>
      </c>
      <c r="H391" s="107">
        <v>8.8891767594099103E-3</v>
      </c>
      <c r="I391" s="107">
        <v>0.85367266773024097</v>
      </c>
      <c r="J391" s="107">
        <v>2.34</v>
      </c>
      <c r="K391" s="107">
        <v>0.86089915465432998</v>
      </c>
      <c r="L391" s="107">
        <v>0.35250008691057799</v>
      </c>
      <c r="M391" s="107">
        <v>0.29623693950131902</v>
      </c>
      <c r="N391" s="107">
        <v>0.43947317271302999</v>
      </c>
    </row>
    <row r="392" spans="1:14">
      <c r="A392" s="14">
        <v>43287</v>
      </c>
      <c r="B392" s="107">
        <v>1045</v>
      </c>
      <c r="C392" s="107">
        <v>1035</v>
      </c>
      <c r="D392" s="107">
        <v>3215</v>
      </c>
      <c r="E392" s="107">
        <v>3228</v>
      </c>
      <c r="F392" s="107">
        <v>0.320631970260223</v>
      </c>
      <c r="G392" s="107">
        <v>0.316859359895379</v>
      </c>
      <c r="H392" s="107">
        <v>8.9280780682631303E-3</v>
      </c>
      <c r="I392" s="107">
        <v>0.42255570975054602</v>
      </c>
      <c r="J392" s="107">
        <v>1.18</v>
      </c>
      <c r="K392" s="107">
        <v>0.84972647612377505</v>
      </c>
      <c r="L392" s="107">
        <v>0.30662911404445697</v>
      </c>
      <c r="M392" s="107">
        <v>0.285393250403354</v>
      </c>
      <c r="N392" s="107">
        <v>0.38969868369837302</v>
      </c>
    </row>
    <row r="393" spans="1:14">
      <c r="A393" s="14">
        <v>43286</v>
      </c>
      <c r="B393" s="107">
        <v>1038</v>
      </c>
      <c r="C393" s="107">
        <v>1032</v>
      </c>
      <c r="D393" s="107">
        <v>3195</v>
      </c>
      <c r="E393" s="107">
        <v>3184</v>
      </c>
      <c r="F393" s="107">
        <v>0.324120603015075</v>
      </c>
      <c r="G393" s="107">
        <v>0.31657071012061699</v>
      </c>
      <c r="H393" s="107">
        <v>9.1486739460778007E-3</v>
      </c>
      <c r="I393" s="107">
        <v>0.82524450417149797</v>
      </c>
      <c r="J393" s="107">
        <v>2.33</v>
      </c>
      <c r="K393" s="107">
        <v>0.83845334209619304</v>
      </c>
      <c r="L393" s="107">
        <v>0.31624360211840102</v>
      </c>
      <c r="M393" s="107">
        <v>0.27434154267788602</v>
      </c>
      <c r="N393" s="107">
        <v>0.38960639275546</v>
      </c>
    </row>
    <row r="394" spans="1:14">
      <c r="A394" s="14">
        <v>43285</v>
      </c>
      <c r="B394" s="107">
        <v>1020</v>
      </c>
      <c r="C394" s="107">
        <v>1046</v>
      </c>
      <c r="D394" s="107">
        <v>3181</v>
      </c>
      <c r="E394" s="107">
        <v>3188</v>
      </c>
      <c r="F394" s="107">
        <v>0.32810539523212001</v>
      </c>
      <c r="G394" s="107">
        <v>0.31623315138257302</v>
      </c>
      <c r="H394" s="107">
        <v>9.3291568245266396E-3</v>
      </c>
      <c r="I394" s="107">
        <v>1.27259559174032</v>
      </c>
      <c r="J394" s="107">
        <v>3.62</v>
      </c>
      <c r="K394" s="107">
        <v>0.82781200299868996</v>
      </c>
      <c r="L394" s="107">
        <v>0.36505196283241198</v>
      </c>
      <c r="M394" s="107">
        <v>0.26470510923690699</v>
      </c>
      <c r="N394" s="107">
        <v>0.35081312755014898</v>
      </c>
    </row>
    <row r="395" spans="1:14">
      <c r="A395" s="14">
        <v>43284</v>
      </c>
      <c r="B395" s="107">
        <v>1030</v>
      </c>
      <c r="C395" s="107">
        <v>1030</v>
      </c>
      <c r="D395" s="107">
        <v>3228</v>
      </c>
      <c r="E395" s="107">
        <v>3210</v>
      </c>
      <c r="F395" s="107">
        <v>0.32087227414330199</v>
      </c>
      <c r="G395" s="107">
        <v>0.315879347628783</v>
      </c>
      <c r="H395" s="107">
        <v>9.3752537723168303E-3</v>
      </c>
      <c r="I395" s="107">
        <v>0.53256441220410899</v>
      </c>
      <c r="J395" s="107">
        <v>1.56</v>
      </c>
      <c r="K395" s="107">
        <v>0.81251598755603704</v>
      </c>
      <c r="L395" s="107">
        <v>0.347147936697906</v>
      </c>
      <c r="M395" s="107">
        <v>0.25571706419519702</v>
      </c>
      <c r="N395" s="107">
        <v>0.25065623871638698</v>
      </c>
    </row>
    <row r="396" spans="1:14">
      <c r="A396" s="14">
        <v>43283</v>
      </c>
      <c r="B396" s="107">
        <v>1035</v>
      </c>
      <c r="C396" s="107">
        <v>1025</v>
      </c>
      <c r="D396" s="107">
        <v>3227</v>
      </c>
      <c r="E396" s="107">
        <v>3194</v>
      </c>
      <c r="F396" s="107">
        <v>0.32091421415153398</v>
      </c>
      <c r="G396" s="107">
        <v>0.31562600317614298</v>
      </c>
      <c r="H396" s="107">
        <v>9.4928970967845094E-3</v>
      </c>
      <c r="I396" s="107">
        <v>0.55707029387074603</v>
      </c>
      <c r="J396" s="107">
        <v>1.65</v>
      </c>
      <c r="K396" s="107">
        <v>0.79474620565976795</v>
      </c>
      <c r="L396" s="107">
        <v>0.33395944847464598</v>
      </c>
      <c r="M396" s="107">
        <v>0.24624198634144601</v>
      </c>
      <c r="N396" s="107">
        <v>0.43393508320937801</v>
      </c>
    </row>
    <row r="397" spans="1:14">
      <c r="A397" s="14">
        <v>43280</v>
      </c>
      <c r="B397" s="107">
        <v>1045</v>
      </c>
      <c r="C397" s="107">
        <v>1044</v>
      </c>
      <c r="D397" s="107">
        <v>3209</v>
      </c>
      <c r="E397" s="107">
        <v>3253</v>
      </c>
      <c r="F397" s="107">
        <v>0.32093452197971101</v>
      </c>
      <c r="G397" s="107">
        <v>0.31535649614243599</v>
      </c>
      <c r="H397" s="107">
        <v>9.6249464535157897E-3</v>
      </c>
      <c r="I397" s="107">
        <v>0.57953837605369796</v>
      </c>
      <c r="J397" s="107">
        <v>1.74</v>
      </c>
      <c r="K397" s="107">
        <v>0.77431462947295104</v>
      </c>
      <c r="L397" s="107">
        <v>0.37124998016296501</v>
      </c>
      <c r="M397" s="107">
        <v>0.23922988921996699</v>
      </c>
      <c r="N397" s="107">
        <v>0.35124872815658897</v>
      </c>
    </row>
    <row r="398" spans="1:14">
      <c r="A398" s="14">
        <v>43279</v>
      </c>
      <c r="B398" s="107">
        <v>1015</v>
      </c>
      <c r="C398" s="107">
        <v>1038</v>
      </c>
      <c r="D398" s="107">
        <v>3212</v>
      </c>
      <c r="E398" s="107">
        <v>3229</v>
      </c>
      <c r="F398" s="107">
        <v>0.321461752864664</v>
      </c>
      <c r="G398" s="107">
        <v>0.315021382733567</v>
      </c>
      <c r="H398" s="107">
        <v>9.8595803911909596E-3</v>
      </c>
      <c r="I398" s="107">
        <v>0.65320935329566199</v>
      </c>
      <c r="J398" s="107">
        <v>2</v>
      </c>
      <c r="K398" s="107">
        <v>0.75342018171578795</v>
      </c>
      <c r="L398" s="107">
        <v>0.31849378984606702</v>
      </c>
      <c r="M398" s="107">
        <v>0.23063116807173101</v>
      </c>
      <c r="N398" s="107">
        <v>0.32985317274537002</v>
      </c>
    </row>
    <row r="399" spans="1:14">
      <c r="A399" s="14">
        <v>43278</v>
      </c>
      <c r="B399" s="107">
        <v>1066</v>
      </c>
      <c r="C399" s="107">
        <v>1015</v>
      </c>
      <c r="D399" s="107">
        <v>3287</v>
      </c>
      <c r="E399" s="107">
        <v>3225</v>
      </c>
      <c r="F399" s="107">
        <v>0.31472868217054201</v>
      </c>
      <c r="G399" s="107">
        <v>0.31470983270825198</v>
      </c>
      <c r="H399" s="107">
        <v>1.00190330615209E-2</v>
      </c>
      <c r="I399" s="107">
        <v>1.8813654146291501E-3</v>
      </c>
      <c r="J399" s="107">
        <v>0.01</v>
      </c>
      <c r="K399" s="107">
        <v>0.71261732464607397</v>
      </c>
      <c r="L399" s="107">
        <v>0.43862615711780001</v>
      </c>
      <c r="M399" s="107">
        <v>0.22289375118400301</v>
      </c>
      <c r="N399" s="107">
        <v>0.27398727139114498</v>
      </c>
    </row>
    <row r="400" spans="1:14">
      <c r="A400" s="14">
        <v>43277</v>
      </c>
      <c r="B400" s="107">
        <v>1070</v>
      </c>
      <c r="C400" s="107">
        <v>1083</v>
      </c>
      <c r="D400" s="107">
        <v>3283</v>
      </c>
      <c r="E400" s="107">
        <v>3319</v>
      </c>
      <c r="F400" s="107">
        <v>0.32630310334438001</v>
      </c>
      <c r="G400" s="107">
        <v>0.31437960776249002</v>
      </c>
      <c r="H400" s="107">
        <v>1.0413364703974101E-2</v>
      </c>
      <c r="I400" s="107">
        <v>1.1450185334754901</v>
      </c>
      <c r="J400" s="107">
        <v>3.65</v>
      </c>
      <c r="K400" s="107">
        <v>0.70398930601572096</v>
      </c>
      <c r="L400" s="107">
        <v>0.55493746082428697</v>
      </c>
      <c r="M400" s="107">
        <v>0.21950517630955199</v>
      </c>
      <c r="N400" s="107">
        <v>0.26670019195268801</v>
      </c>
    </row>
    <row r="401" spans="1:14">
      <c r="A401" s="14">
        <v>43276</v>
      </c>
      <c r="B401" s="107">
        <v>1057</v>
      </c>
      <c r="C401" s="107">
        <v>1071</v>
      </c>
      <c r="D401" s="107">
        <v>3351</v>
      </c>
      <c r="E401" s="107">
        <v>3310</v>
      </c>
      <c r="F401" s="107">
        <v>0.32356495468277902</v>
      </c>
      <c r="G401" s="107">
        <v>0.313929101515734</v>
      </c>
      <c r="H401" s="107">
        <v>1.06166699567931E-2</v>
      </c>
      <c r="I401" s="107">
        <v>0.90761540165233301</v>
      </c>
      <c r="J401" s="107">
        <v>2.98</v>
      </c>
      <c r="K401" s="107">
        <v>0.696795762737344</v>
      </c>
      <c r="L401" s="107">
        <v>0.352884062764033</v>
      </c>
      <c r="M401" s="107">
        <v>0.216488097057838</v>
      </c>
      <c r="N401" s="107">
        <v>0.25157162127571397</v>
      </c>
    </row>
    <row r="402" spans="1:14">
      <c r="A402" s="14">
        <v>43273</v>
      </c>
      <c r="B402" s="107">
        <v>1048</v>
      </c>
      <c r="C402" s="107">
        <v>1055</v>
      </c>
      <c r="D402" s="107">
        <v>3366</v>
      </c>
      <c r="E402" s="107">
        <v>3342</v>
      </c>
      <c r="F402" s="107">
        <v>0.31567923399162101</v>
      </c>
      <c r="G402" s="107">
        <v>0.313521066877192</v>
      </c>
      <c r="H402" s="107">
        <v>1.08245362462257E-2</v>
      </c>
      <c r="I402" s="107">
        <v>0.19937732807553099</v>
      </c>
      <c r="J402" s="107">
        <v>0.68</v>
      </c>
      <c r="K402" s="107">
        <v>0.68313830069114101</v>
      </c>
      <c r="L402" s="107">
        <v>0.64986206930706902</v>
      </c>
      <c r="M402" s="107">
        <v>0.21283871901579501</v>
      </c>
      <c r="N402" s="107">
        <v>0.263976929697402</v>
      </c>
    </row>
    <row r="403" spans="1:14">
      <c r="A403" s="14">
        <v>43272</v>
      </c>
      <c r="B403" s="107">
        <v>1057</v>
      </c>
      <c r="C403" s="107">
        <v>1058</v>
      </c>
      <c r="D403" s="107">
        <v>3401</v>
      </c>
      <c r="E403" s="107">
        <v>3409</v>
      </c>
      <c r="F403" s="107">
        <v>0.31035494279847398</v>
      </c>
      <c r="G403" s="107">
        <v>0.313218144939861</v>
      </c>
      <c r="H403" s="107">
        <v>1.1074901282977299E-2</v>
      </c>
      <c r="I403" s="107">
        <v>-0.25853071447127002</v>
      </c>
      <c r="J403" s="107">
        <v>-0.92</v>
      </c>
      <c r="K403" s="107">
        <v>0.651490055325743</v>
      </c>
      <c r="L403" s="107">
        <v>0.465857308568699</v>
      </c>
      <c r="M403" s="107">
        <v>0.21139340961379599</v>
      </c>
      <c r="N403" s="107">
        <v>0.31581199131141802</v>
      </c>
    </row>
    <row r="404" spans="1:14">
      <c r="A404" s="14">
        <v>43271</v>
      </c>
      <c r="B404" s="107">
        <v>1056</v>
      </c>
      <c r="C404" s="107">
        <v>1059</v>
      </c>
      <c r="D404" s="107">
        <v>3430</v>
      </c>
      <c r="E404" s="107">
        <v>3421</v>
      </c>
      <c r="F404" s="107">
        <v>0.30955860859397799</v>
      </c>
      <c r="G404" s="107">
        <v>0.31293249357739</v>
      </c>
      <c r="H404" s="107">
        <v>1.1416100449732E-2</v>
      </c>
      <c r="I404" s="107">
        <v>-0.29553742963877699</v>
      </c>
      <c r="J404" s="107">
        <v>-1.0900000000000001</v>
      </c>
      <c r="K404" s="107">
        <v>0.62824596196043803</v>
      </c>
      <c r="L404" s="107">
        <v>0.91173829387525496</v>
      </c>
      <c r="M404" s="107">
        <v>0.21008150102863399</v>
      </c>
      <c r="N404" s="107">
        <v>0.35548405817411399</v>
      </c>
    </row>
    <row r="405" spans="1:14">
      <c r="A405" s="14">
        <v>43270</v>
      </c>
      <c r="B405" s="107">
        <v>1100</v>
      </c>
      <c r="C405" s="107">
        <v>1057</v>
      </c>
      <c r="D405" s="107">
        <v>3456</v>
      </c>
      <c r="E405" s="107">
        <v>3433</v>
      </c>
      <c r="F405" s="107">
        <v>0.30789397028837701</v>
      </c>
      <c r="G405" s="107">
        <v>0.312626502001566</v>
      </c>
      <c r="H405" s="107">
        <v>1.1803422924515101E-2</v>
      </c>
      <c r="I405" s="107">
        <v>-0.40094570392457302</v>
      </c>
      <c r="J405" s="107">
        <v>-1.54</v>
      </c>
      <c r="K405" s="107">
        <v>0.59718943882544395</v>
      </c>
      <c r="L405" s="107">
        <v>0.76353963550522097</v>
      </c>
      <c r="M405" s="107">
        <v>0.20759276933262499</v>
      </c>
      <c r="N405" s="107">
        <v>0.37191148397607898</v>
      </c>
    </row>
    <row r="406" spans="1:14">
      <c r="A406" s="14">
        <v>43269</v>
      </c>
      <c r="B406" s="107">
        <v>1085</v>
      </c>
      <c r="C406" s="107">
        <v>1064</v>
      </c>
      <c r="D406" s="107">
        <v>3515</v>
      </c>
      <c r="E406" s="107">
        <v>3487</v>
      </c>
      <c r="F406" s="107">
        <v>0.30513335245196399</v>
      </c>
      <c r="G406" s="107">
        <v>0.31239941294255202</v>
      </c>
      <c r="H406" s="107">
        <v>1.2053478489446901E-2</v>
      </c>
      <c r="I406" s="107">
        <v>-0.60281855540285301</v>
      </c>
      <c r="J406" s="107">
        <v>-2.38</v>
      </c>
      <c r="K406" s="107">
        <v>0.56569190800987701</v>
      </c>
      <c r="L406" s="107">
        <v>0.80514030800783998</v>
      </c>
      <c r="M406" s="107">
        <v>0.20720882279177699</v>
      </c>
      <c r="N406" s="107">
        <v>0.39806812056028401</v>
      </c>
    </row>
    <row r="407" spans="1:14">
      <c r="A407" s="14">
        <v>43266</v>
      </c>
      <c r="B407" s="107">
        <v>1108</v>
      </c>
      <c r="C407" s="107">
        <v>1089</v>
      </c>
      <c r="D407" s="107">
        <v>3560</v>
      </c>
      <c r="E407" s="107">
        <v>3533</v>
      </c>
      <c r="F407" s="107">
        <v>0.30823662609680103</v>
      </c>
      <c r="G407" s="107">
        <v>0.31215439892462898</v>
      </c>
      <c r="H407" s="107">
        <v>1.23810046179831E-2</v>
      </c>
      <c r="I407" s="107">
        <v>-0.31643416255069601</v>
      </c>
      <c r="J407" s="107">
        <v>-1.27</v>
      </c>
      <c r="K407" s="107">
        <v>0.53827700116208399</v>
      </c>
      <c r="L407" s="107">
        <v>0.76189316064586299</v>
      </c>
      <c r="M407" s="107">
        <v>0.20813496012706501</v>
      </c>
      <c r="N407" s="107">
        <v>0.374822709716089</v>
      </c>
    </row>
    <row r="408" spans="1:14">
      <c r="A408" s="14">
        <v>43265</v>
      </c>
      <c r="B408" s="107">
        <v>1113</v>
      </c>
      <c r="C408" s="107">
        <v>1108</v>
      </c>
      <c r="D408" s="107">
        <v>3580</v>
      </c>
      <c r="E408" s="107">
        <v>3544</v>
      </c>
      <c r="F408" s="107">
        <v>0.31264108352144399</v>
      </c>
      <c r="G408" s="107">
        <v>0.31184284764320103</v>
      </c>
      <c r="H408" s="107">
        <v>1.27637455518043E-2</v>
      </c>
      <c r="I408" s="107">
        <v>6.2539313009895597E-2</v>
      </c>
      <c r="J408" s="107">
        <v>0.26</v>
      </c>
      <c r="K408" s="107">
        <v>0.517494262492039</v>
      </c>
      <c r="L408" s="107">
        <v>0.72892352988437004</v>
      </c>
      <c r="M408" s="107">
        <v>0.208695927610451</v>
      </c>
      <c r="N408" s="107">
        <v>0.38216967144463498</v>
      </c>
    </row>
    <row r="409" spans="1:14">
      <c r="A409" s="14">
        <v>43264</v>
      </c>
      <c r="B409" s="107">
        <v>1130</v>
      </c>
      <c r="C409" s="107">
        <v>1118</v>
      </c>
      <c r="D409" s="107">
        <v>3578</v>
      </c>
      <c r="E409" s="107">
        <v>3598</v>
      </c>
      <c r="F409" s="107">
        <v>0.31072818232351301</v>
      </c>
      <c r="G409" s="107">
        <v>0.31147837441861498</v>
      </c>
      <c r="H409" s="107">
        <v>1.3121034388672299E-2</v>
      </c>
      <c r="I409" s="107">
        <v>-5.7174767848363998E-2</v>
      </c>
      <c r="J409" s="107">
        <v>-0.24</v>
      </c>
      <c r="K409" s="107">
        <v>0.50357979997042901</v>
      </c>
      <c r="L409" s="107">
        <v>0.74189339893431006</v>
      </c>
      <c r="M409" s="107">
        <v>0.20842823588220699</v>
      </c>
      <c r="N409" s="107">
        <v>0.396176630310837</v>
      </c>
    </row>
    <row r="410" spans="1:14">
      <c r="A410" s="14">
        <v>43263</v>
      </c>
      <c r="B410" s="107">
        <v>1130</v>
      </c>
      <c r="C410" s="107">
        <v>1132</v>
      </c>
      <c r="D410" s="107">
        <v>3617</v>
      </c>
      <c r="E410" s="107">
        <v>3555</v>
      </c>
      <c r="F410" s="107">
        <v>0.31842475386779101</v>
      </c>
      <c r="G410" s="107">
        <v>0.31105829845291799</v>
      </c>
      <c r="H410" s="107">
        <v>1.3632686500506599E-2</v>
      </c>
      <c r="I410" s="107">
        <v>0.54035244004174199</v>
      </c>
      <c r="J410" s="107">
        <v>2.31</v>
      </c>
      <c r="K410" s="107">
        <v>0.48697694471097502</v>
      </c>
      <c r="L410" s="107">
        <v>0.66138061298851203</v>
      </c>
      <c r="M410" s="107">
        <v>0.20697385514552699</v>
      </c>
      <c r="N410" s="107">
        <v>0.38748100831323801</v>
      </c>
    </row>
    <row r="411" spans="1:14">
      <c r="A411" s="14">
        <v>43262</v>
      </c>
      <c r="B411" s="107">
        <v>1128</v>
      </c>
      <c r="C411" s="107">
        <v>1128</v>
      </c>
      <c r="D411" s="107">
        <v>3517</v>
      </c>
      <c r="E411" s="107">
        <v>3575</v>
      </c>
      <c r="F411" s="107">
        <v>0.31552447552447499</v>
      </c>
      <c r="G411" s="107">
        <v>0.31051075481500401</v>
      </c>
      <c r="H411" s="107">
        <v>1.4141029957165799E-2</v>
      </c>
      <c r="I411" s="107">
        <v>0.35455131094823999</v>
      </c>
      <c r="J411" s="107">
        <v>1.59</v>
      </c>
      <c r="K411" s="107">
        <v>0.458754339650987</v>
      </c>
      <c r="L411" s="107">
        <v>0.82173824288087005</v>
      </c>
      <c r="M411" s="107">
        <v>0.20681606686183199</v>
      </c>
      <c r="N411" s="107">
        <v>0.36390129990854297</v>
      </c>
    </row>
    <row r="412" spans="1:14">
      <c r="A412" s="14">
        <v>43259</v>
      </c>
      <c r="B412" s="107">
        <v>1135</v>
      </c>
      <c r="C412" s="107">
        <v>1129</v>
      </c>
      <c r="D412" s="107">
        <v>3536</v>
      </c>
      <c r="E412" s="107">
        <v>3517</v>
      </c>
      <c r="F412" s="107">
        <v>0.32101222632925702</v>
      </c>
      <c r="G412" s="107">
        <v>0.31005541306296402</v>
      </c>
      <c r="H412" s="107">
        <v>1.4517082617743799E-2</v>
      </c>
      <c r="I412" s="107">
        <v>0.75475311085581898</v>
      </c>
      <c r="J412" s="107">
        <v>3.41</v>
      </c>
      <c r="K412" s="107">
        <v>0.45243643415881202</v>
      </c>
      <c r="L412" s="107">
        <v>0.82656337874723396</v>
      </c>
      <c r="M412" s="107">
        <v>0.205265316751963</v>
      </c>
      <c r="N412" s="107">
        <v>0.33118229482065997</v>
      </c>
    </row>
    <row r="413" spans="1:14">
      <c r="A413" s="14">
        <v>43258</v>
      </c>
      <c r="B413" s="107">
        <v>1131</v>
      </c>
      <c r="C413" s="107">
        <v>1136</v>
      </c>
      <c r="D413" s="107">
        <v>3544</v>
      </c>
      <c r="E413" s="107">
        <v>3536</v>
      </c>
      <c r="F413" s="107">
        <v>0.32126696832579099</v>
      </c>
      <c r="G413" s="107">
        <v>0.30946606628344703</v>
      </c>
      <c r="H413" s="107">
        <v>1.4951031899801299E-2</v>
      </c>
      <c r="I413" s="107">
        <v>0.78930351573263502</v>
      </c>
      <c r="J413" s="107">
        <v>3.67</v>
      </c>
      <c r="K413" s="107">
        <v>0.43202704120348301</v>
      </c>
      <c r="L413" s="107">
        <v>0.90192909445075398</v>
      </c>
      <c r="M413" s="107">
        <v>0.20515884173004501</v>
      </c>
      <c r="N413" s="107">
        <v>0.29524974322687297</v>
      </c>
    </row>
    <row r="414" spans="1:14">
      <c r="A414" s="14">
        <v>43257</v>
      </c>
      <c r="B414" s="107">
        <v>1120</v>
      </c>
      <c r="C414" s="107">
        <v>1129</v>
      </c>
      <c r="D414" s="107">
        <v>3521</v>
      </c>
      <c r="E414" s="107">
        <v>3510</v>
      </c>
      <c r="F414" s="107">
        <v>0.32165242165242097</v>
      </c>
      <c r="G414" s="107">
        <v>0.30884263742472401</v>
      </c>
      <c r="H414" s="107">
        <v>1.5413643669954E-2</v>
      </c>
      <c r="I414" s="107">
        <v>0.83106788388179198</v>
      </c>
      <c r="J414" s="107">
        <v>3.98</v>
      </c>
      <c r="K414" s="107">
        <v>0.42361955890173503</v>
      </c>
      <c r="L414" s="107">
        <v>0.90758044581586195</v>
      </c>
      <c r="M414" s="107">
        <v>0.20491822840826701</v>
      </c>
      <c r="N414" s="107">
        <v>0.26559862920118299</v>
      </c>
    </row>
    <row r="415" spans="1:14">
      <c r="A415" s="14">
        <v>43256</v>
      </c>
      <c r="B415" s="107">
        <v>1106</v>
      </c>
      <c r="C415" s="107">
        <v>1119</v>
      </c>
      <c r="D415" s="107">
        <v>3526</v>
      </c>
      <c r="E415" s="107">
        <v>3509</v>
      </c>
      <c r="F415" s="107">
        <v>0.31889427187232799</v>
      </c>
      <c r="G415" s="107">
        <v>0.30816043730885201</v>
      </c>
      <c r="H415" s="107">
        <v>1.59543760916744E-2</v>
      </c>
      <c r="I415" s="107">
        <v>0.67278309736457398</v>
      </c>
      <c r="J415" s="107">
        <v>3.37</v>
      </c>
      <c r="K415" s="107">
        <v>0.405628119587849</v>
      </c>
      <c r="L415" s="107">
        <v>0.924741697942559</v>
      </c>
      <c r="M415" s="107">
        <v>0.203988897348541</v>
      </c>
      <c r="N415" s="107">
        <v>0.26410086646964498</v>
      </c>
    </row>
    <row r="416" spans="1:14">
      <c r="A416" s="14">
        <v>43255</v>
      </c>
      <c r="B416" s="107">
        <v>1102</v>
      </c>
      <c r="C416" s="107">
        <v>1103</v>
      </c>
      <c r="D416" s="107">
        <v>3508</v>
      </c>
      <c r="E416" s="107">
        <v>3549</v>
      </c>
      <c r="F416" s="107">
        <v>0.31079177233023297</v>
      </c>
      <c r="G416" s="107">
        <v>0.30759353312155102</v>
      </c>
      <c r="H416" s="107">
        <v>1.6314231560688799E-2</v>
      </c>
      <c r="I416" s="107">
        <v>0.19603983165156999</v>
      </c>
      <c r="J416" s="107">
        <v>1.03</v>
      </c>
      <c r="K416" s="107">
        <v>0.39858930085966399</v>
      </c>
      <c r="L416" s="107">
        <v>0.93644554114923695</v>
      </c>
      <c r="M416" s="107">
        <v>0.20332616433504799</v>
      </c>
      <c r="N416" s="107">
        <v>0.32322583849657599</v>
      </c>
    </row>
    <row r="417" spans="1:14">
      <c r="A417" s="14">
        <v>43252</v>
      </c>
      <c r="B417" s="107">
        <v>1079</v>
      </c>
      <c r="C417" s="107">
        <v>1087</v>
      </c>
      <c r="D417" s="107">
        <v>3471</v>
      </c>
      <c r="E417" s="107">
        <v>3466</v>
      </c>
      <c r="F417" s="107">
        <v>0.31361800346220398</v>
      </c>
      <c r="G417" s="107">
        <v>0.30709575542435102</v>
      </c>
      <c r="H417" s="107">
        <v>1.67721806027245E-2</v>
      </c>
      <c r="I417" s="107">
        <v>0.388872991076264</v>
      </c>
      <c r="J417" s="107">
        <v>2.08</v>
      </c>
      <c r="K417" s="107">
        <v>0.35576734939490701</v>
      </c>
      <c r="L417" s="107">
        <v>0.94918551128561801</v>
      </c>
      <c r="M417" s="107">
        <v>0.200774133475558</v>
      </c>
      <c r="N417" s="107">
        <v>0.393293410969974</v>
      </c>
    </row>
    <row r="418" spans="1:14">
      <c r="A418" s="14">
        <v>43251</v>
      </c>
      <c r="B418" s="107">
        <v>1073</v>
      </c>
      <c r="C418" s="107">
        <v>1073</v>
      </c>
      <c r="D418" s="107">
        <v>3420</v>
      </c>
      <c r="E418" s="107">
        <v>3447</v>
      </c>
      <c r="F418" s="107">
        <v>0.31128517551494</v>
      </c>
      <c r="G418" s="107">
        <v>0.30658567962939598</v>
      </c>
      <c r="H418" s="107">
        <v>1.7143671773955701E-2</v>
      </c>
      <c r="I418" s="107">
        <v>0.27412423356607701</v>
      </c>
      <c r="J418" s="107">
        <v>1.51</v>
      </c>
      <c r="K418" s="107">
        <v>0.270410893369747</v>
      </c>
      <c r="L418" s="107">
        <v>0.87780088195453199</v>
      </c>
      <c r="M418" s="107">
        <v>0.19779587181101199</v>
      </c>
      <c r="N418" s="107">
        <v>0.34509695174306898</v>
      </c>
    </row>
    <row r="419" spans="1:14">
      <c r="A419" s="14">
        <v>43250</v>
      </c>
      <c r="B419" s="107">
        <v>1080</v>
      </c>
      <c r="C419" s="107">
        <v>1070</v>
      </c>
      <c r="D419" s="107">
        <v>3444</v>
      </c>
      <c r="E419" s="107">
        <v>3418</v>
      </c>
      <c r="F419" s="107">
        <v>0.31304856641310702</v>
      </c>
      <c r="G419" s="107">
        <v>0.306156701284377</v>
      </c>
      <c r="H419" s="107">
        <v>1.7420998165287801E-2</v>
      </c>
      <c r="I419" s="107">
        <v>0.39560678804626898</v>
      </c>
      <c r="J419" s="107">
        <v>2.2000000000000002</v>
      </c>
      <c r="K419" s="107">
        <v>0.21368501285866001</v>
      </c>
      <c r="L419" s="107">
        <v>0.83976105591155004</v>
      </c>
      <c r="M419" s="107">
        <v>0.19778764883366901</v>
      </c>
      <c r="N419" s="107">
        <v>0.36332506917179003</v>
      </c>
    </row>
    <row r="420" spans="1:14">
      <c r="A420" s="14">
        <v>43249</v>
      </c>
      <c r="B420" s="107">
        <v>1123</v>
      </c>
      <c r="C420" s="107">
        <v>1098</v>
      </c>
      <c r="D420" s="107">
        <v>3534</v>
      </c>
      <c r="E420" s="107">
        <v>3535</v>
      </c>
      <c r="F420" s="107">
        <v>0.31060820367751002</v>
      </c>
      <c r="G420" s="107">
        <v>0.30572230373220199</v>
      </c>
      <c r="H420" s="107">
        <v>1.7648440431327201E-2</v>
      </c>
      <c r="I420" s="107">
        <v>0.276845988988068</v>
      </c>
      <c r="J420" s="107">
        <v>1.57</v>
      </c>
      <c r="K420" s="107">
        <v>0.19114606880351701</v>
      </c>
      <c r="L420" s="107">
        <v>0.98126129923421002</v>
      </c>
      <c r="M420" s="107">
        <v>0.198700244557554</v>
      </c>
      <c r="N420" s="107">
        <v>0.456155325056389</v>
      </c>
    </row>
    <row r="421" spans="1:14">
      <c r="A421" s="14">
        <v>43248</v>
      </c>
      <c r="B421" s="107">
        <v>1126</v>
      </c>
      <c r="C421" s="107">
        <v>1124</v>
      </c>
      <c r="D421" s="107">
        <v>3515</v>
      </c>
      <c r="E421" s="107">
        <v>3537</v>
      </c>
      <c r="F421" s="107">
        <v>0.31778343228724898</v>
      </c>
      <c r="G421" s="107">
        <v>0.305542365828401</v>
      </c>
      <c r="H421" s="107">
        <v>1.7666495931905401E-2</v>
      </c>
      <c r="I421" s="107">
        <v>0.69289725059402996</v>
      </c>
      <c r="J421" s="107">
        <v>3.85</v>
      </c>
      <c r="K421" s="107">
        <v>0.182536598161193</v>
      </c>
      <c r="L421" s="107">
        <v>0.98165684107554296</v>
      </c>
      <c r="M421" s="107">
        <v>0.19986028069429301</v>
      </c>
      <c r="N421" s="107">
        <v>0.46595736652803899</v>
      </c>
    </row>
    <row r="422" spans="1:14">
      <c r="A422" s="14">
        <v>43245</v>
      </c>
      <c r="B422" s="107">
        <v>1138</v>
      </c>
      <c r="C422" s="107">
        <v>1130</v>
      </c>
      <c r="D422" s="107">
        <v>3531</v>
      </c>
      <c r="E422" s="107">
        <v>3498</v>
      </c>
      <c r="F422" s="107">
        <v>0.32304173813607701</v>
      </c>
      <c r="G422" s="107">
        <v>0.305334465183349</v>
      </c>
      <c r="H422" s="107">
        <v>1.7612884643747599E-2</v>
      </c>
      <c r="I422" s="107">
        <v>1.0053590488378401</v>
      </c>
      <c r="J422" s="107">
        <v>5.48</v>
      </c>
      <c r="K422" s="107">
        <v>8.7442323425816204E-2</v>
      </c>
      <c r="L422" s="107">
        <v>0.85519050355502801</v>
      </c>
      <c r="M422" s="107">
        <v>0.20120015904720301</v>
      </c>
      <c r="N422" s="107">
        <v>0.49670775617596202</v>
      </c>
    </row>
    <row r="423" spans="1:14">
      <c r="A423" s="14">
        <v>43244</v>
      </c>
      <c r="B423" s="107">
        <v>1178</v>
      </c>
      <c r="C423" s="107">
        <v>1152</v>
      </c>
      <c r="D423" s="107">
        <v>3630</v>
      </c>
      <c r="E423" s="107">
        <v>3531</v>
      </c>
      <c r="F423" s="107">
        <v>0.32625318606627002</v>
      </c>
      <c r="G423" s="107">
        <v>0.30522261475884399</v>
      </c>
      <c r="H423" s="107">
        <v>1.7526504265624802E-2</v>
      </c>
      <c r="I423" s="107">
        <v>1.1999296031139399</v>
      </c>
      <c r="J423" s="107">
        <v>6.45</v>
      </c>
      <c r="K423" s="107">
        <v>9.4556867663450603E-2</v>
      </c>
      <c r="L423" s="107">
        <v>0.88227765358059795</v>
      </c>
      <c r="M423" s="107">
        <v>0.20160253707707099</v>
      </c>
      <c r="N423" s="107">
        <v>0.517565873906635</v>
      </c>
    </row>
    <row r="424" spans="1:14">
      <c r="A424" s="14">
        <v>43243</v>
      </c>
      <c r="B424" s="107">
        <v>1189</v>
      </c>
      <c r="C424" s="107">
        <v>1182</v>
      </c>
      <c r="D424" s="107">
        <v>3660</v>
      </c>
      <c r="E424" s="107">
        <v>3655</v>
      </c>
      <c r="F424" s="107">
        <v>0.32339261285909698</v>
      </c>
      <c r="G424" s="107">
        <v>0.30514310868635602</v>
      </c>
      <c r="H424" s="107">
        <v>1.7444254225129099E-2</v>
      </c>
      <c r="I424" s="107">
        <v>1.04616132837892</v>
      </c>
      <c r="J424" s="107">
        <v>5.64</v>
      </c>
      <c r="K424" s="107">
        <v>0.10053047697676</v>
      </c>
      <c r="L424" s="107">
        <v>0.88261936923749795</v>
      </c>
      <c r="M424" s="107">
        <v>0.201823419682852</v>
      </c>
      <c r="N424" s="107">
        <v>0.51949749149114599</v>
      </c>
    </row>
    <row r="425" spans="1:14">
      <c r="A425" s="14">
        <v>43242</v>
      </c>
      <c r="B425" s="107">
        <v>1195</v>
      </c>
      <c r="C425" s="107">
        <v>1192</v>
      </c>
      <c r="D425" s="107">
        <v>3687</v>
      </c>
      <c r="E425" s="107">
        <v>3693</v>
      </c>
      <c r="F425" s="107">
        <v>0.32277281343081499</v>
      </c>
      <c r="G425" s="107">
        <v>0.30505145461143401</v>
      </c>
      <c r="H425" s="107">
        <v>1.7366011556046501E-2</v>
      </c>
      <c r="I425" s="107">
        <v>1.02046222658481</v>
      </c>
      <c r="J425" s="107">
        <v>5.49</v>
      </c>
      <c r="K425" s="107">
        <v>6.7576159805083705E-2</v>
      </c>
      <c r="L425" s="107">
        <v>0.79293751747713204</v>
      </c>
      <c r="M425" s="107">
        <v>0.20173935419668501</v>
      </c>
      <c r="N425" s="107">
        <v>0.51968743631007996</v>
      </c>
    </row>
    <row r="426" spans="1:14">
      <c r="A426" s="14">
        <v>43241</v>
      </c>
      <c r="B426" s="107">
        <v>1179</v>
      </c>
      <c r="C426" s="107">
        <v>1190</v>
      </c>
      <c r="D426" s="107">
        <v>3690</v>
      </c>
      <c r="E426" s="107">
        <v>3689</v>
      </c>
      <c r="F426" s="107">
        <v>0.32258064516128998</v>
      </c>
      <c r="G426" s="107">
        <v>0.30487520563405501</v>
      </c>
      <c r="H426" s="107">
        <v>1.7251965933637401E-2</v>
      </c>
      <c r="I426" s="107">
        <v>1.0262853286020801</v>
      </c>
      <c r="J426" s="107">
        <v>5.49</v>
      </c>
      <c r="K426" s="107">
        <v>3.00058605771381E-2</v>
      </c>
      <c r="L426" s="107">
        <v>0.75980709768648702</v>
      </c>
      <c r="M426" s="107">
        <v>0.201363967767026</v>
      </c>
      <c r="N426" s="107">
        <v>0.51845862603818904</v>
      </c>
    </row>
    <row r="427" spans="1:14">
      <c r="A427" s="14">
        <v>43238</v>
      </c>
      <c r="B427" s="107">
        <v>1176</v>
      </c>
      <c r="C427" s="107">
        <v>1178</v>
      </c>
      <c r="D427" s="107">
        <v>3675</v>
      </c>
      <c r="E427" s="107">
        <v>3705</v>
      </c>
      <c r="F427" s="107">
        <v>0.31794871794871699</v>
      </c>
      <c r="G427" s="107">
        <v>0.30473256293005502</v>
      </c>
      <c r="H427" s="107">
        <v>1.7148903716283598E-2</v>
      </c>
      <c r="I427" s="107">
        <v>0.77067054765218101</v>
      </c>
      <c r="J427" s="107">
        <v>4.16</v>
      </c>
      <c r="K427" s="107">
        <v>-7.6911656346406607E-2</v>
      </c>
      <c r="L427" s="107">
        <v>0.38579338342421599</v>
      </c>
      <c r="M427" s="107">
        <v>0.20205472394415999</v>
      </c>
      <c r="N427" s="107">
        <v>0.51648151780097096</v>
      </c>
    </row>
    <row r="428" spans="1:14">
      <c r="A428" s="14">
        <v>43237</v>
      </c>
      <c r="B428" s="107">
        <v>1181</v>
      </c>
      <c r="C428" s="107">
        <v>1177</v>
      </c>
      <c r="D428" s="107">
        <v>3653</v>
      </c>
      <c r="E428" s="107">
        <v>3659</v>
      </c>
      <c r="F428" s="107">
        <v>0.32167258813883498</v>
      </c>
      <c r="G428" s="107">
        <v>0.30464953112162202</v>
      </c>
      <c r="H428" s="107">
        <v>1.70997179209652E-2</v>
      </c>
      <c r="I428" s="107">
        <v>0.99551683225965204</v>
      </c>
      <c r="J428" s="107">
        <v>5.29</v>
      </c>
      <c r="K428" s="107">
        <v>-7.12834574609401E-2</v>
      </c>
      <c r="L428" s="107">
        <v>0.25792205965263998</v>
      </c>
      <c r="M428" s="107">
        <v>0.20298399856419999</v>
      </c>
      <c r="N428" s="107">
        <v>0.51608042456647196</v>
      </c>
    </row>
    <row r="429" spans="1:14">
      <c r="A429" s="14">
        <v>43236</v>
      </c>
      <c r="B429" s="107">
        <v>1160</v>
      </c>
      <c r="C429" s="107">
        <v>1177</v>
      </c>
      <c r="D429" s="107">
        <v>3620</v>
      </c>
      <c r="E429" s="107">
        <v>3640</v>
      </c>
      <c r="F429" s="107">
        <v>0.32335164835164798</v>
      </c>
      <c r="G429" s="107">
        <v>0.304507358476795</v>
      </c>
      <c r="H429" s="107">
        <v>1.70016379624893E-2</v>
      </c>
      <c r="I429" s="107">
        <v>1.1083808463884</v>
      </c>
      <c r="J429" s="107">
        <v>5.83</v>
      </c>
      <c r="K429" s="107">
        <v>-6.2510652485025506E-2</v>
      </c>
      <c r="L429" s="107">
        <v>0.24712918048649701</v>
      </c>
      <c r="M429" s="107">
        <v>0.20314772597946901</v>
      </c>
      <c r="N429" s="107">
        <v>0.50653518662557595</v>
      </c>
    </row>
    <row r="430" spans="1:14">
      <c r="A430" s="14">
        <v>43235</v>
      </c>
      <c r="B430" s="107">
        <v>1168</v>
      </c>
      <c r="C430" s="107">
        <v>1160</v>
      </c>
      <c r="D430" s="107">
        <v>3631</v>
      </c>
      <c r="E430" s="107">
        <v>3645</v>
      </c>
      <c r="F430" s="107">
        <v>0.31824417009602102</v>
      </c>
      <c r="G430" s="107">
        <v>0.30433554581274402</v>
      </c>
      <c r="H430" s="107">
        <v>1.6874974604115901E-2</v>
      </c>
      <c r="I430" s="107">
        <v>0.82421601273908096</v>
      </c>
      <c r="J430" s="107">
        <v>4.37</v>
      </c>
      <c r="K430" s="107">
        <v>-7.9928898508366195E-2</v>
      </c>
      <c r="L430" s="107">
        <v>0.48652614437570901</v>
      </c>
      <c r="M430" s="107">
        <v>0.20271788060058299</v>
      </c>
      <c r="N430" s="107">
        <v>0.50779521491959201</v>
      </c>
    </row>
    <row r="431" spans="1:14">
      <c r="A431" s="14">
        <v>43234</v>
      </c>
      <c r="B431" s="107">
        <v>1101</v>
      </c>
      <c r="C431" s="107">
        <v>1155</v>
      </c>
      <c r="D431" s="107">
        <v>3600</v>
      </c>
      <c r="E431" s="107">
        <v>3664</v>
      </c>
      <c r="F431" s="107">
        <v>0.315229257641921</v>
      </c>
      <c r="G431" s="107">
        <v>0.30417257978040102</v>
      </c>
      <c r="H431" s="107">
        <v>1.6798713876651099E-2</v>
      </c>
      <c r="I431" s="107">
        <v>0.65818597439701299</v>
      </c>
      <c r="J431" s="107">
        <v>3.51</v>
      </c>
      <c r="K431" s="107">
        <v>-8.5426064117398101E-2</v>
      </c>
      <c r="L431" s="107">
        <v>0.94755261671704805</v>
      </c>
      <c r="M431" s="107">
        <v>0.20230329073207601</v>
      </c>
      <c r="N431" s="107">
        <v>0.55512119138587002</v>
      </c>
    </row>
    <row r="432" spans="1:14">
      <c r="A432" s="14">
        <v>43231</v>
      </c>
      <c r="B432" s="107">
        <v>1214</v>
      </c>
      <c r="C432" s="107">
        <v>1207</v>
      </c>
      <c r="D432" s="107">
        <v>3566</v>
      </c>
      <c r="E432" s="107">
        <v>3623</v>
      </c>
      <c r="F432" s="107">
        <v>0.33314932376483503</v>
      </c>
      <c r="G432" s="107">
        <v>0.304103526361925</v>
      </c>
      <c r="H432" s="107">
        <v>1.67637300390929E-2</v>
      </c>
      <c r="I432" s="107">
        <v>1.7326571911606199</v>
      </c>
      <c r="J432" s="107">
        <v>8.7200000000000006</v>
      </c>
      <c r="K432" s="107">
        <v>-6.2152937516263197E-2</v>
      </c>
      <c r="L432" s="107">
        <v>0.91954757055144098</v>
      </c>
      <c r="M432" s="107">
        <v>0.199586800663451</v>
      </c>
      <c r="N432" s="107">
        <v>0.56728668636412405</v>
      </c>
    </row>
    <row r="433" spans="1:14">
      <c r="A433" s="14">
        <v>43230</v>
      </c>
      <c r="B433" s="107">
        <v>1210</v>
      </c>
      <c r="C433" s="107">
        <v>1207</v>
      </c>
      <c r="D433" s="107">
        <v>3571</v>
      </c>
      <c r="E433" s="107">
        <v>3550</v>
      </c>
      <c r="F433" s="107">
        <v>0.34</v>
      </c>
      <c r="G433" s="107">
        <v>0.303748470177295</v>
      </c>
      <c r="H433" s="107">
        <v>1.6423326915908799E-2</v>
      </c>
      <c r="I433" s="107">
        <v>2.2073195040396101</v>
      </c>
      <c r="J433" s="107">
        <v>10.66</v>
      </c>
      <c r="K433" s="107">
        <v>-2.02786039454496E-2</v>
      </c>
      <c r="L433" s="107">
        <v>0.92989682977032095</v>
      </c>
      <c r="M433" s="107">
        <v>0.195972162804157</v>
      </c>
      <c r="N433" s="107">
        <v>0.51562095295479704</v>
      </c>
    </row>
    <row r="434" spans="1:14">
      <c r="A434" s="14">
        <v>43229</v>
      </c>
      <c r="B434" s="107">
        <v>1222</v>
      </c>
      <c r="C434" s="107">
        <v>1204</v>
      </c>
      <c r="D434" s="107">
        <v>3600</v>
      </c>
      <c r="E434" s="107">
        <v>3547</v>
      </c>
      <c r="F434" s="107">
        <v>0.33944178178742601</v>
      </c>
      <c r="G434" s="107">
        <v>0.30332879035163102</v>
      </c>
      <c r="H434" s="107">
        <v>1.58849394428765E-2</v>
      </c>
      <c r="I434" s="107">
        <v>2.2734107086564399</v>
      </c>
      <c r="J434" s="107">
        <v>10.64</v>
      </c>
      <c r="K434" s="107">
        <v>2.63497945896938E-2</v>
      </c>
      <c r="L434" s="107">
        <v>0.87999904434423104</v>
      </c>
      <c r="M434" s="107">
        <v>0.19138779784950299</v>
      </c>
      <c r="N434" s="107">
        <v>0.53931195033671198</v>
      </c>
    </row>
    <row r="435" spans="1:14">
      <c r="A435" s="14">
        <v>43228</v>
      </c>
      <c r="B435" s="107">
        <v>1222</v>
      </c>
      <c r="C435" s="107">
        <v>1223</v>
      </c>
      <c r="D435" s="107">
        <v>3629</v>
      </c>
      <c r="E435" s="107">
        <v>3630</v>
      </c>
      <c r="F435" s="107">
        <v>0.33691460055096401</v>
      </c>
      <c r="G435" s="107">
        <v>0.30295318606862998</v>
      </c>
      <c r="H435" s="107">
        <v>1.5350658856269499E-2</v>
      </c>
      <c r="I435" s="107">
        <v>2.2123750387732302</v>
      </c>
      <c r="J435" s="107">
        <v>10.08</v>
      </c>
      <c r="K435" s="107">
        <v>3.54672031511582E-2</v>
      </c>
      <c r="L435" s="107">
        <v>0.73190927637014203</v>
      </c>
      <c r="M435" s="107">
        <v>0.18402089545474101</v>
      </c>
      <c r="N435" s="107">
        <v>0.62075518106095495</v>
      </c>
    </row>
    <row r="436" spans="1:14">
      <c r="A436" s="14">
        <v>43227</v>
      </c>
      <c r="B436" s="107">
        <v>1221</v>
      </c>
      <c r="C436" s="107">
        <v>1222</v>
      </c>
      <c r="D436" s="107">
        <v>3670</v>
      </c>
      <c r="E436" s="107">
        <v>3619</v>
      </c>
      <c r="F436" s="107">
        <v>0.337662337662337</v>
      </c>
      <c r="G436" s="107">
        <v>0.30265920314359301</v>
      </c>
      <c r="H436" s="107">
        <v>1.4902016522656899E-2</v>
      </c>
      <c r="I436" s="107">
        <v>2.34888576760906</v>
      </c>
      <c r="J436" s="107">
        <v>10.37</v>
      </c>
      <c r="K436" s="107">
        <v>5.2722456262006299E-2</v>
      </c>
      <c r="L436" s="107">
        <v>0.42563763056078502</v>
      </c>
      <c r="M436" s="107">
        <v>0.177795473805548</v>
      </c>
      <c r="N436" s="107">
        <v>0.61288389425899503</v>
      </c>
    </row>
    <row r="437" spans="1:14">
      <c r="A437" s="14">
        <v>43222</v>
      </c>
      <c r="B437" s="107">
        <v>1226</v>
      </c>
      <c r="C437" s="107">
        <v>1211</v>
      </c>
      <c r="D437" s="107">
        <v>3740</v>
      </c>
      <c r="E437" s="107">
        <v>3641</v>
      </c>
      <c r="F437" s="107">
        <v>0.33260093380939298</v>
      </c>
      <c r="G437" s="107">
        <v>0.30235698840279501</v>
      </c>
      <c r="H437" s="107">
        <v>1.4410824662636599E-2</v>
      </c>
      <c r="I437" s="107">
        <v>2.09869636989005</v>
      </c>
      <c r="J437" s="107">
        <v>9.09</v>
      </c>
      <c r="K437" s="107">
        <v>0.136591888769935</v>
      </c>
      <c r="L437" s="107">
        <v>0.50758823077734805</v>
      </c>
      <c r="M437" s="107">
        <v>0.177192534519585</v>
      </c>
      <c r="N437" s="107">
        <v>0.62279779798455304</v>
      </c>
    </row>
    <row r="438" spans="1:14">
      <c r="A438" s="14">
        <v>43221</v>
      </c>
      <c r="B438" s="107">
        <v>1209</v>
      </c>
      <c r="C438" s="107">
        <v>1221</v>
      </c>
      <c r="D438" s="107">
        <v>3800</v>
      </c>
      <c r="E438" s="107">
        <v>3730</v>
      </c>
      <c r="F438" s="107">
        <v>0.32734584450402099</v>
      </c>
      <c r="G438" s="107">
        <v>0.30215282003802502</v>
      </c>
      <c r="H438" s="107">
        <v>1.4085695689894699E-2</v>
      </c>
      <c r="I438" s="107">
        <v>1.7885537939081</v>
      </c>
      <c r="J438" s="107">
        <v>7.7</v>
      </c>
      <c r="K438" s="107">
        <v>0.191393599379137</v>
      </c>
      <c r="L438" s="107">
        <v>0.74943698969597305</v>
      </c>
      <c r="M438" s="107">
        <v>0.17169822681514699</v>
      </c>
      <c r="N438" s="107">
        <v>0.53984091141813395</v>
      </c>
    </row>
    <row r="439" spans="1:14">
      <c r="A439" s="14">
        <v>43217</v>
      </c>
      <c r="B439" s="107">
        <v>1202</v>
      </c>
      <c r="C439" s="107">
        <v>1208</v>
      </c>
      <c r="D439" s="107">
        <v>3827</v>
      </c>
      <c r="E439" s="107">
        <v>3767</v>
      </c>
      <c r="F439" s="107">
        <v>0.32067958587735601</v>
      </c>
      <c r="G439" s="107">
        <v>0.30197433230835702</v>
      </c>
      <c r="H439" s="107">
        <v>1.3848141172771901E-2</v>
      </c>
      <c r="I439" s="107">
        <v>1.3507411092671799</v>
      </c>
      <c r="J439" s="107">
        <v>5.83</v>
      </c>
      <c r="K439" s="107">
        <v>0.33078699558986602</v>
      </c>
      <c r="L439" s="107">
        <v>0.71407873159853297</v>
      </c>
      <c r="M439" s="107">
        <v>0.16488744803229999</v>
      </c>
      <c r="N439" s="107">
        <v>0.48771230952959799</v>
      </c>
    </row>
    <row r="440" spans="1:14">
      <c r="A440" s="14">
        <v>43216</v>
      </c>
      <c r="B440" s="107">
        <v>1201</v>
      </c>
      <c r="C440" s="107">
        <v>1190</v>
      </c>
      <c r="D440" s="107">
        <v>3794</v>
      </c>
      <c r="E440" s="107">
        <v>3797</v>
      </c>
      <c r="F440" s="107">
        <v>0.31340531998946503</v>
      </c>
      <c r="G440" s="107">
        <v>0.301800668530463</v>
      </c>
      <c r="H440" s="107">
        <v>1.36932807578093E-2</v>
      </c>
      <c r="I440" s="107">
        <v>0.84747049770254601</v>
      </c>
      <c r="J440" s="107">
        <v>3.7</v>
      </c>
      <c r="K440" s="107">
        <v>0.32480555900080699</v>
      </c>
      <c r="L440" s="107">
        <v>0.63923412120255596</v>
      </c>
      <c r="M440" s="107">
        <v>0.16225781691493901</v>
      </c>
      <c r="N440" s="107">
        <v>0.491573290683328</v>
      </c>
    </row>
    <row r="441" spans="1:14">
      <c r="A441" s="14">
        <v>43215</v>
      </c>
      <c r="B441" s="107">
        <v>1197</v>
      </c>
      <c r="C441" s="107">
        <v>1194</v>
      </c>
      <c r="D441" s="107">
        <v>3721</v>
      </c>
      <c r="E441" s="107">
        <v>3785</v>
      </c>
      <c r="F441" s="107">
        <v>0.315455746367239</v>
      </c>
      <c r="G441" s="107">
        <v>0.30182475719826801</v>
      </c>
      <c r="H441" s="107">
        <v>1.37152454819441E-2</v>
      </c>
      <c r="I441" s="107">
        <v>0.99385674043643202</v>
      </c>
      <c r="J441" s="107">
        <v>4.32</v>
      </c>
      <c r="K441" s="107">
        <v>0.35819723646623097</v>
      </c>
      <c r="L441" s="107">
        <v>0.55094454660868797</v>
      </c>
      <c r="M441" s="107">
        <v>0.159186803006057</v>
      </c>
      <c r="N441" s="107">
        <v>0.50541449033580299</v>
      </c>
    </row>
    <row r="442" spans="1:14">
      <c r="A442" s="14">
        <v>43214</v>
      </c>
      <c r="B442" s="107">
        <v>1195</v>
      </c>
      <c r="C442" s="107">
        <v>1200</v>
      </c>
      <c r="D442" s="107">
        <v>3725</v>
      </c>
      <c r="E442" s="107">
        <v>3740</v>
      </c>
      <c r="F442" s="107">
        <v>0.32085561497326198</v>
      </c>
      <c r="G442" s="107">
        <v>0.30182990498524398</v>
      </c>
      <c r="H442" s="107">
        <v>1.37204321530197E-2</v>
      </c>
      <c r="I442" s="107">
        <v>1.38666987860363</v>
      </c>
      <c r="J442" s="107">
        <v>5.93</v>
      </c>
      <c r="K442" s="107">
        <v>0.39962087519606498</v>
      </c>
      <c r="L442" s="107">
        <v>0.43471813920355501</v>
      </c>
      <c r="M442" s="107">
        <v>0.15654298977904901</v>
      </c>
      <c r="N442" s="107">
        <v>0.45754781949496398</v>
      </c>
    </row>
    <row r="443" spans="1:14">
      <c r="A443" s="14">
        <v>43213</v>
      </c>
      <c r="B443" s="107">
        <v>1194</v>
      </c>
      <c r="C443" s="107">
        <v>1181</v>
      </c>
      <c r="D443" s="107">
        <v>3682</v>
      </c>
      <c r="E443" s="107">
        <v>3675</v>
      </c>
      <c r="F443" s="107">
        <v>0.32136054421768701</v>
      </c>
      <c r="G443" s="107">
        <v>0.30176323670866501</v>
      </c>
      <c r="H443" s="107">
        <v>1.36397338921244E-2</v>
      </c>
      <c r="I443" s="107">
        <v>1.4367807806233699</v>
      </c>
      <c r="J443" s="107">
        <v>6.1</v>
      </c>
      <c r="K443" s="107">
        <v>0.45791352949175601</v>
      </c>
      <c r="L443" s="107">
        <v>0.63240209470229802</v>
      </c>
      <c r="M443" s="107">
        <v>0.15550605897147299</v>
      </c>
      <c r="N443" s="107">
        <v>0.43703873239206498</v>
      </c>
    </row>
    <row r="444" spans="1:14">
      <c r="A444" s="14">
        <v>43210</v>
      </c>
      <c r="B444" s="107">
        <v>1200</v>
      </c>
      <c r="C444" s="107">
        <v>1189</v>
      </c>
      <c r="D444" s="107">
        <v>3698</v>
      </c>
      <c r="E444" s="107">
        <v>3682</v>
      </c>
      <c r="F444" s="107">
        <v>0.322922324823465</v>
      </c>
      <c r="G444" s="107">
        <v>0.30175945828032502</v>
      </c>
      <c r="H444" s="107">
        <v>1.3634342780872799E-2</v>
      </c>
      <c r="I444" s="107">
        <v>1.55217357251931</v>
      </c>
      <c r="J444" s="107">
        <v>6.55</v>
      </c>
      <c r="K444" s="107">
        <v>0.54280044878035405</v>
      </c>
      <c r="L444" s="107">
        <v>0.76256675537023999</v>
      </c>
      <c r="M444" s="107">
        <v>0.15456858171688401</v>
      </c>
      <c r="N444" s="107">
        <v>0.42567331251261298</v>
      </c>
    </row>
    <row r="445" spans="1:14">
      <c r="A445" s="14">
        <v>43209</v>
      </c>
      <c r="B445" s="107">
        <v>1192</v>
      </c>
      <c r="C445" s="107">
        <v>1202</v>
      </c>
      <c r="D445" s="107">
        <v>3730</v>
      </c>
      <c r="E445" s="107">
        <v>3691</v>
      </c>
      <c r="F445" s="107">
        <v>0.32565700352207999</v>
      </c>
      <c r="G445" s="107">
        <v>0.30172697782587599</v>
      </c>
      <c r="H445" s="107">
        <v>1.35867071998691E-2</v>
      </c>
      <c r="I445" s="107">
        <v>1.76128221092709</v>
      </c>
      <c r="J445" s="107">
        <v>7.35</v>
      </c>
      <c r="K445" s="107">
        <v>0.56371795568375005</v>
      </c>
      <c r="L445" s="107">
        <v>0.72435449892614301</v>
      </c>
      <c r="M445" s="107">
        <v>0.15477361929716399</v>
      </c>
      <c r="N445" s="107">
        <v>0.40397447587100799</v>
      </c>
    </row>
    <row r="446" spans="1:14">
      <c r="A446" s="14">
        <v>43208</v>
      </c>
      <c r="B446" s="107">
        <v>1155</v>
      </c>
      <c r="C446" s="107">
        <v>1181</v>
      </c>
      <c r="D446" s="107">
        <v>3735</v>
      </c>
      <c r="E446" s="107">
        <v>3717</v>
      </c>
      <c r="F446" s="107">
        <v>0.31772935162765598</v>
      </c>
      <c r="G446" s="107">
        <v>0.30163991225901698</v>
      </c>
      <c r="H446" s="107">
        <v>1.34533490472677E-2</v>
      </c>
      <c r="I446" s="107">
        <v>1.19594305567405</v>
      </c>
      <c r="J446" s="107">
        <v>5.0599999999999996</v>
      </c>
      <c r="K446" s="107">
        <v>0.59652053564903795</v>
      </c>
      <c r="L446" s="107">
        <v>0.63074492590231601</v>
      </c>
      <c r="M446" s="107">
        <v>0.15640005010812499</v>
      </c>
      <c r="N446" s="107">
        <v>0.41102189681373602</v>
      </c>
    </row>
    <row r="447" spans="1:14">
      <c r="A447" s="14">
        <v>43207</v>
      </c>
      <c r="B447" s="107">
        <v>1165</v>
      </c>
      <c r="C447" s="107">
        <v>1155</v>
      </c>
      <c r="D447" s="107">
        <v>3775</v>
      </c>
      <c r="E447" s="107">
        <v>3757</v>
      </c>
      <c r="F447" s="107">
        <v>0.30742613787596401</v>
      </c>
      <c r="G447" s="107">
        <v>0.301642225081305</v>
      </c>
      <c r="H447" s="107">
        <v>1.34561294751659E-2</v>
      </c>
      <c r="I447" s="107">
        <v>0.42983480541964197</v>
      </c>
      <c r="J447" s="107">
        <v>1.88</v>
      </c>
      <c r="K447" s="107">
        <v>0.61575189250697804</v>
      </c>
      <c r="L447" s="107">
        <v>0.68543026363997706</v>
      </c>
      <c r="M447" s="107">
        <v>0.15918615812324199</v>
      </c>
      <c r="N447" s="107">
        <v>0.41287247223955398</v>
      </c>
    </row>
    <row r="448" spans="1:14">
      <c r="A448" s="14">
        <v>43206</v>
      </c>
      <c r="B448" s="107">
        <v>1161</v>
      </c>
      <c r="C448" s="107">
        <v>1163</v>
      </c>
      <c r="D448" s="107">
        <v>3773</v>
      </c>
      <c r="E448" s="107">
        <v>3782</v>
      </c>
      <c r="F448" s="107">
        <v>0.30750925436277099</v>
      </c>
      <c r="G448" s="107">
        <v>0.30177159711586998</v>
      </c>
      <c r="H448" s="107">
        <v>1.3557378828912101E-2</v>
      </c>
      <c r="I448" s="107">
        <v>0.42321287317464501</v>
      </c>
      <c r="J448" s="107">
        <v>1.87</v>
      </c>
      <c r="K448" s="107">
        <v>0.63925966133229295</v>
      </c>
      <c r="L448" s="107">
        <v>0.82867882706613605</v>
      </c>
      <c r="M448" s="107">
        <v>0.16240221026935001</v>
      </c>
      <c r="N448" s="107">
        <v>0.38711914150348298</v>
      </c>
    </row>
    <row r="449" spans="1:14">
      <c r="A449" s="14">
        <v>43203</v>
      </c>
      <c r="B449" s="107">
        <v>1154</v>
      </c>
      <c r="C449" s="107">
        <v>1166</v>
      </c>
      <c r="D449" s="107">
        <v>3761</v>
      </c>
      <c r="E449" s="107">
        <v>3773</v>
      </c>
      <c r="F449" s="107">
        <v>0.30903790087463501</v>
      </c>
      <c r="G449" s="107">
        <v>0.30194265436897599</v>
      </c>
      <c r="H449" s="107">
        <v>1.3708783304533199E-2</v>
      </c>
      <c r="I449" s="107">
        <v>0.51756938220134197</v>
      </c>
      <c r="J449" s="107">
        <v>2.2999999999999998</v>
      </c>
      <c r="K449" s="107">
        <v>0.67232850934244703</v>
      </c>
      <c r="L449" s="107">
        <v>0.85543820378692403</v>
      </c>
      <c r="M449" s="107">
        <v>0.16492839035963</v>
      </c>
      <c r="N449" s="107">
        <v>0.38850173021571199</v>
      </c>
    </row>
    <row r="450" spans="1:14">
      <c r="A450" s="14">
        <v>43202</v>
      </c>
      <c r="B450" s="107">
        <v>1143</v>
      </c>
      <c r="C450" s="107">
        <v>1141</v>
      </c>
      <c r="D450" s="107">
        <v>3764</v>
      </c>
      <c r="E450" s="107">
        <v>3735</v>
      </c>
      <c r="F450" s="107">
        <v>0.30548862115127101</v>
      </c>
      <c r="G450" s="107">
        <v>0.302054301052743</v>
      </c>
      <c r="H450" s="107">
        <v>1.3799908327380201E-2</v>
      </c>
      <c r="I450" s="107">
        <v>0.24886542845465401</v>
      </c>
      <c r="J450" s="107">
        <v>1.1200000000000001</v>
      </c>
      <c r="K450" s="107">
        <v>0.67392473310429402</v>
      </c>
      <c r="L450" s="107">
        <v>0.86836077639703901</v>
      </c>
      <c r="M450" s="107">
        <v>0.16827632737606299</v>
      </c>
      <c r="N450" s="107">
        <v>0.393446983384864</v>
      </c>
    </row>
    <row r="451" spans="1:14">
      <c r="A451" s="14">
        <v>43201</v>
      </c>
      <c r="B451" s="107">
        <v>1140</v>
      </c>
      <c r="C451" s="107">
        <v>1143</v>
      </c>
      <c r="D451" s="107">
        <v>3768</v>
      </c>
      <c r="E451" s="107">
        <v>3782</v>
      </c>
      <c r="F451" s="107">
        <v>0.30222104706504399</v>
      </c>
      <c r="G451" s="107">
        <v>0.30219705774073402</v>
      </c>
      <c r="H451" s="107">
        <v>1.3889783839036E-2</v>
      </c>
      <c r="I451" s="107">
        <v>1.72712006090842E-3</v>
      </c>
      <c r="J451" s="107">
        <v>0.01</v>
      </c>
      <c r="K451" s="107">
        <v>0.68532934090368203</v>
      </c>
      <c r="L451" s="107">
        <v>0.87596580947408598</v>
      </c>
      <c r="M451" s="107">
        <v>0.171858256862746</v>
      </c>
      <c r="N451" s="107">
        <v>0.36638873163500202</v>
      </c>
    </row>
    <row r="452" spans="1:14">
      <c r="A452" s="14">
        <v>43200</v>
      </c>
      <c r="B452" s="107">
        <v>1128</v>
      </c>
      <c r="C452" s="107">
        <v>1148</v>
      </c>
      <c r="D452" s="107">
        <v>3700</v>
      </c>
      <c r="E452" s="107">
        <v>3784</v>
      </c>
      <c r="F452" s="107">
        <v>0.30338266384778001</v>
      </c>
      <c r="G452" s="107">
        <v>0.302367323783296</v>
      </c>
      <c r="H452" s="107">
        <v>1.39670885691411E-2</v>
      </c>
      <c r="I452" s="107">
        <v>7.2695183356064702E-2</v>
      </c>
      <c r="J452" s="107">
        <v>0.33</v>
      </c>
      <c r="K452" s="107">
        <v>0.70104877264596199</v>
      </c>
      <c r="L452" s="107">
        <v>0.82084518050875699</v>
      </c>
      <c r="M452" s="107">
        <v>0.174452734250261</v>
      </c>
      <c r="N452" s="107">
        <v>0.37692251679006999</v>
      </c>
    </row>
    <row r="453" spans="1:14">
      <c r="A453" s="14">
        <v>43199</v>
      </c>
      <c r="B453" s="107">
        <v>1130</v>
      </c>
      <c r="C453" s="107">
        <v>1131</v>
      </c>
      <c r="D453" s="107">
        <v>3670</v>
      </c>
      <c r="E453" s="107">
        <v>3688</v>
      </c>
      <c r="F453" s="107">
        <v>0.30667028199566099</v>
      </c>
      <c r="G453" s="107">
        <v>0.30258331820440298</v>
      </c>
      <c r="H453" s="107">
        <v>1.4105691912607399E-2</v>
      </c>
      <c r="I453" s="107">
        <v>0.289738625838389</v>
      </c>
      <c r="J453" s="107">
        <v>1.33</v>
      </c>
      <c r="K453" s="107">
        <v>0.72005493119205799</v>
      </c>
      <c r="L453" s="107">
        <v>0.63296012059205697</v>
      </c>
      <c r="M453" s="107">
        <v>0.176793854940444</v>
      </c>
      <c r="N453" s="107">
        <v>0.36931089832990299</v>
      </c>
    </row>
    <row r="454" spans="1:14">
      <c r="A454" s="14">
        <v>43196</v>
      </c>
      <c r="B454" s="107">
        <v>1144</v>
      </c>
      <c r="C454" s="107">
        <v>1136</v>
      </c>
      <c r="D454" s="107">
        <v>3721</v>
      </c>
      <c r="E454" s="107">
        <v>3681</v>
      </c>
      <c r="F454" s="107">
        <v>0.30861179027438101</v>
      </c>
      <c r="G454" s="107">
        <v>0.30272494694930802</v>
      </c>
      <c r="H454" s="107">
        <v>1.4199033465001501E-2</v>
      </c>
      <c r="I454" s="107">
        <v>0.41459465107844901</v>
      </c>
      <c r="J454" s="107">
        <v>1.91</v>
      </c>
      <c r="K454" s="107">
        <v>0.733699404176827</v>
      </c>
      <c r="L454" s="107">
        <v>0.78307763786176299</v>
      </c>
      <c r="M454" s="107">
        <v>0.17917793043844199</v>
      </c>
      <c r="N454" s="107">
        <v>0.35750201014849498</v>
      </c>
    </row>
    <row r="455" spans="1:14">
      <c r="A455" s="14">
        <v>43195</v>
      </c>
      <c r="B455" s="107">
        <v>1139</v>
      </c>
      <c r="C455" s="107">
        <v>1134</v>
      </c>
      <c r="D455" s="107">
        <v>3704</v>
      </c>
      <c r="E455" s="107">
        <v>3701</v>
      </c>
      <c r="F455" s="107">
        <v>0.306403674682518</v>
      </c>
      <c r="G455" s="107">
        <v>0.30287776680226602</v>
      </c>
      <c r="H455" s="107">
        <v>1.43227090159229E-2</v>
      </c>
      <c r="I455" s="107">
        <v>0.24617604646798599</v>
      </c>
      <c r="J455" s="107">
        <v>1.1499999999999999</v>
      </c>
      <c r="K455" s="107">
        <v>0.73576824528573803</v>
      </c>
      <c r="L455" s="107">
        <v>0.76605067482856803</v>
      </c>
      <c r="M455" s="107">
        <v>0.18225206428240101</v>
      </c>
      <c r="N455" s="107">
        <v>0.34320861499195998</v>
      </c>
    </row>
    <row r="456" spans="1:14">
      <c r="A456" s="14">
        <v>43194</v>
      </c>
      <c r="B456" s="107">
        <v>1117</v>
      </c>
      <c r="C456" s="107">
        <v>1129</v>
      </c>
      <c r="D456" s="107">
        <v>3637</v>
      </c>
      <c r="E456" s="107">
        <v>3662</v>
      </c>
      <c r="F456" s="107">
        <v>0.308301474604041</v>
      </c>
      <c r="G456" s="107">
        <v>0.30308728970703902</v>
      </c>
      <c r="H456" s="107">
        <v>1.44867559930112E-2</v>
      </c>
      <c r="I456" s="107">
        <v>0.35992770911015998</v>
      </c>
      <c r="J456" s="107">
        <v>1.69</v>
      </c>
      <c r="K456" s="107">
        <v>0.74900055342427896</v>
      </c>
      <c r="L456" s="107">
        <v>0.720485001596608</v>
      </c>
      <c r="M456" s="107">
        <v>0.18418984130208799</v>
      </c>
      <c r="N456" s="107">
        <v>0.35833266350798698</v>
      </c>
    </row>
    <row r="457" spans="1:14">
      <c r="A457" s="14">
        <v>43193</v>
      </c>
      <c r="B457" s="107">
        <v>1112</v>
      </c>
      <c r="C457" s="107">
        <v>1122</v>
      </c>
      <c r="D457" s="107">
        <v>3597</v>
      </c>
      <c r="E457" s="107">
        <v>3615</v>
      </c>
      <c r="F457" s="107">
        <v>0.310373443983402</v>
      </c>
      <c r="G457" s="107">
        <v>0.303348647519815</v>
      </c>
      <c r="H457" s="107">
        <v>1.4752844477841399E-2</v>
      </c>
      <c r="I457" s="107">
        <v>0.476165560759364</v>
      </c>
      <c r="J457" s="107">
        <v>2.2599999999999998</v>
      </c>
      <c r="K457" s="107">
        <v>0.760524129498799</v>
      </c>
      <c r="L457" s="107">
        <v>0.71126086352038898</v>
      </c>
      <c r="M457" s="107">
        <v>0.18625261147317801</v>
      </c>
      <c r="N457" s="107">
        <v>0.34747192385537001</v>
      </c>
    </row>
    <row r="458" spans="1:14">
      <c r="A458" s="14">
        <v>43192</v>
      </c>
      <c r="B458" s="107">
        <v>1122</v>
      </c>
      <c r="C458" s="107">
        <v>1126</v>
      </c>
      <c r="D458" s="107">
        <v>3660</v>
      </c>
      <c r="E458" s="107">
        <v>3642</v>
      </c>
      <c r="F458" s="107">
        <v>0.309170785282811</v>
      </c>
      <c r="G458" s="107">
        <v>0.30358440021004801</v>
      </c>
      <c r="H458" s="107">
        <v>1.5002383810817499E-2</v>
      </c>
      <c r="I458" s="107">
        <v>0.37236649476567901</v>
      </c>
      <c r="J458" s="107">
        <v>1.81</v>
      </c>
      <c r="K458" s="107">
        <v>0.76501813166492705</v>
      </c>
      <c r="L458" s="107">
        <v>0.71800616288102703</v>
      </c>
      <c r="M458" s="107">
        <v>0.188683543620669</v>
      </c>
      <c r="N458" s="107">
        <v>0.35629131599564601</v>
      </c>
    </row>
    <row r="459" spans="1:14">
      <c r="A459" s="14">
        <v>43189</v>
      </c>
      <c r="B459" s="107">
        <v>1137</v>
      </c>
      <c r="C459" s="107">
        <v>1125</v>
      </c>
      <c r="D459" s="107">
        <v>3684</v>
      </c>
      <c r="E459" s="107">
        <v>3660</v>
      </c>
      <c r="F459" s="107">
        <v>0.30737704918032699</v>
      </c>
      <c r="G459" s="107">
        <v>0.30384766949930597</v>
      </c>
      <c r="H459" s="107">
        <v>1.52689868833423E-2</v>
      </c>
      <c r="I459" s="107">
        <v>0.231146945634712</v>
      </c>
      <c r="J459" s="107">
        <v>1.1499999999999999</v>
      </c>
      <c r="K459" s="107">
        <v>0.76838176898779298</v>
      </c>
      <c r="L459" s="107">
        <v>0.68409996639534798</v>
      </c>
      <c r="M459" s="107">
        <v>0.19126421268746299</v>
      </c>
      <c r="N459" s="107">
        <v>0.32466702474047199</v>
      </c>
    </row>
    <row r="460" spans="1:14">
      <c r="A460" s="14">
        <v>43188</v>
      </c>
      <c r="B460" s="107">
        <v>1122</v>
      </c>
      <c r="C460" s="107">
        <v>1126</v>
      </c>
      <c r="D460" s="107">
        <v>3695</v>
      </c>
      <c r="E460" s="107">
        <v>3641</v>
      </c>
      <c r="F460" s="107">
        <v>0.30925569898379501</v>
      </c>
      <c r="G460" s="107">
        <v>0.30411565602141699</v>
      </c>
      <c r="H460" s="107">
        <v>1.5503162717393699E-2</v>
      </c>
      <c r="I460" s="107">
        <v>0.33154802385005699</v>
      </c>
      <c r="J460" s="107">
        <v>1.66</v>
      </c>
      <c r="K460" s="107">
        <v>0.77363073574492103</v>
      </c>
      <c r="L460" s="107">
        <v>0.72094492266653598</v>
      </c>
      <c r="M460" s="107">
        <v>0.19386698281916301</v>
      </c>
      <c r="N460" s="107">
        <v>0.35609718388906397</v>
      </c>
    </row>
    <row r="461" spans="1:14">
      <c r="A461" s="14">
        <v>43187</v>
      </c>
      <c r="B461" s="107">
        <v>1102</v>
      </c>
      <c r="C461" s="107">
        <v>1111</v>
      </c>
      <c r="D461" s="107">
        <v>3571</v>
      </c>
      <c r="E461" s="107">
        <v>3654</v>
      </c>
      <c r="F461" s="107">
        <v>0.30405035577449302</v>
      </c>
      <c r="G461" s="107">
        <v>0.30437938968668099</v>
      </c>
      <c r="H461" s="107">
        <v>1.5754566385669799E-2</v>
      </c>
      <c r="I461" s="107">
        <v>-2.0884986875133699E-2</v>
      </c>
      <c r="J461" s="107">
        <v>-0.11</v>
      </c>
      <c r="K461" s="107">
        <v>0.77060750125937505</v>
      </c>
      <c r="L461" s="107">
        <v>0.73714867743481405</v>
      </c>
      <c r="M461" s="107">
        <v>0.197786620614259</v>
      </c>
      <c r="N461" s="107">
        <v>0.29338879338864199</v>
      </c>
    </row>
    <row r="462" spans="1:14">
      <c r="A462" s="14">
        <v>43186</v>
      </c>
      <c r="B462" s="107">
        <v>1101</v>
      </c>
      <c r="C462" s="107">
        <v>1122</v>
      </c>
      <c r="D462" s="107">
        <v>3535</v>
      </c>
      <c r="E462" s="107">
        <v>3616</v>
      </c>
      <c r="F462" s="107">
        <v>0.31028761061946902</v>
      </c>
      <c r="G462" s="107">
        <v>0.30470375853827802</v>
      </c>
      <c r="H462" s="107">
        <v>1.5993086835742701E-2</v>
      </c>
      <c r="I462" s="107">
        <v>0.34914160965541402</v>
      </c>
      <c r="J462" s="107">
        <v>1.8</v>
      </c>
      <c r="K462" s="107">
        <v>0.77344261376035695</v>
      </c>
      <c r="L462" s="107">
        <v>0.59058958631814695</v>
      </c>
      <c r="M462" s="107">
        <v>0.19998341028392</v>
      </c>
      <c r="N462" s="107">
        <v>0.30130096130603501</v>
      </c>
    </row>
    <row r="463" spans="1:14">
      <c r="A463" s="14">
        <v>43185</v>
      </c>
      <c r="B463" s="107">
        <v>1076</v>
      </c>
      <c r="C463" s="107">
        <v>1092</v>
      </c>
      <c r="D463" s="107">
        <v>3434</v>
      </c>
      <c r="E463" s="107">
        <v>3487</v>
      </c>
      <c r="F463" s="107">
        <v>0.31316317751648898</v>
      </c>
      <c r="G463" s="107">
        <v>0.30495704898307802</v>
      </c>
      <c r="H463" s="107">
        <v>1.62282176146318E-2</v>
      </c>
      <c r="I463" s="107">
        <v>0.505670353225532</v>
      </c>
      <c r="J463" s="107">
        <v>2.62</v>
      </c>
      <c r="K463" s="107">
        <v>0.785629599013282</v>
      </c>
      <c r="L463" s="107">
        <v>0.41948565439817898</v>
      </c>
      <c r="M463" s="107">
        <v>0.20153357619911</v>
      </c>
      <c r="N463" s="107">
        <v>0.30724393694202301</v>
      </c>
    </row>
    <row r="464" spans="1:14">
      <c r="A464" s="14">
        <v>43182</v>
      </c>
      <c r="B464" s="107">
        <v>1083</v>
      </c>
      <c r="C464" s="107">
        <v>1082</v>
      </c>
      <c r="D464" s="107">
        <v>3542</v>
      </c>
      <c r="E464" s="107">
        <v>3471</v>
      </c>
      <c r="F464" s="107">
        <v>0.31172572745606397</v>
      </c>
      <c r="G464" s="107">
        <v>0.305185954960562</v>
      </c>
      <c r="H464" s="107">
        <v>1.6461754424651299E-2</v>
      </c>
      <c r="I464" s="107">
        <v>0.39727068736421001</v>
      </c>
      <c r="J464" s="107">
        <v>2.1</v>
      </c>
      <c r="K464" s="107">
        <v>0.80238431097566698</v>
      </c>
      <c r="L464" s="107">
        <v>0.56477611944170003</v>
      </c>
      <c r="M464" s="107">
        <v>0.20328421945919001</v>
      </c>
      <c r="N464" s="107">
        <v>0.38931732219019499</v>
      </c>
    </row>
    <row r="465" spans="1:14">
      <c r="A465" s="14">
        <v>43181</v>
      </c>
      <c r="B465" s="107">
        <v>1119</v>
      </c>
      <c r="C465" s="107">
        <v>1107</v>
      </c>
      <c r="D465" s="107">
        <v>3661</v>
      </c>
      <c r="E465" s="107">
        <v>3664</v>
      </c>
      <c r="F465" s="107">
        <v>0.30212882096069799</v>
      </c>
      <c r="G465" s="107">
        <v>0.30548117887938098</v>
      </c>
      <c r="H465" s="107">
        <v>1.6772011902933301E-2</v>
      </c>
      <c r="I465" s="107">
        <v>-0.199878102763384</v>
      </c>
      <c r="J465" s="107">
        <v>-1.1100000000000001</v>
      </c>
      <c r="K465" s="107">
        <v>0.80448973002011603</v>
      </c>
      <c r="L465" s="107">
        <v>0.476105874678178</v>
      </c>
      <c r="M465" s="107">
        <v>0.20782020673662299</v>
      </c>
      <c r="N465" s="107">
        <v>0.26521580624792501</v>
      </c>
    </row>
    <row r="466" spans="1:14">
      <c r="A466" s="14">
        <v>43179</v>
      </c>
      <c r="B466" s="107">
        <v>1080</v>
      </c>
      <c r="C466" s="107">
        <v>1116</v>
      </c>
      <c r="D466" s="107">
        <v>3643</v>
      </c>
      <c r="E466" s="107">
        <v>3642</v>
      </c>
      <c r="F466" s="107">
        <v>0.30642504118616098</v>
      </c>
      <c r="G466" s="107">
        <v>0.30594979361450703</v>
      </c>
      <c r="H466" s="107">
        <v>1.71583460046188E-2</v>
      </c>
      <c r="I466" s="107">
        <v>2.76977496272513E-2</v>
      </c>
      <c r="J466" s="107">
        <v>0.16</v>
      </c>
      <c r="K466" s="107">
        <v>0.80712596548946303</v>
      </c>
      <c r="L466" s="107">
        <v>0.53145159498003203</v>
      </c>
      <c r="M466" s="107">
        <v>0.212190206847512</v>
      </c>
      <c r="N466" s="107">
        <v>0.39497419668693501</v>
      </c>
    </row>
    <row r="467" spans="1:14">
      <c r="A467" s="14">
        <v>43178</v>
      </c>
      <c r="B467" s="107">
        <v>1086</v>
      </c>
      <c r="C467" s="107">
        <v>1088</v>
      </c>
      <c r="D467" s="107">
        <v>3658</v>
      </c>
      <c r="E467" s="107">
        <v>3639</v>
      </c>
      <c r="F467" s="107">
        <v>0.29898323715306402</v>
      </c>
      <c r="G467" s="107">
        <v>0.30626308501257099</v>
      </c>
      <c r="H467" s="107">
        <v>1.7377279147610201E-2</v>
      </c>
      <c r="I467" s="107">
        <v>-0.41892909687812002</v>
      </c>
      <c r="J467" s="107">
        <v>-2.4300000000000002</v>
      </c>
      <c r="K467" s="107">
        <v>0.80623410462106304</v>
      </c>
      <c r="L467" s="107">
        <v>0.51329692094641</v>
      </c>
      <c r="M467" s="107">
        <v>0.21782680593885601</v>
      </c>
      <c r="N467" s="107">
        <v>0.434692631215366</v>
      </c>
    </row>
    <row r="468" spans="1:14">
      <c r="A468" s="14">
        <v>43175</v>
      </c>
      <c r="B468" s="107">
        <v>1112</v>
      </c>
      <c r="C468" s="107">
        <v>1099</v>
      </c>
      <c r="D468" s="107">
        <v>3696</v>
      </c>
      <c r="E468" s="107">
        <v>3678</v>
      </c>
      <c r="F468" s="107">
        <v>0.29880369766177201</v>
      </c>
      <c r="G468" s="107">
        <v>0.30676099559202702</v>
      </c>
      <c r="H468" s="107">
        <v>1.7693674292857502E-2</v>
      </c>
      <c r="I468" s="107">
        <v>-0.44972557980602801</v>
      </c>
      <c r="J468" s="107">
        <v>-2.66</v>
      </c>
      <c r="K468" s="107">
        <v>0.79787639601720095</v>
      </c>
      <c r="L468" s="107">
        <v>0.56652032239224903</v>
      </c>
      <c r="M468" s="107">
        <v>0.22460241246594401</v>
      </c>
      <c r="N468" s="107">
        <v>0.44533256775062302</v>
      </c>
    </row>
    <row r="469" spans="1:14">
      <c r="A469" s="14">
        <v>43174</v>
      </c>
      <c r="B469" s="107">
        <v>1102</v>
      </c>
      <c r="C469" s="107">
        <v>1114</v>
      </c>
      <c r="D469" s="107">
        <v>3662</v>
      </c>
      <c r="E469" s="107">
        <v>3694</v>
      </c>
      <c r="F469" s="107">
        <v>0.301570113697888</v>
      </c>
      <c r="G469" s="107">
        <v>0.30729610753354297</v>
      </c>
      <c r="H469" s="107">
        <v>1.8048255709317299E-2</v>
      </c>
      <c r="I469" s="107">
        <v>-0.317260234333827</v>
      </c>
      <c r="J469" s="107">
        <v>-1.9</v>
      </c>
      <c r="K469" s="107">
        <v>0.79946055320995002</v>
      </c>
      <c r="L469" s="107">
        <v>0.53763329999196696</v>
      </c>
      <c r="M469" s="107">
        <v>0.23116796773977399</v>
      </c>
      <c r="N469" s="107">
        <v>0.46394085482845099</v>
      </c>
    </row>
    <row r="470" spans="1:14">
      <c r="A470" s="14">
        <v>43173</v>
      </c>
      <c r="B470" s="107">
        <v>1106</v>
      </c>
      <c r="C470" s="107">
        <v>1113</v>
      </c>
      <c r="D470" s="107">
        <v>3686</v>
      </c>
      <c r="E470" s="107">
        <v>3687</v>
      </c>
      <c r="F470" s="107">
        <v>0.30187144019528001</v>
      </c>
      <c r="G470" s="107">
        <v>0.30776866752497301</v>
      </c>
      <c r="H470" s="107">
        <v>1.83535539043574E-2</v>
      </c>
      <c r="I470" s="107">
        <v>-0.32131255670832498</v>
      </c>
      <c r="J470" s="107">
        <v>-1.95</v>
      </c>
      <c r="K470" s="107">
        <v>0.79203417224342298</v>
      </c>
      <c r="L470" s="107">
        <v>0.58334501287797003</v>
      </c>
      <c r="M470" s="107">
        <v>0.23811169817101799</v>
      </c>
      <c r="N470" s="107">
        <v>0.421574104031953</v>
      </c>
    </row>
    <row r="471" spans="1:14">
      <c r="A471" s="14">
        <v>43172</v>
      </c>
      <c r="B471" s="107">
        <v>1104</v>
      </c>
      <c r="C471" s="107">
        <v>1115</v>
      </c>
      <c r="D471" s="107">
        <v>3687</v>
      </c>
      <c r="E471" s="107">
        <v>3708</v>
      </c>
      <c r="F471" s="107">
        <v>0.30070118662351603</v>
      </c>
      <c r="G471" s="107">
        <v>0.30823619449907902</v>
      </c>
      <c r="H471" s="107">
        <v>1.8641720524517399E-2</v>
      </c>
      <c r="I471" s="107">
        <v>-0.40420131101377599</v>
      </c>
      <c r="J471" s="107">
        <v>-2.5099999999999998</v>
      </c>
      <c r="K471" s="107">
        <v>0.78417287512330502</v>
      </c>
      <c r="L471" s="107">
        <v>0.63704984280474897</v>
      </c>
      <c r="M471" s="107">
        <v>0.244492539291018</v>
      </c>
      <c r="N471" s="107">
        <v>0.37641532530195299</v>
      </c>
    </row>
    <row r="472" spans="1:14">
      <c r="A472" s="14">
        <v>43171</v>
      </c>
      <c r="B472" s="107">
        <v>1104</v>
      </c>
      <c r="C472" s="107">
        <v>1106</v>
      </c>
      <c r="D472" s="107">
        <v>3701</v>
      </c>
      <c r="E472" s="107">
        <v>3739</v>
      </c>
      <c r="F472" s="107">
        <v>0.29580101631452199</v>
      </c>
      <c r="G472" s="107">
        <v>0.30873999967010901</v>
      </c>
      <c r="H472" s="107">
        <v>1.8939483793854701E-2</v>
      </c>
      <c r="I472" s="107">
        <v>-0.68317507997683102</v>
      </c>
      <c r="J472" s="107">
        <v>-4.37</v>
      </c>
      <c r="K472" s="107">
        <v>0.77308564141882796</v>
      </c>
      <c r="L472" s="107">
        <v>0.63682451526438499</v>
      </c>
      <c r="M472" s="107">
        <v>0.25264162820984998</v>
      </c>
      <c r="N472" s="107">
        <v>0.46687088415745398</v>
      </c>
    </row>
    <row r="473" spans="1:14">
      <c r="A473" s="14">
        <v>43168</v>
      </c>
      <c r="B473" s="107">
        <v>1084</v>
      </c>
      <c r="C473" s="107">
        <v>1080</v>
      </c>
      <c r="D473" s="107">
        <v>3677</v>
      </c>
      <c r="E473" s="107">
        <v>3623</v>
      </c>
      <c r="F473" s="107">
        <v>0.29809550096604998</v>
      </c>
      <c r="G473" s="107">
        <v>0.30930461463877601</v>
      </c>
      <c r="H473" s="107">
        <v>1.91750729767656E-2</v>
      </c>
      <c r="I473" s="107">
        <v>-0.58456693678863003</v>
      </c>
      <c r="J473" s="107">
        <v>-3.76</v>
      </c>
      <c r="K473" s="107">
        <v>0.73625368994087903</v>
      </c>
      <c r="L473" s="107">
        <v>0.84304775740742999</v>
      </c>
      <c r="M473" s="107">
        <v>0.26106528408802998</v>
      </c>
      <c r="N473" s="107">
        <v>0.36658639400881798</v>
      </c>
    </row>
    <row r="474" spans="1:14">
      <c r="A474" s="14">
        <v>43167</v>
      </c>
      <c r="B474" s="107">
        <v>1072</v>
      </c>
      <c r="C474" s="107">
        <v>1063</v>
      </c>
      <c r="D474" s="107">
        <v>3681</v>
      </c>
      <c r="E474" s="107">
        <v>3666</v>
      </c>
      <c r="F474" s="107">
        <v>0.28996181123840697</v>
      </c>
      <c r="G474" s="107">
        <v>0.30981452526341802</v>
      </c>
      <c r="H474" s="107">
        <v>1.9377636230827801E-2</v>
      </c>
      <c r="I474" s="107">
        <v>-1.02451680837253</v>
      </c>
      <c r="J474" s="107">
        <v>-6.85</v>
      </c>
      <c r="K474" s="107">
        <v>0.72627740500053095</v>
      </c>
      <c r="L474" s="107">
        <v>0.84083817476030298</v>
      </c>
      <c r="M474" s="107">
        <v>0.270910281127966</v>
      </c>
      <c r="N474" s="107">
        <v>0.33743524904810501</v>
      </c>
    </row>
    <row r="475" spans="1:14">
      <c r="A475" s="14">
        <v>43166</v>
      </c>
      <c r="B475" s="107">
        <v>1072</v>
      </c>
      <c r="C475" s="107">
        <v>1063</v>
      </c>
      <c r="D475" s="107">
        <v>3649</v>
      </c>
      <c r="E475" s="107">
        <v>3634</v>
      </c>
      <c r="F475" s="107">
        <v>0.29251513483764402</v>
      </c>
      <c r="G475" s="107">
        <v>0.31050453720933702</v>
      </c>
      <c r="H475" s="107">
        <v>1.9578768759800701E-2</v>
      </c>
      <c r="I475" s="107">
        <v>-0.91882194393291305</v>
      </c>
      <c r="J475" s="107">
        <v>-6.15</v>
      </c>
      <c r="K475" s="107">
        <v>0.69284847539933203</v>
      </c>
      <c r="L475" s="107">
        <v>0.88076324720303301</v>
      </c>
      <c r="M475" s="107">
        <v>0.28000025177176702</v>
      </c>
      <c r="N475" s="107">
        <v>0.33379129265808699</v>
      </c>
    </row>
    <row r="476" spans="1:14">
      <c r="A476" s="14">
        <v>43165</v>
      </c>
      <c r="B476" s="107">
        <v>1075</v>
      </c>
      <c r="C476" s="107">
        <v>1074</v>
      </c>
      <c r="D476" s="107">
        <v>3700</v>
      </c>
      <c r="E476" s="107">
        <v>3666</v>
      </c>
      <c r="F476" s="107">
        <v>0.292962356792144</v>
      </c>
      <c r="G476" s="107">
        <v>0.311172170092544</v>
      </c>
      <c r="H476" s="107">
        <v>1.9806358684606399E-2</v>
      </c>
      <c r="I476" s="107">
        <v>-0.91939228155820296</v>
      </c>
      <c r="J476" s="107">
        <v>-6.22</v>
      </c>
      <c r="K476" s="107">
        <v>0.65793800157177595</v>
      </c>
      <c r="L476" s="107">
        <v>0.89351783858860701</v>
      </c>
      <c r="M476" s="107">
        <v>0.28961655230906802</v>
      </c>
      <c r="N476" s="107">
        <v>0.27464826242882701</v>
      </c>
    </row>
    <row r="477" spans="1:14">
      <c r="A477" s="14">
        <v>43164</v>
      </c>
      <c r="B477" s="107">
        <v>1055</v>
      </c>
      <c r="C477" s="107">
        <v>1057</v>
      </c>
      <c r="D477" s="107">
        <v>3647</v>
      </c>
      <c r="E477" s="107">
        <v>3608</v>
      </c>
      <c r="F477" s="107">
        <v>0.29296008869179602</v>
      </c>
      <c r="G477" s="107">
        <v>0.31177970764590102</v>
      </c>
      <c r="H477" s="107">
        <v>1.9936877702658298E-2</v>
      </c>
      <c r="I477" s="107">
        <v>-0.94396019450910795</v>
      </c>
      <c r="J477" s="107">
        <v>-6.42</v>
      </c>
      <c r="K477" s="107">
        <v>0.60835478353052796</v>
      </c>
      <c r="L477" s="107">
        <v>0.93231974138032003</v>
      </c>
      <c r="M477" s="107">
        <v>0.29866358443725599</v>
      </c>
      <c r="N477" s="107">
        <v>0.29917140786940599</v>
      </c>
    </row>
    <row r="478" spans="1:14">
      <c r="A478" s="14">
        <v>43161</v>
      </c>
      <c r="B478" s="107">
        <v>1070</v>
      </c>
      <c r="C478" s="107">
        <v>1065</v>
      </c>
      <c r="D478" s="107">
        <v>3761</v>
      </c>
      <c r="E478" s="107">
        <v>3686</v>
      </c>
      <c r="F478" s="107">
        <v>0.28893109061312999</v>
      </c>
      <c r="G478" s="107">
        <v>0.31231801757445499</v>
      </c>
      <c r="H478" s="107">
        <v>1.9966498389072999E-2</v>
      </c>
      <c r="I478" s="107">
        <v>-1.17130838395396</v>
      </c>
      <c r="J478" s="107">
        <v>-8.09</v>
      </c>
      <c r="K478" s="107">
        <v>0.54354760009223502</v>
      </c>
      <c r="L478" s="107">
        <v>0.90751231181665104</v>
      </c>
      <c r="M478" s="107">
        <v>0.31002680573381203</v>
      </c>
      <c r="N478" s="107">
        <v>0.34916234953668501</v>
      </c>
    </row>
    <row r="479" spans="1:14">
      <c r="A479" s="14">
        <v>43160</v>
      </c>
      <c r="B479" s="107">
        <v>1124</v>
      </c>
      <c r="C479" s="107">
        <v>1098</v>
      </c>
      <c r="D479" s="107">
        <v>3852</v>
      </c>
      <c r="E479" s="107">
        <v>3831</v>
      </c>
      <c r="F479" s="107">
        <v>0.28660924040720398</v>
      </c>
      <c r="G479" s="107">
        <v>0.31278326459307998</v>
      </c>
      <c r="H479" s="107">
        <v>1.9822142068173999E-2</v>
      </c>
      <c r="I479" s="107">
        <v>-1.3204437792775601</v>
      </c>
      <c r="J479" s="107">
        <v>-9.1300000000000008</v>
      </c>
      <c r="K479" s="107">
        <v>0.540258695726472</v>
      </c>
      <c r="L479" s="107">
        <v>0.914762046054718</v>
      </c>
      <c r="M479" s="107">
        <v>0.32201055376686</v>
      </c>
      <c r="N479" s="107">
        <v>0.46100801311859202</v>
      </c>
    </row>
    <row r="480" spans="1:14">
      <c r="A480" s="14">
        <v>43159</v>
      </c>
      <c r="B480" s="107">
        <v>1150</v>
      </c>
      <c r="C480" s="107">
        <v>1130</v>
      </c>
      <c r="D480" s="107">
        <v>3944</v>
      </c>
      <c r="E480" s="107">
        <v>3885</v>
      </c>
      <c r="F480" s="107">
        <v>0.29086229086228998</v>
      </c>
      <c r="G480" s="107">
        <v>0.313629865058141</v>
      </c>
      <c r="H480" s="107">
        <v>2.0040898876671199E-2</v>
      </c>
      <c r="I480" s="107">
        <v>-1.1360555400213801</v>
      </c>
      <c r="J480" s="107">
        <v>-7.83</v>
      </c>
      <c r="K480" s="107">
        <v>0.45943482718697398</v>
      </c>
      <c r="L480" s="107">
        <v>0.94225527732317904</v>
      </c>
      <c r="M480" s="107">
        <v>0.33155671987427099</v>
      </c>
      <c r="N480" s="107">
        <v>0.439691609243615</v>
      </c>
    </row>
    <row r="481" spans="1:14">
      <c r="A481" s="14">
        <v>43158</v>
      </c>
      <c r="B481" s="107">
        <v>1125</v>
      </c>
      <c r="C481" s="107">
        <v>1139</v>
      </c>
      <c r="D481" s="107">
        <v>3922</v>
      </c>
      <c r="E481" s="107">
        <v>3972</v>
      </c>
      <c r="F481" s="107">
        <v>0.28675730110775399</v>
      </c>
      <c r="G481" s="107">
        <v>0.31444634108962899</v>
      </c>
      <c r="H481" s="107">
        <v>2.0341831792453101E-2</v>
      </c>
      <c r="I481" s="107">
        <v>-1.3611871469779699</v>
      </c>
      <c r="J481" s="107">
        <v>-9.66</v>
      </c>
      <c r="K481" s="107">
        <v>0.456844067176985</v>
      </c>
      <c r="L481" s="107">
        <v>0.87739293339409297</v>
      </c>
      <c r="M481" s="107">
        <v>0.341647288930432</v>
      </c>
      <c r="N481" s="107">
        <v>0.30835241395115298</v>
      </c>
    </row>
    <row r="482" spans="1:14">
      <c r="A482" s="14">
        <v>43157</v>
      </c>
      <c r="B482" s="107">
        <v>1104</v>
      </c>
      <c r="C482" s="107">
        <v>1109</v>
      </c>
      <c r="D482" s="107">
        <v>3856</v>
      </c>
      <c r="E482" s="107">
        <v>3893</v>
      </c>
      <c r="F482" s="107">
        <v>0.28487027998972497</v>
      </c>
      <c r="G482" s="107">
        <v>0.31524378618080501</v>
      </c>
      <c r="H482" s="107">
        <v>2.04129156291111E-2</v>
      </c>
      <c r="I482" s="107">
        <v>-1.4879553094200699</v>
      </c>
      <c r="J482" s="107">
        <v>-10.66</v>
      </c>
      <c r="K482" s="107">
        <v>0.43550848463396602</v>
      </c>
      <c r="L482" s="107">
        <v>0.91499094377624501</v>
      </c>
      <c r="M482" s="107">
        <v>0.35421686468909802</v>
      </c>
      <c r="N482" s="107">
        <v>0.23912019022243</v>
      </c>
    </row>
    <row r="483" spans="1:14">
      <c r="A483" s="14">
        <v>43154</v>
      </c>
      <c r="B483" s="107">
        <v>1077</v>
      </c>
      <c r="C483" s="107">
        <v>1097</v>
      </c>
      <c r="D483" s="107">
        <v>3834</v>
      </c>
      <c r="E483" s="107">
        <v>3845</v>
      </c>
      <c r="F483" s="107">
        <v>0.28530559167750302</v>
      </c>
      <c r="G483" s="107">
        <v>0.31613805521032301</v>
      </c>
      <c r="H483" s="107">
        <v>2.05314884473E-2</v>
      </c>
      <c r="I483" s="107">
        <v>-1.5017159429020801</v>
      </c>
      <c r="J483" s="107">
        <v>-10.81</v>
      </c>
      <c r="K483" s="107">
        <v>0.40636988597732199</v>
      </c>
      <c r="L483" s="107">
        <v>0.85453906922418199</v>
      </c>
      <c r="M483" s="107">
        <v>0.36797800048580998</v>
      </c>
      <c r="N483" s="107">
        <v>0.123175279175454</v>
      </c>
    </row>
    <row r="484" spans="1:14">
      <c r="A484" s="14">
        <v>43153</v>
      </c>
      <c r="B484" s="107">
        <v>1059</v>
      </c>
      <c r="C484" s="107">
        <v>1063</v>
      </c>
      <c r="D484" s="107">
        <v>3808</v>
      </c>
      <c r="E484" s="107">
        <v>3807</v>
      </c>
      <c r="F484" s="107">
        <v>0.27922248489624302</v>
      </c>
      <c r="G484" s="107">
        <v>0.317233309513684</v>
      </c>
      <c r="H484" s="107">
        <v>2.1042155505430999E-2</v>
      </c>
      <c r="I484" s="107">
        <v>-1.8064130648416401</v>
      </c>
      <c r="J484" s="107">
        <v>-13.61</v>
      </c>
      <c r="K484" s="107">
        <v>0.40150613413869601</v>
      </c>
      <c r="L484" s="107">
        <v>0.78607541488828103</v>
      </c>
      <c r="M484" s="107">
        <v>0.38544776325075097</v>
      </c>
      <c r="N484" s="107">
        <v>0.13596901938387401</v>
      </c>
    </row>
    <row r="485" spans="1:14">
      <c r="A485" s="14">
        <v>43152</v>
      </c>
      <c r="B485" s="107">
        <v>1069</v>
      </c>
      <c r="C485" s="107">
        <v>1067</v>
      </c>
      <c r="D485" s="107">
        <v>3840</v>
      </c>
      <c r="E485" s="107">
        <v>3847</v>
      </c>
      <c r="F485" s="107">
        <v>0.277358981024174</v>
      </c>
      <c r="G485" s="107">
        <v>0.31838497641011898</v>
      </c>
      <c r="H485" s="107">
        <v>2.1292477612152399E-2</v>
      </c>
      <c r="I485" s="107">
        <v>-1.92678353986054</v>
      </c>
      <c r="J485" s="107">
        <v>-14.79</v>
      </c>
      <c r="K485" s="107">
        <v>0.38461204680760203</v>
      </c>
      <c r="L485" s="107">
        <v>0.78676234129062295</v>
      </c>
      <c r="M485" s="107">
        <v>0.40506898319204299</v>
      </c>
      <c r="N485" s="107">
        <v>0.11437095194083501</v>
      </c>
    </row>
    <row r="486" spans="1:14">
      <c r="A486" s="14">
        <v>43151</v>
      </c>
      <c r="B486" s="107">
        <v>1040</v>
      </c>
      <c r="C486" s="107">
        <v>1065</v>
      </c>
      <c r="D486" s="107">
        <v>3827</v>
      </c>
      <c r="E486" s="107">
        <v>3785</v>
      </c>
      <c r="F486" s="107">
        <v>0.28137384412153199</v>
      </c>
      <c r="G486" s="107">
        <v>0.31955039891797599</v>
      </c>
      <c r="H486" s="107">
        <v>2.1406818493617599E-2</v>
      </c>
      <c r="I486" s="107">
        <v>-1.7833829351066901</v>
      </c>
      <c r="J486" s="107">
        <v>-13.57</v>
      </c>
      <c r="K486" s="107">
        <v>0.35197463468039403</v>
      </c>
      <c r="L486" s="107">
        <v>0.11583976965965601</v>
      </c>
      <c r="M486" s="107">
        <v>0.42291952754163797</v>
      </c>
      <c r="N486" s="107">
        <v>8.3676149679936404E-2</v>
      </c>
    </row>
    <row r="487" spans="1:14">
      <c r="A487" s="14">
        <v>43150</v>
      </c>
      <c r="B487" s="107">
        <v>1053</v>
      </c>
      <c r="C487" s="107">
        <v>1066</v>
      </c>
      <c r="D487" s="107">
        <v>3798</v>
      </c>
      <c r="E487" s="107">
        <v>3851</v>
      </c>
      <c r="F487" s="107">
        <v>0.27681121786548901</v>
      </c>
      <c r="G487" s="107">
        <v>0.32062529366603898</v>
      </c>
      <c r="H487" s="107">
        <v>2.14867360656661E-2</v>
      </c>
      <c r="I487" s="107">
        <v>-2.0391219804929301</v>
      </c>
      <c r="J487" s="107">
        <v>-15.83</v>
      </c>
      <c r="K487" s="107">
        <v>0.33933403209028301</v>
      </c>
      <c r="L487" s="107">
        <v>0.22312111289044001</v>
      </c>
      <c r="M487" s="107">
        <v>0.44327225655255498</v>
      </c>
      <c r="N487" s="107">
        <v>2.0094556698704399E-2</v>
      </c>
    </row>
    <row r="488" spans="1:14">
      <c r="A488" s="14">
        <v>43147</v>
      </c>
      <c r="B488" s="107">
        <v>1024</v>
      </c>
      <c r="C488" s="107">
        <v>1036</v>
      </c>
      <c r="D488" s="107">
        <v>3779</v>
      </c>
      <c r="E488" s="107">
        <v>3774</v>
      </c>
      <c r="F488" s="107">
        <v>0.27450980392156799</v>
      </c>
      <c r="G488" s="107">
        <v>0.32176534021764602</v>
      </c>
      <c r="H488" s="107">
        <v>2.1399951145892399E-2</v>
      </c>
      <c r="I488" s="107">
        <v>-2.2082076717800501</v>
      </c>
      <c r="J488" s="107">
        <v>-17.21</v>
      </c>
      <c r="K488" s="107">
        <v>0.30628152740548498</v>
      </c>
      <c r="L488" s="107">
        <v>0.115323043521169</v>
      </c>
      <c r="M488" s="107">
        <v>0.46615074198942802</v>
      </c>
      <c r="N488" s="107">
        <v>3.6125002914596102E-3</v>
      </c>
    </row>
    <row r="489" spans="1:14">
      <c r="A489" s="14">
        <v>43146</v>
      </c>
      <c r="B489" s="107">
        <v>1012</v>
      </c>
      <c r="C489" s="107">
        <v>1010</v>
      </c>
      <c r="D489" s="107">
        <v>3732</v>
      </c>
      <c r="E489" s="107">
        <v>3734</v>
      </c>
      <c r="F489" s="107">
        <v>0.27048741296197099</v>
      </c>
      <c r="G489" s="107">
        <v>0.32302493426933399</v>
      </c>
      <c r="H489" s="107">
        <v>2.13616252926687E-2</v>
      </c>
      <c r="I489" s="107">
        <v>-2.4594346444881299</v>
      </c>
      <c r="J489" s="107">
        <v>-19.420000000000002</v>
      </c>
      <c r="K489" s="107">
        <v>0.26046577841108498</v>
      </c>
      <c r="L489" s="107">
        <v>8.6852740985701796E-3</v>
      </c>
      <c r="M489" s="107">
        <v>0.49295697229240798</v>
      </c>
      <c r="N489" s="107">
        <v>4.3189142770128103E-3</v>
      </c>
    </row>
    <row r="490" spans="1:14">
      <c r="A490" s="14">
        <v>43145</v>
      </c>
      <c r="B490" s="107">
        <v>1022</v>
      </c>
      <c r="C490" s="107">
        <v>1019</v>
      </c>
      <c r="D490" s="107">
        <v>3735</v>
      </c>
      <c r="E490" s="107">
        <v>3687</v>
      </c>
      <c r="F490" s="107">
        <v>0.27637645782478898</v>
      </c>
      <c r="G490" s="107">
        <v>0.324342569412091</v>
      </c>
      <c r="H490" s="107">
        <v>2.1126866348473099E-2</v>
      </c>
      <c r="I490" s="107">
        <v>-2.2703845802843601</v>
      </c>
      <c r="J490" s="107">
        <v>-17.36</v>
      </c>
      <c r="K490" s="107">
        <v>0.179217575830943</v>
      </c>
      <c r="L490" s="15">
        <v>4.7918899610409703E-5</v>
      </c>
      <c r="M490" s="107">
        <v>0.51760341866741599</v>
      </c>
      <c r="N490" s="107">
        <v>1.3509461547222201E-3</v>
      </c>
    </row>
    <row r="491" spans="1:14">
      <c r="A491" s="14">
        <v>43144</v>
      </c>
      <c r="B491" s="107">
        <v>1047</v>
      </c>
      <c r="C491" s="107">
        <v>1020</v>
      </c>
      <c r="D491" s="107">
        <v>3798</v>
      </c>
      <c r="E491" s="107">
        <v>3730</v>
      </c>
      <c r="F491" s="107">
        <v>0.27345844504021399</v>
      </c>
      <c r="G491" s="107">
        <v>0.32557063938189901</v>
      </c>
      <c r="H491" s="107">
        <v>2.09794311706402E-2</v>
      </c>
      <c r="I491" s="107">
        <v>-2.4839660292893599</v>
      </c>
      <c r="J491" s="107">
        <v>-19.059999999999999</v>
      </c>
      <c r="K491" s="107">
        <v>9.9201994042543207E-2</v>
      </c>
      <c r="L491" s="15">
        <v>3.8697989233603797E-5</v>
      </c>
      <c r="M491" s="107">
        <v>0.54518877731319904</v>
      </c>
      <c r="N491" s="107">
        <v>1.9863184452817398E-3</v>
      </c>
    </row>
    <row r="492" spans="1:14">
      <c r="A492" s="14">
        <v>43140</v>
      </c>
      <c r="B492" s="107">
        <v>1043</v>
      </c>
      <c r="C492" s="107">
        <v>1045</v>
      </c>
      <c r="D492" s="107">
        <v>3751</v>
      </c>
      <c r="E492" s="107">
        <v>3795</v>
      </c>
      <c r="F492" s="107">
        <v>0.27536231884057899</v>
      </c>
      <c r="G492" s="107">
        <v>0.32689146571562999</v>
      </c>
      <c r="H492" s="107">
        <v>2.0774342303440201E-2</v>
      </c>
      <c r="I492" s="107">
        <v>-2.4804225386484</v>
      </c>
      <c r="J492" s="107">
        <v>-18.71</v>
      </c>
      <c r="K492" s="107">
        <v>4.8710605008321403E-2</v>
      </c>
      <c r="L492" s="15">
        <v>6.3651968746883606E-5</v>
      </c>
      <c r="M492" s="107">
        <v>0.57380346454942499</v>
      </c>
      <c r="N492" s="107">
        <v>5.2281385415746898E-3</v>
      </c>
    </row>
    <row r="493" spans="1:14">
      <c r="A493" s="14">
        <v>43139</v>
      </c>
      <c r="B493" s="107">
        <v>1084</v>
      </c>
      <c r="C493" s="107">
        <v>1081</v>
      </c>
      <c r="D493" s="107">
        <v>3884</v>
      </c>
      <c r="E493" s="107">
        <v>3873</v>
      </c>
      <c r="F493" s="107">
        <v>0.27911179963852301</v>
      </c>
      <c r="G493" s="107">
        <v>0.32810178192751899</v>
      </c>
      <c r="H493" s="107">
        <v>2.0377443634310401E-2</v>
      </c>
      <c r="I493" s="107">
        <v>-2.4041279744486301</v>
      </c>
      <c r="J493" s="107">
        <v>-17.55</v>
      </c>
      <c r="K493" s="107">
        <v>7.6570930814119198E-2</v>
      </c>
      <c r="L493" s="15">
        <v>5.1114348994300902E-11</v>
      </c>
      <c r="M493" s="107">
        <v>0.59755208100435397</v>
      </c>
      <c r="N493" s="107">
        <v>2.1189462832809898E-3</v>
      </c>
    </row>
    <row r="494" spans="1:14">
      <c r="A494" s="14">
        <v>43138</v>
      </c>
      <c r="B494" s="107">
        <v>1102</v>
      </c>
      <c r="C494" s="107">
        <v>1077</v>
      </c>
      <c r="D494" s="107">
        <v>3933</v>
      </c>
      <c r="E494" s="107">
        <v>3840</v>
      </c>
      <c r="F494" s="107">
        <v>0.28046874999999999</v>
      </c>
      <c r="G494" s="107">
        <v>0.329248201133582</v>
      </c>
      <c r="H494" s="107">
        <v>2.0004264384728999E-2</v>
      </c>
      <c r="I494" s="107">
        <v>-2.4384526316708501</v>
      </c>
      <c r="J494" s="107">
        <v>-17.39</v>
      </c>
      <c r="K494" s="107">
        <v>7.0279999458501496E-2</v>
      </c>
      <c r="L494" s="107">
        <v>0.92121752651754296</v>
      </c>
      <c r="M494" s="107">
        <v>0.62197207000676502</v>
      </c>
      <c r="N494" s="107">
        <v>3.0430251399788999E-2</v>
      </c>
    </row>
    <row r="495" spans="1:14">
      <c r="A495" s="14">
        <v>43137</v>
      </c>
      <c r="B495" s="107">
        <v>1152</v>
      </c>
      <c r="C495" s="107">
        <v>1132</v>
      </c>
      <c r="D495" s="107">
        <v>3831</v>
      </c>
      <c r="E495" s="107">
        <v>3810</v>
      </c>
      <c r="F495" s="107">
        <v>0.29711286089238798</v>
      </c>
      <c r="G495" s="107">
        <v>0.330344723237463</v>
      </c>
      <c r="H495" s="107">
        <v>1.9549163521900299E-2</v>
      </c>
      <c r="I495" s="107">
        <v>-1.69991223961301</v>
      </c>
      <c r="J495" s="107">
        <v>-11.18</v>
      </c>
      <c r="K495" s="107">
        <v>3.4422378682007398E-2</v>
      </c>
      <c r="L495" s="107">
        <v>0.93612535308720901</v>
      </c>
      <c r="M495" s="107">
        <v>0.63468160049419198</v>
      </c>
      <c r="N495" s="107">
        <v>0.118004585574902</v>
      </c>
    </row>
    <row r="496" spans="1:14">
      <c r="A496" s="14">
        <v>43136</v>
      </c>
      <c r="B496" s="107">
        <v>1201</v>
      </c>
      <c r="C496" s="107">
        <v>1200</v>
      </c>
      <c r="D496" s="107">
        <v>3983</v>
      </c>
      <c r="E496" s="107">
        <v>3971</v>
      </c>
      <c r="F496" s="107">
        <v>0.30219088390833498</v>
      </c>
      <c r="G496" s="107">
        <v>0.33124988509223102</v>
      </c>
      <c r="H496" s="107">
        <v>1.95611578608446E-2</v>
      </c>
      <c r="I496" s="107">
        <v>-1.4855460699523699</v>
      </c>
      <c r="J496" s="107">
        <v>-9.6199999999999992</v>
      </c>
      <c r="K496" s="107">
        <v>5.1865873872408E-2</v>
      </c>
      <c r="L496" s="107">
        <v>0.939625063514132</v>
      </c>
      <c r="M496" s="107">
        <v>0.64151718741414199</v>
      </c>
      <c r="N496" s="107">
        <v>0.18067546950442501</v>
      </c>
    </row>
    <row r="497" spans="1:14">
      <c r="A497" s="14">
        <v>43133</v>
      </c>
      <c r="B497" s="107">
        <v>1221</v>
      </c>
      <c r="C497" s="107">
        <v>1224</v>
      </c>
      <c r="D497" s="107">
        <v>3858</v>
      </c>
      <c r="E497" s="107">
        <v>3890</v>
      </c>
      <c r="F497" s="107">
        <v>0.3146529562982</v>
      </c>
      <c r="G497" s="107">
        <v>0.33212570233936201</v>
      </c>
      <c r="H497" s="107">
        <v>1.9710410471167599E-2</v>
      </c>
      <c r="I497" s="107">
        <v>-0.88647296649254803</v>
      </c>
      <c r="J497" s="107">
        <v>-5.55</v>
      </c>
      <c r="K497" s="107">
        <v>5.7064616417894697E-2</v>
      </c>
      <c r="L497" s="107">
        <v>0.88122128379961895</v>
      </c>
      <c r="M497" s="107">
        <v>0.64238097965887497</v>
      </c>
      <c r="N497" s="107">
        <v>0.26326696086066198</v>
      </c>
    </row>
    <row r="498" spans="1:14">
      <c r="A498" s="14">
        <v>43132</v>
      </c>
      <c r="B498" s="107">
        <v>1223</v>
      </c>
      <c r="C498" s="107">
        <v>1236</v>
      </c>
      <c r="D498" s="107">
        <v>3850</v>
      </c>
      <c r="E498" s="107">
        <v>3859</v>
      </c>
      <c r="F498" s="107">
        <v>0.32029023062969603</v>
      </c>
      <c r="G498" s="107">
        <v>0.33280265127935599</v>
      </c>
      <c r="H498" s="107">
        <v>1.99688556833835E-2</v>
      </c>
      <c r="I498" s="107">
        <v>-0.62659677890664101</v>
      </c>
      <c r="J498" s="107">
        <v>-3.91</v>
      </c>
      <c r="K498" s="107">
        <v>1.9506918470592199E-2</v>
      </c>
      <c r="L498" s="107">
        <v>0.38703602814864702</v>
      </c>
      <c r="M498" s="107">
        <v>0.64033700978740304</v>
      </c>
      <c r="N498" s="107">
        <v>0.29620692092058798</v>
      </c>
    </row>
    <row r="499" spans="1:14">
      <c r="A499" s="14">
        <v>43131</v>
      </c>
      <c r="B499" s="107">
        <v>1214</v>
      </c>
      <c r="C499" s="107">
        <v>1211</v>
      </c>
      <c r="D499" s="107">
        <v>3890</v>
      </c>
      <c r="E499" s="107">
        <v>3826</v>
      </c>
      <c r="F499" s="107">
        <v>0.31651855723993699</v>
      </c>
      <c r="G499" s="107">
        <v>0.33343263432602199</v>
      </c>
      <c r="H499" s="107">
        <v>2.0306624309129901E-2</v>
      </c>
      <c r="I499" s="107">
        <v>-0.83293396423751598</v>
      </c>
      <c r="J499" s="107">
        <v>-5.34</v>
      </c>
      <c r="K499" s="107">
        <v>-6.9578789361066901E-2</v>
      </c>
      <c r="L499" s="107">
        <v>0.28803113465536001</v>
      </c>
      <c r="M499" s="107">
        <v>0.64140552870360601</v>
      </c>
      <c r="N499" s="107">
        <v>0.22798310728559801</v>
      </c>
    </row>
    <row r="500" spans="1:14">
      <c r="A500" s="14">
        <v>43130</v>
      </c>
      <c r="B500" s="107">
        <v>1231</v>
      </c>
      <c r="C500" s="107">
        <v>1215</v>
      </c>
      <c r="D500" s="107">
        <v>3958</v>
      </c>
      <c r="E500" s="107">
        <v>3925</v>
      </c>
      <c r="F500" s="107">
        <v>0.30955414012738802</v>
      </c>
      <c r="G500" s="107">
        <v>0.334146307601002</v>
      </c>
      <c r="H500" s="107">
        <v>2.06375174735406E-2</v>
      </c>
      <c r="I500" s="107">
        <v>-1.1916243077755699</v>
      </c>
      <c r="J500" s="107">
        <v>-7.94</v>
      </c>
      <c r="K500" s="107">
        <v>-0.107401622074694</v>
      </c>
      <c r="L500" s="107">
        <v>0.19202860888713899</v>
      </c>
      <c r="M500" s="107">
        <v>0.64329676262277502</v>
      </c>
      <c r="N500" s="107">
        <v>0.28896384047895801</v>
      </c>
    </row>
    <row r="501" spans="1:14">
      <c r="A501" s="14">
        <v>43129</v>
      </c>
      <c r="B501" s="107">
        <v>1218</v>
      </c>
      <c r="C501" s="107">
        <v>1231</v>
      </c>
      <c r="D501" s="107">
        <v>3922</v>
      </c>
      <c r="E501" s="107">
        <v>3947</v>
      </c>
      <c r="F501" s="107">
        <v>0.31188244236128698</v>
      </c>
      <c r="G501" s="107">
        <v>0.334888825791547</v>
      </c>
      <c r="H501" s="107">
        <v>2.0740914289538798E-2</v>
      </c>
      <c r="I501" s="107">
        <v>-1.1092270624667899</v>
      </c>
      <c r="J501" s="107">
        <v>-7.38</v>
      </c>
      <c r="K501" s="107">
        <v>-0.14411249104148199</v>
      </c>
      <c r="L501" s="107">
        <v>0.18616354184169301</v>
      </c>
      <c r="M501" s="107">
        <v>0.64146047406388595</v>
      </c>
      <c r="N501" s="107">
        <v>0.338697297689045</v>
      </c>
    </row>
    <row r="502" spans="1:14">
      <c r="A502" s="14">
        <v>43126</v>
      </c>
      <c r="B502" s="107">
        <v>1230</v>
      </c>
      <c r="C502" s="107">
        <v>1226</v>
      </c>
      <c r="D502" s="107">
        <v>3950</v>
      </c>
      <c r="E502" s="107">
        <v>3933</v>
      </c>
      <c r="F502" s="107">
        <v>0.31172133231629801</v>
      </c>
      <c r="G502" s="107">
        <v>0.33554345894888699</v>
      </c>
      <c r="H502" s="107">
        <v>2.0779228593696599E-2</v>
      </c>
      <c r="I502" s="107">
        <v>-1.14643941304999</v>
      </c>
      <c r="J502" s="107">
        <v>-7.64</v>
      </c>
      <c r="K502" s="107">
        <v>-0.161690592037916</v>
      </c>
      <c r="L502" s="107">
        <v>0.156099410186569</v>
      </c>
      <c r="M502" s="107">
        <v>0.63992107054319702</v>
      </c>
      <c r="N502" s="107">
        <v>0.350082161819045</v>
      </c>
    </row>
    <row r="503" spans="1:14">
      <c r="A503" s="14">
        <v>43125</v>
      </c>
      <c r="B503" s="107">
        <v>1229</v>
      </c>
      <c r="C503" s="107">
        <v>1226</v>
      </c>
      <c r="D503" s="107">
        <v>3943</v>
      </c>
      <c r="E503" s="107">
        <v>3942</v>
      </c>
      <c r="F503" s="107">
        <v>0.31100963977676299</v>
      </c>
      <c r="G503" s="107">
        <v>0.33622199153086102</v>
      </c>
      <c r="H503" s="107">
        <v>2.0821100863309499E-2</v>
      </c>
      <c r="I503" s="107">
        <v>-1.2109038767747</v>
      </c>
      <c r="J503" s="107">
        <v>-8.11</v>
      </c>
      <c r="K503" s="107">
        <v>-0.166438187391103</v>
      </c>
      <c r="L503" s="107">
        <v>0.16528590276875199</v>
      </c>
      <c r="M503" s="107">
        <v>0.63748215223830995</v>
      </c>
      <c r="N503" s="107">
        <v>0.42452051274118302</v>
      </c>
    </row>
    <row r="504" spans="1:14">
      <c r="A504" s="14">
        <v>43124</v>
      </c>
      <c r="B504" s="107">
        <v>1240</v>
      </c>
      <c r="C504" s="107">
        <v>1240</v>
      </c>
      <c r="D504" s="107">
        <v>4025</v>
      </c>
      <c r="E504" s="107">
        <v>3994</v>
      </c>
      <c r="F504" s="107">
        <v>0.31046569854782102</v>
      </c>
      <c r="G504" s="107">
        <v>0.33688180985612898</v>
      </c>
      <c r="H504" s="107">
        <v>2.0795762890400901E-2</v>
      </c>
      <c r="I504" s="107">
        <v>-1.2702641132968899</v>
      </c>
      <c r="J504" s="107">
        <v>-8.51</v>
      </c>
      <c r="K504" s="107">
        <v>-0.19276444692892999</v>
      </c>
      <c r="L504" s="107">
        <v>0.173597122048184</v>
      </c>
      <c r="M504" s="107">
        <v>0.63254153898203702</v>
      </c>
      <c r="N504" s="107">
        <v>0.54044033407454495</v>
      </c>
    </row>
    <row r="505" spans="1:14">
      <c r="A505" s="14">
        <v>43123</v>
      </c>
      <c r="B505" s="107">
        <v>1232</v>
      </c>
      <c r="C505" s="107">
        <v>1240</v>
      </c>
      <c r="D505" s="107">
        <v>3993</v>
      </c>
      <c r="E505" s="107">
        <v>4052</v>
      </c>
      <c r="F505" s="107">
        <v>0.30602171767028602</v>
      </c>
      <c r="G505" s="107">
        <v>0.33756614780583899</v>
      </c>
      <c r="H505" s="107">
        <v>2.0759677817016198E-2</v>
      </c>
      <c r="I505" s="107">
        <v>-1.51950480222277</v>
      </c>
      <c r="J505" s="107">
        <v>-10.31</v>
      </c>
      <c r="K505" s="107">
        <v>-0.21667769179432</v>
      </c>
      <c r="L505" s="107">
        <v>0.17122079464495801</v>
      </c>
      <c r="M505" s="107">
        <v>0.62731976340653095</v>
      </c>
      <c r="N505" s="107">
        <v>0.70947058260460305</v>
      </c>
    </row>
    <row r="506" spans="1:14">
      <c r="A506" s="14">
        <v>43122</v>
      </c>
      <c r="B506" s="107">
        <v>1225</v>
      </c>
      <c r="C506" s="107">
        <v>1234</v>
      </c>
      <c r="D506" s="107">
        <v>4000</v>
      </c>
      <c r="E506" s="107">
        <v>3980</v>
      </c>
      <c r="F506" s="107">
        <v>0.310050251256281</v>
      </c>
      <c r="G506" s="107">
        <v>0.33833979981353302</v>
      </c>
      <c r="H506" s="107">
        <v>2.0650597313421299E-2</v>
      </c>
      <c r="I506" s="107">
        <v>-1.3699142997120899</v>
      </c>
      <c r="J506" s="107">
        <v>-9.1199999999999992</v>
      </c>
      <c r="K506" s="107">
        <v>-0.22481451006998701</v>
      </c>
      <c r="L506" s="107">
        <v>0.14750007691370001</v>
      </c>
      <c r="M506" s="107">
        <v>0.62151898967266395</v>
      </c>
      <c r="N506" s="107">
        <v>0.66515445671817097</v>
      </c>
    </row>
    <row r="507" spans="1:14">
      <c r="A507" s="14">
        <v>43119</v>
      </c>
      <c r="B507" s="107">
        <v>1222</v>
      </c>
      <c r="C507" s="107">
        <v>1227</v>
      </c>
      <c r="D507" s="107">
        <v>3993</v>
      </c>
      <c r="E507" s="107">
        <v>4003</v>
      </c>
      <c r="F507" s="107">
        <v>0.30652010991756101</v>
      </c>
      <c r="G507" s="107">
        <v>0.339036254524127</v>
      </c>
      <c r="H507" s="107">
        <v>2.05654085498874E-2</v>
      </c>
      <c r="I507" s="107">
        <v>-1.5811086138983499</v>
      </c>
      <c r="J507" s="107">
        <v>-10.61</v>
      </c>
      <c r="K507" s="107">
        <v>-0.22370132850278701</v>
      </c>
      <c r="L507" s="107">
        <v>0.14082948982136001</v>
      </c>
      <c r="M507" s="107">
        <v>0.61673316040302695</v>
      </c>
      <c r="N507" s="107">
        <v>0.64569624464828101</v>
      </c>
    </row>
    <row r="508" spans="1:14">
      <c r="A508" s="14">
        <v>43118</v>
      </c>
      <c r="B508" s="107">
        <v>1259</v>
      </c>
      <c r="C508" s="107">
        <v>1227</v>
      </c>
      <c r="D508" s="107">
        <v>4037</v>
      </c>
      <c r="E508" s="107">
        <v>3977</v>
      </c>
      <c r="F508" s="107">
        <v>0.30852401307518201</v>
      </c>
      <c r="G508" s="107">
        <v>0.33968396492498798</v>
      </c>
      <c r="H508" s="107">
        <v>2.0294311202871802E-2</v>
      </c>
      <c r="I508" s="107">
        <v>-1.5354032732777201</v>
      </c>
      <c r="J508" s="107">
        <v>-10.1</v>
      </c>
      <c r="K508" s="107">
        <v>-0.20896178927711401</v>
      </c>
      <c r="L508" s="107">
        <v>0.167524082237344</v>
      </c>
      <c r="M508" s="107">
        <v>0.61148140241744997</v>
      </c>
      <c r="N508" s="107">
        <v>0.71842996398254499</v>
      </c>
    </row>
    <row r="509" spans="1:14">
      <c r="A509" s="14">
        <v>43117</v>
      </c>
      <c r="B509" s="107">
        <v>1257</v>
      </c>
      <c r="C509" s="107">
        <v>1251</v>
      </c>
      <c r="D509" s="107">
        <v>3989</v>
      </c>
      <c r="E509" s="107">
        <v>4019</v>
      </c>
      <c r="F509" s="107">
        <v>0.31127146056232802</v>
      </c>
      <c r="G509" s="107">
        <v>0.34034015268716</v>
      </c>
      <c r="H509" s="107">
        <v>2.0070590552203199E-2</v>
      </c>
      <c r="I509" s="107">
        <v>-1.4483227112438199</v>
      </c>
      <c r="J509" s="107">
        <v>-9.34</v>
      </c>
      <c r="K509" s="107">
        <v>-0.19581646079310899</v>
      </c>
      <c r="L509" s="107">
        <v>0.17568923224419</v>
      </c>
      <c r="M509" s="107">
        <v>0.60550346151871803</v>
      </c>
      <c r="N509" s="107">
        <v>0.74238623172020402</v>
      </c>
    </row>
    <row r="510" spans="1:14">
      <c r="A510" s="14">
        <v>43116</v>
      </c>
      <c r="B510" s="107">
        <v>1250</v>
      </c>
      <c r="C510" s="107">
        <v>1256</v>
      </c>
      <c r="D510" s="107">
        <v>3983</v>
      </c>
      <c r="E510" s="107">
        <v>3989</v>
      </c>
      <c r="F510" s="107">
        <v>0.314865881173226</v>
      </c>
      <c r="G510" s="107">
        <v>0.340944972633975</v>
      </c>
      <c r="H510" s="107">
        <v>1.9867956258789701E-2</v>
      </c>
      <c r="I510" s="107">
        <v>-1.31262074070712</v>
      </c>
      <c r="J510" s="107">
        <v>-8.2799999999999994</v>
      </c>
      <c r="K510" s="107">
        <v>-0.175704974288037</v>
      </c>
      <c r="L510" s="107">
        <v>0.19655460166073799</v>
      </c>
      <c r="M510" s="107">
        <v>0.60011603002233005</v>
      </c>
      <c r="N510" s="107">
        <v>0.73070322961280298</v>
      </c>
    </row>
    <row r="511" spans="1:14">
      <c r="A511" s="14">
        <v>43115</v>
      </c>
      <c r="B511" s="107">
        <v>1264</v>
      </c>
      <c r="C511" s="107">
        <v>1254</v>
      </c>
      <c r="D511" s="107">
        <v>4000</v>
      </c>
      <c r="E511" s="107">
        <v>3981</v>
      </c>
      <c r="F511" s="107">
        <v>0.31499623210248601</v>
      </c>
      <c r="G511" s="107">
        <v>0.34148025332732201</v>
      </c>
      <c r="H511" s="107">
        <v>1.9698205469352199E-2</v>
      </c>
      <c r="I511" s="107">
        <v>-1.3444890330767001</v>
      </c>
      <c r="J511" s="107">
        <v>-8.41</v>
      </c>
      <c r="K511" s="107">
        <v>-0.15147287085248701</v>
      </c>
      <c r="L511" s="107">
        <v>0.20774076880529699</v>
      </c>
      <c r="M511" s="107">
        <v>0.59381385435353196</v>
      </c>
      <c r="N511" s="107">
        <v>0.71421540551501494</v>
      </c>
    </row>
    <row r="512" spans="1:14">
      <c r="A512" s="14">
        <v>43112</v>
      </c>
      <c r="B512" s="107">
        <v>1264</v>
      </c>
      <c r="C512" s="107">
        <v>1259</v>
      </c>
      <c r="D512" s="107">
        <v>4005</v>
      </c>
      <c r="E512" s="107">
        <v>3968</v>
      </c>
      <c r="F512" s="107">
        <v>0.31728830645161199</v>
      </c>
      <c r="G512" s="107">
        <v>0.34203963509802798</v>
      </c>
      <c r="H512" s="107">
        <v>1.9533180252482001E-2</v>
      </c>
      <c r="I512" s="107">
        <v>-1.2671427963334501</v>
      </c>
      <c r="J512" s="107">
        <v>-7.8</v>
      </c>
      <c r="K512" s="107">
        <v>-0.13821247304753601</v>
      </c>
      <c r="L512" s="107">
        <v>0.19778675838076001</v>
      </c>
      <c r="M512" s="107">
        <v>0.58814556920134597</v>
      </c>
      <c r="N512" s="107">
        <v>0.643553112108874</v>
      </c>
    </row>
    <row r="513" spans="1:14">
      <c r="A513" s="14">
        <v>43111</v>
      </c>
      <c r="B513" s="107">
        <v>1252</v>
      </c>
      <c r="C513" s="107">
        <v>1264</v>
      </c>
      <c r="D513" s="107">
        <v>4035</v>
      </c>
      <c r="E513" s="107">
        <v>4026</v>
      </c>
      <c r="F513" s="107">
        <v>0.31395926477893599</v>
      </c>
      <c r="G513" s="107">
        <v>0.34262282021643797</v>
      </c>
      <c r="H513" s="107">
        <v>1.9438201537533999E-2</v>
      </c>
      <c r="I513" s="107">
        <v>-1.47459914859681</v>
      </c>
      <c r="J513" s="107">
        <v>-9.1300000000000008</v>
      </c>
      <c r="K513" s="107">
        <v>-0.13360680137686801</v>
      </c>
      <c r="L513" s="107">
        <v>0.199497334054064</v>
      </c>
      <c r="M513" s="107">
        <v>0.58145882002214999</v>
      </c>
      <c r="N513" s="107">
        <v>0.671445713939963</v>
      </c>
    </row>
    <row r="514" spans="1:14">
      <c r="A514" s="14">
        <v>43110</v>
      </c>
      <c r="B514" s="107">
        <v>1262</v>
      </c>
      <c r="C514" s="107">
        <v>1262</v>
      </c>
      <c r="D514" s="107">
        <v>4035</v>
      </c>
      <c r="E514" s="107">
        <v>4102</v>
      </c>
      <c r="F514" s="107">
        <v>0.30765480253534799</v>
      </c>
      <c r="G514" s="107">
        <v>0.34323329656461898</v>
      </c>
      <c r="H514" s="107">
        <v>1.9246434870385701E-2</v>
      </c>
      <c r="I514" s="107">
        <v>-1.84857581515082</v>
      </c>
      <c r="J514" s="107">
        <v>-11.56</v>
      </c>
      <c r="K514" s="107">
        <v>-0.13720128056400599</v>
      </c>
      <c r="L514" s="107">
        <v>0.19086584865338399</v>
      </c>
      <c r="M514" s="107">
        <v>0.57668430938587101</v>
      </c>
      <c r="N514" s="107">
        <v>0.64135955859036098</v>
      </c>
    </row>
    <row r="515" spans="1:14">
      <c r="A515" s="14">
        <v>43109</v>
      </c>
      <c r="B515" s="107">
        <v>1272</v>
      </c>
      <c r="C515" s="107">
        <v>1264</v>
      </c>
      <c r="D515" s="107">
        <v>4042</v>
      </c>
      <c r="E515" s="107">
        <v>4010</v>
      </c>
      <c r="F515" s="107">
        <v>0.315211970074812</v>
      </c>
      <c r="G515" s="107">
        <v>0.34393041075372099</v>
      </c>
      <c r="H515" s="107">
        <v>1.88886832639691E-2</v>
      </c>
      <c r="I515" s="107">
        <v>-1.52040458710481</v>
      </c>
      <c r="J515" s="107">
        <v>-9.11</v>
      </c>
      <c r="K515" s="107">
        <v>-0.15003587188853101</v>
      </c>
      <c r="L515" s="107">
        <v>0.16725964446982999</v>
      </c>
      <c r="M515" s="107">
        <v>0.57133050026610799</v>
      </c>
      <c r="N515" s="107">
        <v>0.62615936070823097</v>
      </c>
    </row>
    <row r="516" spans="1:14">
      <c r="A516" s="14">
        <v>43105</v>
      </c>
      <c r="B516" s="107">
        <v>1269</v>
      </c>
      <c r="C516" s="107">
        <v>1270</v>
      </c>
      <c r="D516" s="107">
        <v>4000</v>
      </c>
      <c r="E516" s="107">
        <v>4021</v>
      </c>
      <c r="F516" s="107">
        <v>0.31584183039045</v>
      </c>
      <c r="G516" s="107">
        <v>0.34453272544791402</v>
      </c>
      <c r="H516" s="107">
        <v>1.8682430760967299E-2</v>
      </c>
      <c r="I516" s="107">
        <v>-1.5357153158788901</v>
      </c>
      <c r="J516" s="107">
        <v>-9.08</v>
      </c>
      <c r="K516" s="107">
        <v>-0.15120805511962901</v>
      </c>
      <c r="L516" s="107">
        <v>0.195521767909966</v>
      </c>
      <c r="M516" s="107">
        <v>0.56483672135004903</v>
      </c>
      <c r="N516" s="107">
        <v>0.61668520035762997</v>
      </c>
    </row>
    <row r="517" spans="1:14">
      <c r="A517" s="14">
        <v>43104</v>
      </c>
      <c r="B517" s="107">
        <v>1257</v>
      </c>
      <c r="C517" s="107">
        <v>1259</v>
      </c>
      <c r="D517" s="107">
        <v>3925</v>
      </c>
      <c r="E517" s="107">
        <v>3986</v>
      </c>
      <c r="F517" s="107">
        <v>0.31585549422980402</v>
      </c>
      <c r="G517" s="107">
        <v>0.34515680247216801</v>
      </c>
      <c r="H517" s="107">
        <v>1.84944180795166E-2</v>
      </c>
      <c r="I517" s="107">
        <v>-1.58433253300444</v>
      </c>
      <c r="J517" s="107">
        <v>-9.2799999999999994</v>
      </c>
      <c r="K517" s="107">
        <v>-0.122638537576277</v>
      </c>
      <c r="L517" s="107">
        <v>0.256810222400918</v>
      </c>
      <c r="M517" s="107">
        <v>0.55900286745522598</v>
      </c>
      <c r="N517" s="107">
        <v>0.59515441336317598</v>
      </c>
    </row>
    <row r="518" spans="1:14">
      <c r="A518" s="14">
        <v>43098</v>
      </c>
      <c r="B518" s="107">
        <v>1240</v>
      </c>
      <c r="C518" s="107">
        <v>1240</v>
      </c>
      <c r="D518" s="107">
        <v>3860</v>
      </c>
      <c r="E518" s="107">
        <v>3862</v>
      </c>
      <c r="F518" s="107">
        <v>0.32107716209218001</v>
      </c>
      <c r="G518" s="107">
        <v>0.34577182833747699</v>
      </c>
      <c r="H518" s="107">
        <v>1.8275458393621501E-2</v>
      </c>
      <c r="I518" s="107">
        <v>-1.3512474332198201</v>
      </c>
      <c r="J518" s="107">
        <v>-7.69</v>
      </c>
      <c r="K518" s="107">
        <v>-5.9143127507978203E-3</v>
      </c>
      <c r="L518" s="107">
        <v>0.31512563122729098</v>
      </c>
      <c r="M518" s="107">
        <v>0.55083826215917997</v>
      </c>
      <c r="N518" s="107">
        <v>0.62559645414869203</v>
      </c>
    </row>
    <row r="519" spans="1:14">
      <c r="A519" s="14">
        <v>43097</v>
      </c>
      <c r="B519" s="107">
        <v>1245</v>
      </c>
      <c r="C519" s="107">
        <v>1239</v>
      </c>
      <c r="D519" s="107">
        <v>3893</v>
      </c>
      <c r="E519" s="107">
        <v>3866</v>
      </c>
      <c r="F519" s="107">
        <v>0.32048629073978202</v>
      </c>
      <c r="G519" s="107">
        <v>0.346359881480298</v>
      </c>
      <c r="H519" s="107">
        <v>1.8180718033508E-2</v>
      </c>
      <c r="I519" s="107">
        <v>-1.4231336019198599</v>
      </c>
      <c r="J519" s="107">
        <v>-8.07</v>
      </c>
      <c r="K519" s="107">
        <v>4.0834415845825402E-2</v>
      </c>
      <c r="L519" s="107">
        <v>0.32674120146031199</v>
      </c>
      <c r="M519" s="107">
        <v>0.54744695458381298</v>
      </c>
      <c r="N519" s="107">
        <v>0.62184983233880897</v>
      </c>
    </row>
    <row r="520" spans="1:14">
      <c r="A520" s="14">
        <v>43096</v>
      </c>
      <c r="B520" s="107">
        <v>1243</v>
      </c>
      <c r="C520" s="107">
        <v>1243</v>
      </c>
      <c r="D520" s="107">
        <v>3886</v>
      </c>
      <c r="E520" s="107">
        <v>3895</v>
      </c>
      <c r="F520" s="107">
        <v>0.31912708600770201</v>
      </c>
      <c r="G520" s="107">
        <v>0.34698141063308402</v>
      </c>
      <c r="H520" s="107">
        <v>1.8082096516814299E-2</v>
      </c>
      <c r="I520" s="107">
        <v>-1.5404366744464799</v>
      </c>
      <c r="J520" s="107">
        <v>-8.73</v>
      </c>
      <c r="K520" s="107">
        <v>7.5570214558666096E-2</v>
      </c>
      <c r="L520" s="107">
        <v>0.31703638119055699</v>
      </c>
      <c r="M520" s="107">
        <v>0.54425879559365598</v>
      </c>
      <c r="N520" s="107">
        <v>0.56559586028237097</v>
      </c>
    </row>
    <row r="521" spans="1:14">
      <c r="A521" s="14">
        <v>43095</v>
      </c>
      <c r="B521" s="107">
        <v>1246</v>
      </c>
      <c r="C521" s="107">
        <v>1243</v>
      </c>
      <c r="D521" s="107">
        <v>3922</v>
      </c>
      <c r="E521" s="107">
        <v>3910</v>
      </c>
      <c r="F521" s="107">
        <v>0.31790281329923198</v>
      </c>
      <c r="G521" s="107">
        <v>0.34761541605554702</v>
      </c>
      <c r="H521" s="107">
        <v>1.7927294317410001E-2</v>
      </c>
      <c r="I521" s="107">
        <v>-1.6573947094436301</v>
      </c>
      <c r="J521" s="107">
        <v>-9.35</v>
      </c>
      <c r="K521" s="107">
        <v>0.12857016321522699</v>
      </c>
      <c r="L521" s="107">
        <v>0.432475435025443</v>
      </c>
      <c r="M521" s="107">
        <v>0.54068101105472299</v>
      </c>
      <c r="N521" s="107">
        <v>0.59125957921327799</v>
      </c>
    </row>
    <row r="522" spans="1:14">
      <c r="A522" s="14">
        <v>43094</v>
      </c>
      <c r="B522" s="107">
        <v>1255</v>
      </c>
      <c r="C522" s="107">
        <v>1246</v>
      </c>
      <c r="D522" s="107">
        <v>3898</v>
      </c>
      <c r="E522" s="107">
        <v>3929</v>
      </c>
      <c r="F522" s="107">
        <v>0.31712904046831197</v>
      </c>
      <c r="G522" s="107">
        <v>0.34833059857124099</v>
      </c>
      <c r="H522" s="107">
        <v>1.7797134034577399E-2</v>
      </c>
      <c r="I522" s="107">
        <v>-1.75317880071634</v>
      </c>
      <c r="J522" s="107">
        <v>-9.84</v>
      </c>
      <c r="K522" s="107">
        <v>0.167534957587884</v>
      </c>
      <c r="L522" s="107">
        <v>0.39218582761920501</v>
      </c>
      <c r="M522" s="107">
        <v>0.53570219066302405</v>
      </c>
      <c r="N522" s="107">
        <v>0.66476747021758997</v>
      </c>
    </row>
    <row r="523" spans="1:14">
      <c r="A523" s="14">
        <v>43091</v>
      </c>
      <c r="B523" s="107">
        <v>1232</v>
      </c>
      <c r="C523" s="107">
        <v>1249</v>
      </c>
      <c r="D523" s="107">
        <v>3894</v>
      </c>
      <c r="E523" s="107">
        <v>3899</v>
      </c>
      <c r="F523" s="107">
        <v>0.320338548345729</v>
      </c>
      <c r="G523" s="107">
        <v>0.34900898270945202</v>
      </c>
      <c r="H523" s="107">
        <v>1.7563025608361899E-2</v>
      </c>
      <c r="I523" s="107">
        <v>-1.6324313932601799</v>
      </c>
      <c r="J523" s="107">
        <v>-8.9499999999999993</v>
      </c>
      <c r="K523" s="107">
        <v>0.20175177863830901</v>
      </c>
      <c r="L523" s="107">
        <v>0.39386252892650703</v>
      </c>
      <c r="M523" s="107">
        <v>0.53560526355898197</v>
      </c>
      <c r="N523" s="107">
        <v>0.64907634180316198</v>
      </c>
    </row>
    <row r="524" spans="1:14">
      <c r="A524" s="14">
        <v>43090</v>
      </c>
      <c r="B524" s="107">
        <v>1232</v>
      </c>
      <c r="C524" s="107">
        <v>1236</v>
      </c>
      <c r="D524" s="107">
        <v>3895</v>
      </c>
      <c r="E524" s="107">
        <v>3894</v>
      </c>
      <c r="F524" s="107">
        <v>0.31741140215716401</v>
      </c>
      <c r="G524" s="107">
        <v>0.34963834851292902</v>
      </c>
      <c r="H524" s="107">
        <v>1.7369023688183102E-2</v>
      </c>
      <c r="I524" s="107">
        <v>-1.8554264726859899</v>
      </c>
      <c r="J524" s="107">
        <v>-10.15</v>
      </c>
      <c r="K524" s="107">
        <v>0.24896731109835901</v>
      </c>
      <c r="L524" s="107">
        <v>0.41379003882906601</v>
      </c>
      <c r="M524" s="107">
        <v>0.53139397421217305</v>
      </c>
      <c r="N524" s="107">
        <v>0.59659263927184203</v>
      </c>
    </row>
    <row r="525" spans="1:14">
      <c r="A525" s="14">
        <v>43089</v>
      </c>
      <c r="B525" s="107">
        <v>1222</v>
      </c>
      <c r="C525" s="107">
        <v>1230</v>
      </c>
      <c r="D525" s="107">
        <v>3926</v>
      </c>
      <c r="E525" s="107">
        <v>3890</v>
      </c>
      <c r="F525" s="107">
        <v>0.31619537275064202</v>
      </c>
      <c r="G525" s="107">
        <v>0.35014779855135097</v>
      </c>
      <c r="H525" s="107">
        <v>1.6972119992631599E-2</v>
      </c>
      <c r="I525" s="107">
        <v>-2.0004823095434499</v>
      </c>
      <c r="J525" s="107">
        <v>-10.74</v>
      </c>
      <c r="K525" s="107">
        <v>0.300765296002872</v>
      </c>
      <c r="L525" s="107">
        <v>0.38254107520098202</v>
      </c>
      <c r="M525" s="107">
        <v>0.52364728152975604</v>
      </c>
      <c r="N525" s="107">
        <v>0.77402122739595303</v>
      </c>
    </row>
    <row r="526" spans="1:14">
      <c r="A526" s="14">
        <v>43088</v>
      </c>
      <c r="B526" s="107">
        <v>1226</v>
      </c>
      <c r="C526" s="107">
        <v>1225</v>
      </c>
      <c r="D526" s="107">
        <v>3838</v>
      </c>
      <c r="E526" s="107">
        <v>3889</v>
      </c>
      <c r="F526" s="107">
        <v>0.314991000257135</v>
      </c>
      <c r="G526" s="107">
        <v>0.35068789183948301</v>
      </c>
      <c r="H526" s="107">
        <v>1.6521614893656E-2</v>
      </c>
      <c r="I526" s="107">
        <v>-2.16061757958389</v>
      </c>
      <c r="J526" s="107">
        <v>-11.33</v>
      </c>
      <c r="K526" s="107">
        <v>0.353585598376844</v>
      </c>
      <c r="L526" s="107">
        <v>0.34292815649664699</v>
      </c>
      <c r="M526" s="107">
        <v>0.51664903739245105</v>
      </c>
      <c r="N526" s="107">
        <v>0.78977099551207697</v>
      </c>
    </row>
    <row r="527" spans="1:14">
      <c r="A527" s="14">
        <v>43087</v>
      </c>
      <c r="B527" s="107">
        <v>1206</v>
      </c>
      <c r="C527" s="107">
        <v>1224</v>
      </c>
      <c r="D527" s="107">
        <v>3808</v>
      </c>
      <c r="E527" s="107">
        <v>3830</v>
      </c>
      <c r="F527" s="107">
        <v>0.31958224543080899</v>
      </c>
      <c r="G527" s="107">
        <v>0.35132573113430099</v>
      </c>
      <c r="H527" s="107">
        <v>1.6047806138881699E-2</v>
      </c>
      <c r="I527" s="107">
        <v>-1.9780576502965901</v>
      </c>
      <c r="J527" s="107">
        <v>-9.93</v>
      </c>
      <c r="K527" s="107">
        <v>0.40441332056934098</v>
      </c>
      <c r="L527" s="107">
        <v>0.24482309969338101</v>
      </c>
      <c r="M527" s="107">
        <v>0.50860791642699499</v>
      </c>
      <c r="N527" s="107">
        <v>0.77865397281403803</v>
      </c>
    </row>
    <row r="528" spans="1:14">
      <c r="A528" s="14">
        <v>43084</v>
      </c>
      <c r="B528" s="107">
        <v>1221</v>
      </c>
      <c r="C528" s="107">
        <v>1200</v>
      </c>
      <c r="D528" s="107">
        <v>3800</v>
      </c>
      <c r="E528" s="107">
        <v>3782</v>
      </c>
      <c r="F528" s="107">
        <v>0.31729243786356398</v>
      </c>
      <c r="G528" s="107">
        <v>0.351858494177679</v>
      </c>
      <c r="H528" s="107">
        <v>1.5643288268082201E-2</v>
      </c>
      <c r="I528" s="107">
        <v>-2.2096413312693501</v>
      </c>
      <c r="J528" s="107">
        <v>-10.89</v>
      </c>
      <c r="K528" s="107">
        <v>0.44005634463265297</v>
      </c>
      <c r="L528" s="107">
        <v>0.32525689453899498</v>
      </c>
      <c r="M528" s="107">
        <v>0.50265633383976405</v>
      </c>
      <c r="N528" s="107">
        <v>0.79296484873196704</v>
      </c>
    </row>
    <row r="529" spans="1:14">
      <c r="A529" s="14">
        <v>43083</v>
      </c>
      <c r="B529" s="107">
        <v>1230</v>
      </c>
      <c r="C529" s="107">
        <v>1223</v>
      </c>
      <c r="D529" s="107">
        <v>3828</v>
      </c>
      <c r="E529" s="107">
        <v>3821</v>
      </c>
      <c r="F529" s="107">
        <v>0.32007327924626999</v>
      </c>
      <c r="G529" s="107">
        <v>0.35238326495690397</v>
      </c>
      <c r="H529" s="107">
        <v>1.51265461576274E-2</v>
      </c>
      <c r="I529" s="107">
        <v>-2.1359790512616001</v>
      </c>
      <c r="J529" s="107">
        <v>-10.09</v>
      </c>
      <c r="K529" s="107">
        <v>0.499165367471337</v>
      </c>
      <c r="L529" s="107">
        <v>0.40098675006233903</v>
      </c>
      <c r="M529" s="107">
        <v>0.49371902608293</v>
      </c>
      <c r="N529" s="107">
        <v>0.85954737715700902</v>
      </c>
    </row>
    <row r="530" spans="1:14">
      <c r="A530" s="14">
        <v>43082</v>
      </c>
      <c r="B530" s="107">
        <v>1244</v>
      </c>
      <c r="C530" s="107">
        <v>1235</v>
      </c>
      <c r="D530" s="107">
        <v>3834</v>
      </c>
      <c r="E530" s="107">
        <v>3834</v>
      </c>
      <c r="F530" s="107">
        <v>0.322117892540427</v>
      </c>
      <c r="G530" s="107">
        <v>0.35285849709343098</v>
      </c>
      <c r="H530" s="107">
        <v>1.46565850307464E-2</v>
      </c>
      <c r="I530" s="107">
        <v>-2.09739202471216</v>
      </c>
      <c r="J530" s="107">
        <v>-9.5399999999999991</v>
      </c>
      <c r="K530" s="107">
        <v>0.55069936309805601</v>
      </c>
      <c r="L530" s="107">
        <v>0.47924343237581801</v>
      </c>
      <c r="M530" s="107">
        <v>0.48459340883013802</v>
      </c>
      <c r="N530" s="107">
        <v>0.88156888888834395</v>
      </c>
    </row>
    <row r="531" spans="1:14">
      <c r="A531" s="14">
        <v>43081</v>
      </c>
      <c r="B531" s="107">
        <v>1241</v>
      </c>
      <c r="C531" s="107">
        <v>1248</v>
      </c>
      <c r="D531" s="107">
        <v>3800</v>
      </c>
      <c r="E531" s="107">
        <v>3806</v>
      </c>
      <c r="F531" s="107">
        <v>0.32790331056227001</v>
      </c>
      <c r="G531" s="107">
        <v>0.35330101220673499</v>
      </c>
      <c r="H531" s="107">
        <v>1.42161799663999E-2</v>
      </c>
      <c r="I531" s="107">
        <v>-1.7865348992832599</v>
      </c>
      <c r="J531" s="107">
        <v>-7.75</v>
      </c>
      <c r="K531" s="107">
        <v>0.58382095754378505</v>
      </c>
      <c r="L531" s="107">
        <v>0.41816476882870901</v>
      </c>
      <c r="M531" s="107">
        <v>0</v>
      </c>
      <c r="N531" s="107">
        <v>0</v>
      </c>
    </row>
    <row r="532" spans="1:14">
      <c r="A532" s="14">
        <v>43080</v>
      </c>
      <c r="B532" s="107">
        <v>1242</v>
      </c>
      <c r="C532" s="107">
        <v>1243</v>
      </c>
      <c r="D532" s="107">
        <v>3781</v>
      </c>
      <c r="E532" s="107">
        <v>3789</v>
      </c>
      <c r="F532" s="107">
        <v>0.328054895750857</v>
      </c>
      <c r="G532" s="107">
        <v>0.353721391807783</v>
      </c>
      <c r="H532" s="107">
        <v>1.39220554564231E-2</v>
      </c>
      <c r="I532" s="107">
        <v>-1.8435852476858301</v>
      </c>
      <c r="J532" s="107">
        <v>-7.82</v>
      </c>
      <c r="K532" s="107">
        <v>0.62016072401379896</v>
      </c>
      <c r="L532" s="107">
        <v>0.436220265681039</v>
      </c>
      <c r="M532" s="107">
        <v>0</v>
      </c>
      <c r="N532" s="107">
        <v>0</v>
      </c>
    </row>
    <row r="533" spans="1:14">
      <c r="A533" s="14">
        <v>43077</v>
      </c>
      <c r="B533" s="107">
        <v>1245</v>
      </c>
      <c r="C533" s="107">
        <v>1241</v>
      </c>
      <c r="D533" s="107">
        <v>3735</v>
      </c>
      <c r="E533" s="107">
        <v>3773</v>
      </c>
      <c r="F533" s="107">
        <v>0.32891598197720601</v>
      </c>
      <c r="G533" s="107">
        <v>0.35413444323086202</v>
      </c>
      <c r="H533" s="107">
        <v>1.36105000667923E-2</v>
      </c>
      <c r="I533" s="107">
        <v>-1.85286808933535</v>
      </c>
      <c r="J533" s="107">
        <v>-7.67</v>
      </c>
      <c r="K533" s="107">
        <v>0.66030269450971901</v>
      </c>
      <c r="L533" s="107">
        <v>0.39067898628512499</v>
      </c>
      <c r="M533" s="107">
        <v>0</v>
      </c>
      <c r="N533" s="107">
        <v>0</v>
      </c>
    </row>
    <row r="534" spans="1:14">
      <c r="A534" s="14">
        <v>43076</v>
      </c>
      <c r="B534" s="107">
        <v>1230</v>
      </c>
      <c r="C534" s="107">
        <v>1230</v>
      </c>
      <c r="D534" s="107">
        <v>3733</v>
      </c>
      <c r="E534" s="107">
        <v>3756</v>
      </c>
      <c r="F534" s="107">
        <v>0.32747603833865802</v>
      </c>
      <c r="G534" s="107">
        <v>0.354494659516364</v>
      </c>
      <c r="H534" s="107">
        <v>1.32920817911883E-2</v>
      </c>
      <c r="I534" s="107">
        <v>-2.0326854440225799</v>
      </c>
      <c r="J534" s="107">
        <v>-8.25</v>
      </c>
      <c r="K534" s="107">
        <v>0.70392461874291501</v>
      </c>
      <c r="L534" s="107">
        <v>0.78714160574504699</v>
      </c>
      <c r="M534" s="107">
        <v>0</v>
      </c>
      <c r="N534" s="107">
        <v>0</v>
      </c>
    </row>
    <row r="535" spans="1:14">
      <c r="A535" s="14">
        <v>43075</v>
      </c>
      <c r="B535" s="107">
        <v>1245</v>
      </c>
      <c r="C535" s="107">
        <v>1225</v>
      </c>
      <c r="D535" s="107">
        <v>3745</v>
      </c>
      <c r="E535" s="107">
        <v>3723</v>
      </c>
      <c r="F535" s="107">
        <v>0.32903572387859198</v>
      </c>
      <c r="G535" s="107">
        <v>0.35488769423696997</v>
      </c>
      <c r="H535" s="107">
        <v>1.29179012022347E-2</v>
      </c>
      <c r="I535" s="107">
        <v>-2.0012515929372001</v>
      </c>
      <c r="J535" s="107">
        <v>-7.86</v>
      </c>
      <c r="K535" s="107">
        <v>0.73915667472604496</v>
      </c>
      <c r="L535" s="107">
        <v>0.77228584291296798</v>
      </c>
      <c r="M535" s="107">
        <v>0</v>
      </c>
      <c r="N535" s="107">
        <v>0</v>
      </c>
    </row>
    <row r="536" spans="1:14">
      <c r="A536" s="14">
        <v>43074</v>
      </c>
      <c r="B536" s="107">
        <v>1234</v>
      </c>
      <c r="C536" s="107">
        <v>1237</v>
      </c>
      <c r="D536" s="107">
        <v>3784</v>
      </c>
      <c r="E536" s="107">
        <v>3767</v>
      </c>
      <c r="F536" s="107">
        <v>0.32837801964427898</v>
      </c>
      <c r="G536" s="107">
        <v>0.35529844806427802</v>
      </c>
      <c r="H536" s="107">
        <v>1.25745681526783E-2</v>
      </c>
      <c r="I536" s="107">
        <v>-2.1408630573341201</v>
      </c>
      <c r="J536" s="107">
        <v>-8.1999999999999993</v>
      </c>
      <c r="K536" s="107">
        <v>0.77001711548238505</v>
      </c>
      <c r="L536" s="107">
        <v>0.76341399376098695</v>
      </c>
      <c r="M536" s="107">
        <v>0</v>
      </c>
      <c r="N536" s="107">
        <v>0</v>
      </c>
    </row>
    <row r="537" spans="1:14">
      <c r="A537" s="14">
        <v>43073</v>
      </c>
      <c r="B537" s="107">
        <v>1257</v>
      </c>
      <c r="C537" s="107">
        <v>1247</v>
      </c>
      <c r="D537" s="107">
        <v>3798</v>
      </c>
      <c r="E537" s="107">
        <v>3787</v>
      </c>
      <c r="F537" s="107">
        <v>0.32928439397940301</v>
      </c>
      <c r="G537" s="107">
        <v>0.35571868104424398</v>
      </c>
      <c r="H537" s="107">
        <v>1.21886072446338E-2</v>
      </c>
      <c r="I537" s="107">
        <v>-2.1687701091918701</v>
      </c>
      <c r="J537" s="107">
        <v>-8.0299999999999994</v>
      </c>
      <c r="K537" s="107">
        <v>0.79383943620858799</v>
      </c>
      <c r="L537" s="107">
        <v>0.78977695599174502</v>
      </c>
      <c r="M537" s="107">
        <v>0</v>
      </c>
      <c r="N537" s="107">
        <v>0</v>
      </c>
    </row>
    <row r="538" spans="1:14">
      <c r="A538" s="14">
        <v>43070</v>
      </c>
      <c r="B538" s="107">
        <v>1251</v>
      </c>
      <c r="C538" s="107">
        <v>1247</v>
      </c>
      <c r="D538" s="107">
        <v>3753</v>
      </c>
      <c r="E538" s="107">
        <v>3775</v>
      </c>
      <c r="F538" s="107">
        <v>0.33033112582781399</v>
      </c>
      <c r="G538" s="107">
        <v>0.356158065389789</v>
      </c>
      <c r="H538" s="107">
        <v>1.1816042457194101E-2</v>
      </c>
      <c r="I538" s="107">
        <v>-2.1857520955546899</v>
      </c>
      <c r="J538" s="107">
        <v>-7.82</v>
      </c>
      <c r="K538" s="107">
        <v>0.81479862297522399</v>
      </c>
      <c r="L538" s="107">
        <v>0.64578877215970698</v>
      </c>
      <c r="M538" s="107">
        <v>0</v>
      </c>
      <c r="N538" s="107">
        <v>0</v>
      </c>
    </row>
    <row r="539" spans="1:14">
      <c r="A539" s="14">
        <v>43069</v>
      </c>
      <c r="B539" s="107">
        <v>1248</v>
      </c>
      <c r="C539" s="107">
        <v>1250</v>
      </c>
      <c r="D539" s="107">
        <v>3750</v>
      </c>
      <c r="E539" s="107">
        <v>3744</v>
      </c>
      <c r="F539" s="107">
        <v>0.33386752136752101</v>
      </c>
      <c r="G539" s="107">
        <v>0.35662333035235799</v>
      </c>
      <c r="H539" s="107">
        <v>1.1471922643229399E-2</v>
      </c>
      <c r="I539" s="107">
        <v>-1.98360899846786</v>
      </c>
      <c r="J539" s="107">
        <v>-6.82</v>
      </c>
      <c r="K539" s="107">
        <v>0.836595060447478</v>
      </c>
      <c r="L539" s="107">
        <v>0.43065583716002398</v>
      </c>
      <c r="M539" s="107">
        <v>0</v>
      </c>
      <c r="N539" s="107">
        <v>0</v>
      </c>
    </row>
    <row r="540" spans="1:14">
      <c r="A540" s="14">
        <v>43068</v>
      </c>
      <c r="B540" s="107">
        <v>1244</v>
      </c>
      <c r="C540" s="107">
        <v>1255</v>
      </c>
      <c r="D540" s="107">
        <v>3730</v>
      </c>
      <c r="E540" s="107">
        <v>3721</v>
      </c>
      <c r="F540" s="107">
        <v>0.33727492609513499</v>
      </c>
      <c r="G540" s="107">
        <v>0.35698008048981</v>
      </c>
      <c r="H540" s="107">
        <v>1.11707995259168E-2</v>
      </c>
      <c r="I540" s="107">
        <v>-1.76398782817268</v>
      </c>
      <c r="J540" s="107">
        <v>-5.84</v>
      </c>
      <c r="K540" s="107">
        <v>0.84816473176842799</v>
      </c>
      <c r="L540" s="107">
        <v>0.218605971741478</v>
      </c>
      <c r="M540" s="107">
        <v>0</v>
      </c>
      <c r="N540" s="107">
        <v>0</v>
      </c>
    </row>
    <row r="541" spans="1:14">
      <c r="A541" s="14">
        <v>43067</v>
      </c>
      <c r="B541" s="107">
        <v>1236</v>
      </c>
      <c r="C541" s="107">
        <v>1225</v>
      </c>
      <c r="D541" s="107">
        <v>3685</v>
      </c>
      <c r="E541" s="107">
        <v>3713</v>
      </c>
      <c r="F541" s="107">
        <v>0.32992189604093702</v>
      </c>
      <c r="G541" s="107">
        <v>0.35738759536409698</v>
      </c>
      <c r="H541" s="107">
        <v>1.1000706095562401E-2</v>
      </c>
      <c r="I541" s="107">
        <v>-2.4967214908358901</v>
      </c>
      <c r="J541" s="107">
        <v>-8.32</v>
      </c>
      <c r="K541" s="107">
        <v>0.86610654939188503</v>
      </c>
      <c r="L541" s="107">
        <v>0.75390990868135199</v>
      </c>
      <c r="M541" s="107">
        <v>0</v>
      </c>
      <c r="N541" s="107">
        <v>0</v>
      </c>
    </row>
    <row r="542" spans="1:14">
      <c r="A542" s="14">
        <v>43066</v>
      </c>
      <c r="B542" s="107">
        <v>1255</v>
      </c>
      <c r="C542" s="107">
        <v>1236</v>
      </c>
      <c r="D542" s="107">
        <v>3719</v>
      </c>
      <c r="E542" s="107">
        <v>3675</v>
      </c>
      <c r="F542" s="107">
        <v>0.33632653061224399</v>
      </c>
      <c r="G542" s="107">
        <v>0.35818216092733801</v>
      </c>
      <c r="H542" s="107">
        <v>1.1139465204095899E-2</v>
      </c>
      <c r="I542" s="107">
        <v>-1.9619999627143001</v>
      </c>
      <c r="J542" s="107">
        <v>-6.5</v>
      </c>
      <c r="K542" s="107">
        <v>0.87682161827698302</v>
      </c>
      <c r="L542" s="107">
        <v>0.71474943329254803</v>
      </c>
      <c r="M542" s="107">
        <v>0</v>
      </c>
      <c r="N542" s="107">
        <v>0</v>
      </c>
    </row>
    <row r="543" spans="1:14">
      <c r="A543" s="14">
        <v>43063</v>
      </c>
      <c r="B543" s="107">
        <v>1243</v>
      </c>
      <c r="C543" s="107">
        <v>1250</v>
      </c>
      <c r="D543" s="107">
        <v>3681</v>
      </c>
      <c r="E543" s="107">
        <v>3688</v>
      </c>
      <c r="F543" s="107">
        <v>0.33893709327548799</v>
      </c>
      <c r="G543" s="107">
        <v>0.35880174066841197</v>
      </c>
      <c r="H543" s="107">
        <v>1.1198755448739399E-2</v>
      </c>
      <c r="I543" s="107">
        <v>-1.77382634024398</v>
      </c>
      <c r="J543" s="107">
        <v>-5.86</v>
      </c>
      <c r="K543" s="107">
        <v>0.884089997784691</v>
      </c>
      <c r="L543" s="107">
        <v>0.65746993327328895</v>
      </c>
      <c r="M543" s="107">
        <v>0</v>
      </c>
      <c r="N543" s="107">
        <v>0</v>
      </c>
    </row>
    <row r="544" spans="1:14">
      <c r="A544" s="14">
        <v>43061</v>
      </c>
      <c r="B544" s="107">
        <v>1252</v>
      </c>
      <c r="C544" s="107">
        <v>1252</v>
      </c>
      <c r="D544" s="107">
        <v>3735</v>
      </c>
      <c r="E544" s="107">
        <v>3715</v>
      </c>
      <c r="F544" s="107">
        <v>0.33701211305518097</v>
      </c>
      <c r="G544" s="107">
        <v>0.35939404609140602</v>
      </c>
      <c r="H544" s="107">
        <v>1.130669490573E-2</v>
      </c>
      <c r="I544" s="107">
        <v>-1.9795292278455301</v>
      </c>
      <c r="J544" s="107">
        <v>-6.64</v>
      </c>
      <c r="K544" s="107">
        <v>0.89645938084188403</v>
      </c>
      <c r="L544" s="107">
        <v>0.66188059292028001</v>
      </c>
      <c r="M544" s="107">
        <v>0</v>
      </c>
      <c r="N544" s="107">
        <v>0</v>
      </c>
    </row>
    <row r="545" spans="1:14">
      <c r="A545" s="14">
        <v>43060</v>
      </c>
      <c r="B545" s="107">
        <v>1250</v>
      </c>
      <c r="C545" s="107">
        <v>1247</v>
      </c>
      <c r="D545" s="107">
        <v>3702</v>
      </c>
      <c r="E545" s="107">
        <v>3701</v>
      </c>
      <c r="F545" s="107">
        <v>0.33693596325317399</v>
      </c>
      <c r="G545" s="107">
        <v>0.35993247171116199</v>
      </c>
      <c r="H545" s="107">
        <v>1.11889273977108E-2</v>
      </c>
      <c r="I545" s="107">
        <v>-2.0552915968238801</v>
      </c>
      <c r="J545" s="107">
        <v>-6.83</v>
      </c>
      <c r="K545" s="107">
        <v>0.904453487997539</v>
      </c>
      <c r="L545" s="107">
        <v>0.241160667740213</v>
      </c>
      <c r="M545" s="107">
        <v>0</v>
      </c>
      <c r="N545" s="107">
        <v>0</v>
      </c>
    </row>
    <row r="546" spans="1:14">
      <c r="A546" s="14">
        <v>43059</v>
      </c>
      <c r="B546" s="107">
        <v>1234</v>
      </c>
      <c r="C546" s="107">
        <v>1248</v>
      </c>
      <c r="D546" s="107">
        <v>3670</v>
      </c>
      <c r="E546" s="107">
        <v>3687</v>
      </c>
      <c r="F546" s="107">
        <v>0.33848657445077202</v>
      </c>
      <c r="G546" s="107">
        <v>0.360451400622609</v>
      </c>
      <c r="H546" s="107">
        <v>1.10114596684048E-2</v>
      </c>
      <c r="I546" s="107">
        <v>-1.9947242993460901</v>
      </c>
      <c r="J546" s="107">
        <v>-6.49</v>
      </c>
      <c r="K546" s="107">
        <v>0.91127641967250195</v>
      </c>
      <c r="L546" s="107">
        <v>0.21979651635890399</v>
      </c>
      <c r="M546" s="107">
        <v>0</v>
      </c>
      <c r="N546" s="107">
        <v>0</v>
      </c>
    </row>
    <row r="547" spans="1:14">
      <c r="A547" s="14">
        <v>43056</v>
      </c>
      <c r="B547" s="107">
        <v>1250</v>
      </c>
      <c r="C547" s="107">
        <v>1241</v>
      </c>
      <c r="D547" s="107">
        <v>3719</v>
      </c>
      <c r="E547" s="107">
        <v>3670</v>
      </c>
      <c r="F547" s="107">
        <v>0.33814713896457699</v>
      </c>
      <c r="G547" s="107">
        <v>0.36114025034733999</v>
      </c>
      <c r="H547" s="107">
        <v>1.12296637040384E-2</v>
      </c>
      <c r="I547" s="107">
        <v>-2.0475333891337701</v>
      </c>
      <c r="J547" s="107">
        <v>-6.8</v>
      </c>
      <c r="K547" s="107">
        <v>0.91824771836833396</v>
      </c>
      <c r="L547" s="107">
        <v>0.13534800166344499</v>
      </c>
      <c r="M547" s="107">
        <v>0</v>
      </c>
      <c r="N547" s="107">
        <v>0</v>
      </c>
    </row>
    <row r="548" spans="1:14">
      <c r="A548" s="14">
        <v>43055</v>
      </c>
      <c r="B548" s="107">
        <v>1227</v>
      </c>
      <c r="C548" s="107">
        <v>1231</v>
      </c>
      <c r="D548" s="107">
        <v>3640</v>
      </c>
      <c r="E548" s="107">
        <v>3660</v>
      </c>
      <c r="F548" s="107">
        <v>0.336338797814207</v>
      </c>
      <c r="G548" s="107">
        <v>0.36174959694578701</v>
      </c>
      <c r="H548" s="107">
        <v>1.12053666155597E-2</v>
      </c>
      <c r="I548" s="107">
        <v>-2.26773473848634</v>
      </c>
      <c r="J548" s="107">
        <v>-7.56</v>
      </c>
      <c r="K548" s="107">
        <v>0.92627143140413204</v>
      </c>
      <c r="L548" s="107">
        <v>0.15369993277461499</v>
      </c>
      <c r="M548" s="107">
        <v>0</v>
      </c>
      <c r="N548" s="107">
        <v>0</v>
      </c>
    </row>
    <row r="549" spans="1:14">
      <c r="A549" s="14">
        <v>43054</v>
      </c>
      <c r="B549" s="107">
        <v>1257</v>
      </c>
      <c r="C549" s="107">
        <v>1237</v>
      </c>
      <c r="D549" s="107">
        <v>3667</v>
      </c>
      <c r="E549" s="107">
        <v>3620</v>
      </c>
      <c r="F549" s="107">
        <v>0.34171270718232</v>
      </c>
      <c r="G549" s="107">
        <v>0.36243461706982899</v>
      </c>
      <c r="H549" s="107">
        <v>1.12013889160309E-2</v>
      </c>
      <c r="I549" s="107">
        <v>-1.84994111380709</v>
      </c>
      <c r="J549" s="107">
        <v>-6.06</v>
      </c>
      <c r="K549" s="107">
        <v>0.93097956937565896</v>
      </c>
      <c r="L549" s="107">
        <v>0.149213836505419</v>
      </c>
      <c r="M549" s="107">
        <v>0</v>
      </c>
      <c r="N549" s="107">
        <v>0</v>
      </c>
    </row>
    <row r="550" spans="1:14">
      <c r="A550" s="14">
        <v>43053</v>
      </c>
      <c r="B550" s="107">
        <v>1268</v>
      </c>
      <c r="C550" s="107">
        <v>1271</v>
      </c>
      <c r="D550" s="107">
        <v>3735</v>
      </c>
      <c r="E550" s="107">
        <v>3710</v>
      </c>
      <c r="F550" s="107">
        <v>0.34258760107816699</v>
      </c>
      <c r="G550" s="107">
        <v>0.36309922686151003</v>
      </c>
      <c r="H550" s="107">
        <v>1.1428622059799999E-2</v>
      </c>
      <c r="I550" s="107">
        <v>-1.79475930484156</v>
      </c>
      <c r="J550" s="107">
        <v>-5.99</v>
      </c>
      <c r="K550" s="107">
        <v>0.93418810069395997</v>
      </c>
      <c r="L550" s="107">
        <v>7.0148567719724303E-2</v>
      </c>
      <c r="M550" s="107">
        <v>0</v>
      </c>
      <c r="N550" s="107">
        <v>0</v>
      </c>
    </row>
    <row r="551" spans="1:14">
      <c r="A551" s="14">
        <v>43052</v>
      </c>
      <c r="B551" s="107">
        <v>1253</v>
      </c>
      <c r="C551" s="107">
        <v>1260</v>
      </c>
      <c r="D551" s="107">
        <v>3764</v>
      </c>
      <c r="E551" s="107">
        <v>3722</v>
      </c>
      <c r="F551" s="107">
        <v>0.33852767329392802</v>
      </c>
      <c r="G551" s="107">
        <v>0.36374182169469499</v>
      </c>
      <c r="H551" s="107">
        <v>1.16107171846359E-2</v>
      </c>
      <c r="I551" s="107">
        <v>-2.1716271268869001</v>
      </c>
      <c r="J551" s="107">
        <v>-7.45</v>
      </c>
      <c r="K551" s="107">
        <v>0.94012304116360301</v>
      </c>
      <c r="L551" s="107">
        <v>1.00179759911115E-2</v>
      </c>
      <c r="M551" s="107">
        <v>0</v>
      </c>
      <c r="N551" s="107">
        <v>0</v>
      </c>
    </row>
    <row r="552" spans="1:14">
      <c r="A552" s="14">
        <v>43049</v>
      </c>
      <c r="B552" s="107">
        <v>1214</v>
      </c>
      <c r="C552" s="107">
        <v>1256</v>
      </c>
      <c r="D552" s="107">
        <v>3722</v>
      </c>
      <c r="E552" s="107">
        <v>3768</v>
      </c>
      <c r="F552" s="107">
        <v>0.33333333333333298</v>
      </c>
      <c r="G552" s="107">
        <v>0.36444664515058001</v>
      </c>
      <c r="H552" s="107">
        <v>1.16630672984864E-2</v>
      </c>
      <c r="I552" s="107">
        <v>-2.6676783234617099</v>
      </c>
      <c r="J552" s="107">
        <v>-9.33</v>
      </c>
      <c r="K552" s="107">
        <v>0.94960221582368498</v>
      </c>
      <c r="L552" s="15">
        <v>1.07360041229311E-7</v>
      </c>
      <c r="M552" s="107">
        <v>0</v>
      </c>
      <c r="N552" s="107">
        <v>0</v>
      </c>
    </row>
    <row r="553" spans="1:14">
      <c r="A553" s="14">
        <v>43048</v>
      </c>
      <c r="B553" s="107">
        <v>1249</v>
      </c>
      <c r="C553" s="107">
        <v>1226</v>
      </c>
      <c r="D553" s="107">
        <v>3844</v>
      </c>
      <c r="E553" s="107">
        <v>3786</v>
      </c>
      <c r="F553" s="107">
        <v>0.32382461701003601</v>
      </c>
      <c r="G553" s="107">
        <v>0.36525313211091298</v>
      </c>
      <c r="H553" s="107">
        <v>1.15746856689117E-2</v>
      </c>
      <c r="I553" s="107">
        <v>-3.5792345715399501</v>
      </c>
      <c r="J553" s="107">
        <v>-12.79</v>
      </c>
      <c r="K553" s="107">
        <v>0.97317500732684603</v>
      </c>
      <c r="L553" s="107">
        <v>4.8571487206653698E-2</v>
      </c>
      <c r="M553" s="107">
        <v>0</v>
      </c>
      <c r="N553" s="107">
        <v>0</v>
      </c>
    </row>
    <row r="554" spans="1:14">
      <c r="A554" s="14">
        <v>43047</v>
      </c>
      <c r="B554" s="107">
        <v>1344</v>
      </c>
      <c r="C554" s="107">
        <v>1343</v>
      </c>
      <c r="D554" s="107">
        <v>3822</v>
      </c>
      <c r="E554" s="107">
        <v>3836</v>
      </c>
      <c r="F554" s="107">
        <v>0.35010427528675703</v>
      </c>
      <c r="G554" s="107">
        <v>0.36611102321657901</v>
      </c>
      <c r="H554" s="107">
        <v>1.08329750355802E-2</v>
      </c>
      <c r="I554" s="107">
        <v>-1.4775948321905601</v>
      </c>
      <c r="J554" s="107">
        <v>-4.57</v>
      </c>
      <c r="K554" s="107">
        <v>0.97349767445410096</v>
      </c>
      <c r="L554" s="107">
        <v>3.8091499000172599E-2</v>
      </c>
      <c r="M554" s="107">
        <v>0</v>
      </c>
      <c r="N554" s="107">
        <v>0</v>
      </c>
    </row>
    <row r="555" spans="1:14">
      <c r="A555" s="14">
        <v>43046</v>
      </c>
      <c r="B555" s="107">
        <v>1326</v>
      </c>
      <c r="C555" s="107">
        <v>1351</v>
      </c>
      <c r="D555" s="107">
        <v>3841</v>
      </c>
      <c r="E555" s="107">
        <v>3837</v>
      </c>
      <c r="F555" s="107">
        <v>0.35209799322387197</v>
      </c>
      <c r="G555" s="107">
        <v>0.36662313185758799</v>
      </c>
      <c r="H555" s="107">
        <v>1.09711371114097E-2</v>
      </c>
      <c r="I555" s="107">
        <v>-1.32394103603075</v>
      </c>
      <c r="J555" s="107">
        <v>-4.13</v>
      </c>
      <c r="K555" s="107">
        <v>0.96275430560870301</v>
      </c>
      <c r="L555" s="107">
        <v>0.141223534944419</v>
      </c>
      <c r="M555" s="107">
        <v>0</v>
      </c>
      <c r="N555" s="107">
        <v>0</v>
      </c>
    </row>
    <row r="556" spans="1:14">
      <c r="A556" s="14">
        <v>43045</v>
      </c>
      <c r="B556" s="107">
        <v>1323</v>
      </c>
      <c r="C556" s="107">
        <v>1327</v>
      </c>
      <c r="D556" s="107">
        <v>3770</v>
      </c>
      <c r="E556" s="107">
        <v>3829</v>
      </c>
      <c r="F556" s="107">
        <v>0.34656568294593798</v>
      </c>
      <c r="G556" s="107">
        <v>0.36712206468599301</v>
      </c>
      <c r="H556" s="107">
        <v>1.11486692520508E-2</v>
      </c>
      <c r="I556" s="107">
        <v>-1.8438417424817599</v>
      </c>
      <c r="J556" s="107">
        <v>-5.93</v>
      </c>
      <c r="K556" s="107">
        <v>0.960377325548736</v>
      </c>
      <c r="L556" s="107">
        <v>8.3892783810434898E-2</v>
      </c>
      <c r="M556" s="107">
        <v>0</v>
      </c>
      <c r="N556" s="107">
        <v>0</v>
      </c>
    </row>
    <row r="557" spans="1:14">
      <c r="A557" s="14">
        <v>43041</v>
      </c>
      <c r="B557" s="107">
        <v>1330</v>
      </c>
      <c r="C557" s="107">
        <v>1324</v>
      </c>
      <c r="D557" s="107">
        <v>3700</v>
      </c>
      <c r="E557" s="107">
        <v>3762</v>
      </c>
      <c r="F557" s="107">
        <v>0.351940457203615</v>
      </c>
      <c r="G557" s="107">
        <v>0.367712213891847</v>
      </c>
      <c r="H557" s="107">
        <v>1.12161754478064E-2</v>
      </c>
      <c r="I557" s="107">
        <v>-1.40616173147655</v>
      </c>
      <c r="J557" s="107">
        <v>-4.4800000000000004</v>
      </c>
      <c r="K557" s="107">
        <v>0.95146207845939601</v>
      </c>
      <c r="L557" s="107">
        <v>0.34255730709140803</v>
      </c>
      <c r="M557" s="107">
        <v>0</v>
      </c>
      <c r="N557" s="107">
        <v>0</v>
      </c>
    </row>
    <row r="558" spans="1:14">
      <c r="A558" s="14">
        <v>43040</v>
      </c>
      <c r="B558" s="107">
        <v>1304</v>
      </c>
      <c r="C558" s="107">
        <v>1314</v>
      </c>
      <c r="D558" s="107">
        <v>3542</v>
      </c>
      <c r="E558" s="107">
        <v>3576</v>
      </c>
      <c r="F558" s="107">
        <v>0.36744966442952998</v>
      </c>
      <c r="G558" s="107">
        <v>0.36823984038461</v>
      </c>
      <c r="H558" s="107">
        <v>1.13912351094055E-2</v>
      </c>
      <c r="I558" s="107">
        <v>-6.9367013101812494E-2</v>
      </c>
      <c r="J558" s="107">
        <v>-0.22</v>
      </c>
      <c r="K558" s="107">
        <v>0.94598225856485796</v>
      </c>
      <c r="L558" s="107">
        <v>0.34480954820109899</v>
      </c>
      <c r="M558" s="107">
        <v>0</v>
      </c>
      <c r="N558" s="107">
        <v>0</v>
      </c>
    </row>
    <row r="559" spans="1:14">
      <c r="A559" s="14">
        <v>43039</v>
      </c>
      <c r="B559" s="107">
        <v>1282</v>
      </c>
      <c r="C559" s="107">
        <v>1288</v>
      </c>
      <c r="D559" s="107">
        <v>3526</v>
      </c>
      <c r="E559" s="107">
        <v>3523</v>
      </c>
      <c r="F559" s="107">
        <v>0.36559750212886699</v>
      </c>
      <c r="G559" s="107">
        <v>0.36865486502495598</v>
      </c>
      <c r="H559" s="107">
        <v>1.19101014181084E-2</v>
      </c>
      <c r="I559" s="107">
        <v>-0.25670334691195001</v>
      </c>
      <c r="J559" s="107">
        <v>-0.84</v>
      </c>
      <c r="K559" s="107">
        <v>0.93115748651961106</v>
      </c>
      <c r="L559" s="107">
        <v>0.76991700675747698</v>
      </c>
      <c r="M559" s="107">
        <v>0</v>
      </c>
      <c r="N559" s="107">
        <v>0</v>
      </c>
    </row>
    <row r="560" spans="1:14">
      <c r="A560" s="14">
        <v>43038</v>
      </c>
      <c r="B560" s="107">
        <v>1282</v>
      </c>
      <c r="C560" s="107">
        <v>1292</v>
      </c>
      <c r="D560" s="107">
        <v>3521</v>
      </c>
      <c r="E560" s="107">
        <v>3542</v>
      </c>
      <c r="F560" s="107">
        <v>0.36476566911349501</v>
      </c>
      <c r="G560" s="107">
        <v>0.36907833027748199</v>
      </c>
      <c r="H560" s="107">
        <v>1.2350345362583601E-2</v>
      </c>
      <c r="I560" s="107">
        <v>-0.34919356806434199</v>
      </c>
      <c r="J560" s="107">
        <v>-1.18</v>
      </c>
      <c r="K560" s="107">
        <v>0.920419768779975</v>
      </c>
      <c r="L560" s="107">
        <v>0.57213713162271396</v>
      </c>
      <c r="M560" s="107">
        <v>0</v>
      </c>
      <c r="N560" s="107">
        <v>0</v>
      </c>
    </row>
    <row r="561" spans="1:14">
      <c r="A561" s="14">
        <v>43035</v>
      </c>
      <c r="B561" s="107">
        <v>1273</v>
      </c>
      <c r="C561" s="107">
        <v>1280</v>
      </c>
      <c r="D561" s="107">
        <v>3517</v>
      </c>
      <c r="E561" s="107">
        <v>3536</v>
      </c>
      <c r="F561" s="107">
        <v>0.361990950226244</v>
      </c>
      <c r="G561" s="107">
        <v>0.36954554403638101</v>
      </c>
      <c r="H561" s="107">
        <v>1.28317779301959E-2</v>
      </c>
      <c r="I561" s="107">
        <v>-0.58874100309668698</v>
      </c>
      <c r="J561" s="107">
        <v>-2.09</v>
      </c>
      <c r="K561" s="107">
        <v>0.90683787223023904</v>
      </c>
      <c r="L561" s="107">
        <v>0.71166506136758501</v>
      </c>
      <c r="M561" s="107">
        <v>0</v>
      </c>
      <c r="N561" s="107">
        <v>0</v>
      </c>
    </row>
    <row r="562" spans="1:14">
      <c r="A562" s="14">
        <v>43034</v>
      </c>
      <c r="B562" s="107">
        <v>1271</v>
      </c>
      <c r="C562" s="107">
        <v>1271</v>
      </c>
      <c r="D562" s="107">
        <v>3475</v>
      </c>
      <c r="E562" s="107">
        <v>3508</v>
      </c>
      <c r="F562" s="107">
        <v>0.36231470923603099</v>
      </c>
      <c r="G562" s="107">
        <v>0.37000250318800398</v>
      </c>
      <c r="H562" s="107">
        <v>1.31606347337739E-2</v>
      </c>
      <c r="I562" s="107">
        <v>-0.584150696944988</v>
      </c>
      <c r="J562" s="107">
        <v>-2.12</v>
      </c>
      <c r="K562" s="107">
        <v>0.88948993784661201</v>
      </c>
      <c r="L562" s="107">
        <v>0.8369515182317</v>
      </c>
      <c r="M562" s="107">
        <v>0</v>
      </c>
      <c r="N562" s="107">
        <v>0</v>
      </c>
    </row>
    <row r="563" spans="1:14">
      <c r="A563" s="14">
        <v>43033</v>
      </c>
      <c r="B563" s="107">
        <v>1285</v>
      </c>
      <c r="C563" s="107">
        <v>1287</v>
      </c>
      <c r="D563" s="107">
        <v>3500</v>
      </c>
      <c r="E563" s="107">
        <v>3488</v>
      </c>
      <c r="F563" s="107">
        <v>0.36897935779816499</v>
      </c>
      <c r="G563" s="107">
        <v>0.37042377299726198</v>
      </c>
      <c r="H563" s="107">
        <v>1.34111030968561E-2</v>
      </c>
      <c r="I563" s="107">
        <v>-0.10770293753356799</v>
      </c>
      <c r="J563" s="107">
        <v>-0.39</v>
      </c>
      <c r="K563" s="107">
        <v>0.87065526392194403</v>
      </c>
      <c r="L563" s="107">
        <v>0.83046053152980503</v>
      </c>
      <c r="M563" s="107">
        <v>0</v>
      </c>
      <c r="N563" s="107">
        <v>0</v>
      </c>
    </row>
    <row r="564" spans="1:14">
      <c r="A564" s="14">
        <v>43032</v>
      </c>
      <c r="B564" s="107">
        <v>1276</v>
      </c>
      <c r="C564" s="107">
        <v>1290</v>
      </c>
      <c r="D564" s="107">
        <v>3454</v>
      </c>
      <c r="E564" s="107">
        <v>3493</v>
      </c>
      <c r="F564" s="107">
        <v>0.36931004866876599</v>
      </c>
      <c r="G564" s="107">
        <v>0.370700695550926</v>
      </c>
      <c r="H564" s="107">
        <v>1.35916325523248E-2</v>
      </c>
      <c r="I564" s="107">
        <v>-0.102316397740078</v>
      </c>
      <c r="J564" s="107">
        <v>-0.38</v>
      </c>
      <c r="K564" s="107">
        <v>0.84924696459382898</v>
      </c>
      <c r="L564" s="107">
        <v>0.84894322722045201</v>
      </c>
      <c r="M564" s="107">
        <v>0</v>
      </c>
      <c r="N564" s="107">
        <v>0</v>
      </c>
    </row>
    <row r="565" spans="1:14">
      <c r="A565" s="14">
        <v>43031</v>
      </c>
      <c r="B565" s="107">
        <v>1292</v>
      </c>
      <c r="C565" s="107">
        <v>1279</v>
      </c>
      <c r="D565" s="107">
        <v>3455</v>
      </c>
      <c r="E565" s="107">
        <v>3471</v>
      </c>
      <c r="F565" s="107">
        <v>0.36848170556035698</v>
      </c>
      <c r="G565" s="107">
        <v>0.370881323473438</v>
      </c>
      <c r="H565" s="107">
        <v>1.36617880658352E-2</v>
      </c>
      <c r="I565" s="107">
        <v>-0.17564449847396499</v>
      </c>
      <c r="J565" s="107">
        <v>-0.65</v>
      </c>
      <c r="K565" s="107">
        <v>0.82486651149263801</v>
      </c>
      <c r="L565" s="107">
        <v>0.86287946816940297</v>
      </c>
      <c r="M565" s="107">
        <v>0</v>
      </c>
      <c r="N565" s="107">
        <v>0</v>
      </c>
    </row>
    <row r="566" spans="1:14">
      <c r="A566" s="14">
        <v>43028</v>
      </c>
      <c r="B566" s="107">
        <v>1254</v>
      </c>
      <c r="C566" s="107">
        <v>1277</v>
      </c>
      <c r="D566" s="107">
        <v>3420</v>
      </c>
      <c r="E566" s="107">
        <v>3428</v>
      </c>
      <c r="F566" s="107">
        <v>0.37252042007001102</v>
      </c>
      <c r="G566" s="107">
        <v>0.37105348555786799</v>
      </c>
      <c r="H566" s="107">
        <v>1.37117304042057E-2</v>
      </c>
      <c r="I566" s="107">
        <v>0.106983908587753</v>
      </c>
      <c r="J566" s="107">
        <v>0.39</v>
      </c>
      <c r="K566" s="107">
        <v>0.80651197161402399</v>
      </c>
      <c r="L566" s="107">
        <v>0.83045458523239402</v>
      </c>
      <c r="M566" s="107">
        <v>0</v>
      </c>
      <c r="N566" s="107">
        <v>0</v>
      </c>
    </row>
    <row r="567" spans="1:14">
      <c r="A567" s="14">
        <v>43027</v>
      </c>
      <c r="B567" s="107">
        <v>1256</v>
      </c>
      <c r="C567" s="107">
        <v>1265</v>
      </c>
      <c r="D567" s="107">
        <v>3447</v>
      </c>
      <c r="E567" s="107">
        <v>3455</v>
      </c>
      <c r="F567" s="107">
        <v>0.36613603473227202</v>
      </c>
      <c r="G567" s="107">
        <v>0.37124250793215402</v>
      </c>
      <c r="H567" s="107">
        <v>1.3827873931195099E-2</v>
      </c>
      <c r="I567" s="107">
        <v>-0.36928838267484498</v>
      </c>
      <c r="J567" s="107">
        <v>-1.39</v>
      </c>
      <c r="K567" s="107">
        <v>0.78576027451642905</v>
      </c>
      <c r="L567" s="107">
        <v>0.85278920365847699</v>
      </c>
      <c r="M567" s="107">
        <v>0</v>
      </c>
      <c r="N567" s="107">
        <v>0</v>
      </c>
    </row>
    <row r="568" spans="1:14">
      <c r="A568" s="14">
        <v>43026</v>
      </c>
      <c r="B568" s="107">
        <v>1250</v>
      </c>
      <c r="C568" s="107">
        <v>1253</v>
      </c>
      <c r="D568" s="107">
        <v>3425</v>
      </c>
      <c r="E568" s="107">
        <v>3432</v>
      </c>
      <c r="F568" s="107">
        <v>0.36509324009324001</v>
      </c>
      <c r="G568" s="107">
        <v>0.37149994565878802</v>
      </c>
      <c r="H568" s="107">
        <v>1.39098953735319E-2</v>
      </c>
      <c r="I568" s="107">
        <v>-0.46058617937117902</v>
      </c>
      <c r="J568" s="107">
        <v>-1.75</v>
      </c>
      <c r="K568" s="107">
        <v>0.764842879999309</v>
      </c>
      <c r="L568" s="107">
        <v>0.87073304171856702</v>
      </c>
      <c r="M568" s="107">
        <v>0</v>
      </c>
      <c r="N568" s="107">
        <v>0</v>
      </c>
    </row>
    <row r="569" spans="1:14">
      <c r="A569" s="14">
        <v>43025</v>
      </c>
      <c r="B569" s="107">
        <v>1248</v>
      </c>
      <c r="C569" s="107">
        <v>1243</v>
      </c>
      <c r="D569" s="107">
        <v>3415</v>
      </c>
      <c r="E569" s="107">
        <v>3427</v>
      </c>
      <c r="F569" s="107">
        <v>0.36270790779106998</v>
      </c>
      <c r="G569" s="107">
        <v>0.37178551611945498</v>
      </c>
      <c r="H569" s="107">
        <v>1.39950274631962E-2</v>
      </c>
      <c r="I569" s="107">
        <v>-0.64863097641336298</v>
      </c>
      <c r="J569" s="107">
        <v>-2.5</v>
      </c>
      <c r="K569" s="107">
        <v>0.74346956852476698</v>
      </c>
      <c r="L569" s="107">
        <v>0.88899161141675698</v>
      </c>
      <c r="M569" s="107">
        <v>0</v>
      </c>
      <c r="N569" s="107">
        <v>0</v>
      </c>
    </row>
    <row r="570" spans="1:14">
      <c r="A570" s="14">
        <v>43024</v>
      </c>
      <c r="B570" s="107">
        <v>1246</v>
      </c>
      <c r="C570" s="107">
        <v>1241</v>
      </c>
      <c r="D570" s="107">
        <v>3363</v>
      </c>
      <c r="E570" s="107">
        <v>3400</v>
      </c>
      <c r="F570" s="107">
        <v>0.36499999999999999</v>
      </c>
      <c r="G570" s="107">
        <v>0.372034560915455</v>
      </c>
      <c r="H570" s="107">
        <v>1.39974660720317E-2</v>
      </c>
      <c r="I570" s="107">
        <v>-0.50255959751967105</v>
      </c>
      <c r="J570" s="107">
        <v>-1.93</v>
      </c>
      <c r="K570" s="107">
        <v>0.73433805750659298</v>
      </c>
      <c r="L570" s="107">
        <v>0.88678231683313902</v>
      </c>
      <c r="M570" s="107">
        <v>0</v>
      </c>
      <c r="N570" s="107">
        <v>0</v>
      </c>
    </row>
    <row r="571" spans="1:14">
      <c r="A571" s="14">
        <v>43021</v>
      </c>
      <c r="B571" s="107">
        <v>1243</v>
      </c>
      <c r="C571" s="107">
        <v>1246</v>
      </c>
      <c r="D571" s="107">
        <v>3413</v>
      </c>
      <c r="E571" s="107">
        <v>3387</v>
      </c>
      <c r="F571" s="107">
        <v>0.367877177443165</v>
      </c>
      <c r="G571" s="107">
        <v>0.37223837787489999</v>
      </c>
      <c r="H571" s="107">
        <v>1.40048416957452E-2</v>
      </c>
      <c r="I571" s="107">
        <v>-0.311406621115914</v>
      </c>
      <c r="J571" s="107">
        <v>-1.19</v>
      </c>
      <c r="K571" s="107">
        <v>0.71095204759028996</v>
      </c>
      <c r="L571" s="107">
        <v>0.91302942846847901</v>
      </c>
      <c r="M571" s="107">
        <v>0</v>
      </c>
      <c r="N571" s="107">
        <v>0</v>
      </c>
    </row>
    <row r="572" spans="1:14">
      <c r="A572" s="14">
        <v>43020</v>
      </c>
      <c r="B572" s="107">
        <v>1251</v>
      </c>
      <c r="C572" s="107">
        <v>1245</v>
      </c>
      <c r="D572" s="107">
        <v>3413</v>
      </c>
      <c r="E572" s="107">
        <v>3407</v>
      </c>
      <c r="F572" s="107">
        <v>0.36542412679776898</v>
      </c>
      <c r="G572" s="107">
        <v>0.37237956961448299</v>
      </c>
      <c r="H572" s="107">
        <v>1.40135383795026E-2</v>
      </c>
      <c r="I572" s="107">
        <v>-0.49633737235756697</v>
      </c>
      <c r="J572" s="107">
        <v>-1.9</v>
      </c>
      <c r="K572" s="107">
        <v>0.67653325390408403</v>
      </c>
      <c r="L572" s="107">
        <v>0.94977725221859899</v>
      </c>
      <c r="M572" s="107">
        <v>0</v>
      </c>
      <c r="N572" s="107">
        <v>0</v>
      </c>
    </row>
    <row r="573" spans="1:14">
      <c r="A573" s="14">
        <v>43019</v>
      </c>
      <c r="B573" s="107">
        <v>1254</v>
      </c>
      <c r="C573" s="107">
        <v>1250</v>
      </c>
      <c r="D573" s="107">
        <v>3396</v>
      </c>
      <c r="E573" s="107">
        <v>3401</v>
      </c>
      <c r="F573" s="107">
        <v>0.367538959129667</v>
      </c>
      <c r="G573" s="107">
        <v>0.37260797753290598</v>
      </c>
      <c r="H573" s="107">
        <v>1.40378949488705E-2</v>
      </c>
      <c r="I573" s="107">
        <v>-0.36109533670837002</v>
      </c>
      <c r="J573" s="107">
        <v>-1.38</v>
      </c>
      <c r="K573" s="107">
        <v>0.64162828137021999</v>
      </c>
      <c r="L573" s="107">
        <v>0.94064962286899501</v>
      </c>
      <c r="M573" s="107">
        <v>0</v>
      </c>
      <c r="N573" s="107">
        <v>0</v>
      </c>
    </row>
    <row r="574" spans="1:14">
      <c r="A574" s="14">
        <v>43018</v>
      </c>
      <c r="B574" s="107">
        <v>1237</v>
      </c>
      <c r="C574" s="107">
        <v>1260</v>
      </c>
      <c r="D574" s="107">
        <v>3392</v>
      </c>
      <c r="E574" s="107">
        <v>3405</v>
      </c>
      <c r="F574" s="107">
        <v>0.370044052863436</v>
      </c>
      <c r="G574" s="107">
        <v>0.372804338209207</v>
      </c>
      <c r="H574" s="107">
        <v>1.40685834026187E-2</v>
      </c>
      <c r="I574" s="107">
        <v>-0.196202081387784</v>
      </c>
      <c r="J574" s="107">
        <v>-0.75</v>
      </c>
      <c r="K574" s="107">
        <v>0.59858490505774797</v>
      </c>
      <c r="L574" s="107">
        <v>0.96322219024316802</v>
      </c>
      <c r="M574" s="107">
        <v>0</v>
      </c>
      <c r="N574" s="107">
        <v>0</v>
      </c>
    </row>
    <row r="575" spans="1:14">
      <c r="A575" s="14">
        <v>43014</v>
      </c>
      <c r="B575" s="107">
        <v>1233</v>
      </c>
      <c r="C575" s="107">
        <v>1240</v>
      </c>
      <c r="D575" s="107">
        <v>3390</v>
      </c>
      <c r="E575" s="107">
        <v>3395</v>
      </c>
      <c r="F575" s="107">
        <v>0.36524300441826202</v>
      </c>
      <c r="G575" s="107">
        <v>0.37294377909549298</v>
      </c>
      <c r="H575" s="107">
        <v>1.40923413236853E-2</v>
      </c>
      <c r="I575" s="107">
        <v>-0.54645104744150097</v>
      </c>
      <c r="J575" s="107">
        <v>-2.11</v>
      </c>
      <c r="K575" s="107">
        <v>0.55176883942516397</v>
      </c>
      <c r="L575" s="107">
        <v>0.92894045461535701</v>
      </c>
      <c r="M575" s="107">
        <v>0</v>
      </c>
      <c r="N575" s="107">
        <v>0</v>
      </c>
    </row>
    <row r="576" spans="1:14">
      <c r="A576" s="14">
        <v>43013</v>
      </c>
      <c r="B576" s="107">
        <v>1230</v>
      </c>
      <c r="C576" s="107">
        <v>1223</v>
      </c>
      <c r="D576" s="107">
        <v>3407</v>
      </c>
      <c r="E576" s="107">
        <v>3388</v>
      </c>
      <c r="F576" s="107">
        <v>0.36097992916174698</v>
      </c>
      <c r="G576" s="107">
        <v>0.37322281779283401</v>
      </c>
      <c r="H576" s="107">
        <v>1.4144196255559001E-2</v>
      </c>
      <c r="I576" s="107">
        <v>-0.86557683518250095</v>
      </c>
      <c r="J576" s="107">
        <v>-3.39</v>
      </c>
      <c r="K576" s="107">
        <v>0.53095792164519295</v>
      </c>
      <c r="L576" s="107">
        <v>0.90753229750284403</v>
      </c>
      <c r="M576" s="107">
        <v>0</v>
      </c>
      <c r="N576" s="107">
        <v>0</v>
      </c>
    </row>
    <row r="577" spans="1:14">
      <c r="A577" s="14">
        <v>43012</v>
      </c>
      <c r="B577" s="107">
        <v>1224</v>
      </c>
      <c r="C577" s="107">
        <v>1222</v>
      </c>
      <c r="D577" s="107">
        <v>3412</v>
      </c>
      <c r="E577" s="107">
        <v>3370</v>
      </c>
      <c r="F577" s="107">
        <v>0.36261127596439102</v>
      </c>
      <c r="G577" s="107">
        <v>0.37351955855034702</v>
      </c>
      <c r="H577" s="107">
        <v>1.4117663947453601E-2</v>
      </c>
      <c r="I577" s="107">
        <v>-0.77266909217817503</v>
      </c>
      <c r="J577" s="107">
        <v>-3.01</v>
      </c>
      <c r="K577" s="107">
        <v>0.51647664370489299</v>
      </c>
      <c r="L577" s="107">
        <v>0.87745849000182297</v>
      </c>
      <c r="M577" s="107">
        <v>0</v>
      </c>
      <c r="N577" s="107">
        <v>0</v>
      </c>
    </row>
    <row r="578" spans="1:14">
      <c r="A578" s="14">
        <v>43011</v>
      </c>
      <c r="B578" s="107">
        <v>1214</v>
      </c>
      <c r="C578" s="107">
        <v>1221</v>
      </c>
      <c r="D578" s="107">
        <v>3361</v>
      </c>
      <c r="E578" s="107">
        <v>3387</v>
      </c>
      <c r="F578" s="107">
        <v>0.36049601417183302</v>
      </c>
      <c r="G578" s="107">
        <v>0.373745948340651</v>
      </c>
      <c r="H578" s="107">
        <v>1.40770046767132E-2</v>
      </c>
      <c r="I578" s="107">
        <v>-0.94124669793831095</v>
      </c>
      <c r="J578" s="107">
        <v>-3.68</v>
      </c>
      <c r="K578" s="107">
        <v>0.50128823378822396</v>
      </c>
      <c r="L578" s="107">
        <v>0.86403019578840701</v>
      </c>
      <c r="M578" s="107">
        <v>0</v>
      </c>
      <c r="N578" s="107">
        <v>0</v>
      </c>
    </row>
    <row r="579" spans="1:14">
      <c r="A579" s="14">
        <v>43010</v>
      </c>
      <c r="B579" s="107">
        <v>1216</v>
      </c>
      <c r="C579" s="107">
        <v>1212</v>
      </c>
      <c r="D579" s="107">
        <v>3341</v>
      </c>
      <c r="E579" s="107">
        <v>3350</v>
      </c>
      <c r="F579" s="107">
        <v>0.36179104477611901</v>
      </c>
      <c r="G579" s="107">
        <v>0.37404673859112197</v>
      </c>
      <c r="H579" s="107">
        <v>1.40316175819853E-2</v>
      </c>
      <c r="I579" s="107">
        <v>-0.87343413853710705</v>
      </c>
      <c r="J579" s="107">
        <v>-3.39</v>
      </c>
      <c r="K579" s="107">
        <v>0.48493119414317798</v>
      </c>
      <c r="L579" s="107">
        <v>0.87735558033431504</v>
      </c>
      <c r="M579" s="107">
        <v>0</v>
      </c>
      <c r="N579" s="107">
        <v>0</v>
      </c>
    </row>
    <row r="580" spans="1:14">
      <c r="A580" s="14">
        <v>43007</v>
      </c>
      <c r="B580" s="107">
        <v>1220</v>
      </c>
      <c r="C580" s="107">
        <v>1213</v>
      </c>
      <c r="D580" s="107">
        <v>3335</v>
      </c>
      <c r="E580" s="107">
        <v>3332</v>
      </c>
      <c r="F580" s="107">
        <v>0.36404561824729798</v>
      </c>
      <c r="G580" s="107">
        <v>0.37438821917774501</v>
      </c>
      <c r="H580" s="107">
        <v>1.4040840226896299E-2</v>
      </c>
      <c r="I580" s="107">
        <v>-0.73660840543109696</v>
      </c>
      <c r="J580" s="107">
        <v>-2.84</v>
      </c>
      <c r="K580" s="107">
        <v>0.46796423539433502</v>
      </c>
      <c r="L580" s="107">
        <v>0.870577185964724</v>
      </c>
      <c r="M580" s="107">
        <v>0</v>
      </c>
      <c r="N580" s="107">
        <v>0</v>
      </c>
    </row>
    <row r="581" spans="1:14">
      <c r="A581" s="14">
        <v>43006</v>
      </c>
      <c r="B581" s="107">
        <v>1199</v>
      </c>
      <c r="C581" s="107">
        <v>1218</v>
      </c>
      <c r="D581" s="107">
        <v>3360</v>
      </c>
      <c r="E581" s="107">
        <v>3362</v>
      </c>
      <c r="F581" s="107">
        <v>0.362284354550862</v>
      </c>
      <c r="G581" s="107">
        <v>0.37473327443897297</v>
      </c>
      <c r="H581" s="107">
        <v>1.41002953305894E-2</v>
      </c>
      <c r="I581" s="107">
        <v>-0.882883627345313</v>
      </c>
      <c r="J581" s="107">
        <v>-3.44</v>
      </c>
      <c r="K581" s="107">
        <v>0.44700703425229799</v>
      </c>
      <c r="L581" s="107">
        <v>0.86710349816043897</v>
      </c>
      <c r="M581" s="107">
        <v>0</v>
      </c>
      <c r="N581" s="107">
        <v>0</v>
      </c>
    </row>
    <row r="582" spans="1:14">
      <c r="A582" s="14">
        <v>43005</v>
      </c>
      <c r="B582" s="107">
        <v>1186</v>
      </c>
      <c r="C582" s="107">
        <v>1191</v>
      </c>
      <c r="D582" s="107">
        <v>3325</v>
      </c>
      <c r="E582" s="107">
        <v>3354</v>
      </c>
      <c r="F582" s="107">
        <v>0.35509838998211002</v>
      </c>
      <c r="G582" s="107">
        <v>0.375043064258269</v>
      </c>
      <c r="H582" s="107">
        <v>1.40786004738759E-2</v>
      </c>
      <c r="I582" s="107">
        <v>-1.4166659756534301</v>
      </c>
      <c r="J582" s="107">
        <v>-5.62</v>
      </c>
      <c r="K582" s="107">
        <v>0.44779952148965102</v>
      </c>
      <c r="L582" s="107">
        <v>0.84401355271257505</v>
      </c>
      <c r="M582" s="107">
        <v>0</v>
      </c>
      <c r="N582" s="107">
        <v>0</v>
      </c>
    </row>
    <row r="583" spans="1:14">
      <c r="A583" s="14">
        <v>43004</v>
      </c>
      <c r="B583" s="107">
        <v>1189</v>
      </c>
      <c r="C583" s="107">
        <v>1202</v>
      </c>
      <c r="D583" s="107">
        <v>3351</v>
      </c>
      <c r="E583" s="107">
        <v>3360</v>
      </c>
      <c r="F583" s="107">
        <v>0.35773809523809502</v>
      </c>
      <c r="G583" s="107">
        <v>0.37547698274414398</v>
      </c>
      <c r="H583" s="107">
        <v>1.3958200967642199E-2</v>
      </c>
      <c r="I583" s="107">
        <v>-1.27085772351118</v>
      </c>
      <c r="J583" s="107">
        <v>-4.96</v>
      </c>
      <c r="K583" s="107">
        <v>0.442523765116834</v>
      </c>
      <c r="L583" s="107">
        <v>0.82488817923316404</v>
      </c>
      <c r="M583" s="107">
        <v>0</v>
      </c>
      <c r="N583" s="107">
        <v>0</v>
      </c>
    </row>
    <row r="584" spans="1:14">
      <c r="A584" s="14">
        <v>43003</v>
      </c>
      <c r="B584" s="107">
        <v>1200</v>
      </c>
      <c r="C584" s="107">
        <v>1199</v>
      </c>
      <c r="D584" s="107">
        <v>3361</v>
      </c>
      <c r="E584" s="107">
        <v>3362</v>
      </c>
      <c r="F584" s="107">
        <v>0.356632956573468</v>
      </c>
      <c r="G584" s="107">
        <v>0.37582230879285999</v>
      </c>
      <c r="H584" s="107">
        <v>1.3834900805757E-2</v>
      </c>
      <c r="I584" s="107">
        <v>-1.3870249226078499</v>
      </c>
      <c r="J584" s="107">
        <v>-5.38</v>
      </c>
      <c r="K584" s="107">
        <v>0.44309600815601402</v>
      </c>
      <c r="L584" s="107">
        <v>0.78026703171480405</v>
      </c>
      <c r="M584" s="107">
        <v>0</v>
      </c>
      <c r="N584" s="107">
        <v>0</v>
      </c>
    </row>
    <row r="585" spans="1:14">
      <c r="A585" s="14">
        <v>43000</v>
      </c>
      <c r="B585" s="107">
        <v>1186</v>
      </c>
      <c r="C585" s="107">
        <v>1190</v>
      </c>
      <c r="D585" s="107">
        <v>3345</v>
      </c>
      <c r="E585" s="107">
        <v>3352</v>
      </c>
      <c r="F585" s="107">
        <v>0.35501193317422403</v>
      </c>
      <c r="G585" s="107">
        <v>0.37613714029936102</v>
      </c>
      <c r="H585" s="107">
        <v>1.36622271940945E-2</v>
      </c>
      <c r="I585" s="107">
        <v>-1.54624914554694</v>
      </c>
      <c r="J585" s="107">
        <v>-5.95</v>
      </c>
      <c r="K585" s="107">
        <v>0.45308622835685802</v>
      </c>
      <c r="L585" s="107">
        <v>0.76416311073369403</v>
      </c>
      <c r="M585" s="107">
        <v>0</v>
      </c>
      <c r="N585" s="107">
        <v>0</v>
      </c>
    </row>
    <row r="586" spans="1:14">
      <c r="A586" s="14">
        <v>42999</v>
      </c>
      <c r="B586" s="107">
        <v>1198</v>
      </c>
      <c r="C586" s="107">
        <v>1189</v>
      </c>
      <c r="D586" s="107">
        <v>3341</v>
      </c>
      <c r="E586" s="107">
        <v>3331</v>
      </c>
      <c r="F586" s="107">
        <v>0.35694986490543301</v>
      </c>
      <c r="G586" s="107">
        <v>0.37649790664024302</v>
      </c>
      <c r="H586" s="107">
        <v>1.34553037369665E-2</v>
      </c>
      <c r="I586" s="107">
        <v>-1.4528131149580601</v>
      </c>
      <c r="J586" s="107">
        <v>-5.48</v>
      </c>
      <c r="K586" s="107">
        <v>0.46635725719213</v>
      </c>
      <c r="L586" s="107">
        <v>0.75535623044328204</v>
      </c>
      <c r="M586" s="107">
        <v>0</v>
      </c>
      <c r="N586" s="107">
        <v>0</v>
      </c>
    </row>
    <row r="587" spans="1:14">
      <c r="A587" s="14">
        <v>42998</v>
      </c>
      <c r="B587" s="107">
        <v>1174</v>
      </c>
      <c r="C587" s="107">
        <v>1195</v>
      </c>
      <c r="D587" s="107">
        <v>3290</v>
      </c>
      <c r="E587" s="107">
        <v>3310</v>
      </c>
      <c r="F587" s="107">
        <v>0.361027190332326</v>
      </c>
      <c r="G587" s="107">
        <v>0.37685888309662002</v>
      </c>
      <c r="H587" s="107">
        <v>1.32881499516405E-2</v>
      </c>
      <c r="I587" s="107">
        <v>-1.1914143670797499</v>
      </c>
      <c r="J587" s="107">
        <v>-4.3899999999999997</v>
      </c>
      <c r="K587" s="107">
        <v>0.47664151699037099</v>
      </c>
      <c r="L587" s="107">
        <v>0.65218132800965101</v>
      </c>
      <c r="M587" s="107">
        <v>0</v>
      </c>
      <c r="N587" s="107">
        <v>0</v>
      </c>
    </row>
    <row r="588" spans="1:14">
      <c r="A588" s="14">
        <v>42997</v>
      </c>
      <c r="B588" s="107">
        <v>1175</v>
      </c>
      <c r="C588" s="107">
        <v>1185</v>
      </c>
      <c r="D588" s="107">
        <v>3300</v>
      </c>
      <c r="E588" s="107">
        <v>3294</v>
      </c>
      <c r="F588" s="107">
        <v>0.35974499089253098</v>
      </c>
      <c r="G588" s="107">
        <v>0.37712137173815102</v>
      </c>
      <c r="H588" s="107">
        <v>1.3166710725030501E-2</v>
      </c>
      <c r="I588" s="107">
        <v>-1.31972071145953</v>
      </c>
      <c r="J588" s="107">
        <v>-4.83</v>
      </c>
      <c r="K588" s="107">
        <v>0.500087099439116</v>
      </c>
      <c r="L588" s="107">
        <v>0.56640191262917405</v>
      </c>
      <c r="M588" s="107">
        <v>0</v>
      </c>
      <c r="N588" s="107">
        <v>0</v>
      </c>
    </row>
    <row r="589" spans="1:14">
      <c r="A589" s="14">
        <v>42993</v>
      </c>
      <c r="B589" s="107">
        <v>1158</v>
      </c>
      <c r="C589" s="107">
        <v>1168</v>
      </c>
      <c r="D589" s="107">
        <v>3210</v>
      </c>
      <c r="E589" s="107">
        <v>3245</v>
      </c>
      <c r="F589" s="107">
        <v>0.35993836671802698</v>
      </c>
      <c r="G589" s="107">
        <v>0.37750900493584699</v>
      </c>
      <c r="H589" s="107">
        <v>1.3077084915005199E-2</v>
      </c>
      <c r="I589" s="107">
        <v>-1.34362041173708</v>
      </c>
      <c r="J589" s="107">
        <v>-4.88</v>
      </c>
      <c r="K589" s="107">
        <v>0.53401330076137998</v>
      </c>
      <c r="L589" s="107">
        <v>0.37832650835318199</v>
      </c>
      <c r="M589" s="107">
        <v>0</v>
      </c>
      <c r="N589" s="107">
        <v>0</v>
      </c>
    </row>
    <row r="590" spans="1:14">
      <c r="A590" s="14">
        <v>42992</v>
      </c>
      <c r="B590" s="107">
        <v>1170</v>
      </c>
      <c r="C590" s="107">
        <v>1159</v>
      </c>
      <c r="D590" s="107">
        <v>3220</v>
      </c>
      <c r="E590" s="107">
        <v>3216</v>
      </c>
      <c r="F590" s="107">
        <v>0.360385572139303</v>
      </c>
      <c r="G590" s="107">
        <v>0.37769325094564299</v>
      </c>
      <c r="H590" s="107">
        <v>1.29246879161225E-2</v>
      </c>
      <c r="I590" s="107">
        <v>-1.3391177348854799</v>
      </c>
      <c r="J590" s="107">
        <v>-4.8</v>
      </c>
      <c r="K590" s="107">
        <v>0.57154011422920303</v>
      </c>
      <c r="L590" s="107">
        <v>0.25954692241129101</v>
      </c>
      <c r="M590" s="107">
        <v>0</v>
      </c>
      <c r="N590" s="107">
        <v>0</v>
      </c>
    </row>
    <row r="591" spans="1:14">
      <c r="A591" s="14">
        <v>42991</v>
      </c>
      <c r="B591" s="107">
        <v>1161</v>
      </c>
      <c r="C591" s="107">
        <v>1167</v>
      </c>
      <c r="D591" s="107">
        <v>3210</v>
      </c>
      <c r="E591" s="107">
        <v>3218</v>
      </c>
      <c r="F591" s="107">
        <v>0.362647607209446</v>
      </c>
      <c r="G591" s="107">
        <v>0.37799929340931998</v>
      </c>
      <c r="H591" s="107">
        <v>1.27822054291407E-2</v>
      </c>
      <c r="I591" s="107">
        <v>-1.20102014358763</v>
      </c>
      <c r="J591" s="107">
        <v>-4.2300000000000004</v>
      </c>
      <c r="K591" s="107">
        <v>0.61186537635438998</v>
      </c>
      <c r="L591" s="107">
        <v>0.13000075844902301</v>
      </c>
      <c r="M591" s="107">
        <v>0</v>
      </c>
      <c r="N591" s="107">
        <v>0</v>
      </c>
    </row>
    <row r="592" spans="1:14">
      <c r="A592" s="14">
        <v>42990</v>
      </c>
      <c r="B592" s="107">
        <v>1154</v>
      </c>
      <c r="C592" s="107">
        <v>1154</v>
      </c>
      <c r="D592" s="107">
        <v>3150</v>
      </c>
      <c r="E592" s="107">
        <v>3188</v>
      </c>
      <c r="F592" s="107">
        <v>0.36198243412797898</v>
      </c>
      <c r="G592" s="107">
        <v>0.37825537579187102</v>
      </c>
      <c r="H592" s="107">
        <v>1.266392390567E-2</v>
      </c>
      <c r="I592" s="107">
        <v>-1.2849841632896599</v>
      </c>
      <c r="J592" s="107">
        <v>-4.5</v>
      </c>
      <c r="K592" s="107">
        <v>0.65095540380265104</v>
      </c>
      <c r="L592" s="107">
        <v>0.173254160599596</v>
      </c>
      <c r="M592" s="107">
        <v>0</v>
      </c>
      <c r="N592" s="107">
        <v>0</v>
      </c>
    </row>
    <row r="593" spans="1:14">
      <c r="A593" s="14">
        <v>42989</v>
      </c>
      <c r="B593" s="107">
        <v>1141</v>
      </c>
      <c r="C593" s="107">
        <v>1139</v>
      </c>
      <c r="D593" s="107">
        <v>3095</v>
      </c>
      <c r="E593" s="107">
        <v>3119</v>
      </c>
      <c r="F593" s="107">
        <v>0.36518114780378302</v>
      </c>
      <c r="G593" s="107">
        <v>0.37849543559756799</v>
      </c>
      <c r="H593" s="107">
        <v>1.2523040158992201E-2</v>
      </c>
      <c r="I593" s="107">
        <v>-1.0631833504282699</v>
      </c>
      <c r="J593" s="107">
        <v>-3.65</v>
      </c>
      <c r="K593" s="107">
        <v>0.66424626026540201</v>
      </c>
      <c r="L593" s="107">
        <v>0.183263872214322</v>
      </c>
      <c r="M593" s="107">
        <v>0</v>
      </c>
      <c r="N593" s="107">
        <v>0</v>
      </c>
    </row>
    <row r="594" spans="1:14">
      <c r="A594" s="14">
        <v>42986</v>
      </c>
      <c r="B594" s="107">
        <v>1127</v>
      </c>
      <c r="C594" s="107">
        <v>1127</v>
      </c>
      <c r="D594" s="107">
        <v>3065</v>
      </c>
      <c r="E594" s="107">
        <v>3070</v>
      </c>
      <c r="F594" s="107">
        <v>0.367100977198697</v>
      </c>
      <c r="G594" s="107">
        <v>0.37868828146745398</v>
      </c>
      <c r="H594" s="107">
        <v>1.2427523855784601E-2</v>
      </c>
      <c r="I594" s="107">
        <v>-0.93239042654211501</v>
      </c>
      <c r="J594" s="107">
        <v>-3.16</v>
      </c>
      <c r="K594" s="107">
        <v>0.66284614550031495</v>
      </c>
      <c r="L594" s="107">
        <v>0.17471630777984901</v>
      </c>
      <c r="M594" s="107">
        <v>0</v>
      </c>
      <c r="N594" s="107">
        <v>0</v>
      </c>
    </row>
    <row r="595" spans="1:14">
      <c r="A595" s="14">
        <v>42985</v>
      </c>
      <c r="B595" s="107">
        <v>1131</v>
      </c>
      <c r="C595" s="107">
        <v>1129</v>
      </c>
      <c r="D595" s="107">
        <v>3047</v>
      </c>
      <c r="E595" s="107">
        <v>3079</v>
      </c>
      <c r="F595" s="107">
        <v>0.36667749269243199</v>
      </c>
      <c r="G595" s="107">
        <v>0.37879944972468799</v>
      </c>
      <c r="H595" s="107">
        <v>1.2360484964908099E-2</v>
      </c>
      <c r="I595" s="107">
        <v>-0.98070238074560101</v>
      </c>
      <c r="J595" s="107">
        <v>-3.31</v>
      </c>
      <c r="K595" s="107">
        <v>0.66468876112289699</v>
      </c>
      <c r="L595" s="107">
        <v>0.218512224496793</v>
      </c>
      <c r="M595" s="107">
        <v>0</v>
      </c>
      <c r="N595" s="107">
        <v>0</v>
      </c>
    </row>
    <row r="596" spans="1:14">
      <c r="A596" s="14">
        <v>42984</v>
      </c>
      <c r="B596" s="107">
        <v>1119</v>
      </c>
      <c r="C596" s="107">
        <v>1128</v>
      </c>
      <c r="D596" s="107">
        <v>3046</v>
      </c>
      <c r="E596" s="107">
        <v>3036</v>
      </c>
      <c r="F596" s="107">
        <v>0.37154150197628399</v>
      </c>
      <c r="G596" s="107">
        <v>0.37901957256568702</v>
      </c>
      <c r="H596" s="107">
        <v>1.22894487324079E-2</v>
      </c>
      <c r="I596" s="107">
        <v>-0.60849520204127805</v>
      </c>
      <c r="J596" s="107">
        <v>-2.0099999999999998</v>
      </c>
      <c r="K596" s="107">
        <v>0.66093175130102699</v>
      </c>
      <c r="L596" s="107">
        <v>0.19278140151041701</v>
      </c>
      <c r="M596" s="107">
        <v>0</v>
      </c>
      <c r="N596" s="107">
        <v>0</v>
      </c>
    </row>
    <row r="597" spans="1:14">
      <c r="A597" s="14">
        <v>42983</v>
      </c>
      <c r="B597" s="107">
        <v>1123</v>
      </c>
      <c r="C597" s="107">
        <v>1125</v>
      </c>
      <c r="D597" s="107">
        <v>3060</v>
      </c>
      <c r="E597" s="107">
        <v>3057</v>
      </c>
      <c r="F597" s="107">
        <v>0.368007850834151</v>
      </c>
      <c r="G597" s="107">
        <v>0.37916995383593299</v>
      </c>
      <c r="H597" s="107">
        <v>1.22660059348859E-2</v>
      </c>
      <c r="I597" s="107">
        <v>-0.91000306546694698</v>
      </c>
      <c r="J597" s="107">
        <v>-3.03</v>
      </c>
      <c r="K597" s="107">
        <v>0.65986585973866196</v>
      </c>
      <c r="L597" s="107">
        <v>0.199774654725768</v>
      </c>
      <c r="M597" s="107">
        <v>0</v>
      </c>
      <c r="N597" s="107">
        <v>0</v>
      </c>
    </row>
    <row r="598" spans="1:14">
      <c r="A598" s="14">
        <v>42982</v>
      </c>
      <c r="B598" s="107">
        <v>1110</v>
      </c>
      <c r="C598" s="107">
        <v>1121</v>
      </c>
      <c r="D598" s="107">
        <v>3065</v>
      </c>
      <c r="E598" s="107">
        <v>3050</v>
      </c>
      <c r="F598" s="107">
        <v>0.36754098360655701</v>
      </c>
      <c r="G598" s="107">
        <v>0.37939105134393603</v>
      </c>
      <c r="H598" s="107">
        <v>1.2212145563924E-2</v>
      </c>
      <c r="I598" s="107">
        <v>-0.97035100632813198</v>
      </c>
      <c r="J598" s="107">
        <v>-3.22</v>
      </c>
      <c r="K598" s="107">
        <v>0.6583267747589</v>
      </c>
      <c r="L598" s="107">
        <v>8.6703202590377407E-2</v>
      </c>
      <c r="M598" s="107">
        <v>0</v>
      </c>
      <c r="N598" s="107">
        <v>0</v>
      </c>
    </row>
    <row r="599" spans="1:14">
      <c r="A599" s="14">
        <v>42979</v>
      </c>
      <c r="B599" s="107">
        <v>1107</v>
      </c>
      <c r="C599" s="107">
        <v>1101</v>
      </c>
      <c r="D599" s="107">
        <v>3100</v>
      </c>
      <c r="E599" s="107">
        <v>3096</v>
      </c>
      <c r="F599" s="107">
        <v>0.35562015503875899</v>
      </c>
      <c r="G599" s="107">
        <v>0.37957587738089499</v>
      </c>
      <c r="H599" s="107">
        <v>1.2136061399427999E-2</v>
      </c>
      <c r="I599" s="107">
        <v>-1.97392890112312</v>
      </c>
      <c r="J599" s="107">
        <v>-6.74</v>
      </c>
      <c r="K599" s="107">
        <v>0.67365745492191997</v>
      </c>
      <c r="L599" s="107">
        <v>0.14407743421976299</v>
      </c>
      <c r="M599" s="107">
        <v>0</v>
      </c>
      <c r="N599" s="107">
        <v>0</v>
      </c>
    </row>
    <row r="600" spans="1:14">
      <c r="A600" s="14">
        <v>42978</v>
      </c>
      <c r="B600" s="107">
        <v>1106</v>
      </c>
      <c r="C600" s="107">
        <v>1099</v>
      </c>
      <c r="D600" s="107">
        <v>3048</v>
      </c>
      <c r="E600" s="107">
        <v>3081</v>
      </c>
      <c r="F600" s="107">
        <v>0.35670236936059702</v>
      </c>
      <c r="G600" s="107">
        <v>0.37985288243758197</v>
      </c>
      <c r="H600" s="107">
        <v>1.18190704856938E-2</v>
      </c>
      <c r="I600" s="107">
        <v>-1.9587422805378101</v>
      </c>
      <c r="J600" s="107">
        <v>-6.49</v>
      </c>
      <c r="K600" s="107">
        <v>0.68888919683628203</v>
      </c>
      <c r="L600" s="107">
        <v>0.146859219713106</v>
      </c>
      <c r="M600" s="107">
        <v>0</v>
      </c>
      <c r="N600" s="107">
        <v>0</v>
      </c>
    </row>
    <row r="601" spans="1:14">
      <c r="A601" s="14">
        <v>42977</v>
      </c>
      <c r="B601" s="107">
        <v>1093</v>
      </c>
      <c r="C601" s="107">
        <v>1103</v>
      </c>
      <c r="D601" s="107">
        <v>3045</v>
      </c>
      <c r="E601" s="107">
        <v>3040</v>
      </c>
      <c r="F601" s="107">
        <v>0.36282894736842097</v>
      </c>
      <c r="G601" s="107">
        <v>0.38014895062507797</v>
      </c>
      <c r="H601" s="107">
        <v>1.1509506407968899E-2</v>
      </c>
      <c r="I601" s="107">
        <v>-1.50484326979176</v>
      </c>
      <c r="J601" s="107">
        <v>-4.7699999999999996</v>
      </c>
      <c r="K601" s="107">
        <v>0.67540945239162398</v>
      </c>
      <c r="L601" s="107">
        <v>0.13475471477870499</v>
      </c>
      <c r="M601" s="107">
        <v>0</v>
      </c>
      <c r="N601" s="107">
        <v>0</v>
      </c>
    </row>
    <row r="602" spans="1:14">
      <c r="A602" s="14">
        <v>42976</v>
      </c>
      <c r="B602" s="107">
        <v>1083</v>
      </c>
      <c r="C602" s="107">
        <v>1093</v>
      </c>
      <c r="D602" s="107">
        <v>3030</v>
      </c>
      <c r="E602" s="107">
        <v>3040</v>
      </c>
      <c r="F602" s="107">
        <v>0.35953947368421002</v>
      </c>
      <c r="G602" s="107">
        <v>0.38035401988871897</v>
      </c>
      <c r="H602" s="107">
        <v>1.13347734402039E-2</v>
      </c>
      <c r="I602" s="107">
        <v>-1.8363442652219899</v>
      </c>
      <c r="J602" s="107">
        <v>-5.79</v>
      </c>
      <c r="K602" s="107">
        <v>0.666766684276758</v>
      </c>
      <c r="L602" s="107">
        <v>7.0456069500775001E-2</v>
      </c>
      <c r="M602" s="107">
        <v>0</v>
      </c>
      <c r="N602" s="107">
        <v>0</v>
      </c>
    </row>
    <row r="603" spans="1:14">
      <c r="A603" s="14">
        <v>42975</v>
      </c>
      <c r="B603" s="107">
        <v>1081</v>
      </c>
      <c r="C603" s="107">
        <v>1086</v>
      </c>
      <c r="D603" s="107">
        <v>3063</v>
      </c>
      <c r="E603" s="107">
        <v>3045</v>
      </c>
      <c r="F603" s="107">
        <v>0.35665024630541797</v>
      </c>
      <c r="G603" s="107">
        <v>0.38064508261117103</v>
      </c>
      <c r="H603" s="107">
        <v>1.10738208217698E-2</v>
      </c>
      <c r="I603" s="107">
        <v>-2.16680734607709</v>
      </c>
      <c r="J603" s="107">
        <v>-6.73</v>
      </c>
      <c r="K603" s="107">
        <v>0.66101415761469595</v>
      </c>
      <c r="L603" s="107">
        <v>5.1252653096352803E-2</v>
      </c>
      <c r="M603" s="107">
        <v>0</v>
      </c>
      <c r="N603" s="107">
        <v>0</v>
      </c>
    </row>
    <row r="604" spans="1:14">
      <c r="A604" s="14">
        <v>42972</v>
      </c>
      <c r="B604" s="107">
        <v>1083</v>
      </c>
      <c r="C604" s="107">
        <v>1086</v>
      </c>
      <c r="D604" s="107">
        <v>3035</v>
      </c>
      <c r="E604" s="107">
        <v>3053</v>
      </c>
      <c r="F604" s="107">
        <v>0.355715689485751</v>
      </c>
      <c r="G604" s="107">
        <v>0.38101795112197001</v>
      </c>
      <c r="H604" s="107">
        <v>1.07249223019026E-2</v>
      </c>
      <c r="I604" s="107">
        <v>-2.35920232557118</v>
      </c>
      <c r="J604" s="107">
        <v>-7.11</v>
      </c>
      <c r="K604" s="107">
        <v>0.66154760000778401</v>
      </c>
      <c r="L604" s="107">
        <v>0.26839182897428698</v>
      </c>
      <c r="M604" s="107">
        <v>0</v>
      </c>
      <c r="N604" s="107">
        <v>0</v>
      </c>
    </row>
    <row r="605" spans="1:14">
      <c r="A605" s="14">
        <v>42971</v>
      </c>
      <c r="B605" s="107">
        <v>1080</v>
      </c>
      <c r="C605" s="107">
        <v>1078</v>
      </c>
      <c r="D605" s="107">
        <v>3028</v>
      </c>
      <c r="E605" s="107">
        <v>3034</v>
      </c>
      <c r="F605" s="107">
        <v>0.35530652603823298</v>
      </c>
      <c r="G605" s="107">
        <v>0.38148869755318199</v>
      </c>
      <c r="H605" s="107">
        <v>1.03730719959456E-2</v>
      </c>
      <c r="I605" s="107">
        <v>-2.5240518455075098</v>
      </c>
      <c r="J605" s="107">
        <v>-7.37</v>
      </c>
      <c r="K605" s="107">
        <v>0.65008423900261003</v>
      </c>
      <c r="L605" s="107">
        <v>0.27223841820335798</v>
      </c>
      <c r="M605" s="107">
        <v>0</v>
      </c>
      <c r="N605" s="107">
        <v>0</v>
      </c>
    </row>
    <row r="606" spans="1:14">
      <c r="A606" s="14">
        <v>42970</v>
      </c>
      <c r="B606" s="107">
        <v>1094</v>
      </c>
      <c r="C606" s="107">
        <v>1088</v>
      </c>
      <c r="D606" s="107">
        <v>3054</v>
      </c>
      <c r="E606" s="107">
        <v>3027</v>
      </c>
      <c r="F606" s="107">
        <v>0.35943178064089798</v>
      </c>
      <c r="G606" s="107">
        <v>0.38211789187059197</v>
      </c>
      <c r="H606" s="107">
        <v>1.0195528517652999E-2</v>
      </c>
      <c r="I606" s="107">
        <v>-2.2251039944044302</v>
      </c>
      <c r="J606" s="107">
        <v>-6.31</v>
      </c>
      <c r="K606" s="107">
        <v>0.62341007549729999</v>
      </c>
      <c r="L606" s="107">
        <v>0.25338671354357201</v>
      </c>
      <c r="M606" s="107">
        <v>0</v>
      </c>
      <c r="N606" s="107">
        <v>0</v>
      </c>
    </row>
    <row r="607" spans="1:14">
      <c r="A607" s="14">
        <v>42969</v>
      </c>
      <c r="B607" s="107">
        <v>1071</v>
      </c>
      <c r="C607" s="107">
        <v>1085</v>
      </c>
      <c r="D607" s="107">
        <v>3007</v>
      </c>
      <c r="E607" s="107">
        <v>3022</v>
      </c>
      <c r="F607" s="107">
        <v>0.35903375248179997</v>
      </c>
      <c r="G607" s="107">
        <v>0.382616278718512</v>
      </c>
      <c r="H607" s="107">
        <v>9.9858250601995401E-3</v>
      </c>
      <c r="I607" s="107">
        <v>-2.3616001777064102</v>
      </c>
      <c r="J607" s="107">
        <v>-6.57</v>
      </c>
      <c r="K607" s="107">
        <v>0.59944176279264605</v>
      </c>
      <c r="L607" s="107">
        <v>0.15469721811279899</v>
      </c>
      <c r="M607" s="107">
        <v>0</v>
      </c>
      <c r="N607" s="107">
        <v>0</v>
      </c>
    </row>
    <row r="608" spans="1:14">
      <c r="A608" s="14">
        <v>42968</v>
      </c>
      <c r="B608" s="107">
        <v>1083</v>
      </c>
      <c r="C608" s="107">
        <v>1071</v>
      </c>
      <c r="D608" s="107">
        <v>3031</v>
      </c>
      <c r="E608" s="107">
        <v>3009</v>
      </c>
      <c r="F608" s="107">
        <v>0.35593220338983</v>
      </c>
      <c r="G608" s="107">
        <v>0.38304296933457099</v>
      </c>
      <c r="H608" s="107">
        <v>9.6470004712449799E-3</v>
      </c>
      <c r="I608" s="107">
        <v>-2.8102793221116702</v>
      </c>
      <c r="J608" s="107">
        <v>-7.62</v>
      </c>
      <c r="K608" s="107">
        <v>0.55881315837257595</v>
      </c>
      <c r="L608" s="107">
        <v>0.11894868948258799</v>
      </c>
      <c r="M608" s="107">
        <v>0</v>
      </c>
      <c r="N608" s="107">
        <v>0</v>
      </c>
    </row>
    <row r="609" spans="1:14">
      <c r="A609" s="14">
        <v>42965</v>
      </c>
      <c r="B609" s="107">
        <v>1072</v>
      </c>
      <c r="C609" s="107">
        <v>1078</v>
      </c>
      <c r="D609" s="107">
        <v>3012</v>
      </c>
      <c r="E609" s="107">
        <v>3020</v>
      </c>
      <c r="F609" s="107">
        <v>0.35695364238410598</v>
      </c>
      <c r="G609" s="107">
        <v>0.38342509568279898</v>
      </c>
      <c r="H609" s="107">
        <v>9.1186985102420307E-3</v>
      </c>
      <c r="I609" s="107">
        <v>-2.9029859106495701</v>
      </c>
      <c r="J609" s="107">
        <v>-7.42</v>
      </c>
      <c r="K609" s="107">
        <v>0.52061687179080696</v>
      </c>
      <c r="L609" s="107">
        <v>6.4860815518687595E-2</v>
      </c>
      <c r="M609" s="107">
        <v>0</v>
      </c>
      <c r="N609" s="107">
        <v>0</v>
      </c>
    </row>
    <row r="610" spans="1:14">
      <c r="A610" s="14">
        <v>42964</v>
      </c>
      <c r="B610" s="107">
        <v>1095</v>
      </c>
      <c r="C610" s="107">
        <v>1095</v>
      </c>
      <c r="D610" s="107">
        <v>3054</v>
      </c>
      <c r="E610" s="107">
        <v>3043</v>
      </c>
      <c r="F610" s="107">
        <v>0.35984226092671701</v>
      </c>
      <c r="G610" s="107">
        <v>0.38379360157312398</v>
      </c>
      <c r="H610" s="107">
        <v>8.5842784983793403E-3</v>
      </c>
      <c r="I610" s="107">
        <v>-2.7901402139887099</v>
      </c>
      <c r="J610" s="107">
        <v>-6.66</v>
      </c>
      <c r="K610" s="107">
        <v>0.50422456236568503</v>
      </c>
      <c r="L610" s="107">
        <v>4.75416015547728E-2</v>
      </c>
      <c r="M610" s="107">
        <v>0</v>
      </c>
      <c r="N610" s="107">
        <v>0</v>
      </c>
    </row>
    <row r="611" spans="1:14">
      <c r="A611" s="14">
        <v>42963</v>
      </c>
      <c r="B611" s="107">
        <v>1092</v>
      </c>
      <c r="C611" s="107">
        <v>1102</v>
      </c>
      <c r="D611" s="107">
        <v>3049</v>
      </c>
      <c r="E611" s="107">
        <v>3062</v>
      </c>
      <c r="F611" s="107">
        <v>0.35989549314173702</v>
      </c>
      <c r="G611" s="107">
        <v>0.38410715827899999</v>
      </c>
      <c r="H611" s="107">
        <v>8.1206618059195199E-3</v>
      </c>
      <c r="I611" s="107">
        <v>-2.9814891588779702</v>
      </c>
      <c r="J611" s="107">
        <v>-6.73</v>
      </c>
      <c r="K611" s="107">
        <v>0.49312332012809001</v>
      </c>
      <c r="L611" s="107">
        <v>5.7911191188367898E-2</v>
      </c>
      <c r="M611" s="107">
        <v>0</v>
      </c>
      <c r="N611" s="107">
        <v>0</v>
      </c>
    </row>
    <row r="612" spans="1:14">
      <c r="A612" s="14">
        <v>42962</v>
      </c>
      <c r="B612" s="107">
        <v>1120</v>
      </c>
      <c r="C612" s="107">
        <v>1107</v>
      </c>
      <c r="D612" s="107">
        <v>3052</v>
      </c>
      <c r="E612" s="107">
        <v>3056</v>
      </c>
      <c r="F612" s="107">
        <v>0.36223821989528798</v>
      </c>
      <c r="G612" s="107">
        <v>0.38443549683072198</v>
      </c>
      <c r="H612" s="107">
        <v>7.6173198154401199E-3</v>
      </c>
      <c r="I612" s="107">
        <v>-2.9140534299795999</v>
      </c>
      <c r="J612" s="107">
        <v>-6.13</v>
      </c>
      <c r="K612" s="107">
        <v>0.48290370340217098</v>
      </c>
      <c r="L612" s="107">
        <v>5.0398313788963299E-3</v>
      </c>
      <c r="M612" s="107">
        <v>0</v>
      </c>
      <c r="N612" s="107">
        <v>0</v>
      </c>
    </row>
    <row r="613" spans="1:14">
      <c r="A613" s="14">
        <v>42961</v>
      </c>
      <c r="B613" s="107">
        <v>1100</v>
      </c>
      <c r="C613" s="107">
        <v>1107</v>
      </c>
      <c r="D613" s="107">
        <v>3050</v>
      </c>
      <c r="E613" s="107">
        <v>3031</v>
      </c>
      <c r="F613" s="107">
        <v>0.36522599802045502</v>
      </c>
      <c r="G613" s="107">
        <v>0.38472742665931597</v>
      </c>
      <c r="H613" s="107">
        <v>7.16728473730208E-3</v>
      </c>
      <c r="I613" s="107">
        <v>-2.7208949209686399</v>
      </c>
      <c r="J613" s="107">
        <v>-5.34</v>
      </c>
      <c r="K613" s="107">
        <v>0.44884504084331101</v>
      </c>
      <c r="L613" s="107">
        <v>6.4993522267549099E-3</v>
      </c>
      <c r="M613" s="107">
        <v>0</v>
      </c>
      <c r="N613" s="107">
        <v>0</v>
      </c>
    </row>
    <row r="614" spans="1:14">
      <c r="A614" s="14">
        <v>42957</v>
      </c>
      <c r="B614" s="107">
        <v>1126</v>
      </c>
      <c r="C614" s="107">
        <v>1110</v>
      </c>
      <c r="D614" s="107">
        <v>3082</v>
      </c>
      <c r="E614" s="107">
        <v>3078</v>
      </c>
      <c r="F614" s="107">
        <v>0.36062378167641301</v>
      </c>
      <c r="G614" s="107">
        <v>0.38494674089318798</v>
      </c>
      <c r="H614" s="107">
        <v>6.8099482375506802E-3</v>
      </c>
      <c r="I614" s="107">
        <v>-3.5716804839508001</v>
      </c>
      <c r="J614" s="107">
        <v>-6.74</v>
      </c>
      <c r="K614" s="107">
        <v>0.56366116020220003</v>
      </c>
      <c r="L614" s="107">
        <v>0.41283688431988502</v>
      </c>
      <c r="M614" s="107">
        <v>0</v>
      </c>
      <c r="N614" s="107">
        <v>0</v>
      </c>
    </row>
    <row r="615" spans="1:14">
      <c r="A615" s="14">
        <v>42956</v>
      </c>
      <c r="B615" s="107">
        <v>1181</v>
      </c>
      <c r="C615" s="107">
        <v>1130</v>
      </c>
      <c r="D615" s="107">
        <v>3093</v>
      </c>
      <c r="E615" s="107">
        <v>3072</v>
      </c>
      <c r="F615" s="107">
        <v>0.36783854166666602</v>
      </c>
      <c r="G615" s="107">
        <v>0.38526629967361797</v>
      </c>
      <c r="H615" s="107">
        <v>6.1957148802773802E-3</v>
      </c>
      <c r="I615" s="107">
        <v>-2.8128728231876399</v>
      </c>
      <c r="J615" s="107">
        <v>-4.74</v>
      </c>
      <c r="K615" s="107">
        <v>0.63113433464543001</v>
      </c>
      <c r="L615" s="107">
        <v>9.9720152474933099E-2</v>
      </c>
      <c r="M615" s="107">
        <v>0</v>
      </c>
      <c r="N615" s="107">
        <v>0</v>
      </c>
    </row>
    <row r="616" spans="1:14">
      <c r="A616" s="14">
        <v>42955</v>
      </c>
      <c r="B616" s="107">
        <v>1203</v>
      </c>
      <c r="C616" s="107">
        <v>1211</v>
      </c>
      <c r="D616" s="107">
        <v>3130</v>
      </c>
      <c r="E616" s="107">
        <v>3109</v>
      </c>
      <c r="F616" s="107">
        <v>0.38951431328401398</v>
      </c>
      <c r="G616" s="107">
        <v>0.38544032548790302</v>
      </c>
      <c r="H616" s="107">
        <v>5.8789635259818398E-3</v>
      </c>
      <c r="I616" s="107">
        <v>0.69297721921659305</v>
      </c>
      <c r="J616" s="107">
        <v>1.05</v>
      </c>
      <c r="K616" s="107">
        <v>0.66277720372838</v>
      </c>
      <c r="L616" s="107">
        <v>0.28911077379103001</v>
      </c>
      <c r="M616" s="107">
        <v>0</v>
      </c>
      <c r="N616" s="107">
        <v>0</v>
      </c>
    </row>
    <row r="617" spans="1:14">
      <c r="A617" s="14">
        <v>42954</v>
      </c>
      <c r="B617" s="107">
        <v>1198</v>
      </c>
      <c r="C617" s="107">
        <v>1197</v>
      </c>
      <c r="D617" s="107">
        <v>3146</v>
      </c>
      <c r="E617" s="107">
        <v>3127</v>
      </c>
      <c r="F617" s="107">
        <v>0.38279501119283599</v>
      </c>
      <c r="G617" s="107">
        <v>0.38532139566992502</v>
      </c>
      <c r="H617" s="107">
        <v>5.8855631170239104E-3</v>
      </c>
      <c r="I617" s="107">
        <v>-0.42925110594448401</v>
      </c>
      <c r="J617" s="107">
        <v>-0.66</v>
      </c>
      <c r="K617" s="107">
        <v>0.71744006950493999</v>
      </c>
      <c r="L617" s="107">
        <v>9.6365707368746598E-2</v>
      </c>
      <c r="M617" s="107">
        <v>0</v>
      </c>
      <c r="N617" s="107">
        <v>0</v>
      </c>
    </row>
    <row r="618" spans="1:14">
      <c r="A618" s="14">
        <v>42951</v>
      </c>
      <c r="B618" s="107">
        <v>1204</v>
      </c>
      <c r="C618" s="107">
        <v>1198</v>
      </c>
      <c r="D618" s="107">
        <v>3151</v>
      </c>
      <c r="E618" s="107">
        <v>3125</v>
      </c>
      <c r="F618" s="107">
        <v>0.38335999999999998</v>
      </c>
      <c r="G618" s="107">
        <v>0.38525727281786798</v>
      </c>
      <c r="H618" s="107">
        <v>5.9386968210319597E-3</v>
      </c>
      <c r="I618" s="107">
        <v>-0.31947628832458902</v>
      </c>
      <c r="J618" s="107">
        <v>-0.49</v>
      </c>
      <c r="K618" s="107">
        <v>0.71811432203955805</v>
      </c>
      <c r="L618" s="107">
        <v>7.5600820179195297E-2</v>
      </c>
      <c r="M618" s="107">
        <v>0</v>
      </c>
      <c r="N618" s="107">
        <v>0</v>
      </c>
    </row>
    <row r="619" spans="1:14">
      <c r="A619" s="14">
        <v>42950</v>
      </c>
      <c r="B619" s="107">
        <v>1203</v>
      </c>
      <c r="C619" s="107">
        <v>1202</v>
      </c>
      <c r="D619" s="107">
        <v>3194</v>
      </c>
      <c r="E619" s="107">
        <v>3185</v>
      </c>
      <c r="F619" s="107">
        <v>0.37739403453689102</v>
      </c>
      <c r="G619" s="107">
        <v>0.38513236095382603</v>
      </c>
      <c r="H619" s="107">
        <v>6.0742673434988096E-3</v>
      </c>
      <c r="I619" s="107">
        <v>-1.27395222820027</v>
      </c>
      <c r="J619" s="107">
        <v>-2.0499999999999998</v>
      </c>
      <c r="K619" s="107">
        <v>0.72803348052489603</v>
      </c>
      <c r="L619" s="107">
        <v>4.0988959997396199E-2</v>
      </c>
      <c r="M619" s="107">
        <v>0</v>
      </c>
      <c r="N619" s="107">
        <v>0</v>
      </c>
    </row>
    <row r="620" spans="1:14">
      <c r="A620" s="14">
        <v>42949</v>
      </c>
      <c r="B620" s="107">
        <v>1224</v>
      </c>
      <c r="C620" s="107">
        <v>1208</v>
      </c>
      <c r="D620" s="107">
        <v>3250</v>
      </c>
      <c r="E620" s="107">
        <v>3214</v>
      </c>
      <c r="F620" s="107">
        <v>0.37585563161169799</v>
      </c>
      <c r="G620" s="107">
        <v>0.38508814234340299</v>
      </c>
      <c r="H620" s="107">
        <v>6.1421308167579798E-3</v>
      </c>
      <c r="I620" s="107">
        <v>-1.50314459381349</v>
      </c>
      <c r="J620" s="107">
        <v>-2.46</v>
      </c>
      <c r="K620" s="107">
        <v>0.74389994574164098</v>
      </c>
      <c r="L620" s="107">
        <v>9.5925154401651294E-2</v>
      </c>
      <c r="M620" s="107">
        <v>0</v>
      </c>
      <c r="N620" s="107">
        <v>0</v>
      </c>
    </row>
    <row r="621" spans="1:14">
      <c r="A621" s="14">
        <v>42948</v>
      </c>
      <c r="B621" s="107">
        <v>1205</v>
      </c>
      <c r="C621" s="107">
        <v>1220</v>
      </c>
      <c r="D621" s="107">
        <v>3103</v>
      </c>
      <c r="E621" s="107">
        <v>3127</v>
      </c>
      <c r="F621" s="107">
        <v>0.39015030380556398</v>
      </c>
      <c r="G621" s="107">
        <v>0.38506556964759198</v>
      </c>
      <c r="H621" s="107">
        <v>6.1790194408929298E-3</v>
      </c>
      <c r="I621" s="107">
        <v>0.822903084641746</v>
      </c>
      <c r="J621" s="107">
        <v>1.3</v>
      </c>
      <c r="K621" s="107">
        <v>0.76634897572197902</v>
      </c>
      <c r="L621" s="107">
        <v>6.7821438372203696E-2</v>
      </c>
      <c r="M621" s="107">
        <v>0</v>
      </c>
      <c r="N621" s="107">
        <v>0</v>
      </c>
    </row>
    <row r="622" spans="1:14">
      <c r="A622" s="14">
        <v>42947</v>
      </c>
      <c r="B622" s="107">
        <v>1186</v>
      </c>
      <c r="C622" s="107">
        <v>1193</v>
      </c>
      <c r="D622" s="107">
        <v>3066</v>
      </c>
      <c r="E622" s="107">
        <v>3108</v>
      </c>
      <c r="F622" s="107">
        <v>0.38384813384813299</v>
      </c>
      <c r="G622" s="107">
        <v>0.384871550266286</v>
      </c>
      <c r="H622" s="107">
        <v>6.2444237367366602E-3</v>
      </c>
      <c r="I622" s="107">
        <v>-0.163892852455129</v>
      </c>
      <c r="J622" s="107">
        <v>-0.27</v>
      </c>
      <c r="K622" s="107">
        <v>0.77715122003888304</v>
      </c>
      <c r="L622" s="107">
        <v>6.75761860433646E-2</v>
      </c>
      <c r="M622" s="107">
        <v>0</v>
      </c>
      <c r="N622" s="107">
        <v>0</v>
      </c>
    </row>
    <row r="623" spans="1:14">
      <c r="A623" s="14">
        <v>42944</v>
      </c>
      <c r="B623" s="107">
        <v>1201</v>
      </c>
      <c r="C623" s="107">
        <v>1193</v>
      </c>
      <c r="D623" s="107">
        <v>3073</v>
      </c>
      <c r="E623" s="107">
        <v>3077</v>
      </c>
      <c r="F623" s="107">
        <v>0.38771530711732199</v>
      </c>
      <c r="G623" s="107">
        <v>0.38474414711562699</v>
      </c>
      <c r="H623" s="107">
        <v>6.36040379246295E-3</v>
      </c>
      <c r="I623" s="107">
        <v>0.46713386423919301</v>
      </c>
      <c r="J623" s="107">
        <v>0.77</v>
      </c>
      <c r="K623" s="107">
        <v>0.77750442811660603</v>
      </c>
      <c r="L623" s="107">
        <v>6.0511230067186603E-2</v>
      </c>
      <c r="M623" s="107">
        <v>0</v>
      </c>
      <c r="N623" s="107">
        <v>0</v>
      </c>
    </row>
    <row r="624" spans="1:14">
      <c r="A624" s="14">
        <v>42943</v>
      </c>
      <c r="B624" s="107">
        <v>1202</v>
      </c>
      <c r="C624" s="107">
        <v>1206</v>
      </c>
      <c r="D624" s="107">
        <v>3076</v>
      </c>
      <c r="E624" s="107">
        <v>3080</v>
      </c>
      <c r="F624" s="107">
        <v>0.39155844155844099</v>
      </c>
      <c r="G624" s="107">
        <v>0.38459451331195099</v>
      </c>
      <c r="H624" s="107">
        <v>6.4204707633787302E-3</v>
      </c>
      <c r="I624" s="107">
        <v>1.08464449152413</v>
      </c>
      <c r="J624" s="107">
        <v>1.78</v>
      </c>
      <c r="K624" s="107">
        <v>0.788540912936879</v>
      </c>
      <c r="L624" s="107">
        <v>6.1329474764151702E-2</v>
      </c>
      <c r="M624" s="107">
        <v>0</v>
      </c>
      <c r="N624" s="107">
        <v>0</v>
      </c>
    </row>
    <row r="625" spans="1:14">
      <c r="A625" s="14">
        <v>42942</v>
      </c>
      <c r="B625" s="107">
        <v>1211</v>
      </c>
      <c r="C625" s="107">
        <v>1204</v>
      </c>
      <c r="D625" s="107">
        <v>3088</v>
      </c>
      <c r="E625" s="107">
        <v>3081</v>
      </c>
      <c r="F625" s="107">
        <v>0.39078221356702297</v>
      </c>
      <c r="G625" s="107">
        <v>0.38439960253167399</v>
      </c>
      <c r="H625" s="107">
        <v>6.4279881109572997E-3</v>
      </c>
      <c r="I625" s="107">
        <v>0.99294070324574901</v>
      </c>
      <c r="J625" s="107">
        <v>1.63</v>
      </c>
      <c r="K625" s="107">
        <v>0.79746784412663896</v>
      </c>
      <c r="L625" s="107">
        <v>6.0965881214487899E-2</v>
      </c>
      <c r="M625" s="107">
        <v>0</v>
      </c>
      <c r="N625" s="107">
        <v>0</v>
      </c>
    </row>
    <row r="626" spans="1:14">
      <c r="A626" s="14">
        <v>42941</v>
      </c>
      <c r="B626" s="107">
        <v>1200</v>
      </c>
      <c r="C626" s="107">
        <v>1200</v>
      </c>
      <c r="D626" s="107">
        <v>3054</v>
      </c>
      <c r="E626" s="107">
        <v>3066</v>
      </c>
      <c r="F626" s="107">
        <v>0.39138943248532199</v>
      </c>
      <c r="G626" s="107">
        <v>0.38420399724446902</v>
      </c>
      <c r="H626" s="107">
        <v>6.4539470036199401E-3</v>
      </c>
      <c r="I626" s="107">
        <v>1.1133396721142499</v>
      </c>
      <c r="J626" s="107">
        <v>1.84</v>
      </c>
      <c r="K626" s="107">
        <v>0.809961744549624</v>
      </c>
      <c r="L626" s="107">
        <v>4.2032569960350798E-2</v>
      </c>
      <c r="M626" s="107">
        <v>0</v>
      </c>
      <c r="N626" s="107">
        <v>0</v>
      </c>
    </row>
    <row r="627" spans="1:14">
      <c r="A627" s="14">
        <v>42940</v>
      </c>
      <c r="B627" s="107">
        <v>1186</v>
      </c>
      <c r="C627" s="107">
        <v>1198</v>
      </c>
      <c r="D627" s="107">
        <v>3051</v>
      </c>
      <c r="E627" s="107">
        <v>3042</v>
      </c>
      <c r="F627" s="107">
        <v>0.39381985535831598</v>
      </c>
      <c r="G627" s="107">
        <v>0.38400727833158099</v>
      </c>
      <c r="H627" s="107">
        <v>6.4567860718801303E-3</v>
      </c>
      <c r="I627" s="107">
        <v>1.5197308564194201</v>
      </c>
      <c r="J627" s="107">
        <v>2.4900000000000002</v>
      </c>
      <c r="K627" s="107">
        <v>0.81887483312161202</v>
      </c>
      <c r="L627" s="107">
        <v>6.0344123189540202E-2</v>
      </c>
      <c r="M627" s="107">
        <v>0</v>
      </c>
      <c r="N627" s="107">
        <v>0</v>
      </c>
    </row>
    <row r="628" spans="1:14">
      <c r="A628" s="14">
        <v>42937</v>
      </c>
      <c r="B628" s="107">
        <v>1198</v>
      </c>
      <c r="C628" s="107">
        <v>1194</v>
      </c>
      <c r="D628" s="107">
        <v>3083</v>
      </c>
      <c r="E628" s="107">
        <v>3076</v>
      </c>
      <c r="F628" s="107">
        <v>0.38816644993498001</v>
      </c>
      <c r="G628" s="107">
        <v>0.38368992550845099</v>
      </c>
      <c r="H628" s="107">
        <v>6.5509340247477798E-3</v>
      </c>
      <c r="I628" s="107">
        <v>0.68334139980928099</v>
      </c>
      <c r="J628" s="107">
        <v>1.1499999999999999</v>
      </c>
      <c r="K628" s="107">
        <v>0.81813009008394399</v>
      </c>
      <c r="L628" s="107">
        <v>6.4197017939853801E-2</v>
      </c>
      <c r="M628" s="107">
        <v>0</v>
      </c>
      <c r="N628" s="107">
        <v>0</v>
      </c>
    </row>
    <row r="629" spans="1:14">
      <c r="A629" s="14">
        <v>42936</v>
      </c>
      <c r="B629" s="107">
        <v>1204</v>
      </c>
      <c r="C629" s="107">
        <v>1204</v>
      </c>
      <c r="D629" s="107">
        <v>3084</v>
      </c>
      <c r="E629" s="107">
        <v>3099</v>
      </c>
      <c r="F629" s="107">
        <v>0.38851242336237402</v>
      </c>
      <c r="G629" s="107">
        <v>0.38336466628739402</v>
      </c>
      <c r="H629" s="107">
        <v>6.9160247545735996E-3</v>
      </c>
      <c r="I629" s="107">
        <v>0.74432311301033705</v>
      </c>
      <c r="J629" s="107">
        <v>1.32</v>
      </c>
      <c r="K629" s="107">
        <v>0.81924837135992201</v>
      </c>
      <c r="L629" s="107">
        <v>5.0914626514868597E-2</v>
      </c>
      <c r="M629" s="107">
        <v>0</v>
      </c>
      <c r="N629" s="107">
        <v>0</v>
      </c>
    </row>
    <row r="630" spans="1:14">
      <c r="A630" s="14">
        <v>42935</v>
      </c>
      <c r="B630" s="107">
        <v>1211</v>
      </c>
      <c r="C630" s="107">
        <v>1204</v>
      </c>
      <c r="D630" s="107">
        <v>3088</v>
      </c>
      <c r="E630" s="107">
        <v>3091</v>
      </c>
      <c r="F630" s="107">
        <v>0.38951795535425399</v>
      </c>
      <c r="G630" s="107">
        <v>0.383074583204981</v>
      </c>
      <c r="H630" s="107">
        <v>7.1464543890082397E-3</v>
      </c>
      <c r="I630" s="107">
        <v>0.90161803301829002</v>
      </c>
      <c r="J630" s="107">
        <v>1.65</v>
      </c>
      <c r="K630" s="107">
        <v>0.82267649718572899</v>
      </c>
      <c r="L630" s="107">
        <v>4.4112687015525599E-2</v>
      </c>
      <c r="M630" s="107">
        <v>0</v>
      </c>
      <c r="N630" s="107">
        <v>0</v>
      </c>
    </row>
    <row r="631" spans="1:14">
      <c r="A631" s="14">
        <v>42934</v>
      </c>
      <c r="B631" s="107">
        <v>1219</v>
      </c>
      <c r="C631" s="107">
        <v>1210</v>
      </c>
      <c r="D631" s="107">
        <v>3118</v>
      </c>
      <c r="E631" s="107">
        <v>3096</v>
      </c>
      <c r="F631" s="107">
        <v>0.39082687338501199</v>
      </c>
      <c r="G631" s="107">
        <v>0.38272735312770001</v>
      </c>
      <c r="H631" s="107">
        <v>7.4511227933491703E-3</v>
      </c>
      <c r="I631" s="107">
        <v>1.08702010179484</v>
      </c>
      <c r="J631" s="107">
        <v>2.0699999999999998</v>
      </c>
      <c r="K631" s="107">
        <v>0.82845287417139701</v>
      </c>
      <c r="L631" s="107">
        <v>3.7582933370042503E-2</v>
      </c>
      <c r="M631" s="107">
        <v>0</v>
      </c>
      <c r="N631" s="107">
        <v>0</v>
      </c>
    </row>
    <row r="632" spans="1:14">
      <c r="A632" s="14">
        <v>42930</v>
      </c>
      <c r="B632" s="107">
        <v>1236</v>
      </c>
      <c r="C632" s="107">
        <v>1227</v>
      </c>
      <c r="D632" s="107">
        <v>3110</v>
      </c>
      <c r="E632" s="107">
        <v>3134</v>
      </c>
      <c r="F632" s="107">
        <v>0.39151244416081599</v>
      </c>
      <c r="G632" s="107">
        <v>0.38234752721791798</v>
      </c>
      <c r="H632" s="107">
        <v>7.7486919534464002E-3</v>
      </c>
      <c r="I632" s="107">
        <v>1.1827695561987399</v>
      </c>
      <c r="J632" s="107">
        <v>2.34</v>
      </c>
      <c r="K632" s="107">
        <v>0.82410740105156699</v>
      </c>
      <c r="L632" s="107">
        <v>2.1095384366291201E-2</v>
      </c>
      <c r="M632" s="107">
        <v>0</v>
      </c>
      <c r="N632" s="107">
        <v>0</v>
      </c>
    </row>
    <row r="633" spans="1:14">
      <c r="A633" s="14">
        <v>42929</v>
      </c>
      <c r="B633" s="107">
        <v>1235</v>
      </c>
      <c r="C633" s="107">
        <v>1232</v>
      </c>
      <c r="D633" s="107">
        <v>3100</v>
      </c>
      <c r="E633" s="107">
        <v>3091</v>
      </c>
      <c r="F633" s="107">
        <v>0.39857651245551601</v>
      </c>
      <c r="G633" s="107">
        <v>0.38207985419419699</v>
      </c>
      <c r="H633" s="107">
        <v>7.7741777477340502E-3</v>
      </c>
      <c r="I633" s="107">
        <v>2.1219811016190402</v>
      </c>
      <c r="J633" s="107">
        <v>4.1399999999999997</v>
      </c>
      <c r="K633" s="107">
        <v>0.83324275580427398</v>
      </c>
      <c r="L633" s="107">
        <v>1.7415164436039601E-2</v>
      </c>
      <c r="M633" s="107">
        <v>0</v>
      </c>
      <c r="N633" s="107">
        <v>0</v>
      </c>
    </row>
    <row r="634" spans="1:14">
      <c r="A634" s="14">
        <v>42928</v>
      </c>
      <c r="B634" s="107">
        <v>1233</v>
      </c>
      <c r="C634" s="107">
        <v>1233</v>
      </c>
      <c r="D634" s="107">
        <v>3103</v>
      </c>
      <c r="E634" s="107">
        <v>3103</v>
      </c>
      <c r="F634" s="107">
        <v>0.39735739606832099</v>
      </c>
      <c r="G634" s="107">
        <v>0.38164259017364899</v>
      </c>
      <c r="H634" s="107">
        <v>7.7562772236888702E-3</v>
      </c>
      <c r="I634" s="107">
        <v>2.0260758404400501</v>
      </c>
      <c r="J634" s="107">
        <v>3.95</v>
      </c>
      <c r="K634" s="107">
        <v>0.83863655467196296</v>
      </c>
      <c r="L634" s="107">
        <v>5.2196159771954803E-3</v>
      </c>
      <c r="M634" s="107">
        <v>0</v>
      </c>
      <c r="N634" s="107">
        <v>0</v>
      </c>
    </row>
    <row r="635" spans="1:14">
      <c r="A635" s="14">
        <v>42927</v>
      </c>
      <c r="B635" s="107">
        <v>1226</v>
      </c>
      <c r="C635" s="107">
        <v>1241</v>
      </c>
      <c r="D635" s="107">
        <v>3102</v>
      </c>
      <c r="E635" s="107">
        <v>3104</v>
      </c>
      <c r="F635" s="107">
        <v>0.39980670103092703</v>
      </c>
      <c r="G635" s="107">
        <v>0.38126697217956002</v>
      </c>
      <c r="H635" s="107">
        <v>7.6677823110196698E-3</v>
      </c>
      <c r="I635" s="107">
        <v>2.4178736562099998</v>
      </c>
      <c r="J635" s="107">
        <v>4.6399999999999997</v>
      </c>
      <c r="K635" s="107">
        <v>0.85234571152407501</v>
      </c>
      <c r="L635" s="107">
        <v>4.6589627544010798E-3</v>
      </c>
      <c r="M635" s="107">
        <v>0</v>
      </c>
      <c r="N635" s="107">
        <v>0</v>
      </c>
    </row>
    <row r="636" spans="1:14">
      <c r="A636" s="14">
        <v>42926</v>
      </c>
      <c r="B636" s="107">
        <v>1232</v>
      </c>
      <c r="C636" s="107">
        <v>1230</v>
      </c>
      <c r="D636" s="107">
        <v>3114</v>
      </c>
      <c r="E636" s="107">
        <v>3104</v>
      </c>
      <c r="F636" s="107">
        <v>0.39626288659793801</v>
      </c>
      <c r="G636" s="107">
        <v>0.380801290908583</v>
      </c>
      <c r="H636" s="107">
        <v>7.5878353957710499E-3</v>
      </c>
      <c r="I636" s="107">
        <v>2.03768201112696</v>
      </c>
      <c r="J636" s="107">
        <v>3.9</v>
      </c>
      <c r="K636" s="107">
        <v>0.85601398558266895</v>
      </c>
      <c r="L636" s="107">
        <v>7.5756530793957997E-3</v>
      </c>
      <c r="M636" s="107">
        <v>0</v>
      </c>
      <c r="N636" s="107">
        <v>0</v>
      </c>
    </row>
    <row r="637" spans="1:14">
      <c r="A637" s="14">
        <v>42923</v>
      </c>
      <c r="B637" s="107">
        <v>1198</v>
      </c>
      <c r="C637" s="107">
        <v>1216</v>
      </c>
      <c r="D637" s="107">
        <v>3090</v>
      </c>
      <c r="E637" s="107">
        <v>3087</v>
      </c>
      <c r="F637" s="107">
        <v>0.39390994493035297</v>
      </c>
      <c r="G637" s="107">
        <v>0.38047920776781202</v>
      </c>
      <c r="H637" s="107">
        <v>7.4358581252933599E-3</v>
      </c>
      <c r="I637" s="107">
        <v>1.8062121326462</v>
      </c>
      <c r="J637" s="107">
        <v>3.41</v>
      </c>
      <c r="K637" s="107">
        <v>0.86181778199970704</v>
      </c>
      <c r="L637" s="107">
        <v>1.0302493218194301E-2</v>
      </c>
      <c r="M637" s="107">
        <v>0</v>
      </c>
      <c r="N637" s="107">
        <v>0</v>
      </c>
    </row>
    <row r="638" spans="1:14">
      <c r="A638" s="14">
        <v>42922</v>
      </c>
      <c r="B638" s="107">
        <v>1204</v>
      </c>
      <c r="C638" s="107">
        <v>1209</v>
      </c>
      <c r="D638" s="107">
        <v>3137</v>
      </c>
      <c r="E638" s="107">
        <v>3102</v>
      </c>
      <c r="F638" s="107">
        <v>0.389748549323017</v>
      </c>
      <c r="G638" s="107">
        <v>0.38013202529108198</v>
      </c>
      <c r="H638" s="107">
        <v>7.4084946253384501E-3</v>
      </c>
      <c r="I638" s="107">
        <v>1.2980402252091301</v>
      </c>
      <c r="J638" s="107">
        <v>2.4700000000000002</v>
      </c>
      <c r="K638" s="107">
        <v>0.86281068594902799</v>
      </c>
      <c r="L638" s="107">
        <v>2.2095618770012398E-2</v>
      </c>
      <c r="M638" s="107">
        <v>0</v>
      </c>
      <c r="N638" s="107">
        <v>0</v>
      </c>
    </row>
    <row r="639" spans="1:14">
      <c r="A639" s="14">
        <v>42921</v>
      </c>
      <c r="B639" s="107">
        <v>1191</v>
      </c>
      <c r="C639" s="107">
        <v>1206</v>
      </c>
      <c r="D639" s="107">
        <v>3130</v>
      </c>
      <c r="E639" s="107">
        <v>3150</v>
      </c>
      <c r="F639" s="107">
        <v>0.38285714285714201</v>
      </c>
      <c r="G639" s="107">
        <v>0.37988916027200098</v>
      </c>
      <c r="H639" s="107">
        <v>7.3877960802364202E-3</v>
      </c>
      <c r="I639" s="107">
        <v>0.40174127072642102</v>
      </c>
      <c r="J639" s="107">
        <v>0.78</v>
      </c>
      <c r="K639" s="107">
        <v>0.85860937071769805</v>
      </c>
      <c r="L639" s="107">
        <v>2.8208877977132198E-2</v>
      </c>
      <c r="M639" s="107">
        <v>0</v>
      </c>
      <c r="N639" s="107">
        <v>0</v>
      </c>
    </row>
    <row r="640" spans="1:14">
      <c r="A640" s="14">
        <v>42920</v>
      </c>
      <c r="B640" s="107">
        <v>1195</v>
      </c>
      <c r="C640" s="107">
        <v>1193</v>
      </c>
      <c r="D640" s="107">
        <v>3100</v>
      </c>
      <c r="E640" s="107">
        <v>3128</v>
      </c>
      <c r="F640" s="107">
        <v>0.38139386189258301</v>
      </c>
      <c r="G640" s="107">
        <v>0.379733779694573</v>
      </c>
      <c r="H640" s="107">
        <v>7.4460585810010799E-3</v>
      </c>
      <c r="I640" s="107">
        <v>0.22294777565217699</v>
      </c>
      <c r="J640" s="107">
        <v>0.44</v>
      </c>
      <c r="K640" s="107">
        <v>0.85468075035360802</v>
      </c>
      <c r="L640" s="107">
        <v>3.58446463400049E-2</v>
      </c>
      <c r="M640" s="107">
        <v>0</v>
      </c>
      <c r="N640" s="107">
        <v>0</v>
      </c>
    </row>
    <row r="641" spans="1:14">
      <c r="A641" s="14">
        <v>42919</v>
      </c>
      <c r="B641" s="107">
        <v>1184</v>
      </c>
      <c r="C641" s="107">
        <v>1186</v>
      </c>
      <c r="D641" s="107">
        <v>3068</v>
      </c>
      <c r="E641" s="107">
        <v>3067</v>
      </c>
      <c r="F641" s="107">
        <v>0.38669709814150599</v>
      </c>
      <c r="G641" s="107">
        <v>0.37957298259550898</v>
      </c>
      <c r="H641" s="107">
        <v>7.5381189902647798E-3</v>
      </c>
      <c r="I641" s="107">
        <v>0.94507868013197605</v>
      </c>
      <c r="J641" s="107">
        <v>1.84</v>
      </c>
      <c r="K641" s="107">
        <v>0.83924217905047205</v>
      </c>
      <c r="L641" s="107">
        <v>0.12548654591577901</v>
      </c>
      <c r="M641" s="107">
        <v>0</v>
      </c>
      <c r="N641" s="107">
        <v>0</v>
      </c>
    </row>
    <row r="642" spans="1:14">
      <c r="A642" s="14">
        <v>42916</v>
      </c>
      <c r="B642" s="107">
        <v>1178</v>
      </c>
      <c r="C642" s="107">
        <v>1181</v>
      </c>
      <c r="D642" s="107">
        <v>3060</v>
      </c>
      <c r="E642" s="107">
        <v>3064</v>
      </c>
      <c r="F642" s="107">
        <v>0.38544386422976501</v>
      </c>
      <c r="G642" s="107">
        <v>0.37941325054788999</v>
      </c>
      <c r="H642" s="107">
        <v>7.5123497645421203E-3</v>
      </c>
      <c r="I642" s="107">
        <v>0.80275997136586297</v>
      </c>
      <c r="J642" s="107">
        <v>1.56</v>
      </c>
      <c r="K642" s="107">
        <v>0.79320384475649297</v>
      </c>
      <c r="L642" s="107">
        <v>0.303832202044864</v>
      </c>
      <c r="M642" s="107">
        <v>0</v>
      </c>
      <c r="N642" s="107">
        <v>0</v>
      </c>
    </row>
    <row r="643" spans="1:14">
      <c r="A643" s="14">
        <v>42915</v>
      </c>
      <c r="B643" s="107">
        <v>1182</v>
      </c>
      <c r="C643" s="107">
        <v>1192</v>
      </c>
      <c r="D643" s="107">
        <v>3087</v>
      </c>
      <c r="E643" s="107">
        <v>3084</v>
      </c>
      <c r="F643" s="107">
        <v>0.38651102464331999</v>
      </c>
      <c r="G643" s="107">
        <v>0.379226165597702</v>
      </c>
      <c r="H643" s="107">
        <v>7.5345193927474899E-3</v>
      </c>
      <c r="I643" s="107">
        <v>0.96686446286535799</v>
      </c>
      <c r="J643" s="107">
        <v>1.88</v>
      </c>
      <c r="K643" s="107">
        <v>0.78090711938880597</v>
      </c>
      <c r="L643" s="107">
        <v>0.44593542796651697</v>
      </c>
      <c r="M643" s="107">
        <v>0</v>
      </c>
      <c r="N643" s="107">
        <v>0</v>
      </c>
    </row>
    <row r="644" spans="1:14">
      <c r="A644" s="14">
        <v>42914</v>
      </c>
      <c r="B644" s="107">
        <v>1173</v>
      </c>
      <c r="C644" s="107">
        <v>1172</v>
      </c>
      <c r="D644" s="107">
        <v>3057</v>
      </c>
      <c r="E644" s="107">
        <v>3073</v>
      </c>
      <c r="F644" s="107">
        <v>0.38138626749105098</v>
      </c>
      <c r="G644" s="107">
        <v>0.37897208258020498</v>
      </c>
      <c r="H644" s="107">
        <v>7.6055486223377501E-3</v>
      </c>
      <c r="I644" s="107">
        <v>0.31742416368952098</v>
      </c>
      <c r="J644" s="107">
        <v>0.63</v>
      </c>
      <c r="K644" s="107">
        <v>0.77339726618558002</v>
      </c>
      <c r="L644" s="107">
        <v>0.44841120939492901</v>
      </c>
      <c r="M644" s="107">
        <v>0</v>
      </c>
      <c r="N644" s="107">
        <v>0</v>
      </c>
    </row>
    <row r="645" spans="1:14">
      <c r="A645" s="14">
        <v>42913</v>
      </c>
      <c r="B645" s="107">
        <v>1169</v>
      </c>
      <c r="C645" s="107">
        <v>1169</v>
      </c>
      <c r="D645" s="107">
        <v>3089</v>
      </c>
      <c r="E645" s="107">
        <v>3074</v>
      </c>
      <c r="F645" s="107">
        <v>0.38028627195836001</v>
      </c>
      <c r="G645" s="107">
        <v>0.37882576163364601</v>
      </c>
      <c r="H645" s="107">
        <v>7.6630414875448099E-3</v>
      </c>
      <c r="I645" s="107">
        <v>0.19059146777260799</v>
      </c>
      <c r="J645" s="107">
        <v>0.38</v>
      </c>
      <c r="K645" s="107">
        <v>0.78613729115098196</v>
      </c>
      <c r="L645" s="107">
        <v>0.25394274207967399</v>
      </c>
      <c r="M645" s="107">
        <v>0</v>
      </c>
      <c r="N645" s="107">
        <v>0</v>
      </c>
    </row>
    <row r="646" spans="1:14">
      <c r="A646" s="14">
        <v>42912</v>
      </c>
      <c r="B646" s="107">
        <v>1173</v>
      </c>
      <c r="C646" s="107">
        <v>1160</v>
      </c>
      <c r="D646" s="107">
        <v>3070</v>
      </c>
      <c r="E646" s="107">
        <v>3065</v>
      </c>
      <c r="F646" s="107">
        <v>0.37846655791190797</v>
      </c>
      <c r="G646" s="107">
        <v>0.37866339222862599</v>
      </c>
      <c r="H646" s="107">
        <v>7.7587913625604202E-3</v>
      </c>
      <c r="I646" s="107">
        <v>-2.5369198309402499E-2</v>
      </c>
      <c r="J646" s="107">
        <v>-0.05</v>
      </c>
      <c r="K646" s="107">
        <v>0.783180271936043</v>
      </c>
      <c r="L646" s="107">
        <v>0.32723403082667302</v>
      </c>
      <c r="M646" s="107">
        <v>0</v>
      </c>
      <c r="N646" s="107">
        <v>0</v>
      </c>
    </row>
    <row r="647" spans="1:14">
      <c r="A647" s="14">
        <v>42909</v>
      </c>
      <c r="B647" s="107">
        <v>1169</v>
      </c>
      <c r="C647" s="107">
        <v>1171</v>
      </c>
      <c r="D647" s="107">
        <v>3059</v>
      </c>
      <c r="E647" s="107">
        <v>3061</v>
      </c>
      <c r="F647" s="107">
        <v>0.38255472067951601</v>
      </c>
      <c r="G647" s="107">
        <v>0.37852392808658603</v>
      </c>
      <c r="H647" s="107">
        <v>7.8544932578527293E-3</v>
      </c>
      <c r="I647" s="107">
        <v>0.51318302283851502</v>
      </c>
      <c r="J647" s="107">
        <v>1.05</v>
      </c>
      <c r="K647" s="107">
        <v>0.79545490105466998</v>
      </c>
      <c r="L647" s="107">
        <v>0.26200612244765698</v>
      </c>
      <c r="M647" s="107">
        <v>0</v>
      </c>
      <c r="N647" s="107">
        <v>0</v>
      </c>
    </row>
    <row r="648" spans="1:14">
      <c r="A648" s="14">
        <v>42908</v>
      </c>
      <c r="B648" s="107">
        <v>1165</v>
      </c>
      <c r="C648" s="107">
        <v>1164</v>
      </c>
      <c r="D648" s="107">
        <v>3060</v>
      </c>
      <c r="E648" s="107">
        <v>3045</v>
      </c>
      <c r="F648" s="107">
        <v>0.38226600985221598</v>
      </c>
      <c r="G648" s="107">
        <v>0.37838926182594301</v>
      </c>
      <c r="H648" s="107">
        <v>7.8707960801778099E-3</v>
      </c>
      <c r="I648" s="107">
        <v>0.49254840130303101</v>
      </c>
      <c r="J648" s="107">
        <v>1.01</v>
      </c>
      <c r="K648" s="107">
        <v>0.79591526428309001</v>
      </c>
      <c r="L648" s="107">
        <v>0.28116640028737599</v>
      </c>
      <c r="M648" s="107">
        <v>0</v>
      </c>
      <c r="N648" s="107">
        <v>0</v>
      </c>
    </row>
    <row r="649" spans="1:14">
      <c r="A649" s="14">
        <v>42907</v>
      </c>
      <c r="B649" s="107">
        <v>1180</v>
      </c>
      <c r="C649" s="107">
        <v>1167</v>
      </c>
      <c r="D649" s="107">
        <v>3070</v>
      </c>
      <c r="E649" s="107">
        <v>3067</v>
      </c>
      <c r="F649" s="107">
        <v>0.38050211933485401</v>
      </c>
      <c r="G649" s="107">
        <v>0.37818039593879299</v>
      </c>
      <c r="H649" s="107">
        <v>7.9723420057414996E-3</v>
      </c>
      <c r="I649" s="107">
        <v>0.291222252430892</v>
      </c>
      <c r="J649" s="107">
        <v>0.61</v>
      </c>
      <c r="K649" s="107">
        <v>0.80509695019198602</v>
      </c>
      <c r="L649" s="107">
        <v>0.246941181666535</v>
      </c>
      <c r="M649" s="107">
        <v>0</v>
      </c>
      <c r="N649" s="107">
        <v>0</v>
      </c>
    </row>
    <row r="650" spans="1:14">
      <c r="A650" s="14">
        <v>42906</v>
      </c>
      <c r="B650" s="107">
        <v>1180</v>
      </c>
      <c r="C650" s="107">
        <v>1184</v>
      </c>
      <c r="D650" s="107">
        <v>3102</v>
      </c>
      <c r="E650" s="107">
        <v>3066</v>
      </c>
      <c r="F650" s="107">
        <v>0.38617090671885101</v>
      </c>
      <c r="G650" s="107">
        <v>0.37801812664232698</v>
      </c>
      <c r="H650" s="107">
        <v>8.0469414208731993E-3</v>
      </c>
      <c r="I650" s="107">
        <v>1.01315265640888</v>
      </c>
      <c r="J650" s="107">
        <v>2.11</v>
      </c>
      <c r="K650" s="107">
        <v>0.82709502268653701</v>
      </c>
      <c r="L650" s="107">
        <v>0.25317132648906698</v>
      </c>
      <c r="M650" s="107">
        <v>0</v>
      </c>
      <c r="N650" s="107">
        <v>0</v>
      </c>
    </row>
    <row r="651" spans="1:14">
      <c r="A651" s="14">
        <v>42905</v>
      </c>
      <c r="B651" s="107">
        <v>1168</v>
      </c>
      <c r="C651" s="107">
        <v>1175</v>
      </c>
      <c r="D651" s="107">
        <v>3063</v>
      </c>
      <c r="E651" s="107">
        <v>3066</v>
      </c>
      <c r="F651" s="107">
        <v>0.38323548597521201</v>
      </c>
      <c r="G651" s="107">
        <v>0.37777687789648901</v>
      </c>
      <c r="H651" s="107">
        <v>8.0700954851297101E-3</v>
      </c>
      <c r="I651" s="107">
        <v>0.67639944146638198</v>
      </c>
      <c r="J651" s="107">
        <v>1.42</v>
      </c>
      <c r="K651" s="107">
        <v>0.824835869797796</v>
      </c>
      <c r="L651" s="107">
        <v>0.25258253776636602</v>
      </c>
      <c r="M651" s="107">
        <v>0</v>
      </c>
      <c r="N651" s="107">
        <v>0</v>
      </c>
    </row>
    <row r="652" spans="1:14">
      <c r="A652" s="14">
        <v>42902</v>
      </c>
      <c r="B652" s="107">
        <v>1178</v>
      </c>
      <c r="C652" s="107">
        <v>1168</v>
      </c>
      <c r="D652" s="107">
        <v>3092</v>
      </c>
      <c r="E652" s="107">
        <v>3077</v>
      </c>
      <c r="F652" s="107">
        <v>0.37959051023724399</v>
      </c>
      <c r="G652" s="107">
        <v>0.37757392151713498</v>
      </c>
      <c r="H652" s="107">
        <v>8.1215071309019404E-3</v>
      </c>
      <c r="I652" s="107">
        <v>0.24830227784143399</v>
      </c>
      <c r="J652" s="107">
        <v>0.53</v>
      </c>
      <c r="K652" s="107">
        <v>0.84273444788120899</v>
      </c>
      <c r="L652" s="107">
        <v>0.31197743868284999</v>
      </c>
      <c r="M652" s="107">
        <v>0</v>
      </c>
      <c r="N652" s="107">
        <v>0</v>
      </c>
    </row>
    <row r="653" spans="1:14">
      <c r="A653" s="14">
        <v>42901</v>
      </c>
      <c r="B653" s="107">
        <v>1188</v>
      </c>
      <c r="C653" s="107">
        <v>1171</v>
      </c>
      <c r="D653" s="107">
        <v>3057</v>
      </c>
      <c r="E653" s="107">
        <v>3057</v>
      </c>
      <c r="F653" s="107">
        <v>0.38305528295714703</v>
      </c>
      <c r="G653" s="107">
        <v>0.37737644637015599</v>
      </c>
      <c r="H653" s="107">
        <v>8.2491309761325692E-3</v>
      </c>
      <c r="I653" s="107">
        <v>0.68841634390595896</v>
      </c>
      <c r="J653" s="107">
        <v>1.48</v>
      </c>
      <c r="K653" s="107">
        <v>0.85809645545445201</v>
      </c>
      <c r="L653" s="107">
        <v>0.27681634638207198</v>
      </c>
      <c r="M653" s="107">
        <v>0</v>
      </c>
      <c r="N653" s="107">
        <v>0</v>
      </c>
    </row>
    <row r="654" spans="1:14">
      <c r="A654" s="14">
        <v>42900</v>
      </c>
      <c r="B654" s="107">
        <v>1200</v>
      </c>
      <c r="C654" s="107">
        <v>1187</v>
      </c>
      <c r="D654" s="107">
        <v>3092</v>
      </c>
      <c r="E654" s="107">
        <v>3064</v>
      </c>
      <c r="F654" s="107">
        <v>0.38740208877284499</v>
      </c>
      <c r="G654" s="107">
        <v>0.377102516656875</v>
      </c>
      <c r="H654" s="107">
        <v>8.3958163274258403E-3</v>
      </c>
      <c r="I654" s="107">
        <v>1.2267505283942499</v>
      </c>
      <c r="J654" s="107">
        <v>2.66</v>
      </c>
      <c r="K654" s="107">
        <v>0.87225809384728503</v>
      </c>
      <c r="L654" s="107">
        <v>0.24017933655422199</v>
      </c>
      <c r="M654" s="107">
        <v>0</v>
      </c>
      <c r="N654" s="107">
        <v>0</v>
      </c>
    </row>
    <row r="655" spans="1:14">
      <c r="A655" s="14">
        <v>42899</v>
      </c>
      <c r="B655" s="107">
        <v>1190</v>
      </c>
      <c r="C655" s="107">
        <v>1192</v>
      </c>
      <c r="D655" s="107">
        <v>3080</v>
      </c>
      <c r="E655" s="107">
        <v>3057</v>
      </c>
      <c r="F655" s="107">
        <v>0.38992476283938499</v>
      </c>
      <c r="G655" s="107">
        <v>0.37683351401665399</v>
      </c>
      <c r="H655" s="107">
        <v>8.3847079097706702E-3</v>
      </c>
      <c r="I655" s="107">
        <v>1.56132437332435</v>
      </c>
      <c r="J655" s="107">
        <v>3.36</v>
      </c>
      <c r="K655" s="107">
        <v>0.88396528974406396</v>
      </c>
      <c r="L655" s="107">
        <v>0.29336327802956902</v>
      </c>
      <c r="M655" s="107">
        <v>0</v>
      </c>
      <c r="N655" s="107">
        <v>0</v>
      </c>
    </row>
    <row r="656" spans="1:14">
      <c r="A656" s="14">
        <v>42898</v>
      </c>
      <c r="B656" s="107">
        <v>1186</v>
      </c>
      <c r="C656" s="107">
        <v>1182</v>
      </c>
      <c r="D656" s="107">
        <v>3077</v>
      </c>
      <c r="E656" s="107">
        <v>3066</v>
      </c>
      <c r="F656" s="107">
        <v>0.38551859099804298</v>
      </c>
      <c r="G656" s="107">
        <v>0.37645721221425699</v>
      </c>
      <c r="H656" s="107">
        <v>8.4219612393431099E-3</v>
      </c>
      <c r="I656" s="107">
        <v>1.07592264156426</v>
      </c>
      <c r="J656" s="107">
        <v>2.35</v>
      </c>
      <c r="K656" s="107">
        <v>0.89200125138665398</v>
      </c>
      <c r="L656" s="107">
        <v>0.24278528836074201</v>
      </c>
      <c r="M656" s="107">
        <v>0</v>
      </c>
      <c r="N656" s="107">
        <v>0</v>
      </c>
    </row>
    <row r="657" spans="1:14">
      <c r="A657" s="14">
        <v>42895</v>
      </c>
      <c r="B657" s="107">
        <v>1178</v>
      </c>
      <c r="C657" s="107">
        <v>1192</v>
      </c>
      <c r="D657" s="107">
        <v>3050</v>
      </c>
      <c r="E657" s="107">
        <v>3075</v>
      </c>
      <c r="F657" s="107">
        <v>0.387642276422764</v>
      </c>
      <c r="G657" s="107">
        <v>0.37616679748222498</v>
      </c>
      <c r="H657" s="107">
        <v>8.4798306799920408E-3</v>
      </c>
      <c r="I657" s="107">
        <v>1.3532674617684199</v>
      </c>
      <c r="J657" s="107">
        <v>2.96</v>
      </c>
      <c r="K657" s="107">
        <v>0.90012613491240101</v>
      </c>
      <c r="L657" s="107">
        <v>0.25712816383728199</v>
      </c>
      <c r="M657" s="107">
        <v>0</v>
      </c>
      <c r="N657" s="107">
        <v>0</v>
      </c>
    </row>
    <row r="658" spans="1:14">
      <c r="A658" s="14">
        <v>42894</v>
      </c>
      <c r="B658" s="107">
        <v>1186</v>
      </c>
      <c r="C658" s="107">
        <v>1177</v>
      </c>
      <c r="D658" s="107">
        <v>3103</v>
      </c>
      <c r="E658" s="107">
        <v>3068</v>
      </c>
      <c r="F658" s="107">
        <v>0.38363754889178597</v>
      </c>
      <c r="G658" s="107">
        <v>0.37581076877140601</v>
      </c>
      <c r="H658" s="107">
        <v>8.5508072830286202E-3</v>
      </c>
      <c r="I658" s="107">
        <v>0.91532645530602996</v>
      </c>
      <c r="J658" s="107">
        <v>2.04</v>
      </c>
      <c r="K658" s="107">
        <v>0.90422409245851398</v>
      </c>
      <c r="L658" s="107">
        <v>0.25600487751182599</v>
      </c>
      <c r="M658" s="107">
        <v>0</v>
      </c>
      <c r="N658" s="107">
        <v>0</v>
      </c>
    </row>
    <row r="659" spans="1:14">
      <c r="A659" s="14">
        <v>42893</v>
      </c>
      <c r="B659" s="107">
        <v>1180</v>
      </c>
      <c r="C659" s="107">
        <v>1178</v>
      </c>
      <c r="D659" s="107">
        <v>3100</v>
      </c>
      <c r="E659" s="107">
        <v>3098</v>
      </c>
      <c r="F659" s="107">
        <v>0.38024531956100699</v>
      </c>
      <c r="G659" s="107">
        <v>0.37551434099551501</v>
      </c>
      <c r="H659" s="107">
        <v>8.6590122238171096E-3</v>
      </c>
      <c r="I659" s="107">
        <v>0.54636469417133005</v>
      </c>
      <c r="J659" s="107">
        <v>1.24</v>
      </c>
      <c r="K659" s="107">
        <v>0.90672578951384997</v>
      </c>
      <c r="L659" s="107">
        <v>0.25907445331267698</v>
      </c>
      <c r="M659" s="107">
        <v>0</v>
      </c>
      <c r="N659" s="107">
        <v>0</v>
      </c>
    </row>
    <row r="660" spans="1:14">
      <c r="A660" s="14">
        <v>42892</v>
      </c>
      <c r="B660" s="107">
        <v>1186</v>
      </c>
      <c r="C660" s="107">
        <v>1189</v>
      </c>
      <c r="D660" s="107">
        <v>3100</v>
      </c>
      <c r="E660" s="107">
        <v>3112</v>
      </c>
      <c r="F660" s="107">
        <v>0.382069408740359</v>
      </c>
      <c r="G660" s="107">
        <v>0.37524351672916001</v>
      </c>
      <c r="H660" s="107">
        <v>8.8228993564584308E-3</v>
      </c>
      <c r="I660" s="107">
        <v>0.773656338514502</v>
      </c>
      <c r="J660" s="107">
        <v>1.79</v>
      </c>
      <c r="K660" s="107">
        <v>0.90997773340362997</v>
      </c>
      <c r="L660" s="107">
        <v>0.25353570918732798</v>
      </c>
      <c r="M660" s="107">
        <v>0</v>
      </c>
      <c r="N660" s="107">
        <v>0</v>
      </c>
    </row>
    <row r="661" spans="1:14">
      <c r="A661" s="14">
        <v>42891</v>
      </c>
      <c r="B661" s="107">
        <v>1213</v>
      </c>
      <c r="C661" s="107">
        <v>1197</v>
      </c>
      <c r="D661" s="107">
        <v>3148</v>
      </c>
      <c r="E661" s="107">
        <v>3117</v>
      </c>
      <c r="F661" s="107">
        <v>0.38402309913378202</v>
      </c>
      <c r="G661" s="107">
        <v>0.37488991708485198</v>
      </c>
      <c r="H661" s="107">
        <v>9.0702098931262701E-3</v>
      </c>
      <c r="I661" s="107">
        <v>1.0069427451565101</v>
      </c>
      <c r="J661" s="107">
        <v>2.38</v>
      </c>
      <c r="K661" s="107">
        <v>0.91368850077984598</v>
      </c>
      <c r="L661" s="107">
        <v>0.254044322232784</v>
      </c>
      <c r="M661" s="107">
        <v>0</v>
      </c>
      <c r="N661" s="107">
        <v>0</v>
      </c>
    </row>
    <row r="662" spans="1:14">
      <c r="A662" s="14">
        <v>42888</v>
      </c>
      <c r="B662" s="107">
        <v>1206</v>
      </c>
      <c r="C662" s="107">
        <v>1216</v>
      </c>
      <c r="D662" s="107">
        <v>3145</v>
      </c>
      <c r="E662" s="107">
        <v>3194</v>
      </c>
      <c r="F662" s="107">
        <v>0.380713838447088</v>
      </c>
      <c r="G662" s="107">
        <v>0.37451405354084599</v>
      </c>
      <c r="H662" s="107">
        <v>9.2659203015233605E-3</v>
      </c>
      <c r="I662" s="107">
        <v>0.66909542759858398</v>
      </c>
      <c r="J662" s="107">
        <v>1.63</v>
      </c>
      <c r="K662" s="107">
        <v>0.91630130543854504</v>
      </c>
      <c r="L662" s="107">
        <v>0.20051542499352301</v>
      </c>
      <c r="M662" s="107">
        <v>0</v>
      </c>
      <c r="N662" s="107">
        <v>0</v>
      </c>
    </row>
    <row r="663" spans="1:14">
      <c r="A663" s="14">
        <v>42887</v>
      </c>
      <c r="B663" s="107">
        <v>1169</v>
      </c>
      <c r="C663" s="107">
        <v>1210</v>
      </c>
      <c r="D663" s="107">
        <v>3100</v>
      </c>
      <c r="E663" s="107">
        <v>3112</v>
      </c>
      <c r="F663" s="107">
        <v>0.388817480719794</v>
      </c>
      <c r="G663" s="107">
        <v>0.37412097405104899</v>
      </c>
      <c r="H663" s="107">
        <v>9.6133819424129106E-3</v>
      </c>
      <c r="I663" s="107">
        <v>1.52875509958738</v>
      </c>
      <c r="J663" s="107">
        <v>3.78</v>
      </c>
      <c r="K663" s="107">
        <v>0.92034416323811397</v>
      </c>
      <c r="L663" s="107">
        <v>0.296192945666715</v>
      </c>
      <c r="M663" s="107">
        <v>0</v>
      </c>
      <c r="N663" s="107">
        <v>0</v>
      </c>
    </row>
    <row r="664" spans="1:14">
      <c r="A664" s="14">
        <v>42886</v>
      </c>
      <c r="B664" s="107">
        <v>1169</v>
      </c>
      <c r="C664" s="107">
        <v>1165</v>
      </c>
      <c r="D664" s="107">
        <v>3070</v>
      </c>
      <c r="E664" s="107">
        <v>3117</v>
      </c>
      <c r="F664" s="107">
        <v>0.37375681745267803</v>
      </c>
      <c r="G664" s="107">
        <v>0.37364501651801202</v>
      </c>
      <c r="H664" s="107">
        <v>9.7565833504827601E-3</v>
      </c>
      <c r="I664" s="107">
        <v>1.14590252192099E-2</v>
      </c>
      <c r="J664" s="107">
        <v>0.03</v>
      </c>
      <c r="K664" s="107">
        <v>0.92148600332311503</v>
      </c>
      <c r="L664" s="107">
        <v>0.40160628624538802</v>
      </c>
      <c r="M664" s="107">
        <v>0</v>
      </c>
      <c r="N664" s="107">
        <v>0</v>
      </c>
    </row>
    <row r="665" spans="1:14">
      <c r="A665" s="14">
        <v>42885</v>
      </c>
      <c r="B665" s="107">
        <v>1175</v>
      </c>
      <c r="C665" s="107">
        <v>1178</v>
      </c>
      <c r="D665" s="107">
        <v>3065</v>
      </c>
      <c r="E665" s="107">
        <v>3073</v>
      </c>
      <c r="F665" s="107">
        <v>0.38333875691506603</v>
      </c>
      <c r="G665" s="107">
        <v>0.37336098345730301</v>
      </c>
      <c r="H665" s="107">
        <v>1.00547174023028E-2</v>
      </c>
      <c r="I665" s="107">
        <v>0.99234747815762103</v>
      </c>
      <c r="J665" s="107">
        <v>2.6</v>
      </c>
      <c r="K665" s="107">
        <v>0.91998923515025</v>
      </c>
      <c r="L665" s="107">
        <v>0.41229589970636898</v>
      </c>
      <c r="M665" s="107">
        <v>0</v>
      </c>
      <c r="N665" s="107">
        <v>0</v>
      </c>
    </row>
    <row r="666" spans="1:14">
      <c r="A666" s="14">
        <v>42884</v>
      </c>
      <c r="B666" s="107">
        <v>1167</v>
      </c>
      <c r="C666" s="107">
        <v>1170</v>
      </c>
      <c r="D666" s="107">
        <v>3059</v>
      </c>
      <c r="E666" s="107">
        <v>3064</v>
      </c>
      <c r="F666" s="107">
        <v>0.381853785900783</v>
      </c>
      <c r="G666" s="107">
        <v>0.37290191717409299</v>
      </c>
      <c r="H666" s="107">
        <v>1.0369730968756E-2</v>
      </c>
      <c r="I666" s="107">
        <v>0.86326913915716297</v>
      </c>
      <c r="J666" s="107">
        <v>2.34</v>
      </c>
      <c r="K666" s="107">
        <v>0.91790449811573105</v>
      </c>
      <c r="L666" s="107">
        <v>0.41283235793622503</v>
      </c>
      <c r="M666" s="107">
        <v>0</v>
      </c>
      <c r="N666" s="107">
        <v>0</v>
      </c>
    </row>
    <row r="667" spans="1:14">
      <c r="A667" s="14">
        <v>42881</v>
      </c>
      <c r="B667" s="107">
        <v>1174</v>
      </c>
      <c r="C667" s="107">
        <v>1162</v>
      </c>
      <c r="D667" s="107">
        <v>3095</v>
      </c>
      <c r="E667" s="107">
        <v>3058</v>
      </c>
      <c r="F667" s="107">
        <v>0.37998691955526398</v>
      </c>
      <c r="G667" s="107">
        <v>0.372362919693628</v>
      </c>
      <c r="H667" s="107">
        <v>1.09260973818773E-2</v>
      </c>
      <c r="I667" s="107">
        <v>0.697778867894984</v>
      </c>
      <c r="J667" s="107">
        <v>2.0099999999999998</v>
      </c>
      <c r="K667" s="107">
        <v>0.91580978570715699</v>
      </c>
      <c r="L667" s="107">
        <v>0.44691608841366198</v>
      </c>
      <c r="M667" s="107">
        <v>0</v>
      </c>
      <c r="N667" s="107">
        <v>0</v>
      </c>
    </row>
    <row r="668" spans="1:14">
      <c r="A668" s="14">
        <v>42880</v>
      </c>
      <c r="B668" s="107">
        <v>1171</v>
      </c>
      <c r="C668" s="107">
        <v>1175</v>
      </c>
      <c r="D668" s="107">
        <v>3104</v>
      </c>
      <c r="E668" s="107">
        <v>3095</v>
      </c>
      <c r="F668" s="107">
        <v>0.37964458804523399</v>
      </c>
      <c r="G668" s="107">
        <v>0.37193427455570799</v>
      </c>
      <c r="H668" s="107">
        <v>1.12445602612681E-2</v>
      </c>
      <c r="I668" s="107">
        <v>0.68569275368499805</v>
      </c>
      <c r="J668" s="107">
        <v>2.0299999999999998</v>
      </c>
      <c r="K668" s="107">
        <v>0.91377606238570197</v>
      </c>
      <c r="L668" s="107">
        <v>0.58069958058270299</v>
      </c>
      <c r="M668" s="107">
        <v>0</v>
      </c>
      <c r="N668" s="107">
        <v>0</v>
      </c>
    </row>
    <row r="669" spans="1:14">
      <c r="A669" s="14">
        <v>42879</v>
      </c>
      <c r="B669" s="107">
        <v>1186</v>
      </c>
      <c r="C669" s="107">
        <v>1177</v>
      </c>
      <c r="D669" s="107">
        <v>3110</v>
      </c>
      <c r="E669" s="107">
        <v>3135</v>
      </c>
      <c r="F669" s="107">
        <v>0.37543859649122802</v>
      </c>
      <c r="G669" s="107">
        <v>0.37138300987607498</v>
      </c>
      <c r="H669" s="107">
        <v>1.18502047137069E-2</v>
      </c>
      <c r="I669" s="107">
        <v>0.34223768391628501</v>
      </c>
      <c r="J669" s="107">
        <v>1.08</v>
      </c>
      <c r="K669" s="107">
        <v>0.91251075772408197</v>
      </c>
      <c r="L669" s="107">
        <v>0.59226985104444696</v>
      </c>
      <c r="M669" s="107">
        <v>0</v>
      </c>
      <c r="N669" s="107">
        <v>0</v>
      </c>
    </row>
    <row r="670" spans="1:14">
      <c r="A670" s="14">
        <v>42878</v>
      </c>
      <c r="B670" s="107">
        <v>1181</v>
      </c>
      <c r="C670" s="107">
        <v>1176</v>
      </c>
      <c r="D670" s="107">
        <v>3081</v>
      </c>
      <c r="E670" s="107">
        <v>3069</v>
      </c>
      <c r="F670" s="107">
        <v>0.38318670576734998</v>
      </c>
      <c r="G670" s="107">
        <v>0.37080599813395998</v>
      </c>
      <c r="H670" s="107">
        <v>1.26643143636126E-2</v>
      </c>
      <c r="I670" s="107">
        <v>0.97760583620407904</v>
      </c>
      <c r="J670" s="107">
        <v>3.23</v>
      </c>
      <c r="K670" s="107">
        <v>0.90971727994973395</v>
      </c>
      <c r="L670" s="107">
        <v>0.60411550225813004</v>
      </c>
      <c r="M670" s="107">
        <v>0</v>
      </c>
      <c r="N670" s="107">
        <v>0</v>
      </c>
    </row>
    <row r="671" spans="1:14">
      <c r="A671" s="14">
        <v>42877</v>
      </c>
      <c r="B671" s="107">
        <v>1177</v>
      </c>
      <c r="C671" s="107">
        <v>1181</v>
      </c>
      <c r="D671" s="107">
        <v>3068</v>
      </c>
      <c r="E671" s="107">
        <v>3085</v>
      </c>
      <c r="F671" s="107">
        <v>0.38282009724473198</v>
      </c>
      <c r="G671" s="107">
        <v>0.37018293283304998</v>
      </c>
      <c r="H671" s="107">
        <v>1.31789395236069E-2</v>
      </c>
      <c r="I671" s="107">
        <v>0.95889084163758098</v>
      </c>
      <c r="J671" s="107">
        <v>3.3</v>
      </c>
      <c r="K671" s="107">
        <v>0.90995494148284295</v>
      </c>
      <c r="L671" s="107">
        <v>0.53195767076765899</v>
      </c>
      <c r="M671" s="107">
        <v>0</v>
      </c>
      <c r="N671" s="107">
        <v>0</v>
      </c>
    </row>
    <row r="672" spans="1:14">
      <c r="A672" s="14">
        <v>42874</v>
      </c>
      <c r="B672" s="107">
        <v>1172</v>
      </c>
      <c r="C672" s="107">
        <v>1173</v>
      </c>
      <c r="D672" s="107">
        <v>3051</v>
      </c>
      <c r="E672" s="107">
        <v>3050</v>
      </c>
      <c r="F672" s="107">
        <v>0.38459016393442602</v>
      </c>
      <c r="G672" s="107">
        <v>0.369558538897934</v>
      </c>
      <c r="H672" s="107">
        <v>1.36657793599554E-2</v>
      </c>
      <c r="I672" s="107">
        <v>1.0999464165607</v>
      </c>
      <c r="J672" s="107">
        <v>3.91</v>
      </c>
      <c r="K672" s="107">
        <v>0.90925010555668695</v>
      </c>
      <c r="L672" s="107">
        <v>0.58300968267601705</v>
      </c>
      <c r="M672" s="107">
        <v>0</v>
      </c>
      <c r="N672" s="107">
        <v>0</v>
      </c>
    </row>
    <row r="673" spans="1:14">
      <c r="A673" s="14">
        <v>42873</v>
      </c>
      <c r="B673" s="107">
        <v>1164</v>
      </c>
      <c r="C673" s="107">
        <v>1169</v>
      </c>
      <c r="D673" s="107">
        <v>3090</v>
      </c>
      <c r="E673" s="107">
        <v>3065</v>
      </c>
      <c r="F673" s="107">
        <v>0.38140293637846601</v>
      </c>
      <c r="G673" s="107">
        <v>0.36877691586087402</v>
      </c>
      <c r="H673" s="107">
        <v>1.44383016668052E-2</v>
      </c>
      <c r="I673" s="107">
        <v>0.87448100261129302</v>
      </c>
      <c r="J673" s="107">
        <v>3.31</v>
      </c>
      <c r="K673" s="107">
        <v>0.90543693475616005</v>
      </c>
      <c r="L673" s="107">
        <v>0.61367630184890898</v>
      </c>
      <c r="M673" s="107">
        <v>0</v>
      </c>
      <c r="N673" s="107">
        <v>0</v>
      </c>
    </row>
    <row r="674" spans="1:14">
      <c r="A674" s="14">
        <v>42872</v>
      </c>
      <c r="B674" s="107">
        <v>1193</v>
      </c>
      <c r="C674" s="107">
        <v>1180</v>
      </c>
      <c r="D674" s="107">
        <v>3130</v>
      </c>
      <c r="E674" s="107">
        <v>3135</v>
      </c>
      <c r="F674" s="107">
        <v>0.37639553429027101</v>
      </c>
      <c r="G674" s="107">
        <v>0.36803138264104002</v>
      </c>
      <c r="H674" s="107">
        <v>1.51910823649976E-2</v>
      </c>
      <c r="I674" s="107">
        <v>0.55059616216042095</v>
      </c>
      <c r="J674" s="107">
        <v>2.2200000000000002</v>
      </c>
      <c r="K674" s="107">
        <v>0.902993028160471</v>
      </c>
      <c r="L674" s="107">
        <v>0.37464977027489599</v>
      </c>
      <c r="M674" s="107">
        <v>0</v>
      </c>
      <c r="N674" s="107">
        <v>0</v>
      </c>
    </row>
    <row r="675" spans="1:14">
      <c r="A675" s="14">
        <v>42871</v>
      </c>
      <c r="B675" s="107">
        <v>1220</v>
      </c>
      <c r="C675" s="107">
        <v>1200</v>
      </c>
      <c r="D675" s="107">
        <v>3210</v>
      </c>
      <c r="E675" s="107">
        <v>3167</v>
      </c>
      <c r="F675" s="107">
        <v>0.37890748342279701</v>
      </c>
      <c r="G675" s="107">
        <v>0.36730365691827399</v>
      </c>
      <c r="H675" s="107">
        <v>1.6055673036413198E-2</v>
      </c>
      <c r="I675" s="107">
        <v>0.72272439020192203</v>
      </c>
      <c r="J675" s="107">
        <v>3.06</v>
      </c>
      <c r="K675" s="107">
        <v>0.90128214414319896</v>
      </c>
      <c r="L675" s="107">
        <v>0.27774459078290398</v>
      </c>
      <c r="M675" s="107">
        <v>0</v>
      </c>
      <c r="N675" s="107">
        <v>0</v>
      </c>
    </row>
    <row r="676" spans="1:14">
      <c r="A676" s="14">
        <v>42870</v>
      </c>
      <c r="B676" s="107">
        <v>1209</v>
      </c>
      <c r="C676" s="107">
        <v>1208</v>
      </c>
      <c r="D676" s="107">
        <v>3165</v>
      </c>
      <c r="E676" s="107">
        <v>3194</v>
      </c>
      <c r="F676" s="107">
        <v>0.37820914214151502</v>
      </c>
      <c r="G676" s="107">
        <v>0.36649503540017297</v>
      </c>
      <c r="H676" s="107">
        <v>1.6953014989969699E-2</v>
      </c>
      <c r="I676" s="107">
        <v>0.69097483534772997</v>
      </c>
      <c r="J676" s="107">
        <v>3.1</v>
      </c>
      <c r="K676" s="107">
        <v>0.89978170693367698</v>
      </c>
      <c r="L676" s="107">
        <v>4.0028609937883201E-2</v>
      </c>
      <c r="M676" s="107">
        <v>0</v>
      </c>
      <c r="N676" s="107">
        <v>0</v>
      </c>
    </row>
    <row r="677" spans="1:14">
      <c r="A677" s="14">
        <v>42867</v>
      </c>
      <c r="B677" s="107">
        <v>1220</v>
      </c>
      <c r="C677" s="107">
        <v>1220</v>
      </c>
      <c r="D677" s="107">
        <v>3247</v>
      </c>
      <c r="E677" s="107">
        <v>3199</v>
      </c>
      <c r="F677" s="107">
        <v>0.381369177868083</v>
      </c>
      <c r="G677" s="107">
        <v>0.36565570362840999</v>
      </c>
      <c r="H677" s="107">
        <v>1.7884966654350701E-2</v>
      </c>
      <c r="I677" s="107">
        <v>0.87858560451111101</v>
      </c>
      <c r="J677" s="107">
        <v>4.12</v>
      </c>
      <c r="K677" s="107">
        <v>0.88651337123186302</v>
      </c>
      <c r="L677" s="107">
        <v>0.102602607961311</v>
      </c>
      <c r="M677" s="107">
        <v>0</v>
      </c>
      <c r="N677" s="107">
        <v>0</v>
      </c>
    </row>
    <row r="678" spans="1:14">
      <c r="A678" s="14">
        <v>42866</v>
      </c>
      <c r="B678" s="107">
        <v>1263</v>
      </c>
      <c r="C678" s="107">
        <v>1250</v>
      </c>
      <c r="D678" s="107">
        <v>3241</v>
      </c>
      <c r="E678" s="107">
        <v>3250</v>
      </c>
      <c r="F678" s="107">
        <v>0.38461538461538403</v>
      </c>
      <c r="G678" s="107">
        <v>0.36475104543709902</v>
      </c>
      <c r="H678" s="107">
        <v>1.87617553189263E-2</v>
      </c>
      <c r="I678" s="107">
        <v>1.05876762811453</v>
      </c>
      <c r="J678" s="107">
        <v>5.16</v>
      </c>
      <c r="K678" s="107">
        <v>0.88863965787425103</v>
      </c>
      <c r="L678" s="107">
        <v>0.44757548844168199</v>
      </c>
      <c r="M678" s="107">
        <v>0</v>
      </c>
      <c r="N678" s="107">
        <v>0</v>
      </c>
    </row>
    <row r="679" spans="1:14">
      <c r="A679" s="14">
        <v>42865</v>
      </c>
      <c r="B679" s="107">
        <v>1264</v>
      </c>
      <c r="C679" s="107">
        <v>1263</v>
      </c>
      <c r="D679" s="107">
        <v>3232</v>
      </c>
      <c r="E679" s="107">
        <v>3230</v>
      </c>
      <c r="F679" s="107">
        <v>0.39102167182662501</v>
      </c>
      <c r="G679" s="107">
        <v>0.36378473416151003</v>
      </c>
      <c r="H679" s="107">
        <v>1.95630070900558E-2</v>
      </c>
      <c r="I679" s="107">
        <v>1.39226743310644</v>
      </c>
      <c r="J679" s="107">
        <v>6.97</v>
      </c>
      <c r="K679" s="107">
        <v>0.89545579623000204</v>
      </c>
      <c r="L679" s="107">
        <v>9.6592589495333295E-2</v>
      </c>
      <c r="M679" s="107">
        <v>0</v>
      </c>
      <c r="N679" s="107">
        <v>0</v>
      </c>
    </row>
    <row r="680" spans="1:14">
      <c r="A680" s="14">
        <v>42864</v>
      </c>
      <c r="B680" s="107">
        <v>1290</v>
      </c>
      <c r="C680" s="107">
        <v>1290</v>
      </c>
      <c r="D680" s="107">
        <v>3261</v>
      </c>
      <c r="E680" s="107">
        <v>3205</v>
      </c>
      <c r="F680" s="107">
        <v>0.40249609984399298</v>
      </c>
      <c r="G680" s="107">
        <v>0.36272631064724598</v>
      </c>
      <c r="H680" s="107">
        <v>2.0197873172029101E-2</v>
      </c>
      <c r="I680" s="107">
        <v>1.96900875938867</v>
      </c>
      <c r="J680" s="107">
        <v>9.8800000000000008</v>
      </c>
      <c r="K680" s="107">
        <v>0.91186877771901897</v>
      </c>
      <c r="L680" s="107">
        <v>0.397505060008153</v>
      </c>
      <c r="M680" s="107">
        <v>0</v>
      </c>
      <c r="N680" s="107">
        <v>0</v>
      </c>
    </row>
    <row r="681" spans="1:14">
      <c r="A681" s="14">
        <v>42863</v>
      </c>
      <c r="B681" s="107">
        <v>1272</v>
      </c>
      <c r="C681" s="107">
        <v>1294</v>
      </c>
      <c r="D681" s="107">
        <v>3247</v>
      </c>
      <c r="E681" s="107">
        <v>3261</v>
      </c>
      <c r="F681" s="107">
        <v>0.39681079423489701</v>
      </c>
      <c r="G681" s="107">
        <v>0.36157558392467198</v>
      </c>
      <c r="H681" s="107">
        <v>2.0357172926935702E-2</v>
      </c>
      <c r="I681" s="107">
        <v>1.7308498796315299</v>
      </c>
      <c r="J681" s="107">
        <v>8.8800000000000008</v>
      </c>
      <c r="K681" s="107">
        <v>0.92049594829124004</v>
      </c>
      <c r="L681" s="107">
        <v>0.89408940339184595</v>
      </c>
      <c r="M681" s="107">
        <v>0</v>
      </c>
      <c r="N681" s="107">
        <v>0</v>
      </c>
    </row>
    <row r="682" spans="1:14">
      <c r="A682" s="14">
        <v>42857</v>
      </c>
      <c r="B682" s="107">
        <v>1258</v>
      </c>
      <c r="C682" s="107">
        <v>1265</v>
      </c>
      <c r="D682" s="107">
        <v>3223</v>
      </c>
      <c r="E682" s="107">
        <v>3235</v>
      </c>
      <c r="F682" s="107">
        <v>0.39103554868624402</v>
      </c>
      <c r="G682" s="107">
        <v>0.36055159906307699</v>
      </c>
      <c r="H682" s="107">
        <v>2.0490148253075099E-2</v>
      </c>
      <c r="I682" s="107">
        <v>1.48773689905303</v>
      </c>
      <c r="J682" s="107">
        <v>7.8</v>
      </c>
      <c r="K682" s="107">
        <v>0.85558618730955804</v>
      </c>
      <c r="L682" s="107">
        <v>1</v>
      </c>
      <c r="M682" s="107">
        <v>0</v>
      </c>
      <c r="N682" s="107">
        <v>0</v>
      </c>
    </row>
    <row r="683" spans="1:14">
      <c r="A683" s="14">
        <v>42856</v>
      </c>
      <c r="B683" s="107">
        <v>1240</v>
      </c>
      <c r="C683" s="107">
        <v>1248</v>
      </c>
      <c r="D683" s="107">
        <v>3232</v>
      </c>
      <c r="E683" s="107">
        <v>3245</v>
      </c>
      <c r="F683" s="107">
        <v>0.38459167950693302</v>
      </c>
      <c r="G683" s="107">
        <v>0.35956420684160001</v>
      </c>
      <c r="H683" s="107">
        <v>2.0779623612708499E-2</v>
      </c>
      <c r="I683" s="107">
        <v>1.2044237726244</v>
      </c>
      <c r="J683" s="107">
        <v>6.51</v>
      </c>
      <c r="K683" s="107">
        <v>0.82386903916530496</v>
      </c>
      <c r="L683" s="107">
        <v>1</v>
      </c>
      <c r="M683" s="107">
        <v>0</v>
      </c>
      <c r="N683" s="107">
        <v>0</v>
      </c>
    </row>
    <row r="684" spans="1:14">
      <c r="A684" s="14">
        <v>42853</v>
      </c>
      <c r="B684" s="107">
        <v>1239</v>
      </c>
      <c r="C684" s="107">
        <v>1243</v>
      </c>
      <c r="D684" s="107">
        <v>3230</v>
      </c>
      <c r="E684" s="107">
        <v>3232</v>
      </c>
      <c r="F684" s="107">
        <v>0.38459158415841499</v>
      </c>
      <c r="G684" s="107">
        <v>0.35871954471128098</v>
      </c>
      <c r="H684" s="107">
        <v>2.1031139892907599E-2</v>
      </c>
      <c r="I684" s="107">
        <v>1.2301777069087501</v>
      </c>
      <c r="J684" s="107">
        <v>6.73</v>
      </c>
      <c r="K684" s="107">
        <v>0.74629990569336802</v>
      </c>
      <c r="L684" s="107">
        <v>0.97059016007389098</v>
      </c>
      <c r="M684" s="107">
        <v>0</v>
      </c>
      <c r="N684" s="107">
        <v>0</v>
      </c>
    </row>
    <row r="685" spans="1:14">
      <c r="A685" s="14">
        <v>42852</v>
      </c>
      <c r="B685" s="107">
        <v>1244</v>
      </c>
      <c r="C685" s="107">
        <v>1244</v>
      </c>
      <c r="D685" s="107">
        <v>3238</v>
      </c>
      <c r="E685" s="107">
        <v>3245</v>
      </c>
      <c r="F685" s="107">
        <v>0.383359013867488</v>
      </c>
      <c r="G685" s="107">
        <v>0.357834256478958</v>
      </c>
      <c r="H685" s="107">
        <v>2.1318931255459701E-2</v>
      </c>
      <c r="I685" s="107">
        <v>1.19728128406969</v>
      </c>
      <c r="J685" s="107">
        <v>6.66</v>
      </c>
      <c r="K685" s="107">
        <v>0.75120717548490201</v>
      </c>
      <c r="L685" s="107">
        <v>0.98133485353890004</v>
      </c>
      <c r="M685" s="107">
        <v>0</v>
      </c>
      <c r="N685" s="107">
        <v>0</v>
      </c>
    </row>
    <row r="686" spans="1:14">
      <c r="A686" s="14">
        <v>42851</v>
      </c>
      <c r="B686" s="107">
        <v>1230</v>
      </c>
      <c r="C686" s="107">
        <v>1252</v>
      </c>
      <c r="D686" s="107">
        <v>3223</v>
      </c>
      <c r="E686" s="107">
        <v>3256</v>
      </c>
      <c r="F686" s="107">
        <v>0.38452088452088401</v>
      </c>
      <c r="G686" s="107">
        <v>0.357005910614619</v>
      </c>
      <c r="H686" s="107">
        <v>2.1517104449356599E-2</v>
      </c>
      <c r="I686" s="107">
        <v>1.2787489121050399</v>
      </c>
      <c r="J686" s="107">
        <v>7.16</v>
      </c>
      <c r="K686" s="107">
        <v>0.724487691321829</v>
      </c>
      <c r="L686" s="107">
        <v>0.99024223007178602</v>
      </c>
      <c r="M686" s="107">
        <v>0</v>
      </c>
      <c r="N686" s="107">
        <v>0</v>
      </c>
    </row>
    <row r="687" spans="1:14">
      <c r="A687" s="14">
        <v>42850</v>
      </c>
      <c r="B687" s="107">
        <v>1203</v>
      </c>
      <c r="C687" s="107">
        <v>1225</v>
      </c>
      <c r="D687" s="107">
        <v>3145</v>
      </c>
      <c r="E687" s="107">
        <v>3189</v>
      </c>
      <c r="F687" s="107">
        <v>0.38413295703982397</v>
      </c>
      <c r="G687" s="107">
        <v>0.35619246442855501</v>
      </c>
      <c r="H687" s="107">
        <v>2.1614515732282701E-2</v>
      </c>
      <c r="I687" s="107">
        <v>1.2926726167423399</v>
      </c>
      <c r="J687" s="107">
        <v>7.27</v>
      </c>
      <c r="K687" s="107">
        <v>0.69219326492223898</v>
      </c>
      <c r="L687" s="107">
        <v>0.99257969573106897</v>
      </c>
      <c r="M687" s="107">
        <v>0</v>
      </c>
      <c r="N687" s="107">
        <v>0</v>
      </c>
    </row>
    <row r="688" spans="1:14">
      <c r="A688" s="14">
        <v>42849</v>
      </c>
      <c r="B688" s="107">
        <v>1219</v>
      </c>
      <c r="C688" s="107">
        <v>1208</v>
      </c>
      <c r="D688" s="107">
        <v>3188</v>
      </c>
      <c r="E688" s="107">
        <v>3165</v>
      </c>
      <c r="F688" s="107">
        <v>0.38167456556082102</v>
      </c>
      <c r="G688" s="107">
        <v>0.35536279868506698</v>
      </c>
      <c r="H688" s="107">
        <v>2.17200897647204E-2</v>
      </c>
      <c r="I688" s="107">
        <v>1.21140230822119</v>
      </c>
      <c r="J688" s="107">
        <v>6.89</v>
      </c>
      <c r="K688" s="107">
        <v>0.65948255420157598</v>
      </c>
      <c r="L688" s="107">
        <v>0.99355596625001197</v>
      </c>
      <c r="M688" s="107">
        <v>0</v>
      </c>
      <c r="N688" s="107">
        <v>0</v>
      </c>
    </row>
    <row r="689" spans="1:14">
      <c r="A689" s="14">
        <v>42846</v>
      </c>
      <c r="B689" s="107">
        <v>1185</v>
      </c>
      <c r="C689" s="107">
        <v>1198</v>
      </c>
      <c r="D689" s="107">
        <v>3103</v>
      </c>
      <c r="E689" s="107">
        <v>3115</v>
      </c>
      <c r="F689" s="107">
        <v>0.38459069020866699</v>
      </c>
      <c r="G689" s="107">
        <v>0.35454017227435802</v>
      </c>
      <c r="H689" s="107">
        <v>2.1875777525765701E-2</v>
      </c>
      <c r="I689" s="107">
        <v>1.37368913625653</v>
      </c>
      <c r="J689" s="107">
        <v>7.81</v>
      </c>
      <c r="K689" s="107">
        <v>0.60989396774535998</v>
      </c>
      <c r="L689" s="107">
        <v>0.99342370814353798</v>
      </c>
      <c r="M689" s="107">
        <v>0</v>
      </c>
      <c r="N689" s="107">
        <v>0</v>
      </c>
    </row>
    <row r="690" spans="1:14">
      <c r="A690" s="14">
        <v>42845</v>
      </c>
      <c r="B690" s="107">
        <v>1167</v>
      </c>
      <c r="C690" s="107">
        <v>1172</v>
      </c>
      <c r="D690" s="107">
        <v>3079</v>
      </c>
      <c r="E690" s="107">
        <v>3077</v>
      </c>
      <c r="F690" s="107">
        <v>0.38089047773805601</v>
      </c>
      <c r="G690" s="107">
        <v>0.35370241121868701</v>
      </c>
      <c r="H690" s="107">
        <v>2.19120003763719E-2</v>
      </c>
      <c r="I690" s="107">
        <v>1.2407843214847001</v>
      </c>
      <c r="J690" s="107">
        <v>7.14</v>
      </c>
      <c r="K690" s="107">
        <v>0.60522427260525902</v>
      </c>
      <c r="L690" s="107">
        <v>0.99305259919129996</v>
      </c>
      <c r="M690" s="107">
        <v>0</v>
      </c>
      <c r="N690" s="107">
        <v>0</v>
      </c>
    </row>
    <row r="691" spans="1:14">
      <c r="A691" s="14">
        <v>42844</v>
      </c>
      <c r="B691" s="107">
        <v>1158</v>
      </c>
      <c r="C691" s="107">
        <v>1165</v>
      </c>
      <c r="D691" s="107">
        <v>3089</v>
      </c>
      <c r="E691" s="107">
        <v>3061</v>
      </c>
      <c r="F691" s="107">
        <v>0.38059457693564103</v>
      </c>
      <c r="G691" s="107">
        <v>0.352973310266123</v>
      </c>
      <c r="H691" s="107">
        <v>2.19049674007297E-2</v>
      </c>
      <c r="I691" s="107">
        <v>1.2609590402128801</v>
      </c>
      <c r="J691" s="107">
        <v>7.26</v>
      </c>
      <c r="K691" s="107">
        <v>0.56738386414018305</v>
      </c>
      <c r="L691" s="107">
        <v>0.98802503190850999</v>
      </c>
      <c r="M691" s="107">
        <v>0</v>
      </c>
      <c r="N691" s="107">
        <v>0</v>
      </c>
    </row>
    <row r="692" spans="1:14">
      <c r="A692" s="14">
        <v>42843</v>
      </c>
      <c r="B692" s="107">
        <v>1171</v>
      </c>
      <c r="C692" s="107">
        <v>1171</v>
      </c>
      <c r="D692" s="107">
        <v>3134</v>
      </c>
      <c r="E692" s="107">
        <v>3098</v>
      </c>
      <c r="F692" s="107">
        <v>0.37798579728857301</v>
      </c>
      <c r="G692" s="107">
        <v>0.35223601864683901</v>
      </c>
      <c r="H692" s="107">
        <v>2.18934707373276E-2</v>
      </c>
      <c r="I692" s="107">
        <v>1.1761396331661</v>
      </c>
      <c r="J692" s="107">
        <v>6.81</v>
      </c>
      <c r="K692" s="107">
        <v>0.534732497529399</v>
      </c>
      <c r="L692" s="107">
        <v>0.97849087604377105</v>
      </c>
      <c r="M692" s="107">
        <v>0</v>
      </c>
      <c r="N692" s="107">
        <v>0</v>
      </c>
    </row>
    <row r="693" spans="1:14">
      <c r="A693" s="14">
        <v>42842</v>
      </c>
      <c r="B693" s="107">
        <v>1155</v>
      </c>
      <c r="C693" s="107">
        <v>1159</v>
      </c>
      <c r="D693" s="107">
        <v>3085</v>
      </c>
      <c r="E693" s="107">
        <v>3099</v>
      </c>
      <c r="F693" s="107">
        <v>0.37399161019683702</v>
      </c>
      <c r="G693" s="107">
        <v>0.351555329315275</v>
      </c>
      <c r="H693" s="107">
        <v>2.18759198936847E-2</v>
      </c>
      <c r="I693" s="107">
        <v>1.02561542511589</v>
      </c>
      <c r="J693" s="107">
        <v>6</v>
      </c>
      <c r="K693" s="107">
        <v>0.51798687723718895</v>
      </c>
      <c r="L693" s="107">
        <v>0.93909569285286099</v>
      </c>
      <c r="M693" s="107">
        <v>0</v>
      </c>
      <c r="N693" s="107">
        <v>0</v>
      </c>
    </row>
    <row r="694" spans="1:14">
      <c r="A694" s="14">
        <v>42839</v>
      </c>
      <c r="B694" s="107">
        <v>1172</v>
      </c>
      <c r="C694" s="107">
        <v>1166</v>
      </c>
      <c r="D694" s="107">
        <v>3139</v>
      </c>
      <c r="E694" s="107">
        <v>3117</v>
      </c>
      <c r="F694" s="107">
        <v>0.37407763875521299</v>
      </c>
      <c r="G694" s="107">
        <v>0.35090010613022699</v>
      </c>
      <c r="H694" s="107">
        <v>2.1929975321458899E-2</v>
      </c>
      <c r="I694" s="107">
        <v>1.0568882219537199</v>
      </c>
      <c r="J694" s="107">
        <v>6.2</v>
      </c>
      <c r="K694" s="107">
        <v>0.50836763024364195</v>
      </c>
      <c r="L694" s="107">
        <v>0.87734077194484905</v>
      </c>
      <c r="M694" s="107">
        <v>0</v>
      </c>
      <c r="N694" s="107">
        <v>0</v>
      </c>
    </row>
    <row r="695" spans="1:14">
      <c r="A695" s="14">
        <v>42838</v>
      </c>
      <c r="B695" s="107">
        <v>1163</v>
      </c>
      <c r="C695" s="107">
        <v>1173</v>
      </c>
      <c r="D695" s="107">
        <v>3106</v>
      </c>
      <c r="E695" s="107">
        <v>3135</v>
      </c>
      <c r="F695" s="107">
        <v>0.37416267942583697</v>
      </c>
      <c r="G695" s="107">
        <v>0.35018517490485901</v>
      </c>
      <c r="H695" s="107">
        <v>2.20364812666872E-2</v>
      </c>
      <c r="I695" s="107">
        <v>1.0880822682532501</v>
      </c>
      <c r="J695" s="107">
        <v>6.41</v>
      </c>
      <c r="K695" s="107">
        <v>0.50764296924781205</v>
      </c>
      <c r="L695" s="107">
        <v>0.86233788615695495</v>
      </c>
      <c r="M695" s="107">
        <v>0</v>
      </c>
      <c r="N695" s="107">
        <v>0</v>
      </c>
    </row>
    <row r="696" spans="1:14">
      <c r="A696" s="14">
        <v>42837</v>
      </c>
      <c r="B696" s="107">
        <v>1178</v>
      </c>
      <c r="C696" s="107">
        <v>1176</v>
      </c>
      <c r="D696" s="107">
        <v>3142</v>
      </c>
      <c r="E696" s="107">
        <v>3131</v>
      </c>
      <c r="F696" s="107">
        <v>0.37559885020760098</v>
      </c>
      <c r="G696" s="107">
        <v>0.34946151191494301</v>
      </c>
      <c r="H696" s="107">
        <v>2.2128175760609901E-2</v>
      </c>
      <c r="I696" s="107">
        <v>1.1811790802559099</v>
      </c>
      <c r="J696" s="107">
        <v>6.96</v>
      </c>
      <c r="K696" s="107">
        <v>0.50532637267643099</v>
      </c>
      <c r="L696" s="107">
        <v>0.91033205352738999</v>
      </c>
      <c r="M696" s="107">
        <v>0</v>
      </c>
      <c r="N696" s="107">
        <v>0</v>
      </c>
    </row>
    <row r="697" spans="1:14">
      <c r="A697" s="14">
        <v>42836</v>
      </c>
      <c r="B697" s="107">
        <v>1189</v>
      </c>
      <c r="C697" s="107">
        <v>1191</v>
      </c>
      <c r="D697" s="107">
        <v>3156</v>
      </c>
      <c r="E697" s="107">
        <v>3182</v>
      </c>
      <c r="F697" s="107">
        <v>0.37429289754871098</v>
      </c>
      <c r="G697" s="107">
        <v>0.34855899931809098</v>
      </c>
      <c r="H697" s="107">
        <v>2.2422148725112698E-2</v>
      </c>
      <c r="I697" s="107">
        <v>1.1476999169931601</v>
      </c>
      <c r="J697" s="107">
        <v>6.88</v>
      </c>
      <c r="K697" s="107">
        <v>0.50640656326633304</v>
      </c>
      <c r="L697" s="107">
        <v>0.96951548564007795</v>
      </c>
      <c r="M697" s="107">
        <v>0</v>
      </c>
      <c r="N697" s="107">
        <v>0</v>
      </c>
    </row>
    <row r="698" spans="1:14">
      <c r="A698" s="14">
        <v>42835</v>
      </c>
      <c r="B698" s="107">
        <v>1196</v>
      </c>
      <c r="C698" s="107">
        <v>1198</v>
      </c>
      <c r="D698" s="107">
        <v>3191</v>
      </c>
      <c r="E698" s="107">
        <v>3182</v>
      </c>
      <c r="F698" s="107">
        <v>0.37649277184160901</v>
      </c>
      <c r="G698" s="107">
        <v>0.347676228769214</v>
      </c>
      <c r="H698" s="107">
        <v>2.26932920226403E-2</v>
      </c>
      <c r="I698" s="107">
        <v>1.26982647751789</v>
      </c>
      <c r="J698" s="107">
        <v>7.65</v>
      </c>
      <c r="K698" s="107">
        <v>0.51499792961992596</v>
      </c>
      <c r="L698" s="107">
        <v>0.98226921789789901</v>
      </c>
      <c r="M698" s="107">
        <v>0</v>
      </c>
      <c r="N698" s="107">
        <v>0</v>
      </c>
    </row>
    <row r="699" spans="1:14">
      <c r="A699" s="14">
        <v>42832</v>
      </c>
      <c r="B699" s="107">
        <v>1190</v>
      </c>
      <c r="C699" s="107">
        <v>1190</v>
      </c>
      <c r="D699" s="107">
        <v>3185</v>
      </c>
      <c r="E699" s="107">
        <v>3157</v>
      </c>
      <c r="F699" s="107">
        <v>0.37694013303769403</v>
      </c>
      <c r="G699" s="107">
        <v>0.346751051062199</v>
      </c>
      <c r="H699" s="107">
        <v>2.2912992750064001E-2</v>
      </c>
      <c r="I699" s="107">
        <v>1.31755298423032</v>
      </c>
      <c r="J699" s="107">
        <v>8.01</v>
      </c>
      <c r="K699" s="107">
        <v>0.53325397917485096</v>
      </c>
      <c r="L699" s="107">
        <v>0.90135029367433706</v>
      </c>
      <c r="M699" s="107">
        <v>0</v>
      </c>
      <c r="N699" s="107">
        <v>0</v>
      </c>
    </row>
    <row r="700" spans="1:14">
      <c r="A700" s="14">
        <v>42831</v>
      </c>
      <c r="B700" s="107">
        <v>1198</v>
      </c>
      <c r="C700" s="107">
        <v>1184</v>
      </c>
      <c r="D700" s="107">
        <v>3140</v>
      </c>
      <c r="E700" s="107">
        <v>3148</v>
      </c>
      <c r="F700" s="107">
        <v>0.376111817026683</v>
      </c>
      <c r="G700" s="107">
        <v>0.34582256089885</v>
      </c>
      <c r="H700" s="107">
        <v>2.3081153788950301E-2</v>
      </c>
      <c r="I700" s="107">
        <v>1.31229384825353</v>
      </c>
      <c r="J700" s="107">
        <v>8.0500000000000007</v>
      </c>
      <c r="K700" s="107">
        <v>0.56339756491132997</v>
      </c>
      <c r="L700" s="107">
        <v>0.96870966873439801</v>
      </c>
      <c r="M700" s="107">
        <v>0</v>
      </c>
      <c r="N700" s="107">
        <v>0</v>
      </c>
    </row>
    <row r="701" spans="1:14">
      <c r="A701" s="14">
        <v>42830</v>
      </c>
      <c r="B701" s="107">
        <v>1219</v>
      </c>
      <c r="C701" s="107">
        <v>1209</v>
      </c>
      <c r="D701" s="107">
        <v>3248</v>
      </c>
      <c r="E701" s="107">
        <v>3210</v>
      </c>
      <c r="F701" s="107">
        <v>0.376635514018691</v>
      </c>
      <c r="G701" s="107">
        <v>0.34486521445590801</v>
      </c>
      <c r="H701" s="107">
        <v>2.3293066364837699E-2</v>
      </c>
      <c r="I701" s="107">
        <v>1.3639380520008599</v>
      </c>
      <c r="J701" s="107">
        <v>8.44</v>
      </c>
      <c r="K701" s="107">
        <v>0.59633655849796796</v>
      </c>
      <c r="L701" s="107">
        <v>0.94637675118728604</v>
      </c>
      <c r="M701" s="107">
        <v>0</v>
      </c>
      <c r="N701" s="107">
        <v>0</v>
      </c>
    </row>
    <row r="702" spans="1:14">
      <c r="A702" s="14">
        <v>42829</v>
      </c>
      <c r="B702" s="107">
        <v>1218</v>
      </c>
      <c r="C702" s="107">
        <v>1207</v>
      </c>
      <c r="D702" s="107">
        <v>3299</v>
      </c>
      <c r="E702" s="107">
        <v>3262</v>
      </c>
      <c r="F702" s="107">
        <v>0.370018393623543</v>
      </c>
      <c r="G702" s="107">
        <v>0.34391971859839499</v>
      </c>
      <c r="H702" s="107">
        <v>2.3423125031603199E-2</v>
      </c>
      <c r="I702" s="107">
        <v>1.1142268587105899</v>
      </c>
      <c r="J702" s="107">
        <v>7.05</v>
      </c>
      <c r="K702" s="107">
        <v>0.60736312395327496</v>
      </c>
      <c r="L702" s="107">
        <v>0.96950683259859405</v>
      </c>
      <c r="M702" s="107">
        <v>0</v>
      </c>
      <c r="N702" s="107">
        <v>0</v>
      </c>
    </row>
    <row r="703" spans="1:14">
      <c r="A703" s="14">
        <v>42828</v>
      </c>
      <c r="B703" s="107">
        <v>1239</v>
      </c>
      <c r="C703" s="107">
        <v>1219</v>
      </c>
      <c r="D703" s="107">
        <v>3378</v>
      </c>
      <c r="E703" s="107">
        <v>3351</v>
      </c>
      <c r="F703" s="107">
        <v>0.36377200835571399</v>
      </c>
      <c r="G703" s="107">
        <v>0.34307328094599299</v>
      </c>
      <c r="H703" s="107">
        <v>2.36109885342345E-2</v>
      </c>
      <c r="I703" s="107">
        <v>0.87665653556643097</v>
      </c>
      <c r="J703" s="107">
        <v>5.69</v>
      </c>
      <c r="K703" s="107">
        <v>0.60465716394007396</v>
      </c>
      <c r="L703" s="107">
        <v>0.97743178338047898</v>
      </c>
      <c r="M703" s="107">
        <v>0</v>
      </c>
      <c r="N703" s="107">
        <v>0</v>
      </c>
    </row>
    <row r="704" spans="1:14">
      <c r="A704" s="14">
        <v>42825</v>
      </c>
      <c r="B704" s="107">
        <v>1239</v>
      </c>
      <c r="C704" s="107">
        <v>1229</v>
      </c>
      <c r="D704" s="107">
        <v>3396</v>
      </c>
      <c r="E704" s="107">
        <v>3351</v>
      </c>
      <c r="F704" s="107">
        <v>0.36675619218143801</v>
      </c>
      <c r="G704" s="107">
        <v>0.342312235433545</v>
      </c>
      <c r="H704" s="107">
        <v>2.3850230868399099E-2</v>
      </c>
      <c r="I704" s="107">
        <v>1.02489392588145</v>
      </c>
      <c r="J704" s="107">
        <v>6.66</v>
      </c>
      <c r="K704" s="107">
        <v>0.62913197275317001</v>
      </c>
      <c r="L704" s="107">
        <v>0.94598850633017695</v>
      </c>
      <c r="M704" s="107">
        <v>0</v>
      </c>
      <c r="N704" s="107">
        <v>0</v>
      </c>
    </row>
    <row r="705" spans="1:14">
      <c r="A705" s="14">
        <v>42824</v>
      </c>
      <c r="B705" s="107">
        <v>1231</v>
      </c>
      <c r="C705" s="107">
        <v>1234</v>
      </c>
      <c r="D705" s="107">
        <v>3411</v>
      </c>
      <c r="E705" s="107">
        <v>3395</v>
      </c>
      <c r="F705" s="107">
        <v>0.36347569955817299</v>
      </c>
      <c r="K705" s="107">
        <v>0.64527728786995298</v>
      </c>
      <c r="L705" s="107">
        <v>0.93326595386933997</v>
      </c>
      <c r="M705" s="107">
        <v>0</v>
      </c>
      <c r="N705" s="107">
        <v>0</v>
      </c>
    </row>
    <row r="706" spans="1:14">
      <c r="A706" s="14">
        <v>42823</v>
      </c>
      <c r="B706" s="107">
        <v>1265</v>
      </c>
      <c r="C706" s="107">
        <v>1245</v>
      </c>
      <c r="D706" s="107">
        <v>3413</v>
      </c>
      <c r="E706" s="107">
        <v>3436</v>
      </c>
      <c r="F706" s="107">
        <v>0.36233993015133797</v>
      </c>
      <c r="K706" s="107">
        <v>0.66438444016474096</v>
      </c>
      <c r="L706" s="107">
        <v>0.74580922981747999</v>
      </c>
      <c r="M706" s="107">
        <v>0</v>
      </c>
      <c r="N706" s="107">
        <v>0</v>
      </c>
    </row>
    <row r="707" spans="1:14">
      <c r="A707" s="14">
        <v>42822</v>
      </c>
      <c r="B707" s="107">
        <v>1255</v>
      </c>
      <c r="C707" s="107">
        <v>1264</v>
      </c>
      <c r="D707" s="107">
        <v>3414</v>
      </c>
      <c r="E707" s="107">
        <v>3403</v>
      </c>
      <c r="F707" s="107">
        <v>0.37143696738172199</v>
      </c>
      <c r="K707" s="107">
        <v>0.69520983884598397</v>
      </c>
      <c r="L707" s="107">
        <v>0.90793950427139802</v>
      </c>
      <c r="M707" s="107">
        <v>0</v>
      </c>
      <c r="N707" s="107">
        <v>0</v>
      </c>
    </row>
    <row r="708" spans="1:14">
      <c r="A708" s="14">
        <v>42821</v>
      </c>
      <c r="B708" s="107">
        <v>1245</v>
      </c>
      <c r="C708" s="107">
        <v>1240</v>
      </c>
      <c r="D708" s="107">
        <v>3393</v>
      </c>
      <c r="E708" s="107">
        <v>3390</v>
      </c>
      <c r="F708" s="107">
        <v>0.36578171091445399</v>
      </c>
      <c r="K708" s="107">
        <v>0.71868912625958603</v>
      </c>
      <c r="L708" s="107">
        <v>0.87328076932591403</v>
      </c>
      <c r="M708" s="107">
        <v>0</v>
      </c>
      <c r="N708" s="107">
        <v>0</v>
      </c>
    </row>
    <row r="709" spans="1:14">
      <c r="A709" s="14">
        <v>42818</v>
      </c>
      <c r="B709" s="107">
        <v>1256</v>
      </c>
      <c r="C709" s="107">
        <v>1270</v>
      </c>
      <c r="D709" s="107">
        <v>3423</v>
      </c>
      <c r="E709" s="107">
        <v>3440</v>
      </c>
      <c r="F709" s="107">
        <v>0.36918604651162701</v>
      </c>
      <c r="K709" s="107">
        <v>0.73230574696848905</v>
      </c>
      <c r="L709" s="107">
        <v>0.91937049237182</v>
      </c>
      <c r="M709" s="107">
        <v>0</v>
      </c>
      <c r="N709" s="107">
        <v>0</v>
      </c>
    </row>
    <row r="710" spans="1:14">
      <c r="A710" s="14">
        <v>42817</v>
      </c>
      <c r="B710" s="107">
        <v>1254</v>
      </c>
      <c r="C710" s="107">
        <v>1253</v>
      </c>
      <c r="D710" s="107">
        <v>3417</v>
      </c>
      <c r="E710" s="107">
        <v>3434</v>
      </c>
      <c r="F710" s="107">
        <v>0.36488060570762898</v>
      </c>
      <c r="K710" s="107">
        <v>0.749713276529273</v>
      </c>
      <c r="L710" s="107">
        <v>0.79475379441712002</v>
      </c>
      <c r="M710" s="107">
        <v>0</v>
      </c>
      <c r="N710" s="107">
        <v>0</v>
      </c>
    </row>
    <row r="711" spans="1:14">
      <c r="A711" s="14">
        <v>42816</v>
      </c>
      <c r="B711" s="107">
        <v>1274</v>
      </c>
      <c r="C711" s="107">
        <v>1270</v>
      </c>
      <c r="D711" s="107">
        <v>3454</v>
      </c>
      <c r="E711" s="107">
        <v>3413</v>
      </c>
      <c r="F711" s="107">
        <v>0.37210665104014001</v>
      </c>
      <c r="K711" s="107">
        <v>0.78199527563889104</v>
      </c>
      <c r="L711" s="107">
        <v>0.87117652209744401</v>
      </c>
      <c r="M711" s="107">
        <v>0</v>
      </c>
      <c r="N711" s="107">
        <v>0</v>
      </c>
    </row>
    <row r="712" spans="1:14">
      <c r="A712" s="14">
        <v>42815</v>
      </c>
      <c r="B712" s="107">
        <v>1305</v>
      </c>
      <c r="C712" s="107">
        <v>1303</v>
      </c>
      <c r="D712" s="107">
        <v>3568</v>
      </c>
      <c r="E712" s="107">
        <v>3542</v>
      </c>
      <c r="F712" s="107">
        <v>0.36787125917560698</v>
      </c>
      <c r="K712" s="107">
        <v>0.76420324265055295</v>
      </c>
      <c r="L712" s="107">
        <v>0.94605659068329995</v>
      </c>
      <c r="M712" s="107">
        <v>0</v>
      </c>
      <c r="N712" s="107">
        <v>0</v>
      </c>
    </row>
    <row r="713" spans="1:14">
      <c r="A713" s="14">
        <v>42811</v>
      </c>
      <c r="B713" s="107">
        <v>1307</v>
      </c>
      <c r="C713" s="107">
        <v>1313</v>
      </c>
      <c r="D713" s="107">
        <v>3537</v>
      </c>
      <c r="E713" s="107">
        <v>3534</v>
      </c>
      <c r="F713" s="107">
        <v>0.37153367289190697</v>
      </c>
      <c r="K713" s="107">
        <v>0.72192529306993503</v>
      </c>
      <c r="L713" s="107">
        <v>0.93769789154875804</v>
      </c>
      <c r="M713" s="107">
        <v>0</v>
      </c>
      <c r="N713" s="107">
        <v>0</v>
      </c>
    </row>
    <row r="714" spans="1:14">
      <c r="A714" s="14">
        <v>42810</v>
      </c>
      <c r="B714" s="107">
        <v>1306</v>
      </c>
      <c r="C714" s="107">
        <v>1320</v>
      </c>
      <c r="D714" s="107">
        <v>3504</v>
      </c>
      <c r="E714" s="107">
        <v>3556</v>
      </c>
      <c r="F714" s="107">
        <v>0.371203599550056</v>
      </c>
      <c r="K714" s="107">
        <v>0.72085182716793195</v>
      </c>
      <c r="L714" s="107">
        <v>0.55030330508977099</v>
      </c>
      <c r="M714" s="107">
        <v>0</v>
      </c>
      <c r="N714" s="107">
        <v>0</v>
      </c>
    </row>
    <row r="715" spans="1:14">
      <c r="A715" s="14">
        <v>42809</v>
      </c>
      <c r="B715" s="107">
        <v>1311</v>
      </c>
      <c r="C715" s="107">
        <v>1320</v>
      </c>
      <c r="D715" s="107">
        <v>3511</v>
      </c>
      <c r="E715" s="107">
        <v>3574</v>
      </c>
      <c r="F715" s="107">
        <v>0.36933407946278601</v>
      </c>
      <c r="K715" s="107">
        <v>0.69285092746151999</v>
      </c>
      <c r="L715" s="107">
        <v>0.58829025571548399</v>
      </c>
      <c r="M715" s="107">
        <v>0</v>
      </c>
      <c r="N715" s="107">
        <v>0</v>
      </c>
    </row>
    <row r="716" spans="1:14">
      <c r="A716" s="14">
        <v>42808</v>
      </c>
      <c r="B716" s="107">
        <v>1319</v>
      </c>
      <c r="C716" s="107">
        <v>1325</v>
      </c>
      <c r="D716" s="107">
        <v>3554</v>
      </c>
      <c r="E716" s="107">
        <v>3536</v>
      </c>
      <c r="F716" s="107">
        <v>0.37471719457013503</v>
      </c>
      <c r="K716" s="107">
        <v>0.683127987741455</v>
      </c>
      <c r="L716" s="107">
        <v>0.62286836256270794</v>
      </c>
      <c r="M716" s="107">
        <v>0</v>
      </c>
      <c r="N716" s="107">
        <v>0</v>
      </c>
    </row>
    <row r="717" spans="1:14">
      <c r="A717" s="14">
        <v>42807</v>
      </c>
      <c r="B717" s="107">
        <v>1316</v>
      </c>
      <c r="C717" s="107">
        <v>1320</v>
      </c>
      <c r="D717" s="107">
        <v>3552</v>
      </c>
      <c r="E717" s="107">
        <v>3554</v>
      </c>
      <c r="F717" s="107">
        <v>0.37141249296567203</v>
      </c>
      <c r="K717" s="107">
        <v>0.68194007693176095</v>
      </c>
      <c r="L717" s="107">
        <v>0.59146104159133595</v>
      </c>
      <c r="M717" s="107">
        <v>0</v>
      </c>
      <c r="N717" s="107">
        <v>0</v>
      </c>
    </row>
    <row r="718" spans="1:14">
      <c r="A718" s="14">
        <v>42804</v>
      </c>
      <c r="B718" s="107">
        <v>1331</v>
      </c>
      <c r="C718" s="107">
        <v>1321</v>
      </c>
      <c r="D718" s="107">
        <v>3584</v>
      </c>
      <c r="E718" s="107">
        <v>3595</v>
      </c>
      <c r="F718" s="107">
        <v>0.36745479833101502</v>
      </c>
      <c r="K718" s="107">
        <v>0</v>
      </c>
      <c r="L718" s="107">
        <v>0</v>
      </c>
      <c r="M718" s="107">
        <v>0</v>
      </c>
      <c r="N718" s="107">
        <v>0</v>
      </c>
    </row>
    <row r="719" spans="1:14">
      <c r="A719" s="14">
        <v>42803</v>
      </c>
      <c r="B719" s="107">
        <v>1306</v>
      </c>
      <c r="C719" s="107">
        <v>1312</v>
      </c>
      <c r="D719" s="107">
        <v>3557</v>
      </c>
      <c r="E719" s="107">
        <v>3542</v>
      </c>
      <c r="F719" s="107">
        <v>0.37041219649915302</v>
      </c>
      <c r="K719" s="107">
        <v>0</v>
      </c>
      <c r="L719" s="107">
        <v>0</v>
      </c>
      <c r="M719" s="107">
        <v>0</v>
      </c>
      <c r="N719" s="107">
        <v>0</v>
      </c>
    </row>
    <row r="720" spans="1:14">
      <c r="A720" s="14">
        <v>42802</v>
      </c>
      <c r="B720" s="107">
        <v>1304</v>
      </c>
      <c r="C720" s="107">
        <v>1302</v>
      </c>
      <c r="D720" s="107">
        <v>3530</v>
      </c>
      <c r="E720" s="107">
        <v>3537</v>
      </c>
      <c r="F720" s="107">
        <v>0.36810856658184898</v>
      </c>
      <c r="K720" s="107">
        <v>0</v>
      </c>
      <c r="L720" s="107">
        <v>0</v>
      </c>
      <c r="M720" s="107">
        <v>0</v>
      </c>
      <c r="N720" s="107">
        <v>0</v>
      </c>
    </row>
    <row r="721" spans="1:14">
      <c r="A721" s="14">
        <v>42801</v>
      </c>
      <c r="B721" s="107">
        <v>1313</v>
      </c>
      <c r="C721" s="107">
        <v>1309</v>
      </c>
      <c r="D721" s="107">
        <v>3536</v>
      </c>
      <c r="E721" s="107">
        <v>3557</v>
      </c>
      <c r="F721" s="107">
        <v>0.36800674725892601</v>
      </c>
      <c r="K721" s="107">
        <v>0</v>
      </c>
      <c r="L721" s="107">
        <v>0</v>
      </c>
      <c r="M721" s="107">
        <v>0</v>
      </c>
      <c r="N721" s="107">
        <v>0</v>
      </c>
    </row>
    <row r="722" spans="1:14">
      <c r="A722" s="14">
        <v>42800</v>
      </c>
      <c r="B722" s="107">
        <v>1298</v>
      </c>
      <c r="C722" s="107">
        <v>1317</v>
      </c>
      <c r="D722" s="107">
        <v>3527</v>
      </c>
      <c r="E722" s="107">
        <v>3536</v>
      </c>
      <c r="F722" s="107">
        <v>0.37245475113122101</v>
      </c>
      <c r="K722" s="107">
        <v>0</v>
      </c>
      <c r="L722" s="107">
        <v>0</v>
      </c>
      <c r="M722" s="107">
        <v>0</v>
      </c>
      <c r="N722" s="107">
        <v>0</v>
      </c>
    </row>
    <row r="723" spans="1:14">
      <c r="A723" s="14">
        <v>42797</v>
      </c>
      <c r="B723" s="107">
        <v>1304</v>
      </c>
      <c r="C723" s="107">
        <v>1304</v>
      </c>
      <c r="D723" s="107">
        <v>3550</v>
      </c>
      <c r="E723" s="107">
        <v>3557</v>
      </c>
      <c r="F723" s="107">
        <v>0.36660106831599598</v>
      </c>
      <c r="K723" s="107">
        <v>0</v>
      </c>
      <c r="L723" s="107">
        <v>0</v>
      </c>
      <c r="M723" s="107">
        <v>0</v>
      </c>
      <c r="N723" s="107">
        <v>0</v>
      </c>
    </row>
    <row r="724" spans="1:14">
      <c r="A724" s="14">
        <v>42796</v>
      </c>
      <c r="B724" s="107">
        <v>1310</v>
      </c>
      <c r="C724" s="107">
        <v>1305</v>
      </c>
      <c r="D724" s="107">
        <v>3600</v>
      </c>
      <c r="E724" s="107">
        <v>3543</v>
      </c>
      <c r="F724" s="107">
        <v>0.368331922099915</v>
      </c>
      <c r="K724" s="107">
        <v>0</v>
      </c>
      <c r="L724" s="107">
        <v>0</v>
      </c>
      <c r="M724" s="107">
        <v>0</v>
      </c>
      <c r="N724" s="107">
        <v>0</v>
      </c>
    </row>
    <row r="725" spans="1:14">
      <c r="A725" s="14">
        <v>42795</v>
      </c>
      <c r="B725" s="107">
        <v>1286</v>
      </c>
      <c r="C725" s="107">
        <v>1296</v>
      </c>
      <c r="D725" s="107">
        <v>3500</v>
      </c>
      <c r="E725" s="107">
        <v>3521</v>
      </c>
      <c r="F725" s="107">
        <v>0.36807725078102799</v>
      </c>
      <c r="K725" s="107">
        <v>0</v>
      </c>
      <c r="L725" s="107">
        <v>0</v>
      </c>
      <c r="M725" s="107">
        <v>0</v>
      </c>
      <c r="N725" s="107">
        <v>0</v>
      </c>
    </row>
    <row r="726" spans="1:14">
      <c r="A726" s="14">
        <v>42794</v>
      </c>
      <c r="B726" s="107">
        <v>1287</v>
      </c>
      <c r="C726" s="107">
        <v>1284</v>
      </c>
      <c r="D726" s="107">
        <v>3527</v>
      </c>
      <c r="E726" s="107">
        <v>3489</v>
      </c>
      <c r="F726" s="107">
        <v>0.36801375752364501</v>
      </c>
      <c r="K726" s="107">
        <v>0</v>
      </c>
      <c r="L726" s="107">
        <v>0</v>
      </c>
      <c r="M726" s="107">
        <v>0</v>
      </c>
      <c r="N726" s="107">
        <v>0</v>
      </c>
    </row>
    <row r="727" spans="1:14">
      <c r="A727" s="14">
        <v>42793</v>
      </c>
      <c r="B727" s="107">
        <v>1276</v>
      </c>
      <c r="C727" s="107">
        <v>1276</v>
      </c>
      <c r="D727" s="107">
        <v>3520</v>
      </c>
      <c r="E727" s="107">
        <v>3498</v>
      </c>
      <c r="F727" s="107">
        <v>0.36477987421383601</v>
      </c>
      <c r="K727" s="107">
        <v>0</v>
      </c>
      <c r="L727" s="107">
        <v>0</v>
      </c>
      <c r="M727" s="107">
        <v>0</v>
      </c>
      <c r="N727" s="107">
        <v>0</v>
      </c>
    </row>
    <row r="728" spans="1:14">
      <c r="A728" s="14">
        <v>42790</v>
      </c>
      <c r="B728" s="107">
        <v>1295</v>
      </c>
      <c r="C728" s="107">
        <v>1288</v>
      </c>
      <c r="D728" s="107">
        <v>3555</v>
      </c>
      <c r="E728" s="107">
        <v>3553</v>
      </c>
      <c r="F728" s="107">
        <v>0.36251055446101799</v>
      </c>
      <c r="K728" s="107">
        <v>0</v>
      </c>
      <c r="L728" s="107">
        <v>0</v>
      </c>
      <c r="M728" s="107">
        <v>0</v>
      </c>
      <c r="N728" s="107">
        <v>0</v>
      </c>
    </row>
    <row r="729" spans="1:14">
      <c r="A729" s="14">
        <v>42789</v>
      </c>
      <c r="B729" s="107">
        <v>1314</v>
      </c>
      <c r="C729" s="107">
        <v>1311</v>
      </c>
      <c r="D729" s="107">
        <v>3608</v>
      </c>
      <c r="E729" s="107">
        <v>3570</v>
      </c>
      <c r="F729" s="107">
        <v>0.36722689075630199</v>
      </c>
      <c r="K729" s="107">
        <v>0</v>
      </c>
      <c r="L729" s="107">
        <v>0</v>
      </c>
      <c r="M729" s="107">
        <v>0</v>
      </c>
      <c r="N729" s="107">
        <v>0</v>
      </c>
    </row>
    <row r="730" spans="1:14">
      <c r="A730" s="14">
        <v>42788</v>
      </c>
      <c r="B730" s="107">
        <v>1300</v>
      </c>
      <c r="C730" s="107">
        <v>1309</v>
      </c>
      <c r="D730" s="107">
        <v>3616</v>
      </c>
      <c r="E730" s="107">
        <v>3619</v>
      </c>
      <c r="F730" s="107">
        <v>0.36170212765957399</v>
      </c>
      <c r="K730" s="107">
        <v>0</v>
      </c>
      <c r="L730" s="107">
        <v>0</v>
      </c>
      <c r="M730" s="107">
        <v>0</v>
      </c>
      <c r="N730" s="107">
        <v>0</v>
      </c>
    </row>
    <row r="731" spans="1:14">
      <c r="A731" s="14">
        <v>42787</v>
      </c>
      <c r="B731" s="107">
        <v>1291</v>
      </c>
      <c r="C731" s="107">
        <v>1308</v>
      </c>
      <c r="D731" s="107">
        <v>3590</v>
      </c>
      <c r="E731" s="107">
        <v>3596</v>
      </c>
      <c r="F731" s="107">
        <v>0.36373748609566098</v>
      </c>
      <c r="K731" s="107">
        <v>0</v>
      </c>
      <c r="L731" s="107">
        <v>0</v>
      </c>
      <c r="M731" s="107">
        <v>0</v>
      </c>
      <c r="N731" s="107">
        <v>0</v>
      </c>
    </row>
    <row r="732" spans="1:14">
      <c r="A732" s="14">
        <v>42786</v>
      </c>
      <c r="B732" s="107">
        <v>1288</v>
      </c>
      <c r="C732" s="107">
        <v>1290</v>
      </c>
      <c r="D732" s="107">
        <v>3587</v>
      </c>
      <c r="E732" s="107">
        <v>3574</v>
      </c>
      <c r="F732" s="107">
        <v>0.36094012311135898</v>
      </c>
      <c r="K732" s="107">
        <v>0</v>
      </c>
      <c r="L732" s="107">
        <v>0</v>
      </c>
      <c r="M732" s="107">
        <v>0</v>
      </c>
      <c r="N732" s="107">
        <v>0</v>
      </c>
    </row>
    <row r="733" spans="1:14">
      <c r="A733" s="14">
        <v>42783</v>
      </c>
      <c r="B733" s="107">
        <v>1293</v>
      </c>
      <c r="C733" s="107">
        <v>1296</v>
      </c>
      <c r="D733" s="107">
        <v>3569</v>
      </c>
      <c r="E733" s="107">
        <v>3586</v>
      </c>
      <c r="F733" s="107">
        <v>0.36140546569994397</v>
      </c>
      <c r="K733" s="107">
        <v>0</v>
      </c>
      <c r="L733" s="107">
        <v>0</v>
      </c>
      <c r="M733" s="107">
        <v>0</v>
      </c>
      <c r="N733" s="107">
        <v>0</v>
      </c>
    </row>
    <row r="734" spans="1:14">
      <c r="A734" s="14">
        <v>42782</v>
      </c>
      <c r="B734" s="107">
        <v>1298</v>
      </c>
      <c r="C734" s="107">
        <v>1299</v>
      </c>
      <c r="D734" s="107">
        <v>3625</v>
      </c>
      <c r="E734" s="107">
        <v>3609</v>
      </c>
      <c r="F734" s="107">
        <v>0.35993349958437199</v>
      </c>
      <c r="K734" s="107">
        <v>0</v>
      </c>
      <c r="L734" s="107">
        <v>0</v>
      </c>
      <c r="M734" s="107">
        <v>0</v>
      </c>
      <c r="N734" s="107">
        <v>0</v>
      </c>
    </row>
    <row r="735" spans="1:14">
      <c r="A735" s="14">
        <v>42781</v>
      </c>
      <c r="B735" s="107">
        <v>1294</v>
      </c>
      <c r="C735" s="107">
        <v>1291</v>
      </c>
      <c r="D735" s="107">
        <v>3650</v>
      </c>
      <c r="E735" s="107">
        <v>3631</v>
      </c>
      <c r="F735" s="107">
        <v>0.35554943541723999</v>
      </c>
      <c r="K735" s="107">
        <v>0</v>
      </c>
      <c r="L735" s="107">
        <v>0</v>
      </c>
      <c r="M735" s="107">
        <v>0</v>
      </c>
      <c r="N735" s="107">
        <v>0</v>
      </c>
    </row>
    <row r="736" spans="1:14">
      <c r="A736" s="14">
        <v>42780</v>
      </c>
      <c r="B736" s="107">
        <v>1288</v>
      </c>
      <c r="C736" s="107">
        <v>1281</v>
      </c>
      <c r="D736" s="107">
        <v>3667</v>
      </c>
      <c r="E736" s="107">
        <v>3600</v>
      </c>
      <c r="F736" s="107">
        <v>0.355833333333333</v>
      </c>
      <c r="K736" s="107">
        <v>0</v>
      </c>
      <c r="L736" s="107">
        <v>0</v>
      </c>
      <c r="M736" s="107">
        <v>0</v>
      </c>
      <c r="N736" s="107">
        <v>0</v>
      </c>
    </row>
    <row r="737" spans="1:14">
      <c r="A737" s="14">
        <v>42779</v>
      </c>
      <c r="B737" s="107">
        <v>1289</v>
      </c>
      <c r="C737" s="107">
        <v>1282</v>
      </c>
      <c r="D737" s="107">
        <v>3638</v>
      </c>
      <c r="E737" s="107">
        <v>3650</v>
      </c>
      <c r="F737" s="107">
        <v>0.351232876712328</v>
      </c>
      <c r="K737" s="107">
        <v>0</v>
      </c>
      <c r="L737" s="107">
        <v>0</v>
      </c>
      <c r="M737" s="107">
        <v>0</v>
      </c>
      <c r="N737" s="107">
        <v>0</v>
      </c>
    </row>
    <row r="738" spans="1:14">
      <c r="A738" s="14">
        <v>42776</v>
      </c>
      <c r="B738" s="107">
        <v>1262</v>
      </c>
      <c r="C738" s="107">
        <v>1273</v>
      </c>
      <c r="D738" s="107">
        <v>3574</v>
      </c>
      <c r="E738" s="107">
        <v>3605</v>
      </c>
      <c r="F738" s="107">
        <v>0.353120665742024</v>
      </c>
      <c r="K738" s="107">
        <v>0</v>
      </c>
      <c r="L738" s="107">
        <v>0</v>
      </c>
      <c r="M738" s="107">
        <v>0</v>
      </c>
      <c r="N738" s="107">
        <v>0</v>
      </c>
    </row>
    <row r="739" spans="1:14">
      <c r="A739" s="14">
        <v>42775</v>
      </c>
      <c r="B739" s="107">
        <v>1239</v>
      </c>
      <c r="C739" s="107">
        <v>1235</v>
      </c>
      <c r="D739" s="107">
        <v>3529</v>
      </c>
      <c r="E739" s="107">
        <v>3504</v>
      </c>
      <c r="F739" s="107">
        <v>0.352454337899543</v>
      </c>
      <c r="K739" s="107">
        <v>0</v>
      </c>
      <c r="L739" s="107">
        <v>0</v>
      </c>
      <c r="M739" s="107">
        <v>0</v>
      </c>
      <c r="N739" s="107">
        <v>0</v>
      </c>
    </row>
    <row r="740" spans="1:14">
      <c r="A740" s="14">
        <v>42774</v>
      </c>
      <c r="B740" s="107">
        <v>1213</v>
      </c>
      <c r="C740" s="107">
        <v>1247</v>
      </c>
      <c r="D740" s="107">
        <v>3533</v>
      </c>
      <c r="E740" s="107">
        <v>3574</v>
      </c>
      <c r="F740" s="107">
        <v>0.34890878567431399</v>
      </c>
      <c r="K740" s="107">
        <v>0</v>
      </c>
      <c r="L740" s="107">
        <v>0</v>
      </c>
      <c r="M740" s="107">
        <v>0</v>
      </c>
      <c r="N740" s="107">
        <v>0</v>
      </c>
    </row>
    <row r="741" spans="1:14">
      <c r="A741" s="14">
        <v>42773</v>
      </c>
      <c r="B741" s="107">
        <v>1202</v>
      </c>
      <c r="C741" s="107">
        <v>1209</v>
      </c>
      <c r="D741" s="107">
        <v>3508</v>
      </c>
      <c r="E741" s="107">
        <v>3541</v>
      </c>
      <c r="F741" s="107">
        <v>0.34142897486585699</v>
      </c>
      <c r="K741" s="107">
        <v>0</v>
      </c>
      <c r="L741" s="107">
        <v>0</v>
      </c>
      <c r="M741" s="107">
        <v>0</v>
      </c>
      <c r="N741" s="107">
        <v>0</v>
      </c>
    </row>
    <row r="742" spans="1:14">
      <c r="A742" s="14">
        <v>42772</v>
      </c>
      <c r="B742" s="107">
        <v>1216</v>
      </c>
      <c r="C742" s="107">
        <v>1215</v>
      </c>
      <c r="D742" s="107">
        <v>3551</v>
      </c>
      <c r="E742" s="107">
        <v>3493</v>
      </c>
      <c r="F742" s="107">
        <v>0.34783853421127903</v>
      </c>
      <c r="K742" s="107">
        <v>0</v>
      </c>
      <c r="L742" s="107">
        <v>0</v>
      </c>
      <c r="M742" s="107">
        <v>0</v>
      </c>
      <c r="N742" s="107">
        <v>0</v>
      </c>
    </row>
    <row r="743" spans="1:14">
      <c r="A743" s="14">
        <v>42769</v>
      </c>
      <c r="B743" s="107">
        <v>1124</v>
      </c>
      <c r="C743" s="107">
        <v>1158</v>
      </c>
      <c r="D743" s="107">
        <v>3401</v>
      </c>
      <c r="E743" s="107">
        <v>3423</v>
      </c>
      <c r="F743" s="107">
        <v>0.33829973707274302</v>
      </c>
      <c r="K743" s="107">
        <v>0</v>
      </c>
      <c r="L743" s="107">
        <v>0</v>
      </c>
      <c r="M743" s="107">
        <v>0</v>
      </c>
      <c r="N743" s="107">
        <v>0</v>
      </c>
    </row>
    <row r="744" spans="1:14">
      <c r="A744" s="14">
        <v>42768</v>
      </c>
      <c r="B744" s="107">
        <v>1166</v>
      </c>
      <c r="C744" s="107">
        <v>1135</v>
      </c>
      <c r="D744" s="107">
        <v>3423</v>
      </c>
      <c r="E744" s="107">
        <v>3417</v>
      </c>
      <c r="F744" s="107">
        <v>0.33216271583260099</v>
      </c>
      <c r="K744" s="107">
        <v>0</v>
      </c>
      <c r="L744" s="107">
        <v>0</v>
      </c>
      <c r="M744" s="107">
        <v>0</v>
      </c>
      <c r="N744" s="107">
        <v>0</v>
      </c>
    </row>
    <row r="745" spans="1:14">
      <c r="A745" s="14">
        <v>42767</v>
      </c>
      <c r="B745" s="107">
        <v>1138</v>
      </c>
      <c r="C745" s="107">
        <v>1149</v>
      </c>
      <c r="D745" s="107">
        <v>3305</v>
      </c>
      <c r="E745" s="107">
        <v>3415</v>
      </c>
      <c r="F745" s="107">
        <v>0.33645680819912099</v>
      </c>
      <c r="K745" s="107">
        <v>0</v>
      </c>
      <c r="L745" s="107">
        <v>0</v>
      </c>
      <c r="M745" s="107">
        <v>0</v>
      </c>
      <c r="N745" s="107">
        <v>0</v>
      </c>
    </row>
    <row r="746" spans="1:14">
      <c r="A746" s="14">
        <v>42766</v>
      </c>
      <c r="B746" s="107">
        <v>1133</v>
      </c>
      <c r="C746" s="107">
        <v>1138</v>
      </c>
      <c r="D746" s="107">
        <v>3380</v>
      </c>
      <c r="E746" s="107">
        <v>3387</v>
      </c>
      <c r="F746" s="107">
        <v>0.33599055211101198</v>
      </c>
      <c r="K746" s="107">
        <v>0</v>
      </c>
      <c r="L746" s="107">
        <v>0</v>
      </c>
      <c r="M746" s="107">
        <v>0</v>
      </c>
      <c r="N746" s="107">
        <v>0</v>
      </c>
    </row>
    <row r="747" spans="1:14">
      <c r="A747" s="14">
        <v>42765</v>
      </c>
      <c r="B747" s="107">
        <v>1132</v>
      </c>
      <c r="C747" s="107">
        <v>1136</v>
      </c>
      <c r="D747" s="107">
        <v>3451</v>
      </c>
      <c r="E747" s="107">
        <v>3485</v>
      </c>
      <c r="F747" s="107">
        <v>0.32596843615494903</v>
      </c>
      <c r="K747" s="107">
        <v>0</v>
      </c>
      <c r="L747" s="107">
        <v>0</v>
      </c>
      <c r="M747" s="107">
        <v>0</v>
      </c>
      <c r="N747" s="107">
        <v>0</v>
      </c>
    </row>
    <row r="748" spans="1:14">
      <c r="A748" s="14">
        <v>42762</v>
      </c>
      <c r="B748" s="107">
        <v>1139</v>
      </c>
      <c r="C748" s="107">
        <v>1134</v>
      </c>
      <c r="D748" s="107">
        <v>3487</v>
      </c>
      <c r="E748" s="107">
        <v>3484</v>
      </c>
      <c r="F748" s="107">
        <v>0.32548794489092903</v>
      </c>
      <c r="K748" s="107">
        <v>0</v>
      </c>
      <c r="L748" s="107">
        <v>0</v>
      </c>
      <c r="M748" s="107">
        <v>0</v>
      </c>
      <c r="N748" s="107">
        <v>0</v>
      </c>
    </row>
    <row r="749" spans="1:14">
      <c r="A749" s="14">
        <v>42761</v>
      </c>
      <c r="B749" s="107">
        <v>1123</v>
      </c>
      <c r="C749" s="107">
        <v>1127</v>
      </c>
      <c r="D749" s="107">
        <v>3545</v>
      </c>
      <c r="E749" s="107">
        <v>3502</v>
      </c>
      <c r="F749" s="107">
        <v>0.321816105082809</v>
      </c>
      <c r="K749" s="107">
        <v>0</v>
      </c>
      <c r="L749" s="107">
        <v>0</v>
      </c>
      <c r="M749" s="107">
        <v>0</v>
      </c>
      <c r="N749" s="107">
        <v>0</v>
      </c>
    </row>
    <row r="750" spans="1:14">
      <c r="A750" s="14">
        <v>42760</v>
      </c>
      <c r="B750" s="107">
        <v>1090</v>
      </c>
      <c r="C750" s="107">
        <v>1098</v>
      </c>
      <c r="D750" s="107">
        <v>3459</v>
      </c>
      <c r="E750" s="107">
        <v>3450</v>
      </c>
      <c r="F750" s="107">
        <v>0.31826086956521699</v>
      </c>
      <c r="K750" s="107">
        <v>0</v>
      </c>
      <c r="L750" s="107">
        <v>0</v>
      </c>
      <c r="M750" s="107">
        <v>0</v>
      </c>
      <c r="N750" s="107">
        <v>0</v>
      </c>
    </row>
    <row r="751" spans="1:14">
      <c r="A751" s="14">
        <v>42759</v>
      </c>
      <c r="B751" s="107">
        <v>1068</v>
      </c>
      <c r="C751" s="107">
        <v>1064</v>
      </c>
      <c r="D751" s="107">
        <v>3364</v>
      </c>
      <c r="E751" s="107">
        <v>3375</v>
      </c>
      <c r="F751" s="107">
        <v>0.31525925925925902</v>
      </c>
      <c r="K751" s="107">
        <v>0</v>
      </c>
      <c r="L751" s="107">
        <v>0</v>
      </c>
      <c r="M751" s="107">
        <v>0</v>
      </c>
      <c r="N751" s="107">
        <v>0</v>
      </c>
    </row>
    <row r="752" spans="1:14">
      <c r="A752" s="14">
        <v>42758</v>
      </c>
      <c r="B752" s="107">
        <v>1070</v>
      </c>
      <c r="C752" s="107">
        <v>1076</v>
      </c>
      <c r="D752" s="107">
        <v>3425</v>
      </c>
      <c r="E752" s="107">
        <v>3432</v>
      </c>
      <c r="F752" s="107">
        <v>0.31351981351981301</v>
      </c>
      <c r="K752" s="107">
        <v>0</v>
      </c>
      <c r="L752" s="107">
        <v>0</v>
      </c>
      <c r="M752" s="107">
        <v>0</v>
      </c>
      <c r="N752" s="107">
        <v>0</v>
      </c>
    </row>
    <row r="753" spans="1:14">
      <c r="A753" s="14">
        <v>42755</v>
      </c>
      <c r="B753" s="107">
        <v>1084</v>
      </c>
      <c r="C753" s="107">
        <v>1090</v>
      </c>
      <c r="D753" s="107">
        <v>3475</v>
      </c>
      <c r="E753" s="107">
        <v>3492</v>
      </c>
      <c r="F753" s="107">
        <v>0.31214203894616199</v>
      </c>
      <c r="K753" s="107">
        <v>0</v>
      </c>
      <c r="L753" s="107">
        <v>0</v>
      </c>
      <c r="M753" s="107">
        <v>0</v>
      </c>
      <c r="N753" s="107">
        <v>0</v>
      </c>
    </row>
    <row r="754" spans="1:14">
      <c r="A754" s="14">
        <v>42754</v>
      </c>
      <c r="B754" s="107">
        <v>1090</v>
      </c>
      <c r="C754" s="107">
        <v>1087</v>
      </c>
      <c r="D754" s="107">
        <v>3472</v>
      </c>
      <c r="E754" s="107">
        <v>3488</v>
      </c>
      <c r="F754" s="107">
        <v>0.31163990825687998</v>
      </c>
      <c r="K754" s="107">
        <v>0</v>
      </c>
      <c r="L754" s="107">
        <v>0</v>
      </c>
      <c r="M754" s="107">
        <v>0</v>
      </c>
      <c r="N754" s="107">
        <v>0</v>
      </c>
    </row>
    <row r="755" spans="1:14">
      <c r="A755" s="14">
        <v>42753</v>
      </c>
      <c r="B755" s="107">
        <v>1055</v>
      </c>
      <c r="C755" s="107">
        <v>1076</v>
      </c>
      <c r="D755" s="107">
        <v>3330</v>
      </c>
      <c r="E755" s="107">
        <v>3403</v>
      </c>
      <c r="F755" s="107">
        <v>0.316191595650896</v>
      </c>
      <c r="K755" s="107">
        <v>0</v>
      </c>
      <c r="L755" s="107">
        <v>0</v>
      </c>
      <c r="M755" s="107">
        <v>0</v>
      </c>
      <c r="N755" s="107">
        <v>0</v>
      </c>
    </row>
    <row r="756" spans="1:14">
      <c r="A756" s="14">
        <v>42752</v>
      </c>
      <c r="B756" s="107">
        <v>1085</v>
      </c>
      <c r="C756" s="107">
        <v>1073</v>
      </c>
      <c r="D756" s="107">
        <v>3431</v>
      </c>
      <c r="E756" s="107">
        <v>3353</v>
      </c>
      <c r="F756" s="107">
        <v>0.32001192961526898</v>
      </c>
      <c r="K756" s="107">
        <v>0</v>
      </c>
      <c r="L756" s="107">
        <v>0</v>
      </c>
      <c r="M756" s="107">
        <v>0</v>
      </c>
      <c r="N756" s="107">
        <v>0</v>
      </c>
    </row>
    <row r="757" spans="1:14">
      <c r="A757" s="14">
        <v>42751</v>
      </c>
      <c r="B757" s="107">
        <v>1100</v>
      </c>
      <c r="C757" s="107">
        <v>1092</v>
      </c>
      <c r="D757" s="107">
        <v>3456</v>
      </c>
      <c r="E757" s="107">
        <v>3445</v>
      </c>
      <c r="F757" s="107">
        <v>0.31698113207547102</v>
      </c>
      <c r="K757" s="107">
        <v>0</v>
      </c>
      <c r="L757" s="107">
        <v>0</v>
      </c>
      <c r="M757" s="107">
        <v>0</v>
      </c>
      <c r="N757" s="107">
        <v>0</v>
      </c>
    </row>
    <row r="758" spans="1:14">
      <c r="A758" s="14">
        <v>42748</v>
      </c>
      <c r="B758" s="107">
        <v>1100</v>
      </c>
      <c r="C758" s="107">
        <v>1107</v>
      </c>
      <c r="D758" s="107">
        <v>3438</v>
      </c>
      <c r="E758" s="107">
        <v>3446</v>
      </c>
      <c r="F758" s="107">
        <v>0.32124201973302302</v>
      </c>
      <c r="K758" s="107">
        <v>0</v>
      </c>
      <c r="L758" s="107">
        <v>0</v>
      </c>
      <c r="M758" s="107">
        <v>0</v>
      </c>
      <c r="N758" s="107">
        <v>0</v>
      </c>
    </row>
    <row r="759" spans="1:14">
      <c r="A759" s="14">
        <v>42747</v>
      </c>
      <c r="B759" s="107">
        <v>1108</v>
      </c>
      <c r="C759" s="107">
        <v>1100</v>
      </c>
      <c r="D759" s="107">
        <v>3450</v>
      </c>
      <c r="E759" s="107">
        <v>3457</v>
      </c>
      <c r="F759" s="107">
        <v>0.31819496673416198</v>
      </c>
      <c r="K759" s="107">
        <v>0</v>
      </c>
      <c r="L759" s="107">
        <v>0</v>
      </c>
      <c r="M759" s="107">
        <v>0</v>
      </c>
      <c r="N759" s="107">
        <v>0</v>
      </c>
    </row>
    <row r="760" spans="1:14">
      <c r="A760" s="14">
        <v>42746</v>
      </c>
      <c r="B760" s="107">
        <v>1121</v>
      </c>
      <c r="C760" s="107">
        <v>1115</v>
      </c>
      <c r="D760" s="107">
        <v>3479</v>
      </c>
      <c r="E760" s="107">
        <v>3471</v>
      </c>
      <c r="F760" s="107">
        <v>0.32123307404206197</v>
      </c>
      <c r="K760" s="107">
        <v>0</v>
      </c>
      <c r="L760" s="107">
        <v>0</v>
      </c>
      <c r="M760" s="107">
        <v>0</v>
      </c>
      <c r="N760" s="107">
        <v>0</v>
      </c>
    </row>
    <row r="761" spans="1:14">
      <c r="A761" s="14">
        <v>42745</v>
      </c>
      <c r="B761" s="107">
        <v>1120</v>
      </c>
      <c r="C761" s="107">
        <v>1120</v>
      </c>
      <c r="D761" s="107">
        <v>3500</v>
      </c>
      <c r="E761" s="107">
        <v>3462</v>
      </c>
      <c r="F761" s="107">
        <v>0.32351242056614599</v>
      </c>
      <c r="K761" s="107">
        <v>0</v>
      </c>
      <c r="L761" s="107">
        <v>0</v>
      </c>
      <c r="M761" s="107">
        <v>0</v>
      </c>
      <c r="N761" s="107">
        <v>0</v>
      </c>
    </row>
    <row r="762" spans="1:14">
      <c r="A762" s="14">
        <v>42741</v>
      </c>
      <c r="B762" s="107">
        <v>1126</v>
      </c>
      <c r="C762" s="107">
        <v>1127</v>
      </c>
      <c r="D762" s="107">
        <v>3458</v>
      </c>
      <c r="E762" s="107">
        <v>3501</v>
      </c>
      <c r="F762" s="107">
        <v>0.32190802627820603</v>
      </c>
      <c r="K762" s="107">
        <v>0</v>
      </c>
      <c r="L762" s="107">
        <v>0</v>
      </c>
      <c r="M762" s="107">
        <v>0</v>
      </c>
      <c r="N762" s="107">
        <v>0</v>
      </c>
    </row>
    <row r="763" spans="1:14">
      <c r="A763" s="14">
        <v>42740</v>
      </c>
      <c r="B763" s="107">
        <v>1156</v>
      </c>
      <c r="C763" s="107">
        <v>1142</v>
      </c>
      <c r="D763" s="107">
        <v>3600</v>
      </c>
      <c r="E763" s="107">
        <v>3569</v>
      </c>
      <c r="F763" s="107">
        <v>0.31997758475763499</v>
      </c>
      <c r="K763" s="107">
        <v>0</v>
      </c>
      <c r="L763" s="107">
        <v>0</v>
      </c>
      <c r="M763" s="107">
        <v>0</v>
      </c>
      <c r="N763" s="107">
        <v>0</v>
      </c>
    </row>
    <row r="764" spans="1:14">
      <c r="A764" s="14">
        <v>42739</v>
      </c>
      <c r="B764" s="107">
        <v>1128</v>
      </c>
      <c r="C764" s="107">
        <v>1149</v>
      </c>
      <c r="D764" s="107">
        <v>3504</v>
      </c>
      <c r="E764" s="107">
        <v>3571</v>
      </c>
      <c r="F764" s="107">
        <v>0.32175861103332398</v>
      </c>
      <c r="K764" s="107">
        <v>0</v>
      </c>
      <c r="L764" s="107">
        <v>0</v>
      </c>
      <c r="M764" s="107">
        <v>0</v>
      </c>
      <c r="N764" s="107">
        <v>0</v>
      </c>
    </row>
    <row r="765" spans="1:14">
      <c r="A765" s="14">
        <v>42734</v>
      </c>
      <c r="B765" s="107">
        <v>1109</v>
      </c>
      <c r="C765" s="107">
        <v>1114</v>
      </c>
      <c r="D765" s="107">
        <v>3402</v>
      </c>
      <c r="E765" s="107">
        <v>3415</v>
      </c>
      <c r="F765" s="107">
        <v>0.32620790629575402</v>
      </c>
      <c r="K765" s="107">
        <v>0</v>
      </c>
      <c r="L765" s="107">
        <v>0</v>
      </c>
      <c r="M765" s="107">
        <v>0</v>
      </c>
      <c r="N765" s="107">
        <v>0</v>
      </c>
    </row>
    <row r="766" spans="1:14">
      <c r="A766" s="14">
        <v>42733</v>
      </c>
      <c r="B766" s="107">
        <v>1137</v>
      </c>
      <c r="C766" s="107">
        <v>1120</v>
      </c>
      <c r="D766" s="107">
        <v>3472</v>
      </c>
      <c r="E766" s="107">
        <v>3443</v>
      </c>
      <c r="F766" s="107">
        <v>0.32529770548939801</v>
      </c>
      <c r="K766" s="107">
        <v>0</v>
      </c>
      <c r="L766" s="107">
        <v>0</v>
      </c>
      <c r="M766" s="107">
        <v>0</v>
      </c>
      <c r="N766" s="107">
        <v>0</v>
      </c>
    </row>
    <row r="767" spans="1:14">
      <c r="A767" s="14">
        <v>42732</v>
      </c>
      <c r="B767" s="107">
        <v>1141</v>
      </c>
      <c r="C767" s="107">
        <v>1141</v>
      </c>
      <c r="D767" s="107">
        <v>3497</v>
      </c>
      <c r="E767" s="107">
        <v>3490</v>
      </c>
      <c r="F767" s="107">
        <v>0.326934097421203</v>
      </c>
      <c r="K767" s="107">
        <v>0</v>
      </c>
      <c r="L767" s="107">
        <v>0</v>
      </c>
      <c r="M767" s="107">
        <v>0</v>
      </c>
      <c r="N767" s="107">
        <v>0</v>
      </c>
    </row>
    <row r="768" spans="1:14">
      <c r="A768" s="14">
        <v>42731</v>
      </c>
      <c r="B768" s="107">
        <v>1124</v>
      </c>
      <c r="C768" s="107">
        <v>1136</v>
      </c>
      <c r="D768" s="107">
        <v>3480</v>
      </c>
      <c r="E768" s="107">
        <v>3497</v>
      </c>
      <c r="F768" s="107">
        <v>0.32484987131827198</v>
      </c>
      <c r="K768" s="107">
        <v>0</v>
      </c>
      <c r="L768" s="107">
        <v>0</v>
      </c>
      <c r="M768" s="107">
        <v>0</v>
      </c>
      <c r="N768" s="107">
        <v>0</v>
      </c>
    </row>
    <row r="769" spans="1:14">
      <c r="A769" s="14">
        <v>42730</v>
      </c>
      <c r="B769" s="107">
        <v>1142</v>
      </c>
      <c r="C769" s="107">
        <v>1120</v>
      </c>
      <c r="D769" s="107">
        <v>3550</v>
      </c>
      <c r="E769" s="107">
        <v>3495</v>
      </c>
      <c r="F769" s="107">
        <v>0.32045779685264603</v>
      </c>
      <c r="K769" s="107">
        <v>0</v>
      </c>
      <c r="L769" s="107">
        <v>0</v>
      </c>
      <c r="M769" s="107">
        <v>0</v>
      </c>
      <c r="N769" s="107">
        <v>0</v>
      </c>
    </row>
    <row r="770" spans="1:14">
      <c r="A770" s="14">
        <v>42726</v>
      </c>
      <c r="B770" s="107">
        <v>1116</v>
      </c>
      <c r="C770" s="107">
        <v>1142</v>
      </c>
      <c r="D770" s="107">
        <v>3533</v>
      </c>
      <c r="E770" s="107">
        <v>3570</v>
      </c>
      <c r="F770" s="107">
        <v>0.31988795518207203</v>
      </c>
      <c r="K770" s="107">
        <v>0</v>
      </c>
      <c r="L770" s="107">
        <v>0</v>
      </c>
      <c r="M770" s="107">
        <v>0</v>
      </c>
      <c r="N770" s="107">
        <v>0</v>
      </c>
    </row>
    <row r="771" spans="1:14">
      <c r="A771" s="14">
        <v>42725</v>
      </c>
      <c r="B771" s="107">
        <v>1090</v>
      </c>
      <c r="C771" s="107">
        <v>1086</v>
      </c>
      <c r="D771" s="107">
        <v>3533</v>
      </c>
      <c r="E771" s="107">
        <v>3527</v>
      </c>
      <c r="F771" s="107">
        <v>0.307910405443719</v>
      </c>
      <c r="K771" s="107">
        <v>0</v>
      </c>
      <c r="L771" s="107">
        <v>0</v>
      </c>
      <c r="M771" s="107">
        <v>0</v>
      </c>
      <c r="N771" s="107">
        <v>0</v>
      </c>
    </row>
    <row r="772" spans="1:14">
      <c r="A772" s="14">
        <v>42724</v>
      </c>
      <c r="B772" s="107">
        <v>1088</v>
      </c>
      <c r="C772" s="107">
        <v>1086</v>
      </c>
      <c r="D772" s="107">
        <v>3533</v>
      </c>
      <c r="E772" s="107">
        <v>3525</v>
      </c>
      <c r="F772" s="107">
        <v>0.30808510638297798</v>
      </c>
      <c r="K772" s="107">
        <v>0</v>
      </c>
      <c r="L772" s="107">
        <v>0</v>
      </c>
      <c r="M772" s="107">
        <v>0</v>
      </c>
      <c r="N772" s="107">
        <v>0</v>
      </c>
    </row>
    <row r="773" spans="1:14">
      <c r="A773" s="14">
        <v>42723</v>
      </c>
      <c r="B773" s="107">
        <v>1092</v>
      </c>
      <c r="C773" s="107">
        <v>1085</v>
      </c>
      <c r="D773" s="107">
        <v>3560</v>
      </c>
      <c r="E773" s="107">
        <v>3533</v>
      </c>
      <c r="F773" s="107">
        <v>0.30710444381545399</v>
      </c>
      <c r="K773" s="107">
        <v>0</v>
      </c>
      <c r="L773" s="107">
        <v>0</v>
      </c>
      <c r="M773" s="107">
        <v>0</v>
      </c>
      <c r="N773" s="107">
        <v>0</v>
      </c>
    </row>
    <row r="774" spans="1:14">
      <c r="A774" s="14">
        <v>42720</v>
      </c>
      <c r="B774" s="107">
        <v>1087</v>
      </c>
      <c r="C774" s="107">
        <v>1094</v>
      </c>
      <c r="D774" s="107">
        <v>3575</v>
      </c>
      <c r="E774" s="107">
        <v>3560</v>
      </c>
      <c r="F774" s="107">
        <v>0.30730337078651598</v>
      </c>
      <c r="K774" s="107">
        <v>0</v>
      </c>
      <c r="L774" s="107">
        <v>0</v>
      </c>
      <c r="M774" s="107">
        <v>0</v>
      </c>
      <c r="N774" s="107">
        <v>0</v>
      </c>
    </row>
    <row r="775" spans="1:14">
      <c r="A775" s="14">
        <v>42719</v>
      </c>
      <c r="B775" s="107">
        <v>1071</v>
      </c>
      <c r="C775" s="107">
        <v>1073</v>
      </c>
      <c r="D775" s="107">
        <v>3536</v>
      </c>
      <c r="E775" s="107">
        <v>3526</v>
      </c>
      <c r="F775" s="107">
        <v>0.30431083380601198</v>
      </c>
      <c r="K775" s="107">
        <v>0</v>
      </c>
      <c r="L775" s="107">
        <v>0</v>
      </c>
      <c r="M775" s="107">
        <v>0</v>
      </c>
      <c r="N775" s="107">
        <v>0</v>
      </c>
    </row>
    <row r="776" spans="1:14">
      <c r="A776" s="14">
        <v>42718</v>
      </c>
      <c r="B776" s="107">
        <v>1063</v>
      </c>
      <c r="C776" s="107">
        <v>1063</v>
      </c>
      <c r="D776" s="107">
        <v>3492</v>
      </c>
      <c r="E776" s="107">
        <v>3477</v>
      </c>
      <c r="F776" s="107">
        <v>0.30572332470520502</v>
      </c>
      <c r="K776" s="107">
        <v>0</v>
      </c>
      <c r="L776" s="107">
        <v>0</v>
      </c>
      <c r="M776" s="107">
        <v>0</v>
      </c>
      <c r="N776" s="107">
        <v>0</v>
      </c>
    </row>
    <row r="777" spans="1:14">
      <c r="A777" s="14">
        <v>42717</v>
      </c>
      <c r="B777" s="107">
        <v>1056</v>
      </c>
      <c r="C777" s="107">
        <v>1060</v>
      </c>
      <c r="D777" s="107">
        <v>3465</v>
      </c>
      <c r="E777" s="107">
        <v>3458</v>
      </c>
      <c r="F777" s="107">
        <v>0.30653556969346402</v>
      </c>
      <c r="K777" s="107">
        <v>0</v>
      </c>
      <c r="L777" s="107">
        <v>0</v>
      </c>
      <c r="M777" s="107">
        <v>0</v>
      </c>
      <c r="N777" s="107">
        <v>0</v>
      </c>
    </row>
    <row r="778" spans="1:14">
      <c r="A778" s="14">
        <v>42716</v>
      </c>
      <c r="B778" s="107">
        <v>1063</v>
      </c>
      <c r="C778" s="107">
        <v>1063</v>
      </c>
      <c r="D778" s="107">
        <v>3519</v>
      </c>
      <c r="E778" s="107">
        <v>3466</v>
      </c>
      <c r="F778" s="107">
        <v>0.30669359492210002</v>
      </c>
      <c r="K778" s="107">
        <v>0</v>
      </c>
      <c r="L778" s="107">
        <v>0</v>
      </c>
      <c r="M778" s="107">
        <v>0</v>
      </c>
      <c r="N778" s="107">
        <v>0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P780"/>
  <sheetViews>
    <sheetView showGridLines="0" zoomScale="115" zoomScaleNormal="115" workbookViewId="0">
      <selection activeCell="E36" sqref="E36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7" customFormat="1"/>
    <row r="2" spans="1:16" s="107" customFormat="1">
      <c r="B2" s="217"/>
      <c r="C2" s="215" t="s">
        <v>2325</v>
      </c>
      <c r="D2" s="215" t="s">
        <v>2326</v>
      </c>
      <c r="E2" s="215" t="s">
        <v>2327</v>
      </c>
      <c r="F2" s="215" t="s">
        <v>2328</v>
      </c>
      <c r="G2" s="216" t="s">
        <v>2329</v>
      </c>
      <c r="H2" s="216" t="s">
        <v>2330</v>
      </c>
      <c r="I2" s="216" t="s">
        <v>2333</v>
      </c>
      <c r="J2" s="216" t="s">
        <v>2336</v>
      </c>
      <c r="M2" s="3"/>
      <c r="N2" s="3"/>
    </row>
    <row r="3" spans="1:16" s="107" customFormat="1">
      <c r="B3" s="221" t="s">
        <v>2337</v>
      </c>
      <c r="C3" s="218"/>
      <c r="D3" s="219"/>
      <c r="E3" s="218"/>
      <c r="F3" s="218"/>
      <c r="G3" s="218"/>
      <c r="H3" s="220"/>
      <c r="I3" s="220"/>
      <c r="J3" s="220"/>
      <c r="M3" s="3"/>
      <c r="N3" s="3"/>
    </row>
    <row r="4" spans="1:16" s="107" customFormat="1">
      <c r="B4" s="222" t="s">
        <v>2338</v>
      </c>
      <c r="C4" s="223"/>
      <c r="D4" s="223"/>
      <c r="E4" s="223"/>
      <c r="F4" s="223"/>
      <c r="G4" s="223"/>
      <c r="H4" s="181"/>
      <c r="I4" s="181"/>
      <c r="J4" s="181"/>
      <c r="M4" s="3"/>
      <c r="N4" s="3"/>
    </row>
    <row r="5" spans="1:16" s="107" customFormat="1">
      <c r="M5" s="3"/>
      <c r="N5" s="3"/>
    </row>
    <row r="6" spans="1:16" s="107" customFormat="1" ht="15" thickBot="1">
      <c r="M6" s="3"/>
      <c r="N6" s="3"/>
    </row>
    <row r="7" spans="1:16" s="107" customFormat="1">
      <c r="A7" s="10"/>
      <c r="B7" s="95"/>
      <c r="C7" s="96"/>
      <c r="D7" s="96"/>
      <c r="E7" s="96"/>
      <c r="F7" s="96"/>
      <c r="G7" s="96"/>
      <c r="H7" s="97"/>
      <c r="M7" s="3"/>
      <c r="N7" s="3"/>
    </row>
    <row r="8" spans="1:16" s="107" customFormat="1">
      <c r="A8" s="10"/>
      <c r="B8" s="98"/>
      <c r="C8" s="10"/>
      <c r="D8" s="10"/>
      <c r="E8" s="10"/>
      <c r="F8" s="10"/>
      <c r="G8" s="10"/>
      <c r="H8" s="99"/>
      <c r="M8" s="10"/>
      <c r="N8" s="10"/>
    </row>
    <row r="9" spans="1:16" s="107" customFormat="1">
      <c r="A9" s="202"/>
      <c r="B9" s="98"/>
      <c r="C9" s="10"/>
      <c r="D9" s="10"/>
      <c r="E9" s="10"/>
      <c r="F9" s="10"/>
      <c r="G9" s="10"/>
      <c r="H9" s="99"/>
      <c r="M9" s="10"/>
      <c r="N9" s="10"/>
    </row>
    <row r="10" spans="1:16" ht="15" thickBot="1">
      <c r="A10" s="202"/>
      <c r="B10" s="98"/>
      <c r="C10" s="10"/>
      <c r="D10" s="10"/>
      <c r="E10" s="202"/>
      <c r="F10" s="203"/>
      <c r="G10" s="203"/>
      <c r="H10" s="224"/>
      <c r="I10" s="205"/>
      <c r="J10" s="205"/>
      <c r="K10" s="204"/>
    </row>
    <row r="11" spans="1:16">
      <c r="A11" s="212" t="s">
        <v>2322</v>
      </c>
      <c r="B11" s="202"/>
      <c r="C11" s="283"/>
      <c r="D11" s="284"/>
      <c r="E11" s="202"/>
      <c r="F11" s="202"/>
      <c r="G11" s="203"/>
      <c r="H11" s="209"/>
      <c r="I11" s="202"/>
      <c r="J11" s="206"/>
      <c r="K11" s="207"/>
      <c r="L11" s="96"/>
      <c r="M11" s="96"/>
      <c r="N11" s="96"/>
      <c r="O11" s="96"/>
      <c r="P11" s="97"/>
    </row>
    <row r="12" spans="1:16">
      <c r="A12" s="213">
        <v>3405</v>
      </c>
      <c r="B12" s="202"/>
      <c r="C12" s="283"/>
      <c r="D12" s="284"/>
      <c r="E12" s="202"/>
      <c r="F12" s="202"/>
      <c r="G12" s="202"/>
      <c r="H12" s="209"/>
      <c r="I12" s="202"/>
      <c r="J12" s="208"/>
      <c r="K12" s="10"/>
      <c r="L12" s="10"/>
      <c r="M12" s="10"/>
      <c r="N12" s="10"/>
      <c r="O12" s="10"/>
      <c r="P12" s="99"/>
    </row>
    <row r="13" spans="1:16">
      <c r="A13" s="212" t="s">
        <v>2323</v>
      </c>
      <c r="B13" s="202"/>
      <c r="C13" s="283"/>
      <c r="D13" s="284"/>
      <c r="E13" s="202"/>
      <c r="F13" s="202"/>
      <c r="G13" s="202"/>
      <c r="H13" s="209"/>
      <c r="I13" s="202"/>
      <c r="J13" s="208"/>
      <c r="K13" s="10"/>
      <c r="L13" s="10"/>
      <c r="M13" s="10"/>
      <c r="N13" s="10"/>
      <c r="O13" s="10"/>
      <c r="P13" s="99"/>
    </row>
    <row r="14" spans="1:16">
      <c r="A14" s="213">
        <v>1088.8251533742332</v>
      </c>
      <c r="B14" s="202"/>
      <c r="C14" s="283"/>
      <c r="D14" s="284"/>
      <c r="E14" s="202"/>
      <c r="F14" s="202"/>
      <c r="G14" s="202"/>
      <c r="H14" s="209"/>
      <c r="I14" s="202"/>
      <c r="J14" s="208"/>
      <c r="K14" s="10"/>
      <c r="L14" s="10"/>
      <c r="M14" s="10"/>
      <c r="N14" s="10"/>
      <c r="O14" s="10"/>
      <c r="P14" s="99"/>
    </row>
    <row r="15" spans="1:16">
      <c r="A15" s="212" t="s">
        <v>2334</v>
      </c>
      <c r="B15" s="202"/>
      <c r="C15" s="283"/>
      <c r="D15" s="284"/>
      <c r="E15" s="202"/>
      <c r="F15" s="202"/>
      <c r="G15" s="202"/>
      <c r="H15" s="209"/>
      <c r="I15" s="202"/>
      <c r="J15" s="208"/>
      <c r="K15" s="10"/>
      <c r="L15" s="10"/>
      <c r="M15" s="10"/>
      <c r="N15" s="10"/>
      <c r="O15" s="10"/>
      <c r="P15" s="99"/>
    </row>
    <row r="16" spans="1:16">
      <c r="A16" s="213">
        <v>1.2141527001862198</v>
      </c>
      <c r="B16" s="202"/>
      <c r="C16" s="283"/>
      <c r="D16" s="284"/>
      <c r="E16" s="202"/>
      <c r="F16" s="202"/>
      <c r="G16" s="202"/>
      <c r="H16" s="209"/>
      <c r="I16" s="202"/>
      <c r="J16" s="208"/>
      <c r="K16" s="10"/>
      <c r="L16" s="10"/>
      <c r="M16" s="10"/>
      <c r="N16" s="10"/>
      <c r="O16" s="10"/>
      <c r="P16" s="99"/>
    </row>
    <row r="17" spans="1:16">
      <c r="A17" s="209" t="s">
        <v>2335</v>
      </c>
      <c r="B17" s="202"/>
      <c r="C17" s="283"/>
      <c r="D17" s="284"/>
      <c r="E17" s="202"/>
      <c r="F17" s="202"/>
      <c r="G17" s="202"/>
      <c r="H17" s="209"/>
      <c r="I17" s="202"/>
      <c r="J17" s="208"/>
      <c r="K17" s="201"/>
      <c r="L17" s="10"/>
      <c r="M17" s="10"/>
      <c r="N17" s="10"/>
      <c r="O17" s="10"/>
      <c r="P17" s="99"/>
    </row>
    <row r="18" spans="1:16">
      <c r="A18" s="225" t="s">
        <v>2339</v>
      </c>
      <c r="B18" s="202"/>
      <c r="C18" s="283"/>
      <c r="D18" s="284"/>
      <c r="E18" s="202"/>
      <c r="F18" s="202"/>
      <c r="G18" s="202"/>
      <c r="H18" s="209"/>
      <c r="I18" s="202"/>
      <c r="J18" s="208"/>
      <c r="K18" s="201"/>
      <c r="L18" s="10"/>
      <c r="M18" s="10"/>
      <c r="N18" s="10"/>
      <c r="O18" s="10"/>
      <c r="P18" s="99"/>
    </row>
    <row r="19" spans="1:16">
      <c r="A19" s="202"/>
      <c r="B19" s="208"/>
      <c r="C19" s="283"/>
      <c r="D19" s="284"/>
      <c r="E19" s="202"/>
      <c r="F19" s="202"/>
      <c r="G19" s="202"/>
      <c r="H19" s="209"/>
      <c r="I19" s="202"/>
      <c r="J19" s="208"/>
      <c r="K19" s="201"/>
      <c r="L19" s="10"/>
      <c r="M19" s="10"/>
      <c r="N19" s="10"/>
      <c r="O19" s="10"/>
      <c r="P19" s="99"/>
    </row>
    <row r="20" spans="1:16">
      <c r="A20" s="202"/>
      <c r="B20" s="208"/>
      <c r="C20" s="202"/>
      <c r="D20" s="202"/>
      <c r="E20" s="202"/>
      <c r="F20" s="202"/>
      <c r="G20" s="202"/>
      <c r="H20" s="209"/>
      <c r="I20" s="202"/>
      <c r="J20" s="208"/>
      <c r="K20" s="201"/>
      <c r="L20" s="10"/>
      <c r="M20" s="10"/>
      <c r="N20" s="10"/>
      <c r="O20" s="10"/>
      <c r="P20" s="99"/>
    </row>
    <row r="21" spans="1:16">
      <c r="A21" s="202"/>
      <c r="B21" s="208"/>
      <c r="C21" s="202"/>
      <c r="E21" s="202"/>
      <c r="F21" s="202"/>
      <c r="G21" s="202"/>
      <c r="H21" s="209"/>
      <c r="I21" s="202"/>
      <c r="J21" s="208"/>
      <c r="K21" s="10"/>
      <c r="L21" s="10"/>
      <c r="M21" s="10"/>
      <c r="N21" s="10"/>
      <c r="O21" s="10"/>
      <c r="P21" s="99"/>
    </row>
    <row r="22" spans="1:16">
      <c r="A22" s="202"/>
      <c r="B22" s="208"/>
      <c r="C22" s="202"/>
      <c r="D22" s="202"/>
      <c r="E22" s="202"/>
      <c r="F22" s="202"/>
      <c r="G22" s="202"/>
      <c r="H22" s="209"/>
      <c r="I22" s="202"/>
      <c r="J22" s="208"/>
      <c r="K22" s="10"/>
      <c r="L22" s="10"/>
      <c r="M22" s="10"/>
      <c r="N22" s="10"/>
      <c r="O22" s="10"/>
      <c r="P22" s="99"/>
    </row>
    <row r="23" spans="1:16">
      <c r="A23" s="202"/>
      <c r="B23" s="208"/>
      <c r="C23" s="202"/>
      <c r="D23" s="202"/>
      <c r="E23" s="202"/>
      <c r="F23" s="202"/>
      <c r="G23" s="202"/>
      <c r="H23" s="209"/>
      <c r="I23" s="202"/>
      <c r="J23" s="208"/>
      <c r="K23" s="10"/>
      <c r="L23" s="10"/>
      <c r="M23" s="10"/>
      <c r="N23" s="10"/>
      <c r="O23" s="10"/>
      <c r="P23" s="99"/>
    </row>
    <row r="24" spans="1:16">
      <c r="A24" s="202"/>
      <c r="B24" s="208"/>
      <c r="C24" s="202"/>
      <c r="D24" s="202"/>
      <c r="E24" s="202"/>
      <c r="F24" s="202"/>
      <c r="G24" s="202"/>
      <c r="H24" s="209"/>
      <c r="I24" s="202"/>
      <c r="J24" s="208"/>
      <c r="K24" s="10"/>
      <c r="L24" s="10"/>
      <c r="M24" s="10"/>
      <c r="N24" s="10"/>
      <c r="O24" s="10"/>
      <c r="P24" s="99"/>
    </row>
    <row r="25" spans="1:16">
      <c r="A25" s="202"/>
      <c r="B25" s="208"/>
      <c r="C25" s="203"/>
      <c r="D25" s="203"/>
      <c r="E25" s="203"/>
      <c r="F25" s="202"/>
      <c r="G25" s="202"/>
      <c r="H25" s="209"/>
      <c r="I25" s="202"/>
      <c r="J25" s="208"/>
      <c r="K25" s="10"/>
      <c r="L25" s="10"/>
      <c r="M25" s="10"/>
      <c r="N25" s="10"/>
      <c r="O25" s="10"/>
      <c r="P25" s="99"/>
    </row>
    <row r="26" spans="1:16">
      <c r="A26" s="202"/>
      <c r="B26" s="208"/>
      <c r="C26" s="202"/>
      <c r="D26" s="202"/>
      <c r="E26" s="202"/>
      <c r="F26" s="202"/>
      <c r="G26" s="202"/>
      <c r="H26" s="209"/>
      <c r="I26" s="202"/>
      <c r="J26" s="208"/>
      <c r="K26" s="10"/>
      <c r="L26" s="10"/>
      <c r="M26" s="10"/>
      <c r="N26" s="10"/>
      <c r="O26" s="10"/>
      <c r="P26" s="99"/>
    </row>
    <row r="27" spans="1:16">
      <c r="A27" s="202"/>
      <c r="B27" s="208"/>
      <c r="C27" s="202"/>
      <c r="D27" s="202"/>
      <c r="E27" s="202"/>
      <c r="F27" s="202"/>
      <c r="G27" s="202"/>
      <c r="H27" s="209"/>
      <c r="I27" s="202"/>
      <c r="J27" s="208"/>
      <c r="K27" s="10"/>
      <c r="L27" s="10"/>
      <c r="M27" s="10"/>
      <c r="N27" s="10"/>
      <c r="O27" s="10"/>
      <c r="P27" s="99"/>
    </row>
    <row r="28" spans="1:16">
      <c r="A28" s="202"/>
      <c r="B28" s="208"/>
      <c r="C28" s="202"/>
      <c r="D28" s="202"/>
      <c r="E28" s="202"/>
      <c r="F28" s="202"/>
      <c r="G28" s="202"/>
      <c r="H28" s="209"/>
      <c r="I28" s="202"/>
      <c r="J28" s="208"/>
      <c r="K28" s="10"/>
      <c r="L28" s="10"/>
      <c r="M28" s="10"/>
      <c r="N28" s="10"/>
      <c r="O28" s="10"/>
      <c r="P28" s="99"/>
    </row>
    <row r="29" spans="1:16">
      <c r="A29" s="202"/>
      <c r="B29" s="208"/>
      <c r="C29" s="202"/>
      <c r="D29" s="202"/>
      <c r="E29" s="202"/>
      <c r="F29" s="202"/>
      <c r="G29" s="202"/>
      <c r="H29" s="209"/>
      <c r="I29" s="202"/>
      <c r="J29" s="208"/>
      <c r="K29" s="10"/>
      <c r="L29" s="10"/>
      <c r="M29" s="10"/>
      <c r="N29" s="10"/>
      <c r="O29" s="10"/>
      <c r="P29" s="99"/>
    </row>
    <row r="30" spans="1:16" ht="15" thickBot="1">
      <c r="B30" s="100"/>
      <c r="C30" s="101"/>
      <c r="D30" s="101"/>
      <c r="E30" s="101"/>
      <c r="F30" s="101"/>
      <c r="G30" s="101"/>
      <c r="H30" s="102"/>
      <c r="J30" s="100"/>
      <c r="K30" s="101"/>
      <c r="L30" s="101"/>
      <c r="M30" s="101"/>
      <c r="N30" s="101"/>
      <c r="O30" s="101"/>
      <c r="P30" s="102"/>
    </row>
    <row r="33" spans="1:13" s="107" customFormat="1"/>
    <row r="34" spans="1:13" s="107" customFormat="1"/>
    <row r="35" spans="1:13" s="107" customFormat="1"/>
    <row r="36" spans="1:13" s="107" customFormat="1"/>
    <row r="37" spans="1:13" s="107" customFormat="1"/>
    <row r="38" spans="1:13" s="107" customFormat="1"/>
    <row r="39" spans="1:13" s="107" customFormat="1"/>
    <row r="40" spans="1:13" ht="15" thickBot="1">
      <c r="A40" s="101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</row>
    <row r="41" spans="1:13">
      <c r="A41" s="107" t="s">
        <v>1238</v>
      </c>
      <c r="B41" s="107" t="s">
        <v>2342</v>
      </c>
      <c r="C41" s="107" t="s">
        <v>2343</v>
      </c>
      <c r="D41" s="107" t="s">
        <v>2344</v>
      </c>
      <c r="E41" s="107" t="s">
        <v>2345</v>
      </c>
      <c r="F41" s="107" t="s">
        <v>1239</v>
      </c>
      <c r="G41" s="107" t="s">
        <v>1240</v>
      </c>
      <c r="H41" s="107" t="s">
        <v>1241</v>
      </c>
      <c r="I41" s="107" t="s">
        <v>1242</v>
      </c>
      <c r="J41" s="107" t="s">
        <v>1243</v>
      </c>
      <c r="K41" s="107" t="s">
        <v>2341</v>
      </c>
      <c r="L41" s="107" t="s">
        <v>1311</v>
      </c>
    </row>
    <row r="42" spans="1:13">
      <c r="A42" s="14">
        <v>43812</v>
      </c>
      <c r="B42">
        <v>2911</v>
      </c>
      <c r="C42">
        <v>2859</v>
      </c>
      <c r="D42">
        <v>1687</v>
      </c>
      <c r="E42">
        <v>1707</v>
      </c>
      <c r="F42">
        <v>1.67486818980667</v>
      </c>
      <c r="G42">
        <v>1.78567754568147</v>
      </c>
      <c r="H42">
        <v>5.5093606833295998E-2</v>
      </c>
      <c r="I42">
        <v>-2.01129245740049</v>
      </c>
      <c r="J42">
        <v>-6.62</v>
      </c>
      <c r="K42">
        <v>2859</v>
      </c>
      <c r="L42">
        <v>1405.9187116564417</v>
      </c>
    </row>
    <row r="43" spans="1:13">
      <c r="A43" s="214">
        <v>43811</v>
      </c>
      <c r="B43" s="10">
        <v>2908</v>
      </c>
      <c r="C43" s="10">
        <v>2865</v>
      </c>
      <c r="D43" s="10">
        <v>1658</v>
      </c>
      <c r="E43" s="10">
        <v>1637</v>
      </c>
      <c r="F43" s="10">
        <v>1.75015271838729</v>
      </c>
      <c r="G43" s="10">
        <v>1.78738920243836</v>
      </c>
      <c r="H43" s="10">
        <v>5.3598257841411701E-2</v>
      </c>
      <c r="I43" s="10">
        <v>-0.69473310422227597</v>
      </c>
      <c r="J43" s="10">
        <v>-2.13</v>
      </c>
      <c r="K43" s="10">
        <v>2865</v>
      </c>
      <c r="L43" s="10">
        <v>1348.2653374233128</v>
      </c>
      <c r="M43" s="10"/>
    </row>
    <row r="44" spans="1:13">
      <c r="A44" s="14">
        <v>43810</v>
      </c>
      <c r="B44" s="107">
        <v>2900</v>
      </c>
      <c r="C44" s="107">
        <v>2874</v>
      </c>
      <c r="D44" s="107">
        <v>1665</v>
      </c>
      <c r="E44" s="107">
        <v>1649</v>
      </c>
      <c r="F44" s="107">
        <v>1.7428744693753699</v>
      </c>
      <c r="G44" s="107">
        <v>1.7879398559500099</v>
      </c>
      <c r="H44" s="107">
        <v>5.3424738367895401E-2</v>
      </c>
      <c r="I44" s="107">
        <v>-0.84353031856340799</v>
      </c>
      <c r="J44" s="107">
        <v>-2.59</v>
      </c>
      <c r="K44">
        <v>2874</v>
      </c>
      <c r="L44" s="107">
        <v>1358.1487730061349</v>
      </c>
    </row>
    <row r="45" spans="1:13">
      <c r="A45" s="14">
        <v>43809</v>
      </c>
      <c r="B45">
        <v>2929</v>
      </c>
      <c r="C45">
        <v>2908</v>
      </c>
      <c r="D45">
        <v>1698</v>
      </c>
      <c r="E45">
        <v>1678</v>
      </c>
      <c r="F45">
        <v>1.73301549463647</v>
      </c>
      <c r="G45">
        <v>1.78846234016857</v>
      </c>
      <c r="H45">
        <v>5.3172474131270797E-2</v>
      </c>
      <c r="I45">
        <v>-1.0427734732677001</v>
      </c>
      <c r="J45">
        <v>-3.2</v>
      </c>
      <c r="K45">
        <v>2908</v>
      </c>
      <c r="L45">
        <v>1382.0337423312883</v>
      </c>
    </row>
    <row r="46" spans="1:13">
      <c r="A46" s="14">
        <v>43808</v>
      </c>
      <c r="B46">
        <v>2918</v>
      </c>
      <c r="C46">
        <v>2907</v>
      </c>
      <c r="D46">
        <v>1710</v>
      </c>
      <c r="E46">
        <v>1695</v>
      </c>
      <c r="F46">
        <v>1.71504424778761</v>
      </c>
      <c r="G46">
        <v>1.7889954273419599</v>
      </c>
      <c r="H46">
        <v>5.2813118295291103E-2</v>
      </c>
      <c r="I46">
        <v>-1.4002426279939999</v>
      </c>
      <c r="J46">
        <v>-4.3099999999999996</v>
      </c>
      <c r="K46">
        <v>2907</v>
      </c>
      <c r="L46">
        <v>1396.0352760736196</v>
      </c>
    </row>
    <row r="47" spans="1:13">
      <c r="A47" s="14">
        <v>43805</v>
      </c>
      <c r="B47">
        <v>2860</v>
      </c>
      <c r="C47">
        <v>2883</v>
      </c>
      <c r="D47">
        <v>1694</v>
      </c>
      <c r="E47">
        <v>1679</v>
      </c>
      <c r="F47">
        <v>1.7170935080405001</v>
      </c>
      <c r="G47">
        <v>1.7891683283791</v>
      </c>
      <c r="H47">
        <v>5.2591493662637399E-2</v>
      </c>
      <c r="I47">
        <v>-1.3704653608232999</v>
      </c>
      <c r="J47">
        <v>-4.2</v>
      </c>
      <c r="K47">
        <v>2883</v>
      </c>
      <c r="L47">
        <v>1382.8573619631902</v>
      </c>
    </row>
    <row r="48" spans="1:13">
      <c r="A48" s="14">
        <v>43804</v>
      </c>
      <c r="B48">
        <v>2865</v>
      </c>
      <c r="C48">
        <v>2864</v>
      </c>
      <c r="D48">
        <v>1655</v>
      </c>
      <c r="E48">
        <v>1680</v>
      </c>
      <c r="F48">
        <v>1.7047619047619</v>
      </c>
      <c r="G48">
        <v>1.78907683515265</v>
      </c>
      <c r="H48">
        <v>5.2722607827765403E-2</v>
      </c>
      <c r="I48">
        <v>-1.5992177523955</v>
      </c>
      <c r="J48">
        <v>-4.95</v>
      </c>
      <c r="K48">
        <v>2864</v>
      </c>
      <c r="L48">
        <v>1383.6809815950919</v>
      </c>
    </row>
    <row r="49" spans="1:12">
      <c r="A49" s="14">
        <v>43803</v>
      </c>
      <c r="B49">
        <v>2819</v>
      </c>
      <c r="C49">
        <v>2856</v>
      </c>
      <c r="D49">
        <v>1634</v>
      </c>
      <c r="E49">
        <v>1633</v>
      </c>
      <c r="F49">
        <v>1.7489283527250401</v>
      </c>
      <c r="G49">
        <v>1.7894281579039699</v>
      </c>
      <c r="H49">
        <v>5.2245224829735398E-2</v>
      </c>
      <c r="I49">
        <v>-0.77518673354200396</v>
      </c>
      <c r="J49">
        <v>-2.3199999999999998</v>
      </c>
      <c r="K49">
        <v>2856</v>
      </c>
      <c r="L49">
        <v>1344.9708588957055</v>
      </c>
    </row>
    <row r="50" spans="1:12">
      <c r="A50" s="14">
        <v>43802</v>
      </c>
      <c r="B50">
        <v>2839</v>
      </c>
      <c r="C50">
        <v>2849</v>
      </c>
      <c r="D50">
        <v>1633</v>
      </c>
      <c r="E50">
        <v>1647</v>
      </c>
      <c r="F50">
        <v>1.7298117789920999</v>
      </c>
      <c r="G50">
        <v>1.78953360199131</v>
      </c>
      <c r="H50">
        <v>5.2171307758493803E-2</v>
      </c>
      <c r="I50">
        <v>-1.1447254355913199</v>
      </c>
      <c r="J50">
        <v>-3.45</v>
      </c>
      <c r="K50">
        <v>2849</v>
      </c>
      <c r="L50">
        <v>1356.5015337423313</v>
      </c>
    </row>
    <row r="51" spans="1:12">
      <c r="A51" s="14">
        <v>43801</v>
      </c>
      <c r="B51">
        <v>2853</v>
      </c>
      <c r="C51">
        <v>2877</v>
      </c>
      <c r="D51">
        <v>1641</v>
      </c>
      <c r="E51">
        <v>1659</v>
      </c>
      <c r="F51">
        <v>1.73417721518987</v>
      </c>
      <c r="G51">
        <v>1.7903910135655401</v>
      </c>
      <c r="H51">
        <v>5.1709132942337102E-2</v>
      </c>
      <c r="I51">
        <v>-1.08711547026621</v>
      </c>
      <c r="J51">
        <v>-3.24</v>
      </c>
      <c r="K51">
        <v>2877</v>
      </c>
      <c r="L51">
        <v>1366.3849693251534</v>
      </c>
    </row>
    <row r="52" spans="1:12">
      <c r="A52" s="14">
        <v>43798</v>
      </c>
      <c r="B52">
        <v>2899</v>
      </c>
      <c r="C52">
        <v>2850</v>
      </c>
      <c r="D52">
        <v>1661</v>
      </c>
      <c r="E52">
        <v>1630</v>
      </c>
      <c r="F52">
        <v>1.74846625766871</v>
      </c>
      <c r="G52">
        <v>1.7927690213412599</v>
      </c>
      <c r="H52">
        <v>5.3150210563943298E-2</v>
      </c>
      <c r="I52">
        <v>-0.83353881767323401</v>
      </c>
      <c r="J52">
        <v>-2.5299999999999998</v>
      </c>
      <c r="K52">
        <v>2850</v>
      </c>
      <c r="L52">
        <v>1342.5</v>
      </c>
    </row>
    <row r="53" spans="1:12">
      <c r="A53" s="14">
        <v>43797</v>
      </c>
      <c r="B53">
        <v>2902</v>
      </c>
      <c r="C53">
        <v>2889</v>
      </c>
      <c r="D53">
        <v>1652</v>
      </c>
      <c r="E53">
        <v>1645</v>
      </c>
      <c r="F53">
        <v>1.7562310030395101</v>
      </c>
      <c r="G53">
        <v>1.7950266411443401</v>
      </c>
      <c r="H53">
        <v>5.4791185246939898E-2</v>
      </c>
      <c r="I53">
        <v>-0.70806349470235497</v>
      </c>
      <c r="J53">
        <v>-2.21</v>
      </c>
      <c r="K53">
        <v>2889</v>
      </c>
      <c r="L53">
        <v>1354.8542944785277</v>
      </c>
    </row>
    <row r="54" spans="1:12">
      <c r="A54" s="14">
        <v>43796</v>
      </c>
      <c r="B54">
        <v>2857</v>
      </c>
      <c r="C54">
        <v>2899</v>
      </c>
      <c r="D54">
        <v>1639</v>
      </c>
      <c r="E54">
        <v>1657</v>
      </c>
      <c r="F54">
        <v>1.7495473747736801</v>
      </c>
      <c r="G54">
        <v>1.79667370797959</v>
      </c>
      <c r="H54">
        <v>5.5452910841891502E-2</v>
      </c>
      <c r="I54">
        <v>-0.849844173920419</v>
      </c>
      <c r="J54">
        <v>-2.69</v>
      </c>
      <c r="K54">
        <v>2899</v>
      </c>
      <c r="L54">
        <v>1364.7377300613496</v>
      </c>
    </row>
    <row r="55" spans="1:12">
      <c r="A55" s="14">
        <v>43795</v>
      </c>
      <c r="B55">
        <v>2859</v>
      </c>
      <c r="C55">
        <v>2845</v>
      </c>
      <c r="D55">
        <v>1628</v>
      </c>
      <c r="E55">
        <v>1624</v>
      </c>
      <c r="F55">
        <v>1.7518472906403899</v>
      </c>
      <c r="G55">
        <v>1.7983537734195301</v>
      </c>
      <c r="H55">
        <v>5.5906605554986201E-2</v>
      </c>
      <c r="I55">
        <v>-0.83186024830995697</v>
      </c>
      <c r="J55">
        <v>-2.65</v>
      </c>
      <c r="K55">
        <v>2845</v>
      </c>
      <c r="L55">
        <v>1337.5582822085889</v>
      </c>
    </row>
    <row r="56" spans="1:12">
      <c r="A56" s="14">
        <v>43794</v>
      </c>
      <c r="B56">
        <v>2928</v>
      </c>
      <c r="C56">
        <v>2855</v>
      </c>
      <c r="D56">
        <v>1610</v>
      </c>
      <c r="E56">
        <v>1611</v>
      </c>
      <c r="F56">
        <v>1.772191185599</v>
      </c>
      <c r="G56">
        <v>1.7996835391549</v>
      </c>
      <c r="H56">
        <v>5.5970667152966502E-2</v>
      </c>
      <c r="I56">
        <v>-0.491192171798917</v>
      </c>
      <c r="J56">
        <v>-1.55</v>
      </c>
      <c r="K56">
        <v>2855</v>
      </c>
      <c r="L56">
        <v>1326.8512269938649</v>
      </c>
    </row>
    <row r="57" spans="1:12">
      <c r="A57" s="14">
        <v>43791</v>
      </c>
      <c r="B57">
        <v>2880</v>
      </c>
      <c r="C57">
        <v>2922</v>
      </c>
      <c r="D57">
        <v>1588</v>
      </c>
      <c r="E57">
        <v>1606</v>
      </c>
      <c r="F57">
        <v>1.8194271481942701</v>
      </c>
      <c r="G57">
        <v>1.8004636968524199</v>
      </c>
      <c r="H57">
        <v>5.5989808407339303E-2</v>
      </c>
      <c r="I57">
        <v>0.338694699647618</v>
      </c>
      <c r="J57">
        <v>1.04</v>
      </c>
      <c r="K57">
        <v>2922</v>
      </c>
      <c r="L57">
        <v>1322.7331288343557</v>
      </c>
    </row>
    <row r="58" spans="1:12">
      <c r="A58" s="14">
        <v>43790</v>
      </c>
      <c r="B58">
        <v>2878</v>
      </c>
      <c r="C58">
        <v>2895</v>
      </c>
      <c r="D58">
        <v>1581</v>
      </c>
      <c r="E58">
        <v>1596</v>
      </c>
      <c r="F58">
        <v>1.8139097744360899</v>
      </c>
      <c r="G58">
        <v>1.8006553460966901</v>
      </c>
      <c r="H58">
        <v>5.6078920155054203E-2</v>
      </c>
      <c r="I58">
        <v>0.236353130601485</v>
      </c>
      <c r="J58">
        <v>0.73</v>
      </c>
      <c r="K58">
        <v>2895</v>
      </c>
      <c r="L58">
        <v>1314.4969325153374</v>
      </c>
    </row>
    <row r="59" spans="1:12">
      <c r="A59" s="14">
        <v>43789</v>
      </c>
      <c r="B59">
        <v>2870</v>
      </c>
      <c r="C59">
        <v>2900</v>
      </c>
      <c r="D59">
        <v>1605</v>
      </c>
      <c r="E59">
        <v>1596</v>
      </c>
      <c r="F59">
        <v>1.8170426065162899</v>
      </c>
      <c r="G59">
        <v>1.7993183277517399</v>
      </c>
      <c r="H59">
        <v>5.6935807661996199E-2</v>
      </c>
      <c r="I59">
        <v>0.31130284248832002</v>
      </c>
      <c r="J59">
        <v>0.98</v>
      </c>
      <c r="K59">
        <v>2900</v>
      </c>
      <c r="L59">
        <v>1314.4969325153374</v>
      </c>
    </row>
    <row r="60" spans="1:12">
      <c r="A60" s="14">
        <v>43788</v>
      </c>
      <c r="B60">
        <v>2809</v>
      </c>
      <c r="C60">
        <v>2840</v>
      </c>
      <c r="D60">
        <v>1610</v>
      </c>
      <c r="E60">
        <v>1622</v>
      </c>
      <c r="F60">
        <v>1.7509247842170099</v>
      </c>
      <c r="G60">
        <v>1.79817239915642</v>
      </c>
      <c r="H60">
        <v>5.7430287757949602E-2</v>
      </c>
      <c r="I60">
        <v>-0.82269507578543399</v>
      </c>
      <c r="J60">
        <v>-2.7</v>
      </c>
      <c r="K60">
        <v>2840</v>
      </c>
      <c r="L60">
        <v>1335.9110429447853</v>
      </c>
    </row>
    <row r="61" spans="1:12">
      <c r="A61" s="14">
        <v>43787</v>
      </c>
      <c r="B61">
        <v>2772</v>
      </c>
      <c r="C61">
        <v>2818</v>
      </c>
      <c r="D61">
        <v>1600</v>
      </c>
      <c r="E61">
        <v>1621</v>
      </c>
      <c r="F61">
        <v>1.73843306600863</v>
      </c>
      <c r="G61">
        <v>1.7977618288762101</v>
      </c>
      <c r="H61">
        <v>5.7874942018459198E-2</v>
      </c>
      <c r="I61">
        <v>-1.0251200398378399</v>
      </c>
      <c r="J61">
        <v>-3.41</v>
      </c>
      <c r="K61">
        <v>2818</v>
      </c>
      <c r="L61">
        <v>1335.0874233128834</v>
      </c>
    </row>
    <row r="62" spans="1:12">
      <c r="A62" s="14">
        <v>43784</v>
      </c>
      <c r="B62">
        <v>2781</v>
      </c>
      <c r="C62">
        <v>2763</v>
      </c>
      <c r="D62">
        <v>1616</v>
      </c>
      <c r="E62">
        <v>1623</v>
      </c>
      <c r="F62">
        <v>1.7024029574861299</v>
      </c>
      <c r="G62">
        <v>1.7971681082727899</v>
      </c>
      <c r="H62">
        <v>5.8703012178966799E-2</v>
      </c>
      <c r="I62">
        <v>-1.61431496049552</v>
      </c>
      <c r="J62">
        <v>-5.57</v>
      </c>
      <c r="K62">
        <v>2763</v>
      </c>
      <c r="L62">
        <v>1336.734662576687</v>
      </c>
    </row>
    <row r="63" spans="1:12">
      <c r="A63" s="14">
        <v>43783</v>
      </c>
      <c r="B63">
        <v>2915</v>
      </c>
      <c r="C63">
        <v>2789</v>
      </c>
      <c r="D63">
        <v>1648</v>
      </c>
      <c r="E63">
        <v>1619</v>
      </c>
      <c r="F63">
        <v>1.72266831377393</v>
      </c>
      <c r="G63">
        <v>1.7968963588801601</v>
      </c>
      <c r="H63">
        <v>5.9186257825767599E-2</v>
      </c>
      <c r="I63">
        <v>-1.2541432392084</v>
      </c>
      <c r="J63">
        <v>-4.3099999999999996</v>
      </c>
      <c r="K63">
        <v>2789</v>
      </c>
      <c r="L63">
        <v>1333.4401840490798</v>
      </c>
    </row>
    <row r="64" spans="1:12">
      <c r="A64" s="14">
        <v>43782</v>
      </c>
      <c r="B64">
        <v>2820</v>
      </c>
      <c r="C64">
        <v>2887</v>
      </c>
      <c r="D64">
        <v>1668</v>
      </c>
      <c r="E64">
        <v>1650</v>
      </c>
      <c r="F64">
        <v>1.74969696969696</v>
      </c>
      <c r="G64">
        <v>1.7964183376332701</v>
      </c>
      <c r="H64">
        <v>5.9924015218385203E-2</v>
      </c>
      <c r="I64">
        <v>-0.77967685853555202</v>
      </c>
      <c r="J64">
        <v>-2.67</v>
      </c>
      <c r="K64">
        <v>2887</v>
      </c>
      <c r="L64">
        <v>1358.9723926380368</v>
      </c>
    </row>
    <row r="65" spans="1:12">
      <c r="A65" s="14">
        <v>43781</v>
      </c>
      <c r="B65">
        <v>2767</v>
      </c>
      <c r="C65">
        <v>2787</v>
      </c>
      <c r="D65">
        <v>1659</v>
      </c>
      <c r="E65">
        <v>1668</v>
      </c>
      <c r="F65">
        <v>1.67086330935251</v>
      </c>
      <c r="G65">
        <v>1.79548319901303</v>
      </c>
      <c r="H65">
        <v>6.11799096491695E-2</v>
      </c>
      <c r="I65">
        <v>-2.0369413811680199</v>
      </c>
      <c r="J65">
        <v>-7.46</v>
      </c>
      <c r="K65">
        <v>2787</v>
      </c>
      <c r="L65">
        <v>1373.7975460122698</v>
      </c>
    </row>
    <row r="66" spans="1:12">
      <c r="A66" s="14">
        <v>43780</v>
      </c>
      <c r="B66">
        <v>2773</v>
      </c>
      <c r="C66">
        <v>2737</v>
      </c>
      <c r="D66">
        <v>1669</v>
      </c>
      <c r="E66">
        <v>1665</v>
      </c>
      <c r="F66">
        <v>1.6438438438438401</v>
      </c>
      <c r="G66">
        <v>1.7959320953129301</v>
      </c>
      <c r="H66">
        <v>6.0382200304991501E-2</v>
      </c>
      <c r="I66">
        <v>-2.5187596791916902</v>
      </c>
      <c r="J66">
        <v>-9.25</v>
      </c>
      <c r="K66">
        <v>2737</v>
      </c>
      <c r="L66">
        <v>1371.3266871165645</v>
      </c>
    </row>
    <row r="67" spans="1:12">
      <c r="A67" s="14">
        <v>43777</v>
      </c>
      <c r="B67">
        <v>2769</v>
      </c>
      <c r="C67">
        <v>2757</v>
      </c>
      <c r="D67">
        <v>1641</v>
      </c>
      <c r="E67">
        <v>1640</v>
      </c>
      <c r="F67">
        <v>1.6810975609756</v>
      </c>
      <c r="G67">
        <v>1.7968863085425499</v>
      </c>
      <c r="H67">
        <v>5.8507602618031798E-2</v>
      </c>
      <c r="I67">
        <v>-1.9790376358928099</v>
      </c>
      <c r="J67">
        <v>-6.89</v>
      </c>
      <c r="K67">
        <v>2757</v>
      </c>
      <c r="L67">
        <v>1350.7361963190183</v>
      </c>
    </row>
    <row r="68" spans="1:12">
      <c r="A68" s="14">
        <v>43776</v>
      </c>
      <c r="B68">
        <v>2763</v>
      </c>
      <c r="C68">
        <v>2752</v>
      </c>
      <c r="D68">
        <v>1608</v>
      </c>
      <c r="E68">
        <v>1607</v>
      </c>
      <c r="F68">
        <v>1.71250777846919</v>
      </c>
      <c r="G68">
        <v>1.7976815509394199</v>
      </c>
      <c r="H68">
        <v>5.7321703538729202E-2</v>
      </c>
      <c r="I68">
        <v>-1.4858904605422001</v>
      </c>
      <c r="J68">
        <v>-4.97</v>
      </c>
      <c r="K68">
        <v>2752</v>
      </c>
      <c r="L68">
        <v>1323.5567484662577</v>
      </c>
    </row>
    <row r="69" spans="1:12">
      <c r="A69" s="14">
        <v>43775</v>
      </c>
      <c r="B69">
        <v>2800</v>
      </c>
      <c r="C69">
        <v>2783</v>
      </c>
      <c r="D69">
        <v>1604</v>
      </c>
      <c r="E69">
        <v>1610</v>
      </c>
      <c r="F69">
        <v>1.72857142857142</v>
      </c>
      <c r="G69">
        <v>1.79834227560279</v>
      </c>
      <c r="H69">
        <v>5.6617401002459197E-2</v>
      </c>
      <c r="I69">
        <v>-1.23232161483951</v>
      </c>
      <c r="J69">
        <v>-4.04</v>
      </c>
      <c r="K69">
        <v>2783</v>
      </c>
      <c r="L69">
        <v>1326.0276073619632</v>
      </c>
    </row>
    <row r="70" spans="1:12">
      <c r="A70" s="14">
        <v>43774</v>
      </c>
      <c r="B70">
        <v>2775</v>
      </c>
      <c r="C70">
        <v>2800</v>
      </c>
      <c r="D70">
        <v>1545</v>
      </c>
      <c r="E70">
        <v>1576</v>
      </c>
      <c r="F70">
        <v>1.7766497461928901</v>
      </c>
      <c r="G70">
        <v>1.7983864439947801</v>
      </c>
      <c r="H70">
        <v>5.65642212595324E-2</v>
      </c>
      <c r="I70">
        <v>-0.38428351558421298</v>
      </c>
      <c r="J70">
        <v>-1.22</v>
      </c>
      <c r="K70">
        <v>2800</v>
      </c>
      <c r="L70">
        <v>1298.0245398773006</v>
      </c>
    </row>
    <row r="71" spans="1:12">
      <c r="A71" s="14">
        <v>43770</v>
      </c>
      <c r="B71">
        <v>2755</v>
      </c>
      <c r="C71">
        <v>2755</v>
      </c>
      <c r="D71">
        <v>1489</v>
      </c>
      <c r="E71">
        <v>1510</v>
      </c>
      <c r="F71">
        <v>1.82450331125827</v>
      </c>
      <c r="G71">
        <v>1.7983066696011001</v>
      </c>
      <c r="H71">
        <v>5.6599029347336398E-2</v>
      </c>
      <c r="I71">
        <v>0.46284612932861302</v>
      </c>
      <c r="J71">
        <v>1.44</v>
      </c>
      <c r="K71">
        <v>2755</v>
      </c>
      <c r="L71">
        <v>1243.6656441717791</v>
      </c>
    </row>
    <row r="72" spans="1:12">
      <c r="A72" s="14">
        <v>43769</v>
      </c>
      <c r="B72">
        <v>2749</v>
      </c>
      <c r="C72">
        <v>2773</v>
      </c>
      <c r="D72">
        <v>1467</v>
      </c>
      <c r="E72">
        <v>1498</v>
      </c>
      <c r="F72">
        <v>1.8511348464619399</v>
      </c>
      <c r="G72">
        <v>1.7977224135126999</v>
      </c>
      <c r="H72">
        <v>5.65517401268857E-2</v>
      </c>
      <c r="I72">
        <v>0.94448787657828204</v>
      </c>
      <c r="J72">
        <v>2.89</v>
      </c>
      <c r="K72">
        <v>2773</v>
      </c>
      <c r="L72">
        <v>1233.782208588957</v>
      </c>
    </row>
    <row r="73" spans="1:12">
      <c r="A73" s="14">
        <v>43768</v>
      </c>
      <c r="B73">
        <v>2778</v>
      </c>
      <c r="C73">
        <v>2778</v>
      </c>
      <c r="D73">
        <v>1525</v>
      </c>
      <c r="E73">
        <v>1513</v>
      </c>
      <c r="F73">
        <v>1.8360872438863101</v>
      </c>
      <c r="G73">
        <v>1.7968789993982499</v>
      </c>
      <c r="H73">
        <v>5.6219582148671302E-2</v>
      </c>
      <c r="I73">
        <v>0.69741259165490199</v>
      </c>
      <c r="J73">
        <v>2.14</v>
      </c>
      <c r="K73">
        <v>2778</v>
      </c>
      <c r="L73">
        <v>1246.1365030674847</v>
      </c>
    </row>
    <row r="74" spans="1:12">
      <c r="A74" s="14">
        <v>43767</v>
      </c>
      <c r="B74">
        <v>2764</v>
      </c>
      <c r="C74">
        <v>2784</v>
      </c>
      <c r="D74">
        <v>1543</v>
      </c>
      <c r="E74">
        <v>1540</v>
      </c>
      <c r="F74">
        <v>1.8077922077922</v>
      </c>
      <c r="G74">
        <v>1.7955847213923399</v>
      </c>
      <c r="H74">
        <v>5.6419058758335298E-2</v>
      </c>
      <c r="I74">
        <v>0.216371677736684</v>
      </c>
      <c r="J74">
        <v>0.68</v>
      </c>
      <c r="K74">
        <v>2784</v>
      </c>
      <c r="L74">
        <v>1268.3742331288342</v>
      </c>
    </row>
    <row r="75" spans="1:12">
      <c r="A75" s="14">
        <v>43766</v>
      </c>
      <c r="B75">
        <v>2790</v>
      </c>
      <c r="C75">
        <v>2744</v>
      </c>
      <c r="D75">
        <v>1513</v>
      </c>
      <c r="E75">
        <v>1526</v>
      </c>
      <c r="F75">
        <v>1.7981651376146699</v>
      </c>
      <c r="G75">
        <v>1.79460690473576</v>
      </c>
      <c r="H75">
        <v>5.6833001897925901E-2</v>
      </c>
      <c r="I75">
        <v>6.2608568262865899E-2</v>
      </c>
      <c r="J75">
        <v>0.2</v>
      </c>
      <c r="K75">
        <v>2744</v>
      </c>
      <c r="L75">
        <v>1256.8435582822085</v>
      </c>
    </row>
    <row r="76" spans="1:12">
      <c r="A76" s="14">
        <v>43763</v>
      </c>
      <c r="B76">
        <v>2777</v>
      </c>
      <c r="C76">
        <v>2779</v>
      </c>
      <c r="D76">
        <v>1524</v>
      </c>
      <c r="E76">
        <v>1497</v>
      </c>
      <c r="F76">
        <v>1.8563794255177</v>
      </c>
      <c r="G76">
        <v>1.7941567201608799</v>
      </c>
      <c r="H76">
        <v>5.6936663731080001E-2</v>
      </c>
      <c r="I76">
        <v>1.0928407335333701</v>
      </c>
      <c r="J76">
        <v>3.35</v>
      </c>
      <c r="K76">
        <v>2779</v>
      </c>
      <c r="L76">
        <v>1232.9585889570551</v>
      </c>
    </row>
    <row r="77" spans="1:12">
      <c r="A77" s="14">
        <v>43762</v>
      </c>
      <c r="B77">
        <v>2759</v>
      </c>
      <c r="C77">
        <v>2763</v>
      </c>
      <c r="D77">
        <v>1517</v>
      </c>
      <c r="E77">
        <v>1525</v>
      </c>
      <c r="F77">
        <v>1.8118032786885201</v>
      </c>
      <c r="G77">
        <v>1.79297812043244</v>
      </c>
      <c r="H77">
        <v>5.6550026978105503E-2</v>
      </c>
      <c r="I77">
        <v>0.33289388638786399</v>
      </c>
      <c r="J77">
        <v>1.04</v>
      </c>
      <c r="K77">
        <v>2763</v>
      </c>
      <c r="L77">
        <v>1256.0199386503066</v>
      </c>
    </row>
    <row r="78" spans="1:12">
      <c r="A78" s="14">
        <v>43761</v>
      </c>
      <c r="B78">
        <v>2740</v>
      </c>
      <c r="C78">
        <v>2751</v>
      </c>
      <c r="D78">
        <v>1516</v>
      </c>
      <c r="E78">
        <v>1502</v>
      </c>
      <c r="F78">
        <v>1.8315579227696399</v>
      </c>
      <c r="G78">
        <v>1.7922300810597001</v>
      </c>
      <c r="H78">
        <v>5.6667003510966402E-2</v>
      </c>
      <c r="I78">
        <v>0.69401661060703401</v>
      </c>
      <c r="J78">
        <v>2.15</v>
      </c>
      <c r="K78">
        <v>2751</v>
      </c>
      <c r="L78">
        <v>1237.0766871165645</v>
      </c>
    </row>
    <row r="79" spans="1:12">
      <c r="A79" s="14">
        <v>43759</v>
      </c>
      <c r="B79">
        <v>2700</v>
      </c>
      <c r="C79">
        <v>2721</v>
      </c>
      <c r="D79">
        <v>1507</v>
      </c>
      <c r="E79">
        <v>1506</v>
      </c>
      <c r="F79">
        <v>1.80677290836653</v>
      </c>
      <c r="G79">
        <v>1.79118347596006</v>
      </c>
      <c r="H79">
        <v>5.6655857004275098E-2</v>
      </c>
      <c r="I79">
        <v>0.275160119902435</v>
      </c>
      <c r="J79">
        <v>0.86</v>
      </c>
      <c r="K79">
        <v>2721</v>
      </c>
      <c r="L79">
        <v>1240.3711656441717</v>
      </c>
    </row>
    <row r="80" spans="1:12">
      <c r="A80" s="14">
        <v>43756</v>
      </c>
      <c r="B80">
        <v>2690</v>
      </c>
      <c r="C80">
        <v>2693</v>
      </c>
      <c r="D80">
        <v>1495</v>
      </c>
      <c r="E80">
        <v>1502</v>
      </c>
      <c r="F80">
        <v>1.7929427430093201</v>
      </c>
      <c r="G80">
        <v>1.7903148199997101</v>
      </c>
      <c r="H80">
        <v>5.6909051136560598E-2</v>
      </c>
      <c r="I80">
        <v>4.6177593144260398E-2</v>
      </c>
      <c r="J80">
        <v>0.15</v>
      </c>
      <c r="K80">
        <v>2693</v>
      </c>
      <c r="L80">
        <v>1237.0766871165645</v>
      </c>
    </row>
    <row r="81" spans="1:12">
      <c r="A81" s="14">
        <v>43755</v>
      </c>
      <c r="B81">
        <v>2658</v>
      </c>
      <c r="C81">
        <v>2670</v>
      </c>
      <c r="D81">
        <v>1499</v>
      </c>
      <c r="E81">
        <v>1489</v>
      </c>
      <c r="F81">
        <v>1.79314976494291</v>
      </c>
      <c r="G81">
        <v>1.7900128771556201</v>
      </c>
      <c r="H81">
        <v>5.6954364870214297E-2</v>
      </c>
      <c r="I81">
        <v>5.5077214791818097E-2</v>
      </c>
      <c r="J81">
        <v>0.17</v>
      </c>
      <c r="K81">
        <v>2670</v>
      </c>
      <c r="L81">
        <v>1226.3696319018404</v>
      </c>
    </row>
    <row r="82" spans="1:12">
      <c r="A82" s="14">
        <v>43754</v>
      </c>
      <c r="B82">
        <v>2671</v>
      </c>
      <c r="C82">
        <v>2655</v>
      </c>
      <c r="D82">
        <v>1513</v>
      </c>
      <c r="E82">
        <v>1494</v>
      </c>
      <c r="F82">
        <v>1.7771084337349301</v>
      </c>
      <c r="G82">
        <v>1.7896021289182</v>
      </c>
      <c r="H82">
        <v>5.70412796138604E-2</v>
      </c>
      <c r="I82">
        <v>-0.21902901316100501</v>
      </c>
      <c r="J82">
        <v>-0.7</v>
      </c>
      <c r="K82">
        <v>2655</v>
      </c>
      <c r="L82">
        <v>1230.4877300613496</v>
      </c>
    </row>
    <row r="83" spans="1:12">
      <c r="A83" s="14">
        <v>43753</v>
      </c>
      <c r="B83">
        <v>2622</v>
      </c>
      <c r="C83">
        <v>2637</v>
      </c>
      <c r="D83">
        <v>1480</v>
      </c>
      <c r="E83">
        <v>1490</v>
      </c>
      <c r="F83">
        <v>1.7697986577181199</v>
      </c>
      <c r="G83">
        <v>1.7898479705844601</v>
      </c>
      <c r="H83">
        <v>5.7026634650343501E-2</v>
      </c>
      <c r="I83">
        <v>-0.35157804750841398</v>
      </c>
      <c r="J83">
        <v>-1.1299999999999999</v>
      </c>
      <c r="K83">
        <v>2637</v>
      </c>
      <c r="L83">
        <v>1227.1932515337423</v>
      </c>
    </row>
    <row r="84" spans="1:12">
      <c r="A84" s="14">
        <v>43749</v>
      </c>
      <c r="B84">
        <v>2559</v>
      </c>
      <c r="C84">
        <v>2576</v>
      </c>
      <c r="D84">
        <v>1435</v>
      </c>
      <c r="E84">
        <v>1456</v>
      </c>
      <c r="F84">
        <v>1.7692307692307601</v>
      </c>
      <c r="G84">
        <v>1.79026873424426</v>
      </c>
      <c r="H84">
        <v>5.6993562156403402E-2</v>
      </c>
      <c r="I84">
        <v>-0.369128796613306</v>
      </c>
      <c r="J84">
        <v>-1.19</v>
      </c>
      <c r="K84">
        <v>2576</v>
      </c>
      <c r="L84">
        <v>1199.1901840490798</v>
      </c>
    </row>
    <row r="85" spans="1:12">
      <c r="A85" s="14">
        <v>43748</v>
      </c>
      <c r="B85">
        <v>2567</v>
      </c>
      <c r="C85">
        <v>2554</v>
      </c>
      <c r="D85">
        <v>1402</v>
      </c>
      <c r="E85">
        <v>1419</v>
      </c>
      <c r="F85">
        <v>1.7998590556730001</v>
      </c>
      <c r="G85">
        <v>1.79047441461145</v>
      </c>
      <c r="H85">
        <v>5.6945082852983303E-2</v>
      </c>
      <c r="I85">
        <v>0.16480160518480599</v>
      </c>
      <c r="J85">
        <v>0.52</v>
      </c>
      <c r="K85">
        <v>2554</v>
      </c>
      <c r="L85">
        <v>1168.7162576687117</v>
      </c>
    </row>
    <row r="86" spans="1:12">
      <c r="A86" s="14">
        <v>43747</v>
      </c>
      <c r="B86">
        <v>2530</v>
      </c>
      <c r="C86">
        <v>2558</v>
      </c>
      <c r="D86">
        <v>1406</v>
      </c>
      <c r="E86">
        <v>1400</v>
      </c>
      <c r="F86">
        <v>1.8271428571428501</v>
      </c>
      <c r="G86">
        <v>1.7904383020102601</v>
      </c>
      <c r="H86">
        <v>5.6939978559976102E-2</v>
      </c>
      <c r="I86">
        <v>0.64461835183048999</v>
      </c>
      <c r="J86">
        <v>2.0099999999999998</v>
      </c>
      <c r="K86">
        <v>2558</v>
      </c>
      <c r="L86">
        <v>1153.0674846625766</v>
      </c>
    </row>
    <row r="87" spans="1:12">
      <c r="A87" s="14">
        <v>43746</v>
      </c>
      <c r="B87">
        <v>2562</v>
      </c>
      <c r="C87">
        <v>2554</v>
      </c>
      <c r="D87">
        <v>1422</v>
      </c>
      <c r="E87">
        <v>1429</v>
      </c>
      <c r="F87">
        <v>1.7872638208537399</v>
      </c>
      <c r="G87">
        <v>1.79034687603211</v>
      </c>
      <c r="H87">
        <v>5.68864500843645E-2</v>
      </c>
      <c r="I87">
        <v>-5.4196652696622299E-2</v>
      </c>
      <c r="J87">
        <v>-0.17</v>
      </c>
      <c r="K87">
        <v>2554</v>
      </c>
      <c r="L87">
        <v>1176.95245398773</v>
      </c>
    </row>
    <row r="88" spans="1:12">
      <c r="A88" s="14">
        <v>43745</v>
      </c>
      <c r="B88">
        <v>2564</v>
      </c>
      <c r="C88">
        <v>2545</v>
      </c>
      <c r="D88">
        <v>1406</v>
      </c>
      <c r="E88">
        <v>1408</v>
      </c>
      <c r="F88">
        <v>1.8075284090909001</v>
      </c>
      <c r="G88">
        <v>1.7908684803163699</v>
      </c>
      <c r="H88">
        <v>5.7034947092063401E-2</v>
      </c>
      <c r="I88">
        <v>0.29210036344283002</v>
      </c>
      <c r="J88">
        <v>0.92</v>
      </c>
      <c r="K88">
        <v>2545</v>
      </c>
      <c r="L88">
        <v>1159.6564417177913</v>
      </c>
    </row>
    <row r="89" spans="1:12">
      <c r="A89" s="14">
        <v>43742</v>
      </c>
      <c r="B89">
        <v>2528</v>
      </c>
      <c r="C89">
        <v>2563</v>
      </c>
      <c r="D89">
        <v>1393</v>
      </c>
      <c r="E89">
        <v>1407</v>
      </c>
      <c r="F89">
        <v>1.8216062544420699</v>
      </c>
      <c r="G89">
        <v>1.79144776726665</v>
      </c>
      <c r="H89">
        <v>5.7420548394235701E-2</v>
      </c>
      <c r="I89">
        <v>0.52522116243746897</v>
      </c>
      <c r="J89">
        <v>1.66</v>
      </c>
      <c r="K89">
        <v>2563</v>
      </c>
      <c r="L89">
        <v>1158.8328220858896</v>
      </c>
    </row>
    <row r="90" spans="1:12">
      <c r="A90" s="14">
        <v>43741</v>
      </c>
      <c r="B90">
        <v>2585</v>
      </c>
      <c r="C90">
        <v>2548</v>
      </c>
      <c r="D90">
        <v>1400</v>
      </c>
      <c r="E90">
        <v>1403</v>
      </c>
      <c r="F90">
        <v>1.81610833927298</v>
      </c>
      <c r="G90">
        <v>1.79208397923864</v>
      </c>
      <c r="H90">
        <v>5.8012467788526298E-2</v>
      </c>
      <c r="I90">
        <v>0.41412408315259303</v>
      </c>
      <c r="J90">
        <v>1.32</v>
      </c>
      <c r="K90">
        <v>2548</v>
      </c>
      <c r="L90">
        <v>1155.5383435582821</v>
      </c>
    </row>
    <row r="91" spans="1:12">
      <c r="A91" s="14">
        <v>43740</v>
      </c>
      <c r="B91">
        <v>2600</v>
      </c>
      <c r="C91">
        <v>2629</v>
      </c>
      <c r="D91">
        <v>1443</v>
      </c>
      <c r="E91">
        <v>1446</v>
      </c>
      <c r="F91">
        <v>1.8181189488243401</v>
      </c>
      <c r="G91">
        <v>1.7930976866518999</v>
      </c>
      <c r="H91">
        <v>5.9077883881406099E-2</v>
      </c>
      <c r="I91">
        <v>0.42353010176636902</v>
      </c>
      <c r="J91">
        <v>1.38</v>
      </c>
      <c r="K91">
        <v>2629</v>
      </c>
      <c r="L91">
        <v>1190.9539877300613</v>
      </c>
    </row>
    <row r="92" spans="1:12">
      <c r="A92" s="14">
        <v>43739</v>
      </c>
      <c r="B92">
        <v>2642</v>
      </c>
      <c r="C92">
        <v>2626</v>
      </c>
      <c r="D92">
        <v>1441</v>
      </c>
      <c r="E92">
        <v>1473</v>
      </c>
      <c r="F92">
        <v>1.7827562797012899</v>
      </c>
      <c r="G92">
        <v>1.7935889250950601</v>
      </c>
      <c r="H92">
        <v>5.9435986582627297E-2</v>
      </c>
      <c r="I92">
        <v>-0.18225734974073701</v>
      </c>
      <c r="J92">
        <v>-0.61</v>
      </c>
      <c r="K92">
        <v>2626</v>
      </c>
      <c r="L92">
        <v>1213.1917177914111</v>
      </c>
    </row>
    <row r="93" spans="1:12">
      <c r="A93" s="14">
        <v>43738</v>
      </c>
      <c r="B93">
        <v>2584</v>
      </c>
      <c r="C93">
        <v>2620</v>
      </c>
      <c r="D93">
        <v>1430</v>
      </c>
      <c r="E93">
        <v>1428</v>
      </c>
      <c r="F93">
        <v>1.83473389355742</v>
      </c>
      <c r="G93">
        <v>1.79457811342284</v>
      </c>
      <c r="H93">
        <v>5.9863294019152899E-2</v>
      </c>
      <c r="I93">
        <v>0.67079135541272705</v>
      </c>
      <c r="J93">
        <v>2.19</v>
      </c>
      <c r="K93">
        <v>2620</v>
      </c>
      <c r="L93">
        <v>1176.1288343558281</v>
      </c>
    </row>
    <row r="94" spans="1:12">
      <c r="A94" s="14">
        <v>43735</v>
      </c>
      <c r="B94">
        <v>2604</v>
      </c>
      <c r="C94">
        <v>2615</v>
      </c>
      <c r="D94">
        <v>1444</v>
      </c>
      <c r="E94">
        <v>1436</v>
      </c>
      <c r="F94">
        <v>1.8210306406685199</v>
      </c>
      <c r="G94">
        <v>1.7950125739854601</v>
      </c>
      <c r="H94">
        <v>6.02700101131435E-2</v>
      </c>
      <c r="I94">
        <v>0.43169175903923801</v>
      </c>
      <c r="J94">
        <v>1.43</v>
      </c>
      <c r="K94">
        <v>2615</v>
      </c>
      <c r="L94">
        <v>1182.717791411043</v>
      </c>
    </row>
    <row r="95" spans="1:12">
      <c r="A95" s="14">
        <v>43734</v>
      </c>
      <c r="B95">
        <v>2675</v>
      </c>
      <c r="C95">
        <v>2646</v>
      </c>
      <c r="D95">
        <v>1477</v>
      </c>
      <c r="E95">
        <v>1474</v>
      </c>
      <c r="F95">
        <v>1.7951153324287601</v>
      </c>
      <c r="G95">
        <v>1.7954604646669301</v>
      </c>
      <c r="H95">
        <v>6.0585686980513698E-2</v>
      </c>
      <c r="I95">
        <v>-5.6965969252645203E-3</v>
      </c>
      <c r="J95">
        <v>-0.02</v>
      </c>
      <c r="K95">
        <v>2646</v>
      </c>
      <c r="L95">
        <v>1214.0153374233128</v>
      </c>
    </row>
    <row r="96" spans="1:12">
      <c r="A96" s="14">
        <v>43733</v>
      </c>
      <c r="B96">
        <v>2631</v>
      </c>
      <c r="C96">
        <v>2668</v>
      </c>
      <c r="D96">
        <v>1454</v>
      </c>
      <c r="E96">
        <v>1454</v>
      </c>
      <c r="F96">
        <v>1.8349381017881701</v>
      </c>
      <c r="G96">
        <v>1.7963065459488301</v>
      </c>
      <c r="H96">
        <v>6.1016510951390102E-2</v>
      </c>
      <c r="I96">
        <v>0.63313282318143904</v>
      </c>
      <c r="J96">
        <v>2.11</v>
      </c>
      <c r="K96">
        <v>2668</v>
      </c>
      <c r="L96">
        <v>1197.5429447852759</v>
      </c>
    </row>
    <row r="97" spans="1:12">
      <c r="A97" s="14">
        <v>43732</v>
      </c>
      <c r="B97">
        <v>2648</v>
      </c>
      <c r="C97">
        <v>2640</v>
      </c>
      <c r="D97">
        <v>1465</v>
      </c>
      <c r="E97">
        <v>1475</v>
      </c>
      <c r="F97">
        <v>1.78983050847457</v>
      </c>
      <c r="G97">
        <v>1.7964216569726099</v>
      </c>
      <c r="H97">
        <v>6.1097372980378102E-2</v>
      </c>
      <c r="I97">
        <v>-0.107879409154843</v>
      </c>
      <c r="J97">
        <v>-0.37</v>
      </c>
      <c r="K97">
        <v>2640</v>
      </c>
      <c r="L97">
        <v>1214.8389570552147</v>
      </c>
    </row>
    <row r="98" spans="1:12">
      <c r="A98" s="14">
        <v>43728</v>
      </c>
      <c r="B98">
        <v>2672</v>
      </c>
      <c r="C98">
        <v>2647</v>
      </c>
      <c r="D98">
        <v>1477</v>
      </c>
      <c r="E98">
        <v>1463</v>
      </c>
      <c r="F98">
        <v>1.8092959671907001</v>
      </c>
      <c r="G98">
        <v>1.79727153590723</v>
      </c>
      <c r="H98">
        <v>6.14421304939608E-2</v>
      </c>
      <c r="I98">
        <v>0.19570335837636399</v>
      </c>
      <c r="J98">
        <v>0.66</v>
      </c>
      <c r="K98">
        <v>2647</v>
      </c>
      <c r="L98">
        <v>1204.9555214723925</v>
      </c>
    </row>
    <row r="99" spans="1:12">
      <c r="A99" s="14">
        <v>43727</v>
      </c>
      <c r="B99">
        <v>2608</v>
      </c>
      <c r="C99">
        <v>2658</v>
      </c>
      <c r="D99">
        <v>1472</v>
      </c>
      <c r="E99">
        <v>1464</v>
      </c>
      <c r="F99">
        <v>1.8155737704918</v>
      </c>
      <c r="G99">
        <v>1.7977105309977199</v>
      </c>
      <c r="H99">
        <v>6.1643765031482597E-2</v>
      </c>
      <c r="I99">
        <v>0.28978177249482601</v>
      </c>
      <c r="J99">
        <v>0.98</v>
      </c>
      <c r="K99">
        <v>2658</v>
      </c>
      <c r="L99">
        <v>1205.7791411042945</v>
      </c>
    </row>
    <row r="100" spans="1:12">
      <c r="A100" s="14">
        <v>43726</v>
      </c>
      <c r="B100">
        <v>2628</v>
      </c>
      <c r="C100">
        <v>2609</v>
      </c>
      <c r="D100">
        <v>1474</v>
      </c>
      <c r="E100">
        <v>1467</v>
      </c>
      <c r="F100">
        <v>1.7784594410361201</v>
      </c>
      <c r="G100">
        <v>1.7986383517660101</v>
      </c>
      <c r="H100">
        <v>6.2424390573048098E-2</v>
      </c>
      <c r="I100">
        <v>-0.32325362802336</v>
      </c>
      <c r="J100">
        <v>-1.1299999999999999</v>
      </c>
      <c r="K100">
        <v>2609</v>
      </c>
      <c r="L100">
        <v>1208.25</v>
      </c>
    </row>
    <row r="101" spans="1:12">
      <c r="A101" s="14">
        <v>43725</v>
      </c>
      <c r="B101">
        <v>2590</v>
      </c>
      <c r="C101">
        <v>2628</v>
      </c>
      <c r="D101">
        <v>1492</v>
      </c>
      <c r="E101">
        <v>1485</v>
      </c>
      <c r="F101">
        <v>1.76969696969696</v>
      </c>
      <c r="G101">
        <v>1.7996280265628399</v>
      </c>
      <c r="H101">
        <v>6.2684473186907702E-2</v>
      </c>
      <c r="I101">
        <v>-0.477487571389904</v>
      </c>
      <c r="J101">
        <v>-1.69</v>
      </c>
      <c r="K101">
        <v>2628</v>
      </c>
      <c r="L101">
        <v>1223.075153374233</v>
      </c>
    </row>
    <row r="102" spans="1:12">
      <c r="A102" s="14">
        <v>43721</v>
      </c>
      <c r="B102">
        <v>2610</v>
      </c>
      <c r="C102">
        <v>2590</v>
      </c>
      <c r="D102">
        <v>1495</v>
      </c>
      <c r="E102">
        <v>1502</v>
      </c>
      <c r="F102">
        <v>1.72436750998668</v>
      </c>
      <c r="G102">
        <v>1.8004527188821799</v>
      </c>
      <c r="H102">
        <v>6.2692137006987295E-2</v>
      </c>
      <c r="I102">
        <v>-1.2136324031675001</v>
      </c>
      <c r="J102">
        <v>-4.41</v>
      </c>
      <c r="K102">
        <v>2590</v>
      </c>
      <c r="L102">
        <v>1237.0766871165645</v>
      </c>
    </row>
    <row r="103" spans="1:12">
      <c r="A103" s="14">
        <v>43720</v>
      </c>
      <c r="B103">
        <v>2599</v>
      </c>
      <c r="C103">
        <v>2613</v>
      </c>
      <c r="D103">
        <v>1487</v>
      </c>
      <c r="E103">
        <v>1484</v>
      </c>
      <c r="F103">
        <v>1.7607816711590201</v>
      </c>
      <c r="G103">
        <v>1.80174134531907</v>
      </c>
      <c r="H103">
        <v>6.21055111738881E-2</v>
      </c>
      <c r="I103">
        <v>-0.65951754338453905</v>
      </c>
      <c r="J103">
        <v>-2.33</v>
      </c>
      <c r="K103">
        <v>2613</v>
      </c>
      <c r="L103">
        <v>1222.2515337423313</v>
      </c>
    </row>
    <row r="104" spans="1:12">
      <c r="A104" s="14">
        <v>43719</v>
      </c>
      <c r="B104">
        <v>2558</v>
      </c>
      <c r="C104">
        <v>2573</v>
      </c>
      <c r="D104">
        <v>1459</v>
      </c>
      <c r="E104">
        <v>1469</v>
      </c>
      <c r="F104">
        <v>1.75153165418652</v>
      </c>
      <c r="G104">
        <v>1.80190105445869</v>
      </c>
      <c r="H104">
        <v>6.2015310756440303E-2</v>
      </c>
      <c r="I104">
        <v>-0.81220910865055695</v>
      </c>
      <c r="J104">
        <v>-2.88</v>
      </c>
      <c r="K104">
        <v>2573</v>
      </c>
      <c r="L104">
        <v>1209.8972392638036</v>
      </c>
    </row>
    <row r="105" spans="1:12">
      <c r="A105" s="14">
        <v>43718</v>
      </c>
      <c r="B105">
        <v>2598</v>
      </c>
      <c r="C105">
        <v>2573</v>
      </c>
      <c r="D105">
        <v>1408</v>
      </c>
      <c r="E105">
        <v>1438</v>
      </c>
      <c r="F105">
        <v>1.7892906815020799</v>
      </c>
      <c r="G105">
        <v>1.80204574367351</v>
      </c>
      <c r="H105">
        <v>6.1910194136045198E-2</v>
      </c>
      <c r="I105">
        <v>-0.206025232991527</v>
      </c>
      <c r="J105">
        <v>-0.71</v>
      </c>
      <c r="K105">
        <v>2573</v>
      </c>
      <c r="L105">
        <v>1184.3650306748466</v>
      </c>
    </row>
    <row r="106" spans="1:12">
      <c r="A106" s="14">
        <v>43717</v>
      </c>
      <c r="B106">
        <v>2549</v>
      </c>
      <c r="C106">
        <v>2591</v>
      </c>
      <c r="D106">
        <v>1395</v>
      </c>
      <c r="E106">
        <v>1395</v>
      </c>
      <c r="F106">
        <v>1.85734767025089</v>
      </c>
      <c r="G106">
        <v>1.8014909817239</v>
      </c>
      <c r="H106">
        <v>6.2207704386290801E-2</v>
      </c>
      <c r="I106">
        <v>0.89790628151353302</v>
      </c>
      <c r="J106">
        <v>3.01</v>
      </c>
      <c r="K106">
        <v>2591</v>
      </c>
      <c r="L106">
        <v>1148.9493865030674</v>
      </c>
    </row>
    <row r="107" spans="1:12">
      <c r="A107" s="14">
        <v>43714</v>
      </c>
      <c r="B107">
        <v>2552</v>
      </c>
      <c r="C107">
        <v>2555</v>
      </c>
      <c r="D107">
        <v>1388</v>
      </c>
      <c r="E107">
        <v>1391</v>
      </c>
      <c r="F107">
        <v>1.8368080517613199</v>
      </c>
      <c r="G107">
        <v>1.80017821904612</v>
      </c>
      <c r="H107">
        <v>6.20537905834311E-2</v>
      </c>
      <c r="I107">
        <v>0.59029162232972099</v>
      </c>
      <c r="J107">
        <v>1.99</v>
      </c>
      <c r="K107">
        <v>2555</v>
      </c>
      <c r="L107">
        <v>1145.65490797546</v>
      </c>
    </row>
    <row r="108" spans="1:12">
      <c r="A108" s="14">
        <v>43713</v>
      </c>
      <c r="B108">
        <v>2577</v>
      </c>
      <c r="C108">
        <v>2565</v>
      </c>
      <c r="D108">
        <v>1353</v>
      </c>
      <c r="E108">
        <v>1379</v>
      </c>
      <c r="F108">
        <v>1.8600435097896999</v>
      </c>
      <c r="G108">
        <v>1.7986699011629801</v>
      </c>
      <c r="H108">
        <v>6.2518203366685093E-2</v>
      </c>
      <c r="I108">
        <v>0.98169181648973503</v>
      </c>
      <c r="J108">
        <v>3.3</v>
      </c>
      <c r="K108">
        <v>2565</v>
      </c>
      <c r="L108">
        <v>1135.7714723926381</v>
      </c>
    </row>
    <row r="109" spans="1:12">
      <c r="A109" s="14">
        <v>43712</v>
      </c>
      <c r="B109">
        <v>2552</v>
      </c>
      <c r="C109">
        <v>2565</v>
      </c>
      <c r="D109">
        <v>1347</v>
      </c>
      <c r="E109">
        <v>1345</v>
      </c>
      <c r="F109">
        <v>1.9070631970260199</v>
      </c>
      <c r="G109">
        <v>1.79666830322075</v>
      </c>
      <c r="H109">
        <v>6.2923035166647004E-2</v>
      </c>
      <c r="I109">
        <v>1.75444324185724</v>
      </c>
      <c r="J109">
        <v>5.79</v>
      </c>
      <c r="K109">
        <v>2565</v>
      </c>
      <c r="L109">
        <v>1107.7684049079753</v>
      </c>
    </row>
    <row r="110" spans="1:12">
      <c r="A110" s="14">
        <v>43711</v>
      </c>
      <c r="B110">
        <v>2566</v>
      </c>
      <c r="C110">
        <v>2545</v>
      </c>
      <c r="D110">
        <v>1351</v>
      </c>
      <c r="E110">
        <v>1358</v>
      </c>
      <c r="F110">
        <v>1.8740795287187</v>
      </c>
      <c r="G110">
        <v>1.7948889420752201</v>
      </c>
      <c r="H110">
        <v>6.1650116914403197E-2</v>
      </c>
      <c r="I110">
        <v>1.28451640656957</v>
      </c>
      <c r="J110">
        <v>4.2300000000000004</v>
      </c>
      <c r="K110">
        <v>2545</v>
      </c>
      <c r="L110">
        <v>1118.4754601226994</v>
      </c>
    </row>
    <row r="111" spans="1:12">
      <c r="A111" s="14">
        <v>43710</v>
      </c>
      <c r="B111">
        <v>2545</v>
      </c>
      <c r="C111">
        <v>2564</v>
      </c>
      <c r="D111">
        <v>1359</v>
      </c>
      <c r="E111">
        <v>1355</v>
      </c>
      <c r="F111">
        <v>1.8922509225092199</v>
      </c>
      <c r="G111">
        <v>1.7926838628116499</v>
      </c>
      <c r="H111">
        <v>6.1735804780871199E-2</v>
      </c>
      <c r="I111">
        <v>1.61279277156873</v>
      </c>
      <c r="J111">
        <v>5.26</v>
      </c>
      <c r="K111">
        <v>2564</v>
      </c>
      <c r="L111">
        <v>1116.0046012269938</v>
      </c>
    </row>
    <row r="112" spans="1:12">
      <c r="A112" s="14">
        <v>43707</v>
      </c>
      <c r="B112">
        <v>2525</v>
      </c>
      <c r="C112">
        <v>2560</v>
      </c>
      <c r="D112">
        <v>1361</v>
      </c>
      <c r="E112">
        <v>1364</v>
      </c>
      <c r="F112">
        <v>1.8768328445747799</v>
      </c>
      <c r="G112">
        <v>1.7903482912047499</v>
      </c>
      <c r="H112">
        <v>6.1236262188412702E-2</v>
      </c>
      <c r="I112">
        <v>1.41230947610622</v>
      </c>
      <c r="J112">
        <v>4.6100000000000003</v>
      </c>
      <c r="K112">
        <v>2560</v>
      </c>
      <c r="L112">
        <v>1123.4171779141104</v>
      </c>
    </row>
    <row r="113" spans="1:12">
      <c r="A113" s="14">
        <v>43706</v>
      </c>
      <c r="B113">
        <v>2519</v>
      </c>
      <c r="C113">
        <v>2493</v>
      </c>
      <c r="D113">
        <v>1358</v>
      </c>
      <c r="E113">
        <v>1346</v>
      </c>
      <c r="F113">
        <v>1.8521545319465</v>
      </c>
      <c r="G113">
        <v>1.78826671672293</v>
      </c>
      <c r="H113">
        <v>6.0913629016862703E-2</v>
      </c>
      <c r="I113">
        <v>1.04882628493345</v>
      </c>
      <c r="J113">
        <v>3.45</v>
      </c>
      <c r="K113">
        <v>2493</v>
      </c>
      <c r="L113">
        <v>1108.5920245398772</v>
      </c>
    </row>
    <row r="114" spans="1:12">
      <c r="A114" s="14">
        <v>43705</v>
      </c>
      <c r="B114">
        <v>2459</v>
      </c>
      <c r="C114">
        <v>2496</v>
      </c>
      <c r="D114">
        <v>1344</v>
      </c>
      <c r="E114">
        <v>1346</v>
      </c>
      <c r="F114">
        <v>1.85438335809806</v>
      </c>
      <c r="G114">
        <v>1.78837343378159</v>
      </c>
      <c r="H114">
        <v>6.1032358554443097E-2</v>
      </c>
      <c r="I114">
        <v>1.08155617577178</v>
      </c>
      <c r="J114">
        <v>3.56</v>
      </c>
      <c r="K114">
        <v>2496</v>
      </c>
      <c r="L114">
        <v>1108.5920245398772</v>
      </c>
    </row>
    <row r="115" spans="1:12">
      <c r="A115" s="14">
        <v>43704</v>
      </c>
      <c r="B115">
        <v>2469</v>
      </c>
      <c r="C115">
        <v>2470</v>
      </c>
      <c r="D115">
        <v>1334</v>
      </c>
      <c r="E115">
        <v>1344</v>
      </c>
      <c r="F115">
        <v>1.83779761904761</v>
      </c>
      <c r="G115">
        <v>1.7888315452983401</v>
      </c>
      <c r="H115">
        <v>6.1651915621398698E-2</v>
      </c>
      <c r="I115">
        <v>0.79423442492809004</v>
      </c>
      <c r="J115">
        <v>2.66</v>
      </c>
      <c r="K115">
        <v>2470</v>
      </c>
      <c r="L115">
        <v>1106.9447852760736</v>
      </c>
    </row>
    <row r="116" spans="1:12">
      <c r="A116" s="14">
        <v>43703</v>
      </c>
      <c r="B116">
        <v>2397</v>
      </c>
      <c r="C116">
        <v>2457</v>
      </c>
      <c r="D116">
        <v>1310</v>
      </c>
      <c r="E116">
        <v>1322</v>
      </c>
      <c r="F116">
        <v>1.85854765506807</v>
      </c>
      <c r="G116">
        <v>1.78821543521794</v>
      </c>
      <c r="H116">
        <v>6.1389832197405701E-2</v>
      </c>
      <c r="I116">
        <v>1.14566561485248</v>
      </c>
      <c r="J116">
        <v>3.78</v>
      </c>
      <c r="K116">
        <v>2457</v>
      </c>
      <c r="L116">
        <v>1088.8251533742332</v>
      </c>
    </row>
    <row r="117" spans="1:12">
      <c r="A117" s="14">
        <v>43700</v>
      </c>
      <c r="B117">
        <v>2458</v>
      </c>
      <c r="C117">
        <v>2447</v>
      </c>
      <c r="D117">
        <v>1348</v>
      </c>
      <c r="E117">
        <v>1357</v>
      </c>
      <c r="F117">
        <v>1.8032424465733199</v>
      </c>
      <c r="G117">
        <v>1.78649614585634</v>
      </c>
      <c r="H117">
        <v>6.1201383642469902E-2</v>
      </c>
      <c r="I117">
        <v>0.273626178368855</v>
      </c>
      <c r="J117">
        <v>0.93</v>
      </c>
      <c r="K117">
        <v>2447</v>
      </c>
      <c r="L117">
        <v>1117.6518404907974</v>
      </c>
    </row>
    <row r="118" spans="1:12">
      <c r="A118" s="14">
        <v>43699</v>
      </c>
      <c r="B118">
        <v>2426</v>
      </c>
      <c r="C118">
        <v>2431</v>
      </c>
      <c r="D118">
        <v>1350</v>
      </c>
      <c r="E118">
        <v>1357</v>
      </c>
      <c r="F118">
        <v>1.79145173176123</v>
      </c>
      <c r="G118">
        <v>1.78603219737854</v>
      </c>
      <c r="H118">
        <v>6.1204565878405399E-2</v>
      </c>
      <c r="I118">
        <v>8.8547877187187193E-2</v>
      </c>
      <c r="J118">
        <v>0.3</v>
      </c>
      <c r="K118">
        <v>2431</v>
      </c>
      <c r="L118">
        <v>1117.6518404907974</v>
      </c>
    </row>
    <row r="119" spans="1:12">
      <c r="A119" s="14">
        <v>43698</v>
      </c>
      <c r="B119">
        <v>2366</v>
      </c>
      <c r="C119">
        <v>2404</v>
      </c>
      <c r="D119">
        <v>1314</v>
      </c>
      <c r="E119">
        <v>1349</v>
      </c>
      <c r="F119">
        <v>1.7820607857672299</v>
      </c>
      <c r="G119">
        <v>1.7855475348326</v>
      </c>
      <c r="H119">
        <v>6.1303572731729698E-2</v>
      </c>
      <c r="I119">
        <v>-5.6876767698888199E-2</v>
      </c>
      <c r="J119">
        <v>-0.2</v>
      </c>
      <c r="K119">
        <v>2404</v>
      </c>
      <c r="L119">
        <v>1111.0628834355828</v>
      </c>
    </row>
    <row r="120" spans="1:12">
      <c r="A120" s="14">
        <v>43697</v>
      </c>
      <c r="B120">
        <v>2349</v>
      </c>
      <c r="C120">
        <v>2390</v>
      </c>
      <c r="D120">
        <v>1347</v>
      </c>
      <c r="E120">
        <v>1348</v>
      </c>
      <c r="F120">
        <v>1.7729970326409401</v>
      </c>
      <c r="G120">
        <v>1.7844197775770001</v>
      </c>
      <c r="H120">
        <v>6.2129770146275701E-2</v>
      </c>
      <c r="I120">
        <v>-0.18385300491468901</v>
      </c>
      <c r="J120">
        <v>-0.64</v>
      </c>
      <c r="K120">
        <v>2390</v>
      </c>
      <c r="L120">
        <v>1110.2392638036808</v>
      </c>
    </row>
    <row r="121" spans="1:12">
      <c r="A121" s="14">
        <v>43696</v>
      </c>
      <c r="B121">
        <v>2310</v>
      </c>
      <c r="C121">
        <v>2338</v>
      </c>
      <c r="D121">
        <v>1361</v>
      </c>
      <c r="E121">
        <v>1353</v>
      </c>
      <c r="F121">
        <v>1.7280118255728001</v>
      </c>
      <c r="G121">
        <v>1.7835513527223099</v>
      </c>
      <c r="H121">
        <v>6.2735603109727894E-2</v>
      </c>
      <c r="I121">
        <v>-0.88529518162709298</v>
      </c>
      <c r="J121">
        <v>-3.21</v>
      </c>
      <c r="K121">
        <v>2338</v>
      </c>
      <c r="L121">
        <v>1114.3573619631902</v>
      </c>
    </row>
    <row r="122" spans="1:12">
      <c r="A122" s="14">
        <v>43693</v>
      </c>
      <c r="B122">
        <v>2300</v>
      </c>
      <c r="C122">
        <v>2290</v>
      </c>
      <c r="D122">
        <v>1331</v>
      </c>
      <c r="E122">
        <v>1339</v>
      </c>
      <c r="F122">
        <v>1.7102315160567501</v>
      </c>
      <c r="G122">
        <v>1.7832333547780399</v>
      </c>
      <c r="H122">
        <v>6.3075842346411198E-2</v>
      </c>
      <c r="I122">
        <v>-1.15736605339901</v>
      </c>
      <c r="J122">
        <v>-4.2699999999999996</v>
      </c>
      <c r="K122">
        <v>2290</v>
      </c>
      <c r="L122">
        <v>1102.8266871165645</v>
      </c>
    </row>
    <row r="123" spans="1:12">
      <c r="A123" s="14">
        <v>43692</v>
      </c>
      <c r="B123">
        <v>2321</v>
      </c>
      <c r="C123">
        <v>2337</v>
      </c>
      <c r="D123">
        <v>1320</v>
      </c>
      <c r="E123">
        <v>1350</v>
      </c>
      <c r="F123">
        <v>1.7311111111111099</v>
      </c>
      <c r="G123">
        <v>1.7830836307945499</v>
      </c>
      <c r="H123">
        <v>6.3262002955736696E-2</v>
      </c>
      <c r="I123">
        <v>-0.82154401149461898</v>
      </c>
      <c r="J123">
        <v>-3</v>
      </c>
      <c r="K123">
        <v>2337</v>
      </c>
      <c r="L123">
        <v>1111.8865030674847</v>
      </c>
    </row>
    <row r="124" spans="1:12">
      <c r="A124" s="14">
        <v>43691</v>
      </c>
      <c r="B124">
        <v>2386</v>
      </c>
      <c r="C124">
        <v>2377</v>
      </c>
      <c r="D124">
        <v>1347</v>
      </c>
      <c r="E124">
        <v>1353</v>
      </c>
      <c r="F124">
        <v>1.7568366592756799</v>
      </c>
      <c r="G124">
        <v>1.78267989631214</v>
      </c>
      <c r="H124">
        <v>6.3687591633126497E-2</v>
      </c>
      <c r="I124">
        <v>-0.40578135196779502</v>
      </c>
      <c r="J124">
        <v>-1.47</v>
      </c>
      <c r="K124">
        <v>2377</v>
      </c>
      <c r="L124">
        <v>1114.3573619631902</v>
      </c>
    </row>
    <row r="125" spans="1:12">
      <c r="A125" s="14">
        <v>43690</v>
      </c>
      <c r="B125">
        <v>2444</v>
      </c>
      <c r="C125">
        <v>2379</v>
      </c>
      <c r="D125">
        <v>1336</v>
      </c>
      <c r="E125">
        <v>1326</v>
      </c>
      <c r="F125">
        <v>1.79411764705882</v>
      </c>
      <c r="G125">
        <v>1.7815997298661199</v>
      </c>
      <c r="H125">
        <v>6.4794131908811906E-2</v>
      </c>
      <c r="I125">
        <v>0.19319522962841901</v>
      </c>
      <c r="J125">
        <v>0.7</v>
      </c>
      <c r="K125">
        <v>2379</v>
      </c>
      <c r="L125">
        <v>1092.1196319018404</v>
      </c>
    </row>
    <row r="126" spans="1:12">
      <c r="A126" s="14">
        <v>43686</v>
      </c>
      <c r="B126">
        <v>2580</v>
      </c>
      <c r="C126">
        <v>2580</v>
      </c>
      <c r="D126">
        <v>1355</v>
      </c>
      <c r="E126">
        <v>1349</v>
      </c>
      <c r="F126">
        <v>1.91252779836916</v>
      </c>
      <c r="G126">
        <v>1.78009704029472</v>
      </c>
      <c r="H126">
        <v>6.5785682809609905E-2</v>
      </c>
      <c r="I126">
        <v>2.01306351805614</v>
      </c>
      <c r="J126">
        <v>6.92</v>
      </c>
      <c r="K126">
        <v>2580</v>
      </c>
      <c r="L126">
        <v>1111.0628834355828</v>
      </c>
    </row>
    <row r="127" spans="1:12">
      <c r="A127" s="14">
        <v>43685</v>
      </c>
      <c r="B127">
        <v>2546</v>
      </c>
      <c r="C127">
        <v>2566</v>
      </c>
      <c r="D127">
        <v>1329</v>
      </c>
      <c r="E127">
        <v>1338</v>
      </c>
      <c r="F127">
        <v>1.91778774289985</v>
      </c>
      <c r="G127">
        <v>1.7771354824351799</v>
      </c>
      <c r="H127">
        <v>6.4748701952896295E-2</v>
      </c>
      <c r="I127">
        <v>2.1722792306629302</v>
      </c>
      <c r="J127">
        <v>7.33</v>
      </c>
      <c r="K127">
        <v>2566</v>
      </c>
      <c r="L127">
        <v>1102.0030674846626</v>
      </c>
    </row>
    <row r="128" spans="1:12">
      <c r="A128" s="14">
        <v>43684</v>
      </c>
      <c r="B128">
        <v>2526</v>
      </c>
      <c r="C128">
        <v>2517</v>
      </c>
      <c r="D128">
        <v>1337</v>
      </c>
      <c r="E128">
        <v>1339</v>
      </c>
      <c r="F128">
        <v>1.87976101568334</v>
      </c>
      <c r="G128">
        <v>1.7745471450358301</v>
      </c>
      <c r="H128">
        <v>6.2928893911546394E-2</v>
      </c>
      <c r="I128">
        <v>1.6719485137527199</v>
      </c>
      <c r="J128">
        <v>5.6</v>
      </c>
      <c r="K128">
        <v>2517</v>
      </c>
      <c r="L128">
        <v>1102.8266871165645</v>
      </c>
    </row>
    <row r="129" spans="1:12">
      <c r="A129" s="14">
        <v>43683</v>
      </c>
      <c r="B129">
        <v>2446</v>
      </c>
      <c r="C129">
        <v>2547</v>
      </c>
      <c r="D129">
        <v>1310</v>
      </c>
      <c r="E129">
        <v>1358</v>
      </c>
      <c r="F129">
        <v>1.8755522827687701</v>
      </c>
      <c r="G129">
        <v>1.7720800798185701</v>
      </c>
      <c r="H129">
        <v>6.2380294371017497E-2</v>
      </c>
      <c r="I129">
        <v>1.65873220050526</v>
      </c>
      <c r="J129">
        <v>5.52</v>
      </c>
      <c r="K129">
        <v>2547</v>
      </c>
      <c r="L129">
        <v>1118.4754601226994</v>
      </c>
    </row>
    <row r="130" spans="1:12">
      <c r="A130" s="14">
        <v>43682</v>
      </c>
      <c r="B130">
        <v>2534</v>
      </c>
      <c r="C130">
        <v>2520</v>
      </c>
      <c r="D130">
        <v>1364</v>
      </c>
      <c r="E130">
        <v>1361</v>
      </c>
      <c r="F130">
        <v>1.8515797207935301</v>
      </c>
      <c r="G130">
        <v>1.76997432805499</v>
      </c>
      <c r="H130">
        <v>6.1511443442449701E-2</v>
      </c>
      <c r="I130">
        <v>1.3266700986279201</v>
      </c>
      <c r="J130">
        <v>4.41</v>
      </c>
      <c r="K130">
        <v>2520</v>
      </c>
      <c r="L130">
        <v>1120.9463190184049</v>
      </c>
    </row>
    <row r="131" spans="1:12">
      <c r="A131" s="14">
        <v>43679</v>
      </c>
      <c r="B131">
        <v>2559</v>
      </c>
      <c r="C131">
        <v>2552</v>
      </c>
      <c r="D131">
        <v>1381</v>
      </c>
      <c r="E131">
        <v>1394</v>
      </c>
      <c r="F131">
        <v>1.8307030129124799</v>
      </c>
      <c r="G131">
        <v>1.7679871135290299</v>
      </c>
      <c r="H131">
        <v>6.1249901444998298E-2</v>
      </c>
      <c r="I131">
        <v>1.02393469873198</v>
      </c>
      <c r="J131">
        <v>3.43</v>
      </c>
      <c r="K131">
        <v>2552</v>
      </c>
      <c r="L131">
        <v>1148.1257668711655</v>
      </c>
    </row>
    <row r="132" spans="1:12">
      <c r="A132" s="14">
        <v>43678</v>
      </c>
      <c r="B132">
        <v>2600</v>
      </c>
      <c r="C132">
        <v>2615</v>
      </c>
      <c r="D132">
        <v>1509</v>
      </c>
      <c r="E132">
        <v>1426</v>
      </c>
      <c r="F132">
        <v>1.83380084151472</v>
      </c>
      <c r="G132">
        <v>1.76610672953209</v>
      </c>
      <c r="H132">
        <v>6.1460092207331E-2</v>
      </c>
      <c r="I132">
        <v>1.1014319951599201</v>
      </c>
      <c r="J132">
        <v>3.69</v>
      </c>
      <c r="K132">
        <v>2615</v>
      </c>
      <c r="L132">
        <v>1174.4815950920245</v>
      </c>
    </row>
    <row r="133" spans="1:12">
      <c r="A133" s="14">
        <v>43677</v>
      </c>
      <c r="B133">
        <v>2630</v>
      </c>
      <c r="C133">
        <v>2627</v>
      </c>
      <c r="D133">
        <v>1510</v>
      </c>
      <c r="E133">
        <v>1533</v>
      </c>
      <c r="F133">
        <v>1.7136333985648999</v>
      </c>
      <c r="G133">
        <v>1.76419434486186</v>
      </c>
      <c r="H133">
        <v>6.15553611758234E-2</v>
      </c>
      <c r="I133">
        <v>-0.82138980798983796</v>
      </c>
      <c r="J133">
        <v>-2.95</v>
      </c>
      <c r="K133">
        <v>2627</v>
      </c>
      <c r="L133">
        <v>1262.6088957055215</v>
      </c>
    </row>
    <row r="134" spans="1:12">
      <c r="A134" s="14">
        <v>43676</v>
      </c>
      <c r="B134">
        <v>2614</v>
      </c>
      <c r="C134">
        <v>2633</v>
      </c>
      <c r="D134">
        <v>1505</v>
      </c>
      <c r="E134">
        <v>1521</v>
      </c>
      <c r="F134">
        <v>1.73109796186719</v>
      </c>
      <c r="G134">
        <v>1.76395713222454</v>
      </c>
      <c r="H134">
        <v>6.1783605010808901E-2</v>
      </c>
      <c r="I134">
        <v>-0.53184287889317305</v>
      </c>
      <c r="J134">
        <v>-1.9</v>
      </c>
      <c r="K134">
        <v>2633</v>
      </c>
      <c r="L134">
        <v>1252.7254601226994</v>
      </c>
    </row>
    <row r="135" spans="1:12">
      <c r="A135" s="14">
        <v>43675</v>
      </c>
      <c r="B135">
        <v>2607</v>
      </c>
      <c r="C135">
        <v>2606</v>
      </c>
      <c r="D135">
        <v>1532</v>
      </c>
      <c r="E135">
        <v>1515</v>
      </c>
      <c r="F135">
        <v>1.72013201320132</v>
      </c>
      <c r="G135">
        <v>1.76346475162553</v>
      </c>
      <c r="H135">
        <v>6.2189329828476601E-2</v>
      </c>
      <c r="I135">
        <v>-0.69678735152362203</v>
      </c>
      <c r="J135">
        <v>-2.52</v>
      </c>
      <c r="K135">
        <v>2606</v>
      </c>
      <c r="L135">
        <v>1247.7837423312883</v>
      </c>
    </row>
    <row r="136" spans="1:12">
      <c r="A136" s="14">
        <v>43672</v>
      </c>
      <c r="B136">
        <v>2620</v>
      </c>
      <c r="C136">
        <v>2612</v>
      </c>
      <c r="D136">
        <v>1553</v>
      </c>
      <c r="E136">
        <v>1542</v>
      </c>
      <c r="F136">
        <v>1.69390402075226</v>
      </c>
      <c r="G136">
        <v>1.76324433955662</v>
      </c>
      <c r="H136">
        <v>6.23715471276685E-2</v>
      </c>
      <c r="I136">
        <v>-1.11172997941549</v>
      </c>
      <c r="J136">
        <v>-4.09</v>
      </c>
      <c r="K136">
        <v>2612</v>
      </c>
      <c r="L136">
        <v>1270.0214723926381</v>
      </c>
    </row>
    <row r="137" spans="1:12">
      <c r="A137" s="14">
        <v>43671</v>
      </c>
      <c r="B137">
        <v>2636</v>
      </c>
      <c r="C137">
        <v>2629</v>
      </c>
      <c r="D137">
        <v>1562</v>
      </c>
      <c r="E137">
        <v>1563</v>
      </c>
      <c r="F137">
        <v>1.68202175303902</v>
      </c>
      <c r="G137">
        <v>1.7630522089812299</v>
      </c>
      <c r="H137">
        <v>6.2606599727913201E-2</v>
      </c>
      <c r="I137">
        <v>-1.2942797771218799</v>
      </c>
      <c r="J137">
        <v>-4.82</v>
      </c>
      <c r="K137">
        <v>2629</v>
      </c>
      <c r="L137">
        <v>1287.3174846625766</v>
      </c>
    </row>
    <row r="138" spans="1:12">
      <c r="A138" s="14">
        <v>43670</v>
      </c>
      <c r="B138">
        <v>2619</v>
      </c>
      <c r="C138">
        <v>2623</v>
      </c>
      <c r="D138">
        <v>1567</v>
      </c>
      <c r="E138">
        <v>1555</v>
      </c>
      <c r="F138">
        <v>1.68681672025723</v>
      </c>
      <c r="G138">
        <v>1.7634440442203501</v>
      </c>
      <c r="H138">
        <v>6.2188799092540298E-2</v>
      </c>
      <c r="I138">
        <v>-1.232172434285</v>
      </c>
      <c r="J138">
        <v>-4.54</v>
      </c>
      <c r="K138">
        <v>2623</v>
      </c>
      <c r="L138">
        <v>1280.7285276073619</v>
      </c>
    </row>
    <row r="139" spans="1:12">
      <c r="A139" s="14">
        <v>43669</v>
      </c>
      <c r="B139">
        <v>2586</v>
      </c>
      <c r="C139">
        <v>2605</v>
      </c>
      <c r="D139">
        <v>1528</v>
      </c>
      <c r="E139">
        <v>1551</v>
      </c>
      <c r="F139">
        <v>1.67956157317859</v>
      </c>
      <c r="G139">
        <v>1.76415135281512</v>
      </c>
      <c r="H139">
        <v>6.1612251428390198E-2</v>
      </c>
      <c r="I139">
        <v>-1.37293764917585</v>
      </c>
      <c r="J139">
        <v>-5.04</v>
      </c>
      <c r="K139">
        <v>2605</v>
      </c>
      <c r="L139">
        <v>1277.4340490797545</v>
      </c>
    </row>
    <row r="140" spans="1:12">
      <c r="A140" s="14">
        <v>43668</v>
      </c>
      <c r="B140">
        <v>2622</v>
      </c>
      <c r="C140">
        <v>2596</v>
      </c>
      <c r="D140">
        <v>1530</v>
      </c>
      <c r="E140">
        <v>1523</v>
      </c>
      <c r="F140">
        <v>1.7045305318450401</v>
      </c>
      <c r="G140">
        <v>1.7654256083453099</v>
      </c>
      <c r="H140">
        <v>6.08329462268326E-2</v>
      </c>
      <c r="I140">
        <v>-1.0010213260624501</v>
      </c>
      <c r="J140">
        <v>-3.57</v>
      </c>
      <c r="K140">
        <v>2596</v>
      </c>
      <c r="L140">
        <v>1254.372699386503</v>
      </c>
    </row>
    <row r="141" spans="1:12">
      <c r="A141" s="14">
        <v>43665</v>
      </c>
      <c r="B141">
        <v>2585</v>
      </c>
      <c r="C141">
        <v>2616</v>
      </c>
      <c r="D141">
        <v>1497</v>
      </c>
      <c r="E141">
        <v>1525</v>
      </c>
      <c r="F141">
        <v>1.7154098360655701</v>
      </c>
      <c r="G141">
        <v>1.7660734109474101</v>
      </c>
      <c r="H141">
        <v>6.04384425365838E-2</v>
      </c>
      <c r="I141">
        <v>-0.83826738008970403</v>
      </c>
      <c r="J141">
        <v>-2.95</v>
      </c>
      <c r="K141">
        <v>2616</v>
      </c>
      <c r="L141">
        <v>1256.0199386503066</v>
      </c>
    </row>
    <row r="142" spans="1:12">
      <c r="A142" s="14">
        <v>43664</v>
      </c>
      <c r="B142">
        <v>2640</v>
      </c>
      <c r="C142">
        <v>2585</v>
      </c>
      <c r="D142">
        <v>1503</v>
      </c>
      <c r="E142">
        <v>1485</v>
      </c>
      <c r="F142">
        <v>1.74074074074074</v>
      </c>
      <c r="G142">
        <v>1.7664570937533599</v>
      </c>
      <c r="H142">
        <v>6.0206491143238498E-2</v>
      </c>
      <c r="I142">
        <v>-0.42713588724914497</v>
      </c>
      <c r="J142">
        <v>-1.48</v>
      </c>
      <c r="K142">
        <v>2585</v>
      </c>
      <c r="L142">
        <v>1223.075153374233</v>
      </c>
    </row>
    <row r="143" spans="1:12">
      <c r="A143" s="14">
        <v>43663</v>
      </c>
      <c r="B143">
        <v>2620</v>
      </c>
      <c r="C143">
        <v>2666</v>
      </c>
      <c r="D143">
        <v>1512</v>
      </c>
      <c r="E143">
        <v>1513</v>
      </c>
      <c r="F143">
        <v>1.7620621282220701</v>
      </c>
      <c r="G143">
        <v>1.7662280601220299</v>
      </c>
      <c r="H143">
        <v>6.0336416608279701E-2</v>
      </c>
      <c r="I143">
        <v>-6.9045066547528205E-2</v>
      </c>
      <c r="J143">
        <v>-0.24</v>
      </c>
      <c r="K143">
        <v>2666</v>
      </c>
      <c r="L143">
        <v>1246.1365030674847</v>
      </c>
    </row>
    <row r="144" spans="1:12">
      <c r="A144" s="14">
        <v>43662</v>
      </c>
      <c r="B144">
        <v>2660</v>
      </c>
      <c r="C144">
        <v>2629</v>
      </c>
      <c r="D144">
        <v>1501</v>
      </c>
      <c r="E144">
        <v>1518</v>
      </c>
      <c r="F144">
        <v>1.73188405797101</v>
      </c>
      <c r="G144">
        <v>1.7656681707128701</v>
      </c>
      <c r="H144">
        <v>6.0566866573763603E-2</v>
      </c>
      <c r="I144">
        <v>-0.55779858944354099</v>
      </c>
      <c r="J144">
        <v>-1.95</v>
      </c>
      <c r="K144">
        <v>2629</v>
      </c>
      <c r="L144">
        <v>1250.2546012269938</v>
      </c>
    </row>
    <row r="145" spans="1:12">
      <c r="A145" s="14">
        <v>43658</v>
      </c>
      <c r="B145">
        <v>2650</v>
      </c>
      <c r="C145">
        <v>2656</v>
      </c>
      <c r="D145">
        <v>1500</v>
      </c>
      <c r="E145">
        <v>1500</v>
      </c>
      <c r="F145">
        <v>1.7706666666666599</v>
      </c>
      <c r="G145">
        <v>1.76515335020598</v>
      </c>
      <c r="H145">
        <v>6.1014291818198597E-2</v>
      </c>
      <c r="I145">
        <v>9.0361066176228799E-2</v>
      </c>
      <c r="J145">
        <v>0.31</v>
      </c>
      <c r="K145">
        <v>2656</v>
      </c>
      <c r="L145">
        <v>1235.4294478527606</v>
      </c>
    </row>
    <row r="146" spans="1:12">
      <c r="A146" s="14">
        <v>43657</v>
      </c>
      <c r="B146">
        <v>2632</v>
      </c>
      <c r="C146">
        <v>2655</v>
      </c>
      <c r="D146">
        <v>1473</v>
      </c>
      <c r="E146">
        <v>1491</v>
      </c>
      <c r="F146">
        <v>1.7806841046277599</v>
      </c>
      <c r="G146">
        <v>1.76418224162876</v>
      </c>
      <c r="H146">
        <v>6.1496516865234399E-2</v>
      </c>
      <c r="I146">
        <v>0.26833817328488402</v>
      </c>
      <c r="J146">
        <v>0.93</v>
      </c>
      <c r="K146">
        <v>2655</v>
      </c>
      <c r="L146">
        <v>1228.016871165644</v>
      </c>
    </row>
    <row r="147" spans="1:12">
      <c r="A147" s="14">
        <v>43656</v>
      </c>
      <c r="B147">
        <v>2630</v>
      </c>
      <c r="C147">
        <v>2655</v>
      </c>
      <c r="D147">
        <v>1506</v>
      </c>
      <c r="E147">
        <v>1485</v>
      </c>
      <c r="F147">
        <v>1.7878787878787801</v>
      </c>
      <c r="G147">
        <v>1.76306422128953</v>
      </c>
      <c r="H147">
        <v>6.19469167195663E-2</v>
      </c>
      <c r="I147">
        <v>0.40057791256321801</v>
      </c>
      <c r="J147">
        <v>1.39</v>
      </c>
      <c r="K147">
        <v>2655</v>
      </c>
      <c r="L147">
        <v>1223.075153374233</v>
      </c>
    </row>
    <row r="148" spans="1:12">
      <c r="A148" s="14">
        <v>43655</v>
      </c>
      <c r="B148">
        <v>2681</v>
      </c>
      <c r="C148">
        <v>2652</v>
      </c>
      <c r="D148">
        <v>1544</v>
      </c>
      <c r="E148">
        <v>1525</v>
      </c>
      <c r="F148">
        <v>1.7390163934426199</v>
      </c>
      <c r="G148">
        <v>1.7618569182764401</v>
      </c>
      <c r="H148">
        <v>6.2332688461824597E-2</v>
      </c>
      <c r="I148">
        <v>-0.36642932299971198</v>
      </c>
      <c r="J148">
        <v>-1.31</v>
      </c>
      <c r="K148">
        <v>2652</v>
      </c>
      <c r="L148">
        <v>1256.0199386503066</v>
      </c>
    </row>
    <row r="149" spans="1:12">
      <c r="A149" s="14">
        <v>43654</v>
      </c>
      <c r="B149">
        <v>2718</v>
      </c>
      <c r="C149">
        <v>2678</v>
      </c>
      <c r="D149">
        <v>1540</v>
      </c>
      <c r="E149">
        <v>1544</v>
      </c>
      <c r="F149">
        <v>1.7344559585492201</v>
      </c>
      <c r="G149">
        <v>1.7616582728608801</v>
      </c>
      <c r="H149">
        <v>6.2428826851512798E-2</v>
      </c>
      <c r="I149">
        <v>-0.43573322907961998</v>
      </c>
      <c r="J149">
        <v>-1.57</v>
      </c>
      <c r="K149">
        <v>2678</v>
      </c>
      <c r="L149">
        <v>1271.6687116564417</v>
      </c>
    </row>
    <row r="150" spans="1:12">
      <c r="A150" s="14">
        <v>43651</v>
      </c>
      <c r="B150">
        <v>2728</v>
      </c>
      <c r="C150">
        <v>2726</v>
      </c>
      <c r="D150">
        <v>1547</v>
      </c>
      <c r="E150">
        <v>1545</v>
      </c>
      <c r="F150">
        <v>1.76440129449838</v>
      </c>
      <c r="G150">
        <v>1.7617321934135599</v>
      </c>
      <c r="H150">
        <v>6.2399849007831298E-2</v>
      </c>
      <c r="I150">
        <v>4.2774159349085898E-2</v>
      </c>
      <c r="J150">
        <v>0.15</v>
      </c>
      <c r="K150">
        <v>2726</v>
      </c>
      <c r="L150">
        <v>1272.4923312883434</v>
      </c>
    </row>
    <row r="151" spans="1:12">
      <c r="A151" s="14">
        <v>43650</v>
      </c>
      <c r="B151">
        <v>2710</v>
      </c>
      <c r="C151">
        <v>2728</v>
      </c>
      <c r="D151">
        <v>1536</v>
      </c>
      <c r="E151">
        <v>1543</v>
      </c>
      <c r="F151">
        <v>1.7679844458846401</v>
      </c>
      <c r="G151">
        <v>1.7614196005020799</v>
      </c>
      <c r="H151">
        <v>6.2444401929528097E-2</v>
      </c>
      <c r="I151">
        <v>0.105131047455033</v>
      </c>
      <c r="J151">
        <v>0.37</v>
      </c>
      <c r="K151">
        <v>2728</v>
      </c>
      <c r="L151">
        <v>1270.8450920245398</v>
      </c>
    </row>
    <row r="152" spans="1:12">
      <c r="A152" s="14">
        <v>43649</v>
      </c>
      <c r="B152">
        <v>2719</v>
      </c>
      <c r="C152">
        <v>2695</v>
      </c>
      <c r="D152">
        <v>1536</v>
      </c>
      <c r="E152">
        <v>1535</v>
      </c>
      <c r="F152">
        <v>1.75570032573289</v>
      </c>
      <c r="G152">
        <v>1.7612301369650001</v>
      </c>
      <c r="H152">
        <v>6.2445753023264897E-2</v>
      </c>
      <c r="I152">
        <v>-8.85538401634893E-2</v>
      </c>
      <c r="J152">
        <v>-0.31</v>
      </c>
      <c r="K152">
        <v>2695</v>
      </c>
      <c r="L152">
        <v>1264.2561349693251</v>
      </c>
    </row>
    <row r="153" spans="1:12">
      <c r="A153" s="14">
        <v>43648</v>
      </c>
      <c r="B153">
        <v>2720</v>
      </c>
      <c r="C153">
        <v>2719</v>
      </c>
      <c r="D153">
        <v>1550</v>
      </c>
      <c r="E153">
        <v>1551</v>
      </c>
      <c r="F153">
        <v>1.75306254029658</v>
      </c>
      <c r="G153">
        <v>1.76178411667294</v>
      </c>
      <c r="H153">
        <v>6.25783939108637E-2</v>
      </c>
      <c r="I153">
        <v>-0.13937040935856099</v>
      </c>
      <c r="J153">
        <v>-0.5</v>
      </c>
      <c r="K153">
        <v>2719</v>
      </c>
      <c r="L153">
        <v>1277.4340490797545</v>
      </c>
    </row>
    <row r="154" spans="1:12">
      <c r="A154" s="14">
        <v>43647</v>
      </c>
      <c r="B154">
        <v>2703</v>
      </c>
      <c r="C154">
        <v>2703</v>
      </c>
      <c r="D154">
        <v>1549</v>
      </c>
      <c r="E154">
        <v>1552</v>
      </c>
      <c r="F154">
        <v>1.7416237113402</v>
      </c>
      <c r="G154">
        <v>1.76281354424022</v>
      </c>
      <c r="H154">
        <v>6.3059640696444902E-2</v>
      </c>
      <c r="I154">
        <v>-0.33602844332757498</v>
      </c>
      <c r="J154">
        <v>-1.22</v>
      </c>
      <c r="K154">
        <v>2703</v>
      </c>
      <c r="L154">
        <v>1278.2576687116564</v>
      </c>
    </row>
    <row r="155" spans="1:12">
      <c r="A155" s="14">
        <v>43644</v>
      </c>
      <c r="B155">
        <v>2674</v>
      </c>
      <c r="C155">
        <v>2682</v>
      </c>
      <c r="D155">
        <v>1519</v>
      </c>
      <c r="E155">
        <v>1515</v>
      </c>
      <c r="F155">
        <v>1.7702970297029701</v>
      </c>
      <c r="G155">
        <v>1.7637271148814699</v>
      </c>
      <c r="H155">
        <v>6.3242095978302507E-2</v>
      </c>
      <c r="I155">
        <v>0.103885153075019</v>
      </c>
      <c r="J155">
        <v>0.37</v>
      </c>
      <c r="K155">
        <v>2682</v>
      </c>
      <c r="L155">
        <v>1247.7837423312883</v>
      </c>
    </row>
    <row r="156" spans="1:12">
      <c r="A156" s="14">
        <v>43643</v>
      </c>
      <c r="B156">
        <v>2671</v>
      </c>
      <c r="C156">
        <v>2677</v>
      </c>
      <c r="D156">
        <v>1502</v>
      </c>
      <c r="E156">
        <v>1519</v>
      </c>
      <c r="F156">
        <v>1.7623436471362699</v>
      </c>
      <c r="G156">
        <v>1.76406985250621</v>
      </c>
      <c r="H156">
        <v>6.3346341090912195E-2</v>
      </c>
      <c r="I156">
        <v>-2.7250277446343299E-2</v>
      </c>
      <c r="J156">
        <v>-0.1</v>
      </c>
      <c r="K156">
        <v>2677</v>
      </c>
      <c r="L156">
        <v>1251.0782208588957</v>
      </c>
    </row>
    <row r="157" spans="1:12">
      <c r="A157" s="14">
        <v>43642</v>
      </c>
      <c r="B157">
        <v>2642</v>
      </c>
      <c r="C157">
        <v>2661</v>
      </c>
      <c r="D157">
        <v>1478</v>
      </c>
      <c r="E157">
        <v>1482</v>
      </c>
      <c r="F157">
        <v>1.7955465587044499</v>
      </c>
      <c r="G157">
        <v>1.7642494200035801</v>
      </c>
      <c r="H157">
        <v>6.3360279993243104E-2</v>
      </c>
      <c r="I157">
        <v>0.49395518302953301</v>
      </c>
      <c r="J157">
        <v>1.74</v>
      </c>
      <c r="K157">
        <v>2661</v>
      </c>
      <c r="L157">
        <v>1220.6042944785277</v>
      </c>
    </row>
    <row r="158" spans="1:12">
      <c r="A158" s="14">
        <v>43641</v>
      </c>
      <c r="B158">
        <v>2689</v>
      </c>
      <c r="C158">
        <v>2657</v>
      </c>
      <c r="D158">
        <v>1504</v>
      </c>
      <c r="E158">
        <v>1475</v>
      </c>
      <c r="F158">
        <v>1.8013559322033801</v>
      </c>
      <c r="G158">
        <v>1.76387742667184</v>
      </c>
      <c r="H158">
        <v>6.3257256310238097E-2</v>
      </c>
      <c r="I158">
        <v>0.59247757044246996</v>
      </c>
      <c r="J158">
        <v>2.08</v>
      </c>
      <c r="K158">
        <v>2657</v>
      </c>
      <c r="L158">
        <v>1214.8389570552147</v>
      </c>
    </row>
    <row r="159" spans="1:12">
      <c r="A159" s="14">
        <v>43640</v>
      </c>
      <c r="B159">
        <v>2638</v>
      </c>
      <c r="C159">
        <v>2652</v>
      </c>
      <c r="D159">
        <v>1475</v>
      </c>
      <c r="E159">
        <v>1486</v>
      </c>
      <c r="F159">
        <v>1.7846567967698499</v>
      </c>
      <c r="G159">
        <v>1.76462008876903</v>
      </c>
      <c r="H159">
        <v>6.4015331634224903E-2</v>
      </c>
      <c r="I159">
        <v>0.31299858157888499</v>
      </c>
      <c r="J159">
        <v>1.1200000000000001</v>
      </c>
      <c r="K159">
        <v>2652</v>
      </c>
      <c r="L159">
        <v>1223.8987730061349</v>
      </c>
    </row>
    <row r="160" spans="1:12">
      <c r="A160" s="14">
        <v>43637</v>
      </c>
      <c r="B160">
        <v>2683</v>
      </c>
      <c r="C160">
        <v>2649</v>
      </c>
      <c r="D160">
        <v>1456</v>
      </c>
      <c r="E160">
        <v>1474</v>
      </c>
      <c r="F160">
        <v>1.7971506105834401</v>
      </c>
      <c r="G160">
        <v>1.76521095006266</v>
      </c>
      <c r="H160">
        <v>6.4400894230695296E-2</v>
      </c>
      <c r="I160">
        <v>0.49595057494650502</v>
      </c>
      <c r="J160">
        <v>1.78</v>
      </c>
      <c r="K160">
        <v>2649</v>
      </c>
      <c r="L160">
        <v>1214.0153374233128</v>
      </c>
    </row>
    <row r="161" spans="1:12">
      <c r="A161" s="14">
        <v>43636</v>
      </c>
      <c r="B161">
        <v>2656</v>
      </c>
      <c r="C161">
        <v>2674</v>
      </c>
      <c r="D161">
        <v>1476</v>
      </c>
      <c r="E161">
        <v>1469</v>
      </c>
      <c r="F161">
        <v>1.82028590878148</v>
      </c>
      <c r="G161">
        <v>1.76517765800093</v>
      </c>
      <c r="H161">
        <v>6.43850178392118E-2</v>
      </c>
      <c r="I161">
        <v>0.85591730234772401</v>
      </c>
      <c r="J161">
        <v>3.03</v>
      </c>
      <c r="K161">
        <v>2674</v>
      </c>
      <c r="L161">
        <v>1209.8972392638036</v>
      </c>
    </row>
    <row r="162" spans="1:12">
      <c r="A162" s="14">
        <v>43635</v>
      </c>
      <c r="B162">
        <v>2673</v>
      </c>
      <c r="C162">
        <v>2672</v>
      </c>
      <c r="D162">
        <v>1462</v>
      </c>
      <c r="E162">
        <v>1463</v>
      </c>
      <c r="F162">
        <v>1.82638414217361</v>
      </c>
      <c r="G162">
        <v>1.76425471421413</v>
      </c>
      <c r="H162">
        <v>6.4083866566576095E-2</v>
      </c>
      <c r="I162">
        <v>0.96950186198472399</v>
      </c>
      <c r="J162">
        <v>3.4</v>
      </c>
      <c r="K162">
        <v>2672</v>
      </c>
      <c r="L162">
        <v>1204.9555214723925</v>
      </c>
    </row>
    <row r="163" spans="1:12">
      <c r="A163" s="14">
        <v>43634</v>
      </c>
      <c r="B163">
        <v>2674</v>
      </c>
      <c r="C163">
        <v>2658</v>
      </c>
      <c r="D163">
        <v>1450</v>
      </c>
      <c r="E163">
        <v>1436</v>
      </c>
      <c r="F163">
        <v>1.8509749303621099</v>
      </c>
      <c r="G163">
        <v>1.76293322868212</v>
      </c>
      <c r="H163">
        <v>6.3810372594421599E-2</v>
      </c>
      <c r="I163">
        <v>1.3797396583088699</v>
      </c>
      <c r="J163">
        <v>4.76</v>
      </c>
      <c r="K163">
        <v>2658</v>
      </c>
      <c r="L163">
        <v>1182.717791411043</v>
      </c>
    </row>
    <row r="164" spans="1:12">
      <c r="A164" s="14">
        <v>43633</v>
      </c>
      <c r="B164">
        <v>2709</v>
      </c>
      <c r="C164">
        <v>2675</v>
      </c>
      <c r="D164">
        <v>1436</v>
      </c>
      <c r="E164">
        <v>1431</v>
      </c>
      <c r="F164">
        <v>1.8693221523410199</v>
      </c>
      <c r="G164">
        <v>1.76128019732653</v>
      </c>
      <c r="H164">
        <v>6.3110206787142603E-2</v>
      </c>
      <c r="I164">
        <v>1.7119569165553501</v>
      </c>
      <c r="J164">
        <v>5.78</v>
      </c>
      <c r="K164">
        <v>2675</v>
      </c>
      <c r="L164">
        <v>1178.5996932515336</v>
      </c>
    </row>
    <row r="165" spans="1:12">
      <c r="A165" s="14">
        <v>43630</v>
      </c>
      <c r="B165">
        <v>2692</v>
      </c>
      <c r="C165">
        <v>2719</v>
      </c>
      <c r="D165">
        <v>1445</v>
      </c>
      <c r="E165">
        <v>1437</v>
      </c>
      <c r="F165">
        <v>1.89213639526791</v>
      </c>
      <c r="G165">
        <v>1.75957415352669</v>
      </c>
      <c r="H165">
        <v>6.1884027897686898E-2</v>
      </c>
      <c r="I165">
        <v>2.1421075234532401</v>
      </c>
      <c r="J165">
        <v>7.01</v>
      </c>
      <c r="K165">
        <v>2719</v>
      </c>
      <c r="L165">
        <v>1183.5414110429447</v>
      </c>
    </row>
    <row r="166" spans="1:12">
      <c r="A166" s="14">
        <v>43629</v>
      </c>
      <c r="B166">
        <v>2677</v>
      </c>
      <c r="C166">
        <v>2673</v>
      </c>
      <c r="D166">
        <v>1440</v>
      </c>
      <c r="E166">
        <v>1441</v>
      </c>
      <c r="F166">
        <v>1.8549618320610599</v>
      </c>
      <c r="G166">
        <v>1.7577552149872999</v>
      </c>
      <c r="H166">
        <v>5.9935127733620301E-2</v>
      </c>
      <c r="I166">
        <v>1.62186385095897</v>
      </c>
      <c r="J166">
        <v>5.24</v>
      </c>
      <c r="K166">
        <v>2673</v>
      </c>
      <c r="L166">
        <v>1186.8358895705521</v>
      </c>
    </row>
    <row r="167" spans="1:12">
      <c r="A167" s="14">
        <v>43628</v>
      </c>
      <c r="B167">
        <v>2669</v>
      </c>
      <c r="C167">
        <v>2687</v>
      </c>
      <c r="D167">
        <v>1441</v>
      </c>
      <c r="E167">
        <v>1447</v>
      </c>
      <c r="F167">
        <v>1.85694540428472</v>
      </c>
      <c r="G167">
        <v>1.75648486029347</v>
      </c>
      <c r="H167">
        <v>5.8861422421357397E-2</v>
      </c>
      <c r="I167">
        <v>1.7067298046606301</v>
      </c>
      <c r="J167">
        <v>5.41</v>
      </c>
      <c r="K167">
        <v>2687</v>
      </c>
      <c r="L167">
        <v>1191.7776073619632</v>
      </c>
    </row>
    <row r="168" spans="1:12">
      <c r="A168" s="14">
        <v>43627</v>
      </c>
      <c r="B168">
        <v>2637</v>
      </c>
      <c r="C168">
        <v>2674</v>
      </c>
      <c r="D168">
        <v>1422</v>
      </c>
      <c r="E168">
        <v>1432</v>
      </c>
      <c r="F168">
        <v>1.8673184357541801</v>
      </c>
      <c r="G168">
        <v>1.7544383434415201</v>
      </c>
      <c r="H168">
        <v>5.7994894324164201E-2</v>
      </c>
      <c r="I168">
        <v>1.94637982581227</v>
      </c>
      <c r="J168">
        <v>6.05</v>
      </c>
      <c r="K168">
        <v>2674</v>
      </c>
      <c r="L168">
        <v>1179.4233128834355</v>
      </c>
    </row>
    <row r="169" spans="1:12">
      <c r="A169" s="14">
        <v>43626</v>
      </c>
      <c r="B169">
        <v>2624</v>
      </c>
      <c r="C169">
        <v>2628</v>
      </c>
      <c r="D169">
        <v>1412</v>
      </c>
      <c r="E169">
        <v>1417</v>
      </c>
      <c r="F169">
        <v>1.8546224417784001</v>
      </c>
      <c r="G169">
        <v>1.75251984032879</v>
      </c>
      <c r="H169">
        <v>5.6592000857539099E-2</v>
      </c>
      <c r="I169">
        <v>1.8041878693534401</v>
      </c>
      <c r="J169">
        <v>5.51</v>
      </c>
      <c r="K169">
        <v>2628</v>
      </c>
      <c r="L169">
        <v>1167.0690184049079</v>
      </c>
    </row>
    <row r="170" spans="1:12">
      <c r="A170" s="14">
        <v>43623</v>
      </c>
      <c r="B170">
        <v>2601</v>
      </c>
      <c r="C170">
        <v>2602</v>
      </c>
      <c r="D170">
        <v>1397</v>
      </c>
      <c r="E170">
        <v>1400</v>
      </c>
      <c r="F170">
        <v>1.8585714285714201</v>
      </c>
      <c r="G170">
        <v>1.7506861700513701</v>
      </c>
      <c r="H170">
        <v>5.5470922155619197E-2</v>
      </c>
      <c r="I170">
        <v>1.9448975125633201</v>
      </c>
      <c r="J170">
        <v>5.8</v>
      </c>
      <c r="K170">
        <v>2602</v>
      </c>
      <c r="L170">
        <v>1153.0674846625766</v>
      </c>
    </row>
    <row r="171" spans="1:12">
      <c r="A171" s="14">
        <v>43622</v>
      </c>
      <c r="B171">
        <v>2595</v>
      </c>
      <c r="C171">
        <v>2581</v>
      </c>
      <c r="D171">
        <v>1400</v>
      </c>
      <c r="E171">
        <v>1400</v>
      </c>
      <c r="F171">
        <v>1.84357142857142</v>
      </c>
      <c r="G171">
        <v>1.7490889250685799</v>
      </c>
      <c r="H171">
        <v>5.4047876948237102E-2</v>
      </c>
      <c r="I171">
        <v>1.7481260844589099</v>
      </c>
      <c r="J171">
        <v>5.12</v>
      </c>
      <c r="K171">
        <v>2581</v>
      </c>
      <c r="L171">
        <v>1153.0674846625766</v>
      </c>
    </row>
    <row r="172" spans="1:12">
      <c r="A172" s="14">
        <v>43621</v>
      </c>
      <c r="B172">
        <v>2572</v>
      </c>
      <c r="C172">
        <v>2595</v>
      </c>
      <c r="D172">
        <v>1413</v>
      </c>
      <c r="E172">
        <v>1400</v>
      </c>
      <c r="F172">
        <v>1.85357142857142</v>
      </c>
      <c r="G172">
        <v>1.74819852436804</v>
      </c>
      <c r="H172">
        <v>5.3024396461936601E-2</v>
      </c>
      <c r="I172">
        <v>1.9872532500964299</v>
      </c>
      <c r="J172">
        <v>5.68</v>
      </c>
      <c r="K172">
        <v>2595</v>
      </c>
      <c r="L172">
        <v>1153.0674846625766</v>
      </c>
    </row>
    <row r="173" spans="1:12">
      <c r="A173" s="14">
        <v>43620</v>
      </c>
      <c r="B173">
        <v>2528</v>
      </c>
      <c r="C173">
        <v>2522</v>
      </c>
      <c r="D173">
        <v>1349</v>
      </c>
      <c r="E173">
        <v>1369</v>
      </c>
      <c r="F173">
        <v>1.8422205989773499</v>
      </c>
      <c r="G173">
        <v>1.7472725151191899</v>
      </c>
      <c r="H173">
        <v>5.1767639930315197E-2</v>
      </c>
      <c r="I173">
        <v>1.8341203884505199</v>
      </c>
      <c r="J173">
        <v>5.15</v>
      </c>
      <c r="K173">
        <v>2522</v>
      </c>
      <c r="L173">
        <v>1127.5352760736196</v>
      </c>
    </row>
    <row r="174" spans="1:12">
      <c r="A174" s="14">
        <v>43619</v>
      </c>
      <c r="B174">
        <v>2500</v>
      </c>
      <c r="C174">
        <v>2528</v>
      </c>
      <c r="D174">
        <v>1342</v>
      </c>
      <c r="E174">
        <v>1341</v>
      </c>
      <c r="F174">
        <v>1.88516032811334</v>
      </c>
      <c r="G174">
        <v>1.74567583732591</v>
      </c>
      <c r="H174">
        <v>5.0649182304595801E-2</v>
      </c>
      <c r="I174">
        <v>2.7539337150320402</v>
      </c>
      <c r="J174">
        <v>7.4</v>
      </c>
      <c r="K174">
        <v>2528</v>
      </c>
      <c r="L174">
        <v>1104.4739263803681</v>
      </c>
    </row>
    <row r="175" spans="1:12">
      <c r="A175" s="14">
        <v>43616</v>
      </c>
      <c r="B175">
        <v>2567</v>
      </c>
      <c r="C175">
        <v>2553</v>
      </c>
      <c r="D175">
        <v>1383</v>
      </c>
      <c r="E175">
        <v>1378</v>
      </c>
      <c r="F175">
        <v>1.85268505079825</v>
      </c>
      <c r="G175">
        <v>1.74290224757419</v>
      </c>
      <c r="H175">
        <v>4.8588695886829701E-2</v>
      </c>
      <c r="I175">
        <v>2.25943094829629</v>
      </c>
      <c r="J175">
        <v>5.93</v>
      </c>
      <c r="K175">
        <v>2553</v>
      </c>
      <c r="L175">
        <v>1134.9478527607362</v>
      </c>
    </row>
    <row r="176" spans="1:12">
      <c r="A176" s="14">
        <v>43615</v>
      </c>
      <c r="B176">
        <v>2518</v>
      </c>
      <c r="C176">
        <v>2566</v>
      </c>
      <c r="D176">
        <v>1377</v>
      </c>
      <c r="E176">
        <v>1401</v>
      </c>
      <c r="F176">
        <v>1.83154889364739</v>
      </c>
      <c r="G176">
        <v>1.7405096856967199</v>
      </c>
      <c r="H176">
        <v>4.75304022849454E-2</v>
      </c>
      <c r="I176">
        <v>1.91538896315014</v>
      </c>
      <c r="J176">
        <v>4.97</v>
      </c>
      <c r="K176">
        <v>2566</v>
      </c>
      <c r="L176">
        <v>1153.8911042944785</v>
      </c>
    </row>
    <row r="177" spans="1:12">
      <c r="A177" s="14">
        <v>43614</v>
      </c>
      <c r="B177">
        <v>2472</v>
      </c>
      <c r="C177">
        <v>2513</v>
      </c>
      <c r="D177">
        <v>1371</v>
      </c>
      <c r="E177">
        <v>1380</v>
      </c>
      <c r="F177">
        <v>1.82101449275362</v>
      </c>
      <c r="G177">
        <v>1.7390263897420299</v>
      </c>
      <c r="H177">
        <v>4.6388310094533203E-2</v>
      </c>
      <c r="I177">
        <v>1.76743026086757</v>
      </c>
      <c r="J177">
        <v>4.5</v>
      </c>
      <c r="K177">
        <v>2513</v>
      </c>
      <c r="L177">
        <v>1136.5950920245398</v>
      </c>
    </row>
    <row r="178" spans="1:12">
      <c r="A178" s="14">
        <v>43613</v>
      </c>
      <c r="B178">
        <v>2456</v>
      </c>
      <c r="C178">
        <v>2473</v>
      </c>
      <c r="D178">
        <v>1379</v>
      </c>
      <c r="E178">
        <v>1395</v>
      </c>
      <c r="F178">
        <v>1.77275985663082</v>
      </c>
      <c r="G178">
        <v>1.7375579586860399</v>
      </c>
      <c r="H178">
        <v>4.5504428386226203E-2</v>
      </c>
      <c r="I178">
        <v>0.77359279510107903</v>
      </c>
      <c r="J178">
        <v>1.99</v>
      </c>
      <c r="K178">
        <v>2473</v>
      </c>
      <c r="L178">
        <v>1148.9493865030674</v>
      </c>
    </row>
    <row r="179" spans="1:12">
      <c r="A179" s="14">
        <v>43612</v>
      </c>
      <c r="B179">
        <v>2454</v>
      </c>
      <c r="C179">
        <v>2455</v>
      </c>
      <c r="D179">
        <v>1397</v>
      </c>
      <c r="E179">
        <v>1393</v>
      </c>
      <c r="F179">
        <v>1.7623833452979101</v>
      </c>
      <c r="G179">
        <v>1.7369930983811701</v>
      </c>
      <c r="H179">
        <v>4.5326544797550598E-2</v>
      </c>
      <c r="I179">
        <v>0.56016285887548101</v>
      </c>
      <c r="J179">
        <v>1.44</v>
      </c>
      <c r="K179">
        <v>2455</v>
      </c>
      <c r="L179">
        <v>1147.3021472392638</v>
      </c>
    </row>
    <row r="180" spans="1:12">
      <c r="A180" s="14">
        <v>43609</v>
      </c>
      <c r="B180">
        <v>2455</v>
      </c>
      <c r="C180">
        <v>2452</v>
      </c>
      <c r="D180">
        <v>1394</v>
      </c>
      <c r="E180">
        <v>1403</v>
      </c>
      <c r="F180">
        <v>1.7476835352815301</v>
      </c>
      <c r="G180">
        <v>1.7362785842875099</v>
      </c>
      <c r="H180">
        <v>4.5343042835919597E-2</v>
      </c>
      <c r="I180">
        <v>0.25152592946381203</v>
      </c>
      <c r="J180">
        <v>0.65</v>
      </c>
      <c r="K180">
        <v>2452</v>
      </c>
      <c r="L180">
        <v>1155.5383435582821</v>
      </c>
    </row>
    <row r="181" spans="1:12">
      <c r="A181" s="14">
        <v>43608</v>
      </c>
      <c r="B181">
        <v>2459</v>
      </c>
      <c r="C181">
        <v>2473</v>
      </c>
      <c r="D181">
        <v>1425</v>
      </c>
      <c r="E181">
        <v>1406</v>
      </c>
      <c r="F181">
        <v>1.75889046941678</v>
      </c>
      <c r="G181">
        <v>1.73602698460805</v>
      </c>
      <c r="H181">
        <v>4.5331412365990302E-2</v>
      </c>
      <c r="I181">
        <v>0.50436294867973996</v>
      </c>
      <c r="J181">
        <v>1.3</v>
      </c>
      <c r="K181">
        <v>2473</v>
      </c>
      <c r="L181">
        <v>1158.0092024539877</v>
      </c>
    </row>
    <row r="182" spans="1:12">
      <c r="A182" s="14">
        <v>43607</v>
      </c>
      <c r="B182">
        <v>2497</v>
      </c>
      <c r="C182">
        <v>2489</v>
      </c>
      <c r="D182">
        <v>1455</v>
      </c>
      <c r="E182">
        <v>1444</v>
      </c>
      <c r="F182">
        <v>1.7236842105263099</v>
      </c>
      <c r="G182">
        <v>1.73552693204439</v>
      </c>
      <c r="H182">
        <v>4.5283274490978201E-2</v>
      </c>
      <c r="I182">
        <v>-0.261525290544877</v>
      </c>
      <c r="J182">
        <v>-0.69</v>
      </c>
      <c r="K182">
        <v>2489</v>
      </c>
      <c r="L182">
        <v>1189.3067484662577</v>
      </c>
    </row>
    <row r="183" spans="1:12">
      <c r="A183" s="14">
        <v>43606</v>
      </c>
      <c r="B183">
        <v>2504</v>
      </c>
      <c r="C183">
        <v>2464</v>
      </c>
      <c r="D183">
        <v>1430</v>
      </c>
      <c r="E183">
        <v>1441</v>
      </c>
      <c r="F183">
        <v>1.70992366412213</v>
      </c>
      <c r="G183">
        <v>1.73559678891744</v>
      </c>
      <c r="H183">
        <v>4.5268990229059197E-2</v>
      </c>
      <c r="I183">
        <v>-0.56712386703129802</v>
      </c>
      <c r="J183">
        <v>-1.5</v>
      </c>
      <c r="K183">
        <v>2464</v>
      </c>
      <c r="L183">
        <v>1186.8358895705521</v>
      </c>
    </row>
    <row r="184" spans="1:12">
      <c r="A184" s="14">
        <v>43605</v>
      </c>
      <c r="B184">
        <v>2502</v>
      </c>
      <c r="C184">
        <v>2554</v>
      </c>
      <c r="D184">
        <v>1479</v>
      </c>
      <c r="E184">
        <v>1440</v>
      </c>
      <c r="F184">
        <v>1.7736111111111099</v>
      </c>
      <c r="G184">
        <v>1.73619254357125</v>
      </c>
      <c r="H184">
        <v>4.5221190344428702E-2</v>
      </c>
      <c r="I184">
        <v>0.82745649229614404</v>
      </c>
      <c r="J184">
        <v>2.11</v>
      </c>
      <c r="K184">
        <v>2554</v>
      </c>
      <c r="L184">
        <v>1186.0122699386502</v>
      </c>
    </row>
    <row r="185" spans="1:12">
      <c r="A185" s="14">
        <v>43602</v>
      </c>
      <c r="B185">
        <v>2576</v>
      </c>
      <c r="C185">
        <v>2534</v>
      </c>
      <c r="D185">
        <v>1493</v>
      </c>
      <c r="E185">
        <v>1483</v>
      </c>
      <c r="F185">
        <v>1.7086985839514399</v>
      </c>
      <c r="G185">
        <v>1.7360769319436899</v>
      </c>
      <c r="H185">
        <v>4.5136383337191902E-2</v>
      </c>
      <c r="I185">
        <v>-0.60656937858113003</v>
      </c>
      <c r="J185">
        <v>-1.6</v>
      </c>
      <c r="K185">
        <v>2534</v>
      </c>
      <c r="L185">
        <v>1221.4279141104294</v>
      </c>
    </row>
    <row r="186" spans="1:12">
      <c r="A186" s="14">
        <v>43601</v>
      </c>
      <c r="B186">
        <v>2573</v>
      </c>
      <c r="C186">
        <v>2543</v>
      </c>
      <c r="D186">
        <v>1512</v>
      </c>
      <c r="E186">
        <v>1481</v>
      </c>
      <c r="F186">
        <v>1.71708305199189</v>
      </c>
      <c r="G186">
        <v>1.73705851724541</v>
      </c>
      <c r="H186">
        <v>4.5330392133204001E-2</v>
      </c>
      <c r="I186">
        <v>-0.44066385295803301</v>
      </c>
      <c r="J186">
        <v>-1.1599999999999999</v>
      </c>
      <c r="K186">
        <v>2543</v>
      </c>
      <c r="L186">
        <v>1219.7806748466257</v>
      </c>
    </row>
    <row r="187" spans="1:12">
      <c r="A187" s="14">
        <v>43600</v>
      </c>
      <c r="B187">
        <v>2670</v>
      </c>
      <c r="C187">
        <v>2600</v>
      </c>
      <c r="D187">
        <v>1520</v>
      </c>
      <c r="E187">
        <v>1511</v>
      </c>
      <c r="F187">
        <v>1.7207147584381199</v>
      </c>
      <c r="G187">
        <v>1.73807913959133</v>
      </c>
      <c r="H187">
        <v>4.5729128753303601E-2</v>
      </c>
      <c r="I187">
        <v>-0.37972254505207398</v>
      </c>
      <c r="J187">
        <v>-1.01</v>
      </c>
      <c r="K187">
        <v>2600</v>
      </c>
      <c r="L187">
        <v>1244.4892638036808</v>
      </c>
    </row>
    <row r="188" spans="1:12">
      <c r="A188" s="14">
        <v>43599</v>
      </c>
      <c r="B188">
        <v>2840</v>
      </c>
      <c r="C188">
        <v>2820</v>
      </c>
      <c r="D188">
        <v>1462</v>
      </c>
      <c r="E188">
        <v>1516</v>
      </c>
      <c r="F188">
        <v>1.8601583113456399</v>
      </c>
      <c r="G188">
        <v>1.73932610665397</v>
      </c>
      <c r="H188">
        <v>4.6507119681890197E-2</v>
      </c>
      <c r="I188">
        <v>2.59814423077948</v>
      </c>
      <c r="J188">
        <v>6.5</v>
      </c>
      <c r="K188">
        <v>2820</v>
      </c>
      <c r="L188">
        <v>1248.6073619631902</v>
      </c>
    </row>
    <row r="189" spans="1:12">
      <c r="A189" s="14">
        <v>43598</v>
      </c>
      <c r="B189">
        <v>2871</v>
      </c>
      <c r="C189">
        <v>2852</v>
      </c>
      <c r="D189">
        <v>1578</v>
      </c>
      <c r="E189">
        <v>1510</v>
      </c>
      <c r="F189">
        <v>1.8887417218542999</v>
      </c>
      <c r="G189">
        <v>1.7387798044396601</v>
      </c>
      <c r="H189">
        <v>4.5309771476279799E-2</v>
      </c>
      <c r="I189">
        <v>3.3097036804334001</v>
      </c>
      <c r="J189">
        <v>7.94</v>
      </c>
      <c r="K189">
        <v>2852</v>
      </c>
      <c r="L189">
        <v>1243.6656441717791</v>
      </c>
    </row>
    <row r="190" spans="1:12">
      <c r="A190" s="14">
        <v>43595</v>
      </c>
      <c r="B190">
        <v>2884</v>
      </c>
      <c r="C190">
        <v>2897</v>
      </c>
      <c r="D190">
        <v>1676</v>
      </c>
      <c r="E190">
        <v>1617</v>
      </c>
      <c r="F190">
        <v>1.79158936301793</v>
      </c>
      <c r="G190">
        <v>1.7380011791827501</v>
      </c>
      <c r="H190">
        <v>4.3177658086067501E-2</v>
      </c>
      <c r="I190">
        <v>1.24110908767582</v>
      </c>
      <c r="J190">
        <v>2.99</v>
      </c>
      <c r="K190">
        <v>2897</v>
      </c>
      <c r="L190">
        <v>1331.7929447852759</v>
      </c>
    </row>
    <row r="191" spans="1:12">
      <c r="A191" s="14">
        <v>43594</v>
      </c>
      <c r="B191">
        <v>2935</v>
      </c>
      <c r="C191">
        <v>2904</v>
      </c>
      <c r="D191">
        <v>1665</v>
      </c>
      <c r="E191">
        <v>1679</v>
      </c>
      <c r="F191">
        <v>1.7296009529481799</v>
      </c>
      <c r="G191">
        <v>1.7383805330064499</v>
      </c>
      <c r="H191">
        <v>4.3767764537689803E-2</v>
      </c>
      <c r="I191">
        <v>-0.20059466484091401</v>
      </c>
      <c r="J191">
        <v>-0.51</v>
      </c>
      <c r="K191">
        <v>2904</v>
      </c>
      <c r="L191">
        <v>1382.8573619631902</v>
      </c>
    </row>
    <row r="192" spans="1:12">
      <c r="A192" s="14">
        <v>43593</v>
      </c>
      <c r="B192">
        <v>2975</v>
      </c>
      <c r="C192">
        <v>2948</v>
      </c>
      <c r="D192">
        <v>1692</v>
      </c>
      <c r="E192">
        <v>1667</v>
      </c>
      <c r="F192">
        <v>1.7684463107378501</v>
      </c>
      <c r="G192">
        <v>1.73976057890854</v>
      </c>
      <c r="H192">
        <v>4.5081257090515102E-2</v>
      </c>
      <c r="I192">
        <v>0.63631171091161498</v>
      </c>
      <c r="J192">
        <v>1.62</v>
      </c>
      <c r="K192">
        <v>2948</v>
      </c>
      <c r="L192">
        <v>1372.9739263803681</v>
      </c>
    </row>
    <row r="193" spans="1:12">
      <c r="A193" s="14">
        <v>43592</v>
      </c>
      <c r="B193">
        <v>3030</v>
      </c>
      <c r="C193">
        <v>3010</v>
      </c>
      <c r="D193">
        <v>1775</v>
      </c>
      <c r="E193">
        <v>1715</v>
      </c>
      <c r="F193">
        <v>1.75510204081632</v>
      </c>
      <c r="G193">
        <v>1.74091518832279</v>
      </c>
      <c r="H193">
        <v>4.6874432982940403E-2</v>
      </c>
      <c r="I193">
        <v>0.30265651423874601</v>
      </c>
      <c r="J193">
        <v>0.81</v>
      </c>
      <c r="K193">
        <v>3010</v>
      </c>
      <c r="L193">
        <v>1412.5076687116564</v>
      </c>
    </row>
    <row r="194" spans="1:12">
      <c r="A194" s="14">
        <v>43581</v>
      </c>
      <c r="B194">
        <v>3000</v>
      </c>
      <c r="C194">
        <v>3030</v>
      </c>
      <c r="D194">
        <v>1768</v>
      </c>
      <c r="E194">
        <v>1785</v>
      </c>
      <c r="F194">
        <v>1.69747899159663</v>
      </c>
      <c r="G194">
        <v>1.74239267981338</v>
      </c>
      <c r="H194">
        <v>4.8996683325523697E-2</v>
      </c>
      <c r="I194">
        <v>-0.91666792869128999</v>
      </c>
      <c r="J194">
        <v>-2.65</v>
      </c>
      <c r="K194">
        <v>3030</v>
      </c>
      <c r="L194">
        <v>1470.1610429447853</v>
      </c>
    </row>
    <row r="195" spans="1:12">
      <c r="A195" s="14">
        <v>43580</v>
      </c>
      <c r="B195">
        <v>3065</v>
      </c>
      <c r="C195">
        <v>3040</v>
      </c>
      <c r="D195">
        <v>1766</v>
      </c>
      <c r="E195">
        <v>1780</v>
      </c>
      <c r="F195">
        <v>1.70786516853932</v>
      </c>
      <c r="G195">
        <v>1.74416389177522</v>
      </c>
      <c r="H195">
        <v>4.9736544386194501E-2</v>
      </c>
      <c r="I195">
        <v>-0.72981996807111205</v>
      </c>
      <c r="J195">
        <v>-2.13</v>
      </c>
      <c r="K195">
        <v>3040</v>
      </c>
      <c r="L195">
        <v>1466.0429447852759</v>
      </c>
    </row>
    <row r="196" spans="1:12">
      <c r="A196" s="14">
        <v>43579</v>
      </c>
      <c r="B196">
        <v>3080</v>
      </c>
      <c r="C196">
        <v>3030</v>
      </c>
      <c r="D196">
        <v>1804</v>
      </c>
      <c r="E196">
        <v>1778</v>
      </c>
      <c r="F196">
        <v>1.70416197975253</v>
      </c>
      <c r="G196">
        <v>1.7461050800839699</v>
      </c>
      <c r="H196">
        <v>5.11042681666245E-2</v>
      </c>
      <c r="I196">
        <v>-0.820735759187328</v>
      </c>
      <c r="J196">
        <v>-2.46</v>
      </c>
      <c r="K196">
        <v>3030</v>
      </c>
      <c r="L196">
        <v>1464.3957055214723</v>
      </c>
    </row>
    <row r="197" spans="1:12">
      <c r="A197" s="14">
        <v>43578</v>
      </c>
      <c r="B197">
        <v>3055</v>
      </c>
      <c r="C197">
        <v>3065</v>
      </c>
      <c r="D197">
        <v>1817</v>
      </c>
      <c r="E197">
        <v>1804</v>
      </c>
      <c r="F197">
        <v>1.6990022172949</v>
      </c>
      <c r="G197">
        <v>1.74815174146263</v>
      </c>
      <c r="H197">
        <v>5.2439798482305101E-2</v>
      </c>
      <c r="I197">
        <v>-0.937256160210442</v>
      </c>
      <c r="J197">
        <v>-2.89</v>
      </c>
      <c r="K197">
        <v>3065</v>
      </c>
      <c r="L197">
        <v>1485.8098159509202</v>
      </c>
    </row>
    <row r="198" spans="1:12">
      <c r="A198" s="14">
        <v>43577</v>
      </c>
      <c r="B198">
        <v>3040</v>
      </c>
      <c r="C198">
        <v>3070</v>
      </c>
      <c r="D198">
        <v>1813</v>
      </c>
      <c r="E198">
        <v>1805</v>
      </c>
      <c r="F198">
        <v>1.7008310249307399</v>
      </c>
      <c r="G198">
        <v>1.7495021029601501</v>
      </c>
      <c r="H198">
        <v>5.2460751535072403E-2</v>
      </c>
      <c r="I198">
        <v>-0.92776173816093499</v>
      </c>
      <c r="J198">
        <v>-2.86</v>
      </c>
      <c r="K198">
        <v>3070</v>
      </c>
      <c r="L198">
        <v>1486.6334355828221</v>
      </c>
    </row>
    <row r="199" spans="1:12">
      <c r="A199" s="14">
        <v>43574</v>
      </c>
      <c r="B199">
        <v>3055</v>
      </c>
      <c r="C199">
        <v>3050</v>
      </c>
      <c r="D199">
        <v>1824</v>
      </c>
      <c r="E199">
        <v>1820</v>
      </c>
      <c r="F199">
        <v>1.6758241758241701</v>
      </c>
      <c r="G199">
        <v>1.7507136358109401</v>
      </c>
      <c r="H199">
        <v>5.2371894261953003E-2</v>
      </c>
      <c r="I199">
        <v>-1.4299551513678801</v>
      </c>
      <c r="J199">
        <v>-4.47</v>
      </c>
      <c r="K199">
        <v>3050</v>
      </c>
      <c r="L199">
        <v>1498.9877300613496</v>
      </c>
    </row>
    <row r="200" spans="1:12">
      <c r="A200" s="14">
        <v>43573</v>
      </c>
      <c r="B200">
        <v>3090</v>
      </c>
      <c r="C200">
        <v>3040</v>
      </c>
      <c r="D200">
        <v>1838</v>
      </c>
      <c r="E200">
        <v>1808</v>
      </c>
      <c r="F200">
        <v>1.68141592920353</v>
      </c>
      <c r="G200">
        <v>1.7520198747160101</v>
      </c>
      <c r="H200">
        <v>5.1705236696712301E-2</v>
      </c>
      <c r="I200">
        <v>-1.3655086026705501</v>
      </c>
      <c r="J200">
        <v>-4.2</v>
      </c>
      <c r="K200">
        <v>3040</v>
      </c>
      <c r="L200">
        <v>1489.1042944785274</v>
      </c>
    </row>
    <row r="201" spans="1:12">
      <c r="A201" s="14">
        <v>43572</v>
      </c>
      <c r="B201">
        <v>3105</v>
      </c>
      <c r="C201">
        <v>3085</v>
      </c>
      <c r="D201">
        <v>1824</v>
      </c>
      <c r="E201">
        <v>1825</v>
      </c>
      <c r="F201">
        <v>1.6904109589041001</v>
      </c>
      <c r="G201">
        <v>1.7527041879391001</v>
      </c>
      <c r="H201">
        <v>5.1102388733696602E-2</v>
      </c>
      <c r="I201">
        <v>-1.2189885948310599</v>
      </c>
      <c r="J201">
        <v>-3.69</v>
      </c>
      <c r="K201">
        <v>3085</v>
      </c>
      <c r="L201">
        <v>1503.1058282208589</v>
      </c>
    </row>
    <row r="202" spans="1:12">
      <c r="A202" s="14">
        <v>43571</v>
      </c>
      <c r="B202">
        <v>3110</v>
      </c>
      <c r="C202">
        <v>3125</v>
      </c>
      <c r="D202">
        <v>1838</v>
      </c>
      <c r="E202">
        <v>1813</v>
      </c>
      <c r="F202">
        <v>1.72366243794815</v>
      </c>
      <c r="G202">
        <v>1.7532568877189101</v>
      </c>
      <c r="H202">
        <v>5.0647808716625199E-2</v>
      </c>
      <c r="I202">
        <v>-0.584318463536042</v>
      </c>
      <c r="J202">
        <v>-1.72</v>
      </c>
      <c r="K202">
        <v>3125</v>
      </c>
      <c r="L202">
        <v>1493.2223926380368</v>
      </c>
    </row>
    <row r="203" spans="1:12">
      <c r="A203" s="14">
        <v>43570</v>
      </c>
      <c r="B203">
        <v>3100</v>
      </c>
      <c r="C203">
        <v>3120</v>
      </c>
      <c r="D203">
        <v>1848</v>
      </c>
      <c r="E203">
        <v>1841</v>
      </c>
      <c r="F203">
        <v>1.69473112438891</v>
      </c>
      <c r="G203">
        <v>1.75403419157657</v>
      </c>
      <c r="H203">
        <v>5.0635004326053799E-2</v>
      </c>
      <c r="I203">
        <v>-1.1711871654199799</v>
      </c>
      <c r="J203">
        <v>-3.5</v>
      </c>
      <c r="K203">
        <v>3120</v>
      </c>
      <c r="L203">
        <v>1516.2837423312883</v>
      </c>
    </row>
    <row r="204" spans="1:12">
      <c r="A204" s="14">
        <v>43567</v>
      </c>
      <c r="B204">
        <v>3100</v>
      </c>
      <c r="C204">
        <v>3090</v>
      </c>
      <c r="D204">
        <v>1808</v>
      </c>
      <c r="E204">
        <v>1799</v>
      </c>
      <c r="F204">
        <v>1.7176209005002701</v>
      </c>
      <c r="G204">
        <v>1.75514764029459</v>
      </c>
      <c r="H204">
        <v>5.0235292876188699E-2</v>
      </c>
      <c r="I204">
        <v>-0.74701942888642103</v>
      </c>
      <c r="J204">
        <v>-2.1800000000000002</v>
      </c>
      <c r="K204">
        <v>3090</v>
      </c>
      <c r="L204">
        <v>1481.6917177914111</v>
      </c>
    </row>
    <row r="205" spans="1:12">
      <c r="A205" s="14">
        <v>43566</v>
      </c>
      <c r="B205">
        <v>3085</v>
      </c>
      <c r="C205">
        <v>3085</v>
      </c>
      <c r="D205">
        <v>1801</v>
      </c>
      <c r="E205">
        <v>1812</v>
      </c>
      <c r="F205">
        <v>1.70253863134657</v>
      </c>
      <c r="G205">
        <v>1.7557915450572501</v>
      </c>
      <c r="H205">
        <v>5.0059352221189402E-2</v>
      </c>
      <c r="I205">
        <v>-1.0637955016952201</v>
      </c>
      <c r="J205">
        <v>-3.13</v>
      </c>
      <c r="K205">
        <v>3085</v>
      </c>
      <c r="L205">
        <v>1492.3987730061349</v>
      </c>
    </row>
    <row r="206" spans="1:12">
      <c r="A206" s="14">
        <v>43565</v>
      </c>
      <c r="B206">
        <v>3040</v>
      </c>
      <c r="C206">
        <v>3060</v>
      </c>
      <c r="D206">
        <v>1800</v>
      </c>
      <c r="E206">
        <v>1811</v>
      </c>
      <c r="F206">
        <v>1.68967421314191</v>
      </c>
      <c r="G206">
        <v>1.7577135619122399</v>
      </c>
      <c r="H206">
        <v>5.07405139890168E-2</v>
      </c>
      <c r="I206">
        <v>-1.3409274644923199</v>
      </c>
      <c r="J206">
        <v>-4.03</v>
      </c>
      <c r="K206">
        <v>3060</v>
      </c>
      <c r="L206">
        <v>1491.575153374233</v>
      </c>
    </row>
    <row r="207" spans="1:12">
      <c r="A207" s="14">
        <v>43564</v>
      </c>
      <c r="B207">
        <v>3080</v>
      </c>
      <c r="C207">
        <v>3090</v>
      </c>
      <c r="D207">
        <v>1826</v>
      </c>
      <c r="E207">
        <v>1828</v>
      </c>
      <c r="F207">
        <v>1.6903719912472599</v>
      </c>
      <c r="G207">
        <v>1.7596770230424701</v>
      </c>
      <c r="H207">
        <v>5.0918541001594902E-2</v>
      </c>
      <c r="I207">
        <v>-1.36109618288234</v>
      </c>
      <c r="J207">
        <v>-4.0999999999999996</v>
      </c>
      <c r="K207">
        <v>3090</v>
      </c>
      <c r="L207">
        <v>1505.5766871165642</v>
      </c>
    </row>
    <row r="208" spans="1:12">
      <c r="A208" s="14">
        <v>43563</v>
      </c>
      <c r="B208">
        <v>3105</v>
      </c>
      <c r="C208">
        <v>3100</v>
      </c>
      <c r="D208">
        <v>1834</v>
      </c>
      <c r="E208">
        <v>1828</v>
      </c>
      <c r="F208">
        <v>1.69584245076586</v>
      </c>
      <c r="G208">
        <v>1.7612377669647701</v>
      </c>
      <c r="H208">
        <v>5.0563041850211099E-2</v>
      </c>
      <c r="I208">
        <v>-1.2933422081811099</v>
      </c>
      <c r="J208">
        <v>-3.86</v>
      </c>
      <c r="K208">
        <v>3100</v>
      </c>
      <c r="L208">
        <v>1505.5766871165642</v>
      </c>
    </row>
    <row r="209" spans="1:12">
      <c r="A209" s="14">
        <v>43560</v>
      </c>
      <c r="B209">
        <v>3080</v>
      </c>
      <c r="C209">
        <v>3080</v>
      </c>
      <c r="D209">
        <v>1818</v>
      </c>
      <c r="E209">
        <v>1818</v>
      </c>
      <c r="F209">
        <v>1.6941694169416901</v>
      </c>
      <c r="G209">
        <v>1.76245060836196</v>
      </c>
      <c r="H209">
        <v>5.0068410626465498E-2</v>
      </c>
      <c r="I209">
        <v>-1.36375791773545</v>
      </c>
      <c r="J209">
        <v>-4.03</v>
      </c>
      <c r="K209">
        <v>3080</v>
      </c>
      <c r="L209">
        <v>1497.340490797546</v>
      </c>
    </row>
    <row r="210" spans="1:12">
      <c r="A210" s="14">
        <v>43559</v>
      </c>
      <c r="B210">
        <v>3090</v>
      </c>
      <c r="C210">
        <v>3075</v>
      </c>
      <c r="D210">
        <v>1808</v>
      </c>
      <c r="E210">
        <v>1805</v>
      </c>
      <c r="F210">
        <v>1.7036011080332401</v>
      </c>
      <c r="G210">
        <v>1.7634485372628299</v>
      </c>
      <c r="H210">
        <v>4.9439457812564098E-2</v>
      </c>
      <c r="I210">
        <v>-1.21051952989637</v>
      </c>
      <c r="J210">
        <v>-3.51</v>
      </c>
      <c r="K210">
        <v>3075</v>
      </c>
      <c r="L210">
        <v>1486.6334355828221</v>
      </c>
    </row>
    <row r="211" spans="1:12">
      <c r="A211" s="14">
        <v>43558</v>
      </c>
      <c r="B211">
        <v>3035</v>
      </c>
      <c r="C211">
        <v>3055</v>
      </c>
      <c r="D211">
        <v>1810</v>
      </c>
      <c r="E211">
        <v>1819</v>
      </c>
      <c r="F211">
        <v>1.6794942275975799</v>
      </c>
      <c r="G211">
        <v>1.7646469997355301</v>
      </c>
      <c r="H211">
        <v>4.90621779260631E-2</v>
      </c>
      <c r="I211">
        <v>-1.73560929696767</v>
      </c>
      <c r="J211">
        <v>-5.07</v>
      </c>
      <c r="K211">
        <v>3055</v>
      </c>
      <c r="L211">
        <v>1498.1641104294479</v>
      </c>
    </row>
    <row r="212" spans="1:12">
      <c r="A212" s="14">
        <v>43557</v>
      </c>
      <c r="B212">
        <v>3100</v>
      </c>
      <c r="C212">
        <v>3060</v>
      </c>
      <c r="D212">
        <v>1800</v>
      </c>
      <c r="E212">
        <v>1788</v>
      </c>
      <c r="F212">
        <v>1.71140939597315</v>
      </c>
      <c r="G212">
        <v>1.76644590289623</v>
      </c>
      <c r="H212">
        <v>4.8375634486820203E-2</v>
      </c>
      <c r="I212">
        <v>-1.13769064751131</v>
      </c>
      <c r="J212">
        <v>-3.22</v>
      </c>
      <c r="K212">
        <v>3060</v>
      </c>
      <c r="L212">
        <v>1472.6319018404906</v>
      </c>
    </row>
    <row r="213" spans="1:12">
      <c r="A213" s="14">
        <v>43556</v>
      </c>
      <c r="B213">
        <v>3095</v>
      </c>
      <c r="C213">
        <v>3090</v>
      </c>
      <c r="D213">
        <v>1759</v>
      </c>
      <c r="E213">
        <v>1776</v>
      </c>
      <c r="F213">
        <v>1.73986486486486</v>
      </c>
      <c r="G213">
        <v>1.7671674015707901</v>
      </c>
      <c r="H213">
        <v>4.7951078646622597E-2</v>
      </c>
      <c r="I213">
        <v>-0.56938316043192505</v>
      </c>
      <c r="J213">
        <v>-1.57</v>
      </c>
      <c r="K213">
        <v>3090</v>
      </c>
      <c r="L213">
        <v>1462.7484662576687</v>
      </c>
    </row>
    <row r="214" spans="1:12">
      <c r="A214" s="14">
        <v>43553</v>
      </c>
      <c r="B214">
        <v>2978</v>
      </c>
      <c r="C214">
        <v>3055</v>
      </c>
      <c r="D214">
        <v>1723</v>
      </c>
      <c r="E214">
        <v>1721</v>
      </c>
      <c r="F214">
        <v>1.7751307379430501</v>
      </c>
      <c r="G214">
        <v>1.76738215796696</v>
      </c>
      <c r="H214">
        <v>4.7864308806392503E-2</v>
      </c>
      <c r="I214">
        <v>0.16188638610527301</v>
      </c>
      <c r="J214">
        <v>0.44</v>
      </c>
      <c r="K214">
        <v>3055</v>
      </c>
      <c r="L214">
        <v>1417.4493865030674</v>
      </c>
    </row>
    <row r="215" spans="1:12">
      <c r="A215" s="14">
        <v>43552</v>
      </c>
      <c r="B215">
        <v>2962</v>
      </c>
      <c r="C215">
        <v>2954</v>
      </c>
      <c r="D215">
        <v>1719</v>
      </c>
      <c r="E215">
        <v>1685</v>
      </c>
      <c r="F215">
        <v>1.75311572700296</v>
      </c>
      <c r="G215">
        <v>1.7670961324314101</v>
      </c>
      <c r="H215">
        <v>4.7881243289579697E-2</v>
      </c>
      <c r="I215">
        <v>-0.29198083566653699</v>
      </c>
      <c r="J215">
        <v>-0.8</v>
      </c>
      <c r="K215">
        <v>2954</v>
      </c>
      <c r="L215">
        <v>1387.7990797546013</v>
      </c>
    </row>
    <row r="216" spans="1:12">
      <c r="A216" s="14">
        <v>43551</v>
      </c>
      <c r="B216">
        <v>2982</v>
      </c>
      <c r="C216">
        <v>3000</v>
      </c>
      <c r="D216">
        <v>1725</v>
      </c>
      <c r="E216">
        <v>1720</v>
      </c>
      <c r="F216">
        <v>1.7441860465116199</v>
      </c>
      <c r="G216">
        <v>1.7669971181403299</v>
      </c>
      <c r="H216">
        <v>4.79177155364141E-2</v>
      </c>
      <c r="I216">
        <v>-0.47604672663025199</v>
      </c>
      <c r="J216">
        <v>-1.31</v>
      </c>
      <c r="K216">
        <v>3000</v>
      </c>
      <c r="L216">
        <v>1416.6257668711655</v>
      </c>
    </row>
    <row r="217" spans="1:12">
      <c r="A217" s="14">
        <v>43550</v>
      </c>
      <c r="B217">
        <v>2944</v>
      </c>
      <c r="C217">
        <v>2999</v>
      </c>
      <c r="D217">
        <v>1726</v>
      </c>
      <c r="E217">
        <v>1740</v>
      </c>
      <c r="F217">
        <v>1.7235632183908001</v>
      </c>
      <c r="G217">
        <v>1.76757463752018</v>
      </c>
      <c r="H217">
        <v>4.7900322642656798E-2</v>
      </c>
      <c r="I217">
        <v>-0.91881258207192096</v>
      </c>
      <c r="J217">
        <v>-2.5499999999999998</v>
      </c>
      <c r="K217">
        <v>2999</v>
      </c>
      <c r="L217">
        <v>1433.0981595092023</v>
      </c>
    </row>
    <row r="218" spans="1:12">
      <c r="A218" s="14">
        <v>43549</v>
      </c>
      <c r="B218">
        <v>2940</v>
      </c>
      <c r="C218">
        <v>2931</v>
      </c>
      <c r="D218">
        <v>1704</v>
      </c>
      <c r="E218">
        <v>1704</v>
      </c>
      <c r="F218">
        <v>1.7200704225352099</v>
      </c>
      <c r="G218">
        <v>1.7678393549267299</v>
      </c>
      <c r="H218">
        <v>4.7710851013200502E-2</v>
      </c>
      <c r="I218">
        <v>-1.00121736202754</v>
      </c>
      <c r="J218">
        <v>-2.78</v>
      </c>
      <c r="K218">
        <v>2931</v>
      </c>
      <c r="L218">
        <v>1403.4478527607362</v>
      </c>
    </row>
    <row r="219" spans="1:12">
      <c r="A219" s="14">
        <v>43546</v>
      </c>
      <c r="B219">
        <v>2974</v>
      </c>
      <c r="C219">
        <v>2970</v>
      </c>
      <c r="D219">
        <v>1764</v>
      </c>
      <c r="E219">
        <v>1754</v>
      </c>
      <c r="F219">
        <v>1.6932725199543801</v>
      </c>
      <c r="G219">
        <v>1.76803751395058</v>
      </c>
      <c r="H219">
        <v>4.7542605863418602E-2</v>
      </c>
      <c r="I219">
        <v>-1.5725893151708401</v>
      </c>
      <c r="J219">
        <v>-4.42</v>
      </c>
      <c r="K219">
        <v>2970</v>
      </c>
      <c r="L219">
        <v>1444.6288343558281</v>
      </c>
    </row>
    <row r="220" spans="1:12">
      <c r="A220" s="14">
        <v>43544</v>
      </c>
      <c r="B220">
        <v>2990</v>
      </c>
      <c r="C220">
        <v>2978</v>
      </c>
      <c r="D220">
        <v>1768</v>
      </c>
      <c r="E220">
        <v>1754</v>
      </c>
      <c r="F220">
        <v>1.69783352337514</v>
      </c>
      <c r="G220">
        <v>1.76846644492308</v>
      </c>
      <c r="H220">
        <v>4.7008254389790997E-2</v>
      </c>
      <c r="I220">
        <v>-1.5025642297255599</v>
      </c>
      <c r="J220">
        <v>-4.16</v>
      </c>
      <c r="K220">
        <v>2978</v>
      </c>
      <c r="L220">
        <v>1444.6288343558281</v>
      </c>
    </row>
    <row r="221" spans="1:12">
      <c r="A221" s="14">
        <v>43543</v>
      </c>
      <c r="B221">
        <v>3015</v>
      </c>
      <c r="C221">
        <v>3000</v>
      </c>
      <c r="D221">
        <v>1761</v>
      </c>
      <c r="E221">
        <v>1768</v>
      </c>
      <c r="F221">
        <v>1.6968325791855201</v>
      </c>
      <c r="G221">
        <v>1.7693065663049199</v>
      </c>
      <c r="H221">
        <v>4.6296058328407698E-2</v>
      </c>
      <c r="I221">
        <v>-1.5654461683390699</v>
      </c>
      <c r="J221">
        <v>-4.2699999999999996</v>
      </c>
      <c r="K221">
        <v>3000</v>
      </c>
      <c r="L221">
        <v>1456.1595092024538</v>
      </c>
    </row>
    <row r="222" spans="1:12">
      <c r="A222" s="14">
        <v>43542</v>
      </c>
      <c r="B222">
        <v>3015</v>
      </c>
      <c r="C222">
        <v>2989</v>
      </c>
      <c r="D222">
        <v>1749</v>
      </c>
      <c r="E222">
        <v>1761</v>
      </c>
      <c r="F222">
        <v>1.69733106189664</v>
      </c>
      <c r="G222">
        <v>1.7699422281702299</v>
      </c>
      <c r="H222">
        <v>4.5618943451034302E-2</v>
      </c>
      <c r="I222">
        <v>-1.5916889077346299</v>
      </c>
      <c r="J222">
        <v>-4.28</v>
      </c>
      <c r="K222">
        <v>2989</v>
      </c>
      <c r="L222">
        <v>1450.3941717791411</v>
      </c>
    </row>
    <row r="223" spans="1:12">
      <c r="A223" s="14">
        <v>43539</v>
      </c>
      <c r="B223">
        <v>2966</v>
      </c>
      <c r="C223">
        <v>2981</v>
      </c>
      <c r="D223">
        <v>1715</v>
      </c>
      <c r="E223">
        <v>1729</v>
      </c>
      <c r="F223">
        <v>1.7241179872758801</v>
      </c>
      <c r="G223">
        <v>1.7700697680346</v>
      </c>
      <c r="H223">
        <v>4.5428736278382301E-2</v>
      </c>
      <c r="I223">
        <v>-1.0115135159633699</v>
      </c>
      <c r="J223">
        <v>-2.67</v>
      </c>
      <c r="K223">
        <v>2981</v>
      </c>
      <c r="L223">
        <v>1424.0383435582821</v>
      </c>
    </row>
    <row r="224" spans="1:12">
      <c r="A224" s="14">
        <v>43538</v>
      </c>
      <c r="B224">
        <v>3000</v>
      </c>
      <c r="C224">
        <v>2958</v>
      </c>
      <c r="D224">
        <v>1739</v>
      </c>
      <c r="E224">
        <v>1700</v>
      </c>
      <c r="F224">
        <v>1.74</v>
      </c>
      <c r="G224">
        <v>1.77012086567837</v>
      </c>
      <c r="H224">
        <v>4.5379149795070899E-2</v>
      </c>
      <c r="I224">
        <v>-0.66376002667304002</v>
      </c>
      <c r="J224">
        <v>-1.73</v>
      </c>
      <c r="K224">
        <v>2958</v>
      </c>
      <c r="L224">
        <v>1400.1533742331287</v>
      </c>
    </row>
    <row r="225" spans="1:12">
      <c r="A225" s="14">
        <v>43537</v>
      </c>
      <c r="B225">
        <v>3010</v>
      </c>
      <c r="C225">
        <v>2984</v>
      </c>
      <c r="D225">
        <v>1711</v>
      </c>
      <c r="E225">
        <v>1714</v>
      </c>
      <c r="F225">
        <v>1.74095682613768</v>
      </c>
      <c r="G225">
        <v>1.77047195445559</v>
      </c>
      <c r="H225">
        <v>4.52464200429833E-2</v>
      </c>
      <c r="I225">
        <v>-0.65231963744020205</v>
      </c>
      <c r="J225">
        <v>-1.7</v>
      </c>
      <c r="K225">
        <v>2984</v>
      </c>
      <c r="L225">
        <v>1411.6840490797545</v>
      </c>
    </row>
    <row r="226" spans="1:12">
      <c r="A226" s="14">
        <v>43536</v>
      </c>
      <c r="B226">
        <v>3030</v>
      </c>
      <c r="C226">
        <v>3020</v>
      </c>
      <c r="D226">
        <v>1702</v>
      </c>
      <c r="E226">
        <v>1722</v>
      </c>
      <c r="F226">
        <v>1.75377468060394</v>
      </c>
      <c r="G226">
        <v>1.7713236172018101</v>
      </c>
      <c r="H226">
        <v>4.5283982094044599E-2</v>
      </c>
      <c r="I226">
        <v>-0.38753077327480601</v>
      </c>
      <c r="J226">
        <v>-1</v>
      </c>
      <c r="K226">
        <v>3020</v>
      </c>
      <c r="L226">
        <v>1418.2730061349694</v>
      </c>
    </row>
    <row r="227" spans="1:12">
      <c r="A227" s="14">
        <v>43535</v>
      </c>
      <c r="B227">
        <v>3000</v>
      </c>
      <c r="C227">
        <v>3005</v>
      </c>
      <c r="D227">
        <v>1634</v>
      </c>
      <c r="E227">
        <v>1672</v>
      </c>
      <c r="F227">
        <v>1.7972488038277501</v>
      </c>
      <c r="G227">
        <v>1.77213282691116</v>
      </c>
      <c r="H227">
        <v>4.5504881064566099E-2</v>
      </c>
      <c r="I227">
        <v>0.55194028264682804</v>
      </c>
      <c r="J227">
        <v>1.4</v>
      </c>
      <c r="K227">
        <v>3005</v>
      </c>
      <c r="L227">
        <v>1377.0920245398772</v>
      </c>
    </row>
    <row r="228" spans="1:12">
      <c r="A228" s="14">
        <v>43532</v>
      </c>
      <c r="B228">
        <v>3020</v>
      </c>
      <c r="C228">
        <v>2987</v>
      </c>
      <c r="D228">
        <v>1680</v>
      </c>
      <c r="E228">
        <v>1632</v>
      </c>
      <c r="F228">
        <v>1.83026960784313</v>
      </c>
      <c r="G228">
        <v>1.7722459426478101</v>
      </c>
      <c r="H228">
        <v>4.55776597439186E-2</v>
      </c>
      <c r="I228">
        <v>1.2730724991439699</v>
      </c>
      <c r="J228">
        <v>3.17</v>
      </c>
      <c r="K228">
        <v>2987</v>
      </c>
      <c r="L228">
        <v>1344.1472392638036</v>
      </c>
    </row>
    <row r="229" spans="1:12">
      <c r="A229" s="14">
        <v>43531</v>
      </c>
      <c r="B229">
        <v>3020</v>
      </c>
      <c r="C229">
        <v>3070</v>
      </c>
      <c r="D229">
        <v>1678</v>
      </c>
      <c r="E229">
        <v>1696</v>
      </c>
      <c r="F229">
        <v>1.8101415094339599</v>
      </c>
      <c r="G229">
        <v>1.77290027137383</v>
      </c>
      <c r="H229">
        <v>4.6743330857263898E-2</v>
      </c>
      <c r="I229">
        <v>0.79671767880306898</v>
      </c>
      <c r="J229">
        <v>2.06</v>
      </c>
      <c r="K229">
        <v>3070</v>
      </c>
      <c r="L229">
        <v>1396.8588957055215</v>
      </c>
    </row>
    <row r="230" spans="1:12">
      <c r="A230" s="14">
        <v>43530</v>
      </c>
      <c r="B230">
        <v>3020</v>
      </c>
      <c r="C230">
        <v>3055</v>
      </c>
      <c r="D230">
        <v>1683</v>
      </c>
      <c r="E230">
        <v>1701</v>
      </c>
      <c r="F230">
        <v>1.7960023515579</v>
      </c>
      <c r="G230">
        <v>1.7740479895354699</v>
      </c>
      <c r="H230">
        <v>4.8661081847932802E-2</v>
      </c>
      <c r="I230">
        <v>0.45116880243311402</v>
      </c>
      <c r="J230">
        <v>1.22</v>
      </c>
      <c r="K230">
        <v>3055</v>
      </c>
      <c r="L230">
        <v>1400.9769938650306</v>
      </c>
    </row>
    <row r="231" spans="1:12">
      <c r="A231" s="14">
        <v>43529</v>
      </c>
      <c r="B231">
        <v>3000</v>
      </c>
      <c r="C231">
        <v>3010</v>
      </c>
      <c r="D231">
        <v>1702</v>
      </c>
      <c r="E231">
        <v>1695</v>
      </c>
      <c r="F231">
        <v>1.77581120943952</v>
      </c>
      <c r="G231">
        <v>1.7754173088307199</v>
      </c>
      <c r="H231">
        <v>5.0663384848112197E-2</v>
      </c>
      <c r="I231">
        <v>7.7748577199944499E-3</v>
      </c>
      <c r="J231">
        <v>0.02</v>
      </c>
      <c r="K231">
        <v>3010</v>
      </c>
      <c r="L231">
        <v>1396.0352760736196</v>
      </c>
    </row>
    <row r="232" spans="1:12">
      <c r="A232" s="14">
        <v>43528</v>
      </c>
      <c r="B232">
        <v>3055</v>
      </c>
      <c r="C232">
        <v>3005</v>
      </c>
      <c r="D232">
        <v>1673</v>
      </c>
      <c r="E232">
        <v>1700</v>
      </c>
      <c r="F232">
        <v>1.76764705882352</v>
      </c>
      <c r="G232">
        <v>1.77706356704538</v>
      </c>
      <c r="H232">
        <v>5.2617751572891697E-2</v>
      </c>
      <c r="I232">
        <v>-0.178960672783855</v>
      </c>
      <c r="J232">
        <v>-0.53</v>
      </c>
      <c r="K232">
        <v>3005</v>
      </c>
      <c r="L232">
        <v>1400.1533742331287</v>
      </c>
    </row>
    <row r="233" spans="1:12">
      <c r="A233" s="14">
        <v>43525</v>
      </c>
      <c r="B233">
        <v>3005</v>
      </c>
      <c r="C233">
        <v>3040</v>
      </c>
      <c r="D233">
        <v>1668</v>
      </c>
      <c r="E233">
        <v>1637</v>
      </c>
      <c r="F233">
        <v>1.8570555894929699</v>
      </c>
      <c r="G233">
        <v>1.7788842659286099</v>
      </c>
      <c r="H233">
        <v>5.4586119260397199E-2</v>
      </c>
      <c r="I233">
        <v>1.43207329305554</v>
      </c>
      <c r="J233">
        <v>4.21</v>
      </c>
      <c r="K233">
        <v>3040</v>
      </c>
      <c r="L233">
        <v>1348.2653374233128</v>
      </c>
    </row>
    <row r="234" spans="1:12">
      <c r="A234" s="14">
        <v>43524</v>
      </c>
      <c r="B234">
        <v>3005</v>
      </c>
      <c r="C234">
        <v>3005</v>
      </c>
      <c r="D234">
        <v>1638</v>
      </c>
      <c r="E234">
        <v>1643</v>
      </c>
      <c r="F234">
        <v>1.8289713937918399</v>
      </c>
      <c r="G234">
        <v>1.7794016618634401</v>
      </c>
      <c r="H234">
        <v>5.5500857281000002E-2</v>
      </c>
      <c r="I234">
        <v>0.89313452722766895</v>
      </c>
      <c r="J234">
        <v>2.71</v>
      </c>
      <c r="K234">
        <v>3005</v>
      </c>
      <c r="L234">
        <v>1353.2070552147238</v>
      </c>
    </row>
    <row r="235" spans="1:12">
      <c r="A235" s="14">
        <v>43523</v>
      </c>
      <c r="B235">
        <v>2896</v>
      </c>
      <c r="C235">
        <v>2954</v>
      </c>
      <c r="D235">
        <v>1650</v>
      </c>
      <c r="E235">
        <v>1646</v>
      </c>
      <c r="F235">
        <v>1.7946537059538199</v>
      </c>
      <c r="G235">
        <v>1.7796781395710299</v>
      </c>
      <c r="H235">
        <v>5.5797953053054898E-2</v>
      </c>
      <c r="I235">
        <v>0.26838917134746099</v>
      </c>
      <c r="J235">
        <v>0.83</v>
      </c>
      <c r="K235">
        <v>2954</v>
      </c>
      <c r="L235">
        <v>1355.6779141104294</v>
      </c>
    </row>
    <row r="236" spans="1:12">
      <c r="A236" s="14">
        <v>43522</v>
      </c>
      <c r="B236">
        <v>2876</v>
      </c>
      <c r="C236">
        <v>2877</v>
      </c>
      <c r="D236">
        <v>1659</v>
      </c>
      <c r="E236">
        <v>1643</v>
      </c>
      <c r="F236">
        <v>1.7510651247717499</v>
      </c>
      <c r="G236">
        <v>1.7801135132672099</v>
      </c>
      <c r="H236">
        <v>5.6039969835659502E-2</v>
      </c>
      <c r="I236">
        <v>-0.51835125144851701</v>
      </c>
      <c r="J236">
        <v>-1.66</v>
      </c>
      <c r="K236">
        <v>2877</v>
      </c>
      <c r="L236">
        <v>1353.2070552147238</v>
      </c>
    </row>
    <row r="237" spans="1:12">
      <c r="A237" s="14">
        <v>43521</v>
      </c>
      <c r="B237">
        <v>2894</v>
      </c>
      <c r="C237">
        <v>2869</v>
      </c>
      <c r="D237">
        <v>1677</v>
      </c>
      <c r="E237">
        <v>1661</v>
      </c>
      <c r="F237">
        <v>1.72727272727272</v>
      </c>
      <c r="G237">
        <v>1.7824784545210399</v>
      </c>
      <c r="H237">
        <v>5.8454776045107397E-2</v>
      </c>
      <c r="I237">
        <v>-0.944417735955697</v>
      </c>
      <c r="J237">
        <v>-3.2</v>
      </c>
      <c r="K237">
        <v>2869</v>
      </c>
      <c r="L237">
        <v>1368.032208588957</v>
      </c>
    </row>
    <row r="238" spans="1:12">
      <c r="A238" s="14">
        <v>43518</v>
      </c>
      <c r="B238">
        <v>2839</v>
      </c>
      <c r="C238">
        <v>2853</v>
      </c>
      <c r="D238">
        <v>1631</v>
      </c>
      <c r="E238">
        <v>1652</v>
      </c>
      <c r="F238">
        <v>1.72699757869249</v>
      </c>
      <c r="G238">
        <v>1.7865970686597501</v>
      </c>
      <c r="H238">
        <v>6.4942123188746398E-2</v>
      </c>
      <c r="I238">
        <v>-0.91773239064020495</v>
      </c>
      <c r="J238">
        <v>-3.45</v>
      </c>
      <c r="K238">
        <v>2853</v>
      </c>
      <c r="L238">
        <v>1360.6196319018404</v>
      </c>
    </row>
    <row r="239" spans="1:12">
      <c r="A239" s="14">
        <v>43517</v>
      </c>
      <c r="B239">
        <v>2905</v>
      </c>
      <c r="C239">
        <v>2875</v>
      </c>
      <c r="D239">
        <v>1650</v>
      </c>
      <c r="E239">
        <v>1651</v>
      </c>
      <c r="F239">
        <v>1.74136886735311</v>
      </c>
      <c r="G239">
        <v>1.7906183126524899</v>
      </c>
      <c r="H239">
        <v>7.0247854221316894E-2</v>
      </c>
      <c r="I239">
        <v>-0.70108113401183503</v>
      </c>
      <c r="J239">
        <v>-2.83</v>
      </c>
      <c r="K239">
        <v>2875</v>
      </c>
      <c r="L239">
        <v>1359.7960122699385</v>
      </c>
    </row>
    <row r="240" spans="1:12">
      <c r="A240" s="14">
        <v>43516</v>
      </c>
      <c r="B240">
        <v>2918</v>
      </c>
      <c r="C240">
        <v>2918</v>
      </c>
      <c r="D240">
        <v>1655</v>
      </c>
      <c r="E240">
        <v>1662</v>
      </c>
      <c r="F240">
        <v>1.7557160048134699</v>
      </c>
      <c r="G240">
        <v>1.7942767734165499</v>
      </c>
      <c r="H240">
        <v>7.4597905454109201E-2</v>
      </c>
      <c r="I240">
        <v>-0.51691489685057102</v>
      </c>
      <c r="J240">
        <v>-2.2000000000000002</v>
      </c>
      <c r="K240">
        <v>2918</v>
      </c>
      <c r="L240">
        <v>1368.8558282208589</v>
      </c>
    </row>
    <row r="241" spans="1:12">
      <c r="A241" s="14">
        <v>43515</v>
      </c>
      <c r="B241">
        <v>2849</v>
      </c>
      <c r="C241">
        <v>2907</v>
      </c>
      <c r="D241">
        <v>1636</v>
      </c>
      <c r="E241">
        <v>1652</v>
      </c>
      <c r="F241">
        <v>1.7596852300242101</v>
      </c>
      <c r="G241">
        <v>1.7981775715132899</v>
      </c>
      <c r="H241">
        <v>7.9937554760962898E-2</v>
      </c>
      <c r="I241">
        <v>-0.481530134417889</v>
      </c>
      <c r="J241">
        <v>-2.19</v>
      </c>
      <c r="K241">
        <v>2907</v>
      </c>
      <c r="L241">
        <v>1360.6196319018404</v>
      </c>
    </row>
    <row r="242" spans="1:12">
      <c r="A242" s="14">
        <v>43514</v>
      </c>
      <c r="B242">
        <v>2823</v>
      </c>
      <c r="C242">
        <v>2809</v>
      </c>
      <c r="D242">
        <v>1643</v>
      </c>
      <c r="E242">
        <v>1649</v>
      </c>
      <c r="F242">
        <v>1.70345664038811</v>
      </c>
      <c r="G242">
        <v>1.8022651928543201</v>
      </c>
      <c r="H242">
        <v>8.5508879053177902E-2</v>
      </c>
      <c r="I242">
        <v>-1.15553558367616</v>
      </c>
      <c r="J242">
        <v>-5.8</v>
      </c>
      <c r="K242">
        <v>2809</v>
      </c>
      <c r="L242">
        <v>1358.1487730061349</v>
      </c>
    </row>
    <row r="243" spans="1:12">
      <c r="A243" s="14">
        <v>43511</v>
      </c>
      <c r="B243">
        <v>2800</v>
      </c>
      <c r="C243">
        <v>2773</v>
      </c>
      <c r="D243">
        <v>1610</v>
      </c>
      <c r="E243">
        <v>1609</v>
      </c>
      <c r="F243">
        <v>1.7234307022995601</v>
      </c>
      <c r="G243">
        <v>1.80684902557565</v>
      </c>
      <c r="H243">
        <v>8.9223188151496893E-2</v>
      </c>
      <c r="I243">
        <v>-0.93493995231879701</v>
      </c>
      <c r="J243">
        <v>-4.84</v>
      </c>
      <c r="K243">
        <v>2773</v>
      </c>
      <c r="L243">
        <v>1325.2039877300613</v>
      </c>
    </row>
    <row r="244" spans="1:12">
      <c r="A244" s="14">
        <v>43510</v>
      </c>
      <c r="B244">
        <v>2779</v>
      </c>
      <c r="C244">
        <v>2792</v>
      </c>
      <c r="D244">
        <v>1629</v>
      </c>
      <c r="E244">
        <v>1626</v>
      </c>
      <c r="F244">
        <v>1.7170971709717</v>
      </c>
      <c r="G244">
        <v>1.8102874753181899</v>
      </c>
      <c r="H244">
        <v>9.0895628004311405E-2</v>
      </c>
      <c r="I244">
        <v>-1.0252451783716301</v>
      </c>
      <c r="J244">
        <v>-5.43</v>
      </c>
      <c r="K244">
        <v>2792</v>
      </c>
      <c r="L244">
        <v>1339.2055214723925</v>
      </c>
    </row>
    <row r="245" spans="1:12">
      <c r="A245" s="14">
        <v>43509</v>
      </c>
      <c r="B245">
        <v>2815</v>
      </c>
      <c r="C245">
        <v>2789</v>
      </c>
      <c r="D245">
        <v>1599</v>
      </c>
      <c r="E245">
        <v>1604</v>
      </c>
      <c r="F245">
        <v>1.73877805486284</v>
      </c>
      <c r="G245">
        <v>1.81326349313807</v>
      </c>
      <c r="H245">
        <v>9.1448005173988101E-2</v>
      </c>
      <c r="I245">
        <v>-0.814511351379542</v>
      </c>
      <c r="J245">
        <v>-4.28</v>
      </c>
      <c r="K245">
        <v>2789</v>
      </c>
      <c r="L245">
        <v>1321.0858895705521</v>
      </c>
    </row>
    <row r="246" spans="1:12">
      <c r="A246" s="14">
        <v>43508</v>
      </c>
      <c r="B246">
        <v>2717</v>
      </c>
      <c r="C246">
        <v>2802</v>
      </c>
      <c r="D246">
        <v>1539</v>
      </c>
      <c r="E246">
        <v>1577</v>
      </c>
      <c r="F246">
        <v>1.7767913760304299</v>
      </c>
      <c r="G246">
        <v>1.81601266045326</v>
      </c>
      <c r="H246">
        <v>9.2263090855258204E-2</v>
      </c>
      <c r="I246">
        <v>-0.42510265003321102</v>
      </c>
      <c r="J246">
        <v>-2.21</v>
      </c>
      <c r="K246">
        <v>2802</v>
      </c>
      <c r="L246">
        <v>1298.8481595092023</v>
      </c>
    </row>
    <row r="247" spans="1:12">
      <c r="A247" s="14">
        <v>43504</v>
      </c>
      <c r="B247">
        <v>2692</v>
      </c>
      <c r="C247">
        <v>2719</v>
      </c>
      <c r="D247">
        <v>1553</v>
      </c>
      <c r="E247">
        <v>1524</v>
      </c>
      <c r="F247">
        <v>1.7841207349081301</v>
      </c>
      <c r="G247">
        <v>1.8175954988092999</v>
      </c>
      <c r="H247">
        <v>9.2594351581461995E-2</v>
      </c>
      <c r="I247">
        <v>-0.36152058229731299</v>
      </c>
      <c r="J247">
        <v>-1.88</v>
      </c>
      <c r="K247">
        <v>2719</v>
      </c>
      <c r="L247">
        <v>1255.1963190184049</v>
      </c>
    </row>
    <row r="248" spans="1:12">
      <c r="A248" s="14">
        <v>43503</v>
      </c>
      <c r="B248">
        <v>2721</v>
      </c>
      <c r="C248">
        <v>2706</v>
      </c>
      <c r="D248">
        <v>1614</v>
      </c>
      <c r="E248">
        <v>1571</v>
      </c>
      <c r="F248">
        <v>1.7224697644812199</v>
      </c>
      <c r="G248">
        <v>1.8193236257460501</v>
      </c>
      <c r="H248">
        <v>9.3161214799384898E-2</v>
      </c>
      <c r="I248">
        <v>-1.0396371652451999</v>
      </c>
      <c r="J248">
        <v>-5.62</v>
      </c>
      <c r="K248">
        <v>2706</v>
      </c>
      <c r="L248">
        <v>1293.9064417177913</v>
      </c>
    </row>
    <row r="249" spans="1:12">
      <c r="A249" s="14">
        <v>43502</v>
      </c>
      <c r="B249">
        <v>2744</v>
      </c>
      <c r="C249">
        <v>2722</v>
      </c>
      <c r="D249">
        <v>1616</v>
      </c>
      <c r="E249">
        <v>1623</v>
      </c>
      <c r="F249">
        <v>1.67714109673444</v>
      </c>
      <c r="G249">
        <v>1.8218840041031501</v>
      </c>
      <c r="H249">
        <v>9.3102935748885202E-2</v>
      </c>
      <c r="I249">
        <v>-1.5546546003566499</v>
      </c>
      <c r="J249">
        <v>-8.6300000000000008</v>
      </c>
      <c r="K249">
        <v>2722</v>
      </c>
      <c r="L249">
        <v>1336.734662576687</v>
      </c>
    </row>
    <row r="250" spans="1:12">
      <c r="A250" s="14">
        <v>43501</v>
      </c>
      <c r="B250">
        <v>2745</v>
      </c>
      <c r="C250">
        <v>2714</v>
      </c>
      <c r="D250">
        <v>1615</v>
      </c>
      <c r="E250">
        <v>1622</v>
      </c>
      <c r="F250">
        <v>1.67324290998766</v>
      </c>
      <c r="G250">
        <v>1.825211345871</v>
      </c>
      <c r="H250">
        <v>9.2326634522500006E-2</v>
      </c>
      <c r="I250">
        <v>-1.64598695348636</v>
      </c>
      <c r="J250">
        <v>-9.08</v>
      </c>
      <c r="K250">
        <v>2714</v>
      </c>
      <c r="L250">
        <v>1335.9110429447853</v>
      </c>
    </row>
    <row r="251" spans="1:12">
      <c r="A251" s="14">
        <v>43500</v>
      </c>
      <c r="B251">
        <v>2682</v>
      </c>
      <c r="C251">
        <v>2737</v>
      </c>
      <c r="D251">
        <v>1560</v>
      </c>
      <c r="E251">
        <v>1591</v>
      </c>
      <c r="F251">
        <v>1.72030169704588</v>
      </c>
      <c r="G251">
        <v>1.82909635039829</v>
      </c>
      <c r="H251">
        <v>9.1979957450143604E-2</v>
      </c>
      <c r="I251">
        <v>-1.1828082591947999</v>
      </c>
      <c r="J251">
        <v>-6.32</v>
      </c>
      <c r="K251">
        <v>2737</v>
      </c>
      <c r="L251">
        <v>1310.3788343558281</v>
      </c>
    </row>
    <row r="252" spans="1:12">
      <c r="A252" s="14">
        <v>43497</v>
      </c>
      <c r="B252">
        <v>2680</v>
      </c>
      <c r="C252">
        <v>2657</v>
      </c>
      <c r="D252">
        <v>1536</v>
      </c>
      <c r="E252">
        <v>1553</v>
      </c>
      <c r="F252">
        <v>1.71088216355441</v>
      </c>
      <c r="G252">
        <v>1.8332582310789001</v>
      </c>
      <c r="H252">
        <v>9.4002682939482607E-2</v>
      </c>
      <c r="I252">
        <v>-1.3018359018889001</v>
      </c>
      <c r="J252">
        <v>-7.15</v>
      </c>
      <c r="K252">
        <v>2657</v>
      </c>
      <c r="L252">
        <v>1279.0812883435583</v>
      </c>
    </row>
    <row r="253" spans="1:12">
      <c r="A253" s="14">
        <v>43496</v>
      </c>
      <c r="B253">
        <v>2656</v>
      </c>
      <c r="C253">
        <v>2670</v>
      </c>
      <c r="D253">
        <v>1557</v>
      </c>
      <c r="E253">
        <v>1543</v>
      </c>
      <c r="F253">
        <v>1.7303953337653899</v>
      </c>
      <c r="G253">
        <v>1.8378296272263599</v>
      </c>
      <c r="H253">
        <v>9.6250051818762603E-2</v>
      </c>
      <c r="I253">
        <v>-1.11619985060657</v>
      </c>
      <c r="J253">
        <v>-6.21</v>
      </c>
      <c r="K253">
        <v>2670</v>
      </c>
      <c r="L253">
        <v>1270.8450920245398</v>
      </c>
    </row>
    <row r="254" spans="1:12">
      <c r="A254" s="14">
        <v>43495</v>
      </c>
      <c r="B254">
        <v>2642</v>
      </c>
      <c r="C254">
        <v>2623</v>
      </c>
      <c r="D254">
        <v>1543</v>
      </c>
      <c r="E254">
        <v>1535</v>
      </c>
      <c r="F254">
        <v>1.7087947882736101</v>
      </c>
      <c r="G254">
        <v>1.8418756381607799</v>
      </c>
      <c r="H254">
        <v>9.8010749178792295E-2</v>
      </c>
      <c r="I254">
        <v>-1.35781892294687</v>
      </c>
      <c r="J254">
        <v>-7.79</v>
      </c>
      <c r="K254">
        <v>2623</v>
      </c>
      <c r="L254">
        <v>1264.2561349693251</v>
      </c>
    </row>
    <row r="255" spans="1:12">
      <c r="A255" s="14">
        <v>43494</v>
      </c>
      <c r="B255">
        <v>2619</v>
      </c>
      <c r="C255">
        <v>2652</v>
      </c>
      <c r="D255">
        <v>1529</v>
      </c>
      <c r="E255">
        <v>1534</v>
      </c>
      <c r="F255">
        <v>1.72881355932203</v>
      </c>
      <c r="G255">
        <v>1.8453714335674301</v>
      </c>
      <c r="H255">
        <v>9.7877389809666496E-2</v>
      </c>
      <c r="I255">
        <v>-1.19085597268235</v>
      </c>
      <c r="J255">
        <v>-6.74</v>
      </c>
      <c r="K255">
        <v>2652</v>
      </c>
      <c r="L255">
        <v>1263.4325153374232</v>
      </c>
    </row>
    <row r="256" spans="1:12">
      <c r="A256" s="14">
        <v>43493</v>
      </c>
      <c r="B256">
        <v>2647</v>
      </c>
      <c r="C256">
        <v>2632</v>
      </c>
      <c r="D256">
        <v>1541</v>
      </c>
      <c r="E256">
        <v>1529</v>
      </c>
      <c r="F256">
        <v>1.72138652714192</v>
      </c>
      <c r="G256">
        <v>1.8472352618777199</v>
      </c>
      <c r="H256">
        <v>9.6966803835846299E-2</v>
      </c>
      <c r="I256">
        <v>-1.2978537990057799</v>
      </c>
      <c r="J256">
        <v>-7.31</v>
      </c>
      <c r="K256">
        <v>2632</v>
      </c>
      <c r="L256">
        <v>1259.314417177914</v>
      </c>
    </row>
    <row r="257" spans="1:12">
      <c r="A257" s="14">
        <v>43490</v>
      </c>
      <c r="B257">
        <v>2667</v>
      </c>
      <c r="C257">
        <v>2666</v>
      </c>
      <c r="D257">
        <v>1529</v>
      </c>
      <c r="E257">
        <v>1542</v>
      </c>
      <c r="F257">
        <v>1.7289234760051799</v>
      </c>
      <c r="G257">
        <v>1.8488507853834</v>
      </c>
      <c r="H257">
        <v>9.5859645662269802E-2</v>
      </c>
      <c r="I257">
        <v>-1.2510719036114399</v>
      </c>
      <c r="J257">
        <v>-6.94</v>
      </c>
      <c r="K257">
        <v>2666</v>
      </c>
      <c r="L257">
        <v>1270.0214723926381</v>
      </c>
    </row>
    <row r="258" spans="1:12">
      <c r="A258" s="14">
        <v>43489</v>
      </c>
      <c r="B258">
        <v>2658</v>
      </c>
      <c r="C258">
        <v>2667</v>
      </c>
      <c r="D258">
        <v>1502</v>
      </c>
      <c r="E258">
        <v>1520</v>
      </c>
      <c r="F258">
        <v>1.7546052631578899</v>
      </c>
      <c r="G258">
        <v>1.8507609348324601</v>
      </c>
      <c r="H258">
        <v>9.48731529281963E-2</v>
      </c>
      <c r="I258">
        <v>-1.0135182473311699</v>
      </c>
      <c r="J258">
        <v>-5.48</v>
      </c>
      <c r="K258">
        <v>2667</v>
      </c>
      <c r="L258">
        <v>1251.9018404907974</v>
      </c>
    </row>
    <row r="259" spans="1:12">
      <c r="A259" s="14">
        <v>43488</v>
      </c>
      <c r="B259">
        <v>2630</v>
      </c>
      <c r="C259">
        <v>2658</v>
      </c>
      <c r="D259">
        <v>1485</v>
      </c>
      <c r="E259">
        <v>1506</v>
      </c>
      <c r="F259">
        <v>1.76494023904382</v>
      </c>
      <c r="G259">
        <v>1.8526089164369499</v>
      </c>
      <c r="H259">
        <v>9.4330482806317603E-2</v>
      </c>
      <c r="I259">
        <v>-0.92937802060378405</v>
      </c>
      <c r="J259">
        <v>-4.97</v>
      </c>
      <c r="K259">
        <v>2658</v>
      </c>
      <c r="L259">
        <v>1240.3711656441717</v>
      </c>
    </row>
    <row r="260" spans="1:12">
      <c r="A260" s="14">
        <v>43487</v>
      </c>
      <c r="B260">
        <v>2692</v>
      </c>
      <c r="C260">
        <v>2661</v>
      </c>
      <c r="D260">
        <v>1513</v>
      </c>
      <c r="E260">
        <v>1493</v>
      </c>
      <c r="F260">
        <v>1.7823174815807099</v>
      </c>
      <c r="G260">
        <v>1.8544097132496999</v>
      </c>
      <c r="H260">
        <v>9.3927979615861801E-2</v>
      </c>
      <c r="I260">
        <v>-0.76752669400358597</v>
      </c>
      <c r="J260">
        <v>-4.04</v>
      </c>
      <c r="K260">
        <v>2661</v>
      </c>
      <c r="L260">
        <v>1229.6641104294479</v>
      </c>
    </row>
    <row r="261" spans="1:12">
      <c r="A261" s="14">
        <v>43486</v>
      </c>
      <c r="B261">
        <v>2726</v>
      </c>
      <c r="C261">
        <v>2703</v>
      </c>
      <c r="D261">
        <v>1498</v>
      </c>
      <c r="E261">
        <v>1507</v>
      </c>
      <c r="F261">
        <v>1.7936297279362901</v>
      </c>
      <c r="G261">
        <v>1.8559476244114701</v>
      </c>
      <c r="H261">
        <v>9.3678946909469304E-2</v>
      </c>
      <c r="I261">
        <v>-0.66522840543248896</v>
      </c>
      <c r="J261">
        <v>-3.47</v>
      </c>
      <c r="K261">
        <v>2703</v>
      </c>
      <c r="L261">
        <v>1241.1947852760736</v>
      </c>
    </row>
    <row r="262" spans="1:12">
      <c r="A262" s="14">
        <v>43483</v>
      </c>
      <c r="B262">
        <v>2641</v>
      </c>
      <c r="C262">
        <v>2676</v>
      </c>
      <c r="D262">
        <v>1458</v>
      </c>
      <c r="E262">
        <v>1475</v>
      </c>
      <c r="F262">
        <v>1.8142372881355899</v>
      </c>
      <c r="G262">
        <v>1.8581395193941701</v>
      </c>
      <c r="H262">
        <v>9.4117386238454198E-2</v>
      </c>
      <c r="I262">
        <v>-0.46646249979102</v>
      </c>
      <c r="J262">
        <v>-2.42</v>
      </c>
      <c r="K262">
        <v>2676</v>
      </c>
      <c r="L262">
        <v>1214.8389570552147</v>
      </c>
    </row>
    <row r="263" spans="1:12">
      <c r="A263" s="14">
        <v>43482</v>
      </c>
      <c r="B263">
        <v>2659</v>
      </c>
      <c r="C263">
        <v>2636</v>
      </c>
      <c r="D263">
        <v>1457</v>
      </c>
      <c r="E263">
        <v>1449</v>
      </c>
      <c r="F263">
        <v>1.8191856452726001</v>
      </c>
      <c r="G263">
        <v>1.85954695851027</v>
      </c>
      <c r="H263">
        <v>9.4239526936909707E-2</v>
      </c>
      <c r="I263">
        <v>-0.42828433619681799</v>
      </c>
      <c r="J263">
        <v>-2.2200000000000002</v>
      </c>
      <c r="K263">
        <v>2636</v>
      </c>
      <c r="L263">
        <v>1193.4248466257668</v>
      </c>
    </row>
    <row r="264" spans="1:12">
      <c r="A264" s="14">
        <v>43481</v>
      </c>
      <c r="B264">
        <v>2697</v>
      </c>
      <c r="C264">
        <v>2654</v>
      </c>
      <c r="D264">
        <v>1477</v>
      </c>
      <c r="E264">
        <v>1450</v>
      </c>
      <c r="F264">
        <v>1.8303448275862</v>
      </c>
      <c r="G264">
        <v>1.8605850444838099</v>
      </c>
      <c r="H264">
        <v>9.4218020968108704E-2</v>
      </c>
      <c r="I264">
        <v>-0.32096000942159397</v>
      </c>
      <c r="J264">
        <v>-1.65</v>
      </c>
      <c r="K264">
        <v>2654</v>
      </c>
      <c r="L264">
        <v>1194.2484662576687</v>
      </c>
    </row>
    <row r="265" spans="1:12">
      <c r="A265" s="14">
        <v>43480</v>
      </c>
      <c r="B265">
        <v>2650</v>
      </c>
      <c r="C265">
        <v>2670</v>
      </c>
      <c r="D265">
        <v>1435</v>
      </c>
      <c r="E265">
        <v>1467</v>
      </c>
      <c r="F265">
        <v>1.8200408997955</v>
      </c>
      <c r="G265">
        <v>1.8616377932105399</v>
      </c>
      <c r="H265">
        <v>9.43153088672148E-2</v>
      </c>
      <c r="I265">
        <v>-0.44104073786803799</v>
      </c>
      <c r="J265">
        <v>-2.29</v>
      </c>
      <c r="K265">
        <v>2670</v>
      </c>
      <c r="L265">
        <v>1208.25</v>
      </c>
    </row>
    <row r="266" spans="1:12">
      <c r="A266" s="14">
        <v>43476</v>
      </c>
      <c r="B266">
        <v>2661</v>
      </c>
      <c r="C266">
        <v>2669</v>
      </c>
      <c r="D266">
        <v>1450</v>
      </c>
      <c r="E266">
        <v>1456</v>
      </c>
      <c r="F266">
        <v>1.83310439560439</v>
      </c>
      <c r="G266">
        <v>1.8626125479186499</v>
      </c>
      <c r="H266">
        <v>9.4258128615799394E-2</v>
      </c>
      <c r="I266">
        <v>-0.31305684451404803</v>
      </c>
      <c r="J266">
        <v>-1.61</v>
      </c>
      <c r="K266">
        <v>2669</v>
      </c>
      <c r="L266">
        <v>1199.1901840490798</v>
      </c>
    </row>
    <row r="267" spans="1:12">
      <c r="A267" s="14">
        <v>43475</v>
      </c>
      <c r="B267">
        <v>2630</v>
      </c>
      <c r="C267">
        <v>2649</v>
      </c>
      <c r="D267">
        <v>1411</v>
      </c>
      <c r="E267">
        <v>1428</v>
      </c>
      <c r="F267">
        <v>1.8550420168067201</v>
      </c>
      <c r="G267">
        <v>1.8638910770818</v>
      </c>
      <c r="H267">
        <v>9.4499226813444498E-2</v>
      </c>
      <c r="I267">
        <v>-9.3641615635098693E-2</v>
      </c>
      <c r="J267">
        <v>-0.48</v>
      </c>
      <c r="K267">
        <v>2649</v>
      </c>
      <c r="L267">
        <v>1176.1288343558281</v>
      </c>
    </row>
    <row r="268" spans="1:12">
      <c r="A268" s="14">
        <v>43474</v>
      </c>
      <c r="B268">
        <v>2694</v>
      </c>
      <c r="C268">
        <v>2644</v>
      </c>
      <c r="D268">
        <v>1440</v>
      </c>
      <c r="E268">
        <v>1417</v>
      </c>
      <c r="F268">
        <v>1.86591390261115</v>
      </c>
      <c r="G268">
        <v>1.86518656486102</v>
      </c>
      <c r="H268">
        <v>9.5033517901965098E-2</v>
      </c>
      <c r="I268">
        <v>7.65348654017565E-3</v>
      </c>
      <c r="J268">
        <v>0.04</v>
      </c>
      <c r="K268">
        <v>2644</v>
      </c>
      <c r="L268">
        <v>1167.0690184049079</v>
      </c>
    </row>
    <row r="269" spans="1:12">
      <c r="A269" s="14">
        <v>43473</v>
      </c>
      <c r="B269">
        <v>2650</v>
      </c>
      <c r="C269">
        <v>2632</v>
      </c>
      <c r="D269">
        <v>1453</v>
      </c>
      <c r="E269">
        <v>1438</v>
      </c>
      <c r="F269">
        <v>1.8303198887343499</v>
      </c>
      <c r="G269">
        <v>1.86690661159791</v>
      </c>
      <c r="H269">
        <v>9.6191502390675504E-2</v>
      </c>
      <c r="I269">
        <v>-0.38035296210434399</v>
      </c>
      <c r="J269">
        <v>-2</v>
      </c>
      <c r="K269">
        <v>2632</v>
      </c>
      <c r="L269">
        <v>1184.3650306748466</v>
      </c>
    </row>
    <row r="270" spans="1:12">
      <c r="A270" s="14">
        <v>43472</v>
      </c>
      <c r="B270">
        <v>2637</v>
      </c>
      <c r="C270">
        <v>2656</v>
      </c>
      <c r="D270">
        <v>1433</v>
      </c>
      <c r="E270">
        <v>1433</v>
      </c>
      <c r="F270">
        <v>1.8534542916957399</v>
      </c>
      <c r="G270">
        <v>1.8690506448717701</v>
      </c>
      <c r="H270">
        <v>9.7139527752870394E-2</v>
      </c>
      <c r="I270">
        <v>-0.160556197222925</v>
      </c>
      <c r="J270">
        <v>-0.84</v>
      </c>
      <c r="K270">
        <v>2656</v>
      </c>
      <c r="L270">
        <v>1180.2469325153374</v>
      </c>
    </row>
    <row r="271" spans="1:12">
      <c r="A271" s="14">
        <v>43469</v>
      </c>
      <c r="B271">
        <v>2507</v>
      </c>
      <c r="C271">
        <v>2558</v>
      </c>
      <c r="D271">
        <v>1372</v>
      </c>
      <c r="E271">
        <v>1377</v>
      </c>
      <c r="F271">
        <v>1.85766158315177</v>
      </c>
      <c r="G271">
        <v>1.87041032106619</v>
      </c>
      <c r="H271">
        <v>9.76241829873956E-2</v>
      </c>
      <c r="I271">
        <v>-0.130589957572955</v>
      </c>
      <c r="J271">
        <v>-0.69</v>
      </c>
      <c r="K271">
        <v>2558</v>
      </c>
      <c r="L271">
        <v>1134.1242331288342</v>
      </c>
    </row>
    <row r="272" spans="1:12">
      <c r="A272" s="14">
        <v>43462</v>
      </c>
      <c r="B272">
        <v>2544</v>
      </c>
      <c r="C272">
        <v>2578</v>
      </c>
      <c r="D272">
        <v>1413</v>
      </c>
      <c r="E272">
        <v>1432</v>
      </c>
      <c r="F272">
        <v>1.8002793296089299</v>
      </c>
      <c r="G272">
        <v>1.87124774738866</v>
      </c>
      <c r="H272">
        <v>9.7780487711568595E-2</v>
      </c>
      <c r="I272">
        <v>-0.72579324812804302</v>
      </c>
      <c r="J272">
        <v>-3.94</v>
      </c>
      <c r="K272">
        <v>2578</v>
      </c>
      <c r="L272">
        <v>1179.4233128834355</v>
      </c>
    </row>
    <row r="273" spans="1:12">
      <c r="A273" s="14">
        <v>43461</v>
      </c>
      <c r="B273">
        <v>2516</v>
      </c>
      <c r="C273">
        <v>2546</v>
      </c>
      <c r="D273">
        <v>1420</v>
      </c>
      <c r="E273">
        <v>1421</v>
      </c>
      <c r="F273">
        <v>1.7916959887403201</v>
      </c>
      <c r="G273">
        <v>1.8726739984238501</v>
      </c>
      <c r="H273">
        <v>9.7514698520797902E-2</v>
      </c>
      <c r="I273">
        <v>-0.83041850010187901</v>
      </c>
      <c r="J273">
        <v>-4.5199999999999996</v>
      </c>
      <c r="K273">
        <v>2546</v>
      </c>
      <c r="L273">
        <v>1170.3634969325153</v>
      </c>
    </row>
    <row r="274" spans="1:12">
      <c r="A274" s="14">
        <v>43460</v>
      </c>
      <c r="B274">
        <v>2365</v>
      </c>
      <c r="C274">
        <v>2423</v>
      </c>
      <c r="D274">
        <v>1356</v>
      </c>
      <c r="E274">
        <v>1366</v>
      </c>
      <c r="F274">
        <v>1.77379209370424</v>
      </c>
      <c r="G274">
        <v>1.87357877121613</v>
      </c>
      <c r="H274">
        <v>9.7072964564552403E-2</v>
      </c>
      <c r="I274">
        <v>-1.0279553937546699</v>
      </c>
      <c r="J274">
        <v>-5.63</v>
      </c>
      <c r="K274">
        <v>2423</v>
      </c>
      <c r="L274">
        <v>1125.064417177914</v>
      </c>
    </row>
    <row r="275" spans="1:12">
      <c r="A275" s="14">
        <v>43459</v>
      </c>
      <c r="B275">
        <v>2344</v>
      </c>
      <c r="C275">
        <v>2334</v>
      </c>
      <c r="D275">
        <v>1348</v>
      </c>
      <c r="E275">
        <v>1347</v>
      </c>
      <c r="F275">
        <v>1.7327394209354099</v>
      </c>
      <c r="G275">
        <v>1.8743766297640001</v>
      </c>
      <c r="H275">
        <v>9.6493709295148097E-2</v>
      </c>
      <c r="I275">
        <v>-1.46783878309993</v>
      </c>
      <c r="J275">
        <v>-8.17</v>
      </c>
      <c r="K275">
        <v>2334</v>
      </c>
      <c r="L275">
        <v>1109.4156441717791</v>
      </c>
    </row>
    <row r="276" spans="1:12">
      <c r="A276" s="14">
        <v>43455</v>
      </c>
      <c r="B276">
        <v>2483</v>
      </c>
      <c r="C276">
        <v>2435</v>
      </c>
      <c r="D276">
        <v>1395</v>
      </c>
      <c r="E276">
        <v>1406</v>
      </c>
      <c r="F276">
        <v>1.7318634423897501</v>
      </c>
      <c r="G276">
        <v>1.87539779797285</v>
      </c>
      <c r="H276">
        <v>9.5388317720988103E-2</v>
      </c>
      <c r="I276">
        <v>-1.50473725727023</v>
      </c>
      <c r="J276">
        <v>-8.2899999999999991</v>
      </c>
      <c r="K276">
        <v>2435</v>
      </c>
      <c r="L276">
        <v>1158.0092024539877</v>
      </c>
    </row>
    <row r="277" spans="1:12">
      <c r="A277" s="14">
        <v>43454</v>
      </c>
      <c r="B277">
        <v>2555</v>
      </c>
      <c r="C277">
        <v>2509</v>
      </c>
      <c r="D277">
        <v>1429</v>
      </c>
      <c r="E277">
        <v>1408</v>
      </c>
      <c r="F277">
        <v>1.78196022727272</v>
      </c>
      <c r="G277">
        <v>1.8765875596889301</v>
      </c>
      <c r="H277">
        <v>9.4138925173639795E-2</v>
      </c>
      <c r="I277">
        <v>-1.0051881540145999</v>
      </c>
      <c r="J277">
        <v>-5.31</v>
      </c>
      <c r="K277">
        <v>2509</v>
      </c>
      <c r="L277">
        <v>1159.6564417177913</v>
      </c>
    </row>
    <row r="278" spans="1:12">
      <c r="A278" s="14">
        <v>43453</v>
      </c>
      <c r="B278">
        <v>2534</v>
      </c>
      <c r="C278">
        <v>2566</v>
      </c>
      <c r="D278">
        <v>1453</v>
      </c>
      <c r="E278">
        <v>1443</v>
      </c>
      <c r="F278">
        <v>1.7782397782397701</v>
      </c>
      <c r="G278">
        <v>1.87657761271056</v>
      </c>
      <c r="H278">
        <v>9.4148962111340301E-2</v>
      </c>
      <c r="I278">
        <v>-1.04449196534412</v>
      </c>
      <c r="J278">
        <v>-5.53</v>
      </c>
      <c r="K278">
        <v>2566</v>
      </c>
      <c r="L278">
        <v>1188.4831288343557</v>
      </c>
    </row>
    <row r="279" spans="1:12">
      <c r="A279" s="14">
        <v>43452</v>
      </c>
      <c r="B279">
        <v>2617</v>
      </c>
      <c r="C279">
        <v>2580</v>
      </c>
      <c r="D279">
        <v>1442</v>
      </c>
      <c r="E279">
        <v>1461</v>
      </c>
      <c r="F279">
        <v>1.7659137577002</v>
      </c>
      <c r="G279">
        <v>1.8761541339772201</v>
      </c>
      <c r="H279">
        <v>9.4660370606637595E-2</v>
      </c>
      <c r="I279">
        <v>-1.1645884710838901</v>
      </c>
      <c r="J279">
        <v>-6.24</v>
      </c>
      <c r="K279">
        <v>2580</v>
      </c>
      <c r="L279">
        <v>1203.3082822085889</v>
      </c>
    </row>
    <row r="280" spans="1:12">
      <c r="A280" s="14">
        <v>43451</v>
      </c>
      <c r="B280">
        <v>2634</v>
      </c>
      <c r="C280">
        <v>2650</v>
      </c>
      <c r="D280">
        <v>1437</v>
      </c>
      <c r="E280">
        <v>1435</v>
      </c>
      <c r="F280">
        <v>1.8466898954703801</v>
      </c>
      <c r="G280">
        <v>1.87499841274343</v>
      </c>
      <c r="H280">
        <v>9.6510316686619704E-2</v>
      </c>
      <c r="I280">
        <v>-0.29332115202743297</v>
      </c>
      <c r="J280">
        <v>-1.53</v>
      </c>
      <c r="K280">
        <v>2650</v>
      </c>
      <c r="L280">
        <v>1181.8941717791411</v>
      </c>
    </row>
    <row r="281" spans="1:12">
      <c r="A281" s="14">
        <v>43448</v>
      </c>
      <c r="B281">
        <v>2632</v>
      </c>
      <c r="C281">
        <v>2636</v>
      </c>
      <c r="D281">
        <v>1445</v>
      </c>
      <c r="E281">
        <v>1435</v>
      </c>
      <c r="F281">
        <v>1.8369337979094</v>
      </c>
      <c r="G281">
        <v>1.8727235106006599</v>
      </c>
      <c r="H281">
        <v>9.9126196044916903E-2</v>
      </c>
      <c r="I281">
        <v>-0.361052013688134</v>
      </c>
      <c r="J281">
        <v>-1.95</v>
      </c>
      <c r="K281">
        <v>2636</v>
      </c>
      <c r="L281">
        <v>1181.8941717791411</v>
      </c>
    </row>
    <row r="282" spans="1:12">
      <c r="A282" s="14">
        <v>43447</v>
      </c>
      <c r="B282">
        <v>2591</v>
      </c>
      <c r="C282">
        <v>2628</v>
      </c>
      <c r="D282">
        <v>1447</v>
      </c>
      <c r="E282">
        <v>1454</v>
      </c>
      <c r="F282">
        <v>1.80742778541953</v>
      </c>
      <c r="G282">
        <v>1.8709671790231199</v>
      </c>
      <c r="H282">
        <v>0.100895925550032</v>
      </c>
      <c r="I282">
        <v>-0.62975182850257705</v>
      </c>
      <c r="J282">
        <v>-3.52</v>
      </c>
      <c r="K282">
        <v>2628</v>
      </c>
      <c r="L282">
        <v>1197.5429447852759</v>
      </c>
    </row>
    <row r="283" spans="1:12">
      <c r="A283" s="14">
        <v>43446</v>
      </c>
      <c r="B283">
        <v>2543</v>
      </c>
      <c r="C283">
        <v>2573</v>
      </c>
      <c r="D283">
        <v>1420</v>
      </c>
      <c r="E283">
        <v>1440</v>
      </c>
      <c r="F283">
        <v>1.78680555555555</v>
      </c>
      <c r="G283">
        <v>1.8697032133403499</v>
      </c>
      <c r="H283">
        <v>0.102268441383101</v>
      </c>
      <c r="I283">
        <v>-0.81058884504033801</v>
      </c>
      <c r="J283">
        <v>-4.6399999999999997</v>
      </c>
      <c r="K283">
        <v>2573</v>
      </c>
      <c r="L283">
        <v>1186.0122699386502</v>
      </c>
    </row>
    <row r="284" spans="1:12">
      <c r="A284" s="14">
        <v>43445</v>
      </c>
      <c r="B284">
        <v>2558</v>
      </c>
      <c r="C284">
        <v>2512</v>
      </c>
      <c r="D284">
        <v>1439</v>
      </c>
      <c r="E284">
        <v>1420</v>
      </c>
      <c r="F284">
        <v>1.7690140845070399</v>
      </c>
      <c r="G284">
        <v>1.8683093337588701</v>
      </c>
      <c r="H284">
        <v>0.104085097056671</v>
      </c>
      <c r="I284">
        <v>-0.95398142538855402</v>
      </c>
      <c r="J284">
        <v>-5.61</v>
      </c>
      <c r="K284">
        <v>2512</v>
      </c>
      <c r="L284">
        <v>1169.5398773006134</v>
      </c>
    </row>
    <row r="285" spans="1:12">
      <c r="A285" s="14">
        <v>43444</v>
      </c>
      <c r="B285">
        <v>2612</v>
      </c>
      <c r="C285">
        <v>2588</v>
      </c>
      <c r="D285">
        <v>1448</v>
      </c>
      <c r="E285">
        <v>1443</v>
      </c>
      <c r="F285">
        <v>1.79348579348579</v>
      </c>
      <c r="G285">
        <v>1.86682409592695</v>
      </c>
      <c r="H285">
        <v>0.106263354340141</v>
      </c>
      <c r="I285">
        <v>-0.69015610222888801</v>
      </c>
      <c r="J285">
        <v>-4.09</v>
      </c>
      <c r="K285">
        <v>2588</v>
      </c>
      <c r="L285">
        <v>1188.4831288343557</v>
      </c>
    </row>
    <row r="286" spans="1:12">
      <c r="A286" s="14">
        <v>43441</v>
      </c>
      <c r="B286">
        <v>2688</v>
      </c>
      <c r="C286">
        <v>2669</v>
      </c>
      <c r="D286">
        <v>1498</v>
      </c>
      <c r="E286">
        <v>1471</v>
      </c>
      <c r="F286">
        <v>1.81441196464989</v>
      </c>
      <c r="G286">
        <v>1.86583548031569</v>
      </c>
      <c r="H286">
        <v>0.107281088539388</v>
      </c>
      <c r="I286">
        <v>-0.47933439496111702</v>
      </c>
      <c r="J286">
        <v>-2.83</v>
      </c>
      <c r="K286">
        <v>2669</v>
      </c>
      <c r="L286">
        <v>1211.5444785276072</v>
      </c>
    </row>
    <row r="287" spans="1:12">
      <c r="A287" s="14">
        <v>43440</v>
      </c>
      <c r="B287">
        <v>2703</v>
      </c>
      <c r="C287">
        <v>2673</v>
      </c>
      <c r="D287">
        <v>1518</v>
      </c>
      <c r="E287">
        <v>1514</v>
      </c>
      <c r="F287">
        <v>1.76552179656538</v>
      </c>
      <c r="G287">
        <v>1.8649327419447099</v>
      </c>
      <c r="H287">
        <v>0.10799250541420501</v>
      </c>
      <c r="I287">
        <v>-0.92053559641045601</v>
      </c>
      <c r="J287">
        <v>-5.63</v>
      </c>
      <c r="K287">
        <v>2673</v>
      </c>
      <c r="L287">
        <v>1246.9601226993864</v>
      </c>
    </row>
    <row r="288" spans="1:12">
      <c r="A288" s="14">
        <v>43439</v>
      </c>
      <c r="B288">
        <v>2685</v>
      </c>
      <c r="C288">
        <v>2720</v>
      </c>
      <c r="D288">
        <v>1534</v>
      </c>
      <c r="E288">
        <v>1549</v>
      </c>
      <c r="F288">
        <v>1.7559715945771399</v>
      </c>
      <c r="G288">
        <v>1.86437552885237</v>
      </c>
      <c r="H288">
        <v>0.108610051938354</v>
      </c>
      <c r="I288">
        <v>-0.99810222295775397</v>
      </c>
      <c r="J288">
        <v>-6.17</v>
      </c>
      <c r="K288">
        <v>2720</v>
      </c>
      <c r="L288">
        <v>1275.7868098159508</v>
      </c>
    </row>
    <row r="289" spans="1:12">
      <c r="A289" s="14">
        <v>43438</v>
      </c>
      <c r="B289">
        <v>2833</v>
      </c>
      <c r="C289">
        <v>2741</v>
      </c>
      <c r="D289">
        <v>1621</v>
      </c>
      <c r="E289">
        <v>1563</v>
      </c>
      <c r="F289">
        <v>1.7536788227767099</v>
      </c>
      <c r="G289">
        <v>1.8643097388499901</v>
      </c>
      <c r="H289">
        <v>0.108677170869725</v>
      </c>
      <c r="I289">
        <v>-1.01797751255317</v>
      </c>
      <c r="J289">
        <v>-6.31</v>
      </c>
      <c r="K289">
        <v>2741</v>
      </c>
      <c r="L289">
        <v>1287.3174846625766</v>
      </c>
    </row>
    <row r="290" spans="1:12">
      <c r="A290" s="14">
        <v>43437</v>
      </c>
      <c r="B290">
        <v>2881</v>
      </c>
      <c r="C290">
        <v>2835</v>
      </c>
      <c r="D290">
        <v>1629</v>
      </c>
      <c r="E290">
        <v>1624</v>
      </c>
      <c r="F290">
        <v>1.7456896551724099</v>
      </c>
      <c r="G290">
        <v>1.8642291669970501</v>
      </c>
      <c r="H290">
        <v>0.108761368780402</v>
      </c>
      <c r="I290">
        <v>-1.0899045603588999</v>
      </c>
      <c r="J290">
        <v>-6.79</v>
      </c>
      <c r="K290">
        <v>2835</v>
      </c>
      <c r="L290">
        <v>1337.5582822085889</v>
      </c>
    </row>
    <row r="291" spans="1:12">
      <c r="A291" s="14">
        <v>43434</v>
      </c>
      <c r="B291">
        <v>2817</v>
      </c>
      <c r="C291">
        <v>2860</v>
      </c>
      <c r="D291">
        <v>1640</v>
      </c>
      <c r="E291">
        <v>1600</v>
      </c>
      <c r="F291">
        <v>1.7875000000000001</v>
      </c>
      <c r="G291">
        <v>1.8644987417834999</v>
      </c>
      <c r="H291">
        <v>0.108491946399998</v>
      </c>
      <c r="I291">
        <v>-0.70971850297180405</v>
      </c>
      <c r="J291">
        <v>-4.3099999999999996</v>
      </c>
      <c r="K291">
        <v>2860</v>
      </c>
      <c r="L291">
        <v>1317.7914110429447</v>
      </c>
    </row>
    <row r="292" spans="1:12">
      <c r="A292" s="14">
        <v>43433</v>
      </c>
      <c r="B292">
        <v>2852</v>
      </c>
      <c r="C292">
        <v>2847</v>
      </c>
      <c r="D292">
        <v>1643</v>
      </c>
      <c r="E292">
        <v>1633</v>
      </c>
      <c r="F292">
        <v>1.74341702388242</v>
      </c>
      <c r="G292">
        <v>1.8639234346094999</v>
      </c>
      <c r="H292">
        <v>0.109011883243175</v>
      </c>
      <c r="I292">
        <v>-1.1054428851418301</v>
      </c>
      <c r="J292">
        <v>-6.91</v>
      </c>
      <c r="K292">
        <v>2847</v>
      </c>
      <c r="L292">
        <v>1344.9708588957055</v>
      </c>
    </row>
    <row r="293" spans="1:12">
      <c r="A293" s="14">
        <v>43432</v>
      </c>
      <c r="B293">
        <v>2828</v>
      </c>
      <c r="C293">
        <v>2821</v>
      </c>
      <c r="D293">
        <v>1632</v>
      </c>
      <c r="E293">
        <v>1626</v>
      </c>
      <c r="F293">
        <v>1.7349323493234901</v>
      </c>
      <c r="G293">
        <v>1.8638500738639701</v>
      </c>
      <c r="H293">
        <v>0.109094774492702</v>
      </c>
      <c r="I293">
        <v>-1.1817039371496301</v>
      </c>
      <c r="J293">
        <v>-7.43</v>
      </c>
      <c r="K293">
        <v>2821</v>
      </c>
      <c r="L293">
        <v>1339.2055214723925</v>
      </c>
    </row>
    <row r="294" spans="1:12">
      <c r="A294" s="14">
        <v>43431</v>
      </c>
      <c r="B294">
        <v>2854</v>
      </c>
      <c r="C294">
        <v>2828</v>
      </c>
      <c r="D294">
        <v>1629</v>
      </c>
      <c r="E294">
        <v>1639</v>
      </c>
      <c r="F294">
        <v>1.725442342892</v>
      </c>
      <c r="G294">
        <v>1.86345689755398</v>
      </c>
      <c r="H294">
        <v>0.109610602111572</v>
      </c>
      <c r="I294">
        <v>-1.2591350836800601</v>
      </c>
      <c r="J294">
        <v>-8</v>
      </c>
      <c r="K294">
        <v>2828</v>
      </c>
      <c r="L294">
        <v>1349.9125766871166</v>
      </c>
    </row>
    <row r="295" spans="1:12">
      <c r="A295" s="14">
        <v>43430</v>
      </c>
      <c r="B295">
        <v>2770</v>
      </c>
      <c r="C295">
        <v>2842</v>
      </c>
      <c r="D295">
        <v>1592</v>
      </c>
      <c r="E295">
        <v>1614</v>
      </c>
      <c r="F295">
        <v>1.7608426270136299</v>
      </c>
      <c r="G295">
        <v>1.86352939719524</v>
      </c>
      <c r="H295">
        <v>0.10952105296476</v>
      </c>
      <c r="I295">
        <v>-0.93759845620412297</v>
      </c>
      <c r="J295">
        <v>-5.83</v>
      </c>
      <c r="K295">
        <v>2842</v>
      </c>
      <c r="L295">
        <v>1329.3220858895704</v>
      </c>
    </row>
    <row r="296" spans="1:12">
      <c r="A296" s="14">
        <v>43426</v>
      </c>
      <c r="B296">
        <v>2772</v>
      </c>
      <c r="C296">
        <v>2779</v>
      </c>
      <c r="D296">
        <v>1635</v>
      </c>
      <c r="E296">
        <v>1593</v>
      </c>
      <c r="F296">
        <v>1.74450721908349</v>
      </c>
      <c r="G296">
        <v>1.8628386894753599</v>
      </c>
      <c r="H296">
        <v>0.110326868176869</v>
      </c>
      <c r="I296">
        <v>-1.0725535161767401</v>
      </c>
      <c r="J296">
        <v>-6.78</v>
      </c>
      <c r="K296">
        <v>2779</v>
      </c>
      <c r="L296">
        <v>1312.0260736196319</v>
      </c>
    </row>
    <row r="297" spans="1:12">
      <c r="A297" s="14">
        <v>43425</v>
      </c>
      <c r="B297">
        <v>2739</v>
      </c>
      <c r="C297">
        <v>2772</v>
      </c>
      <c r="D297">
        <v>1590</v>
      </c>
      <c r="E297">
        <v>1624</v>
      </c>
      <c r="F297">
        <v>1.7068965517241299</v>
      </c>
      <c r="G297">
        <v>1.8618561196160801</v>
      </c>
      <c r="H297">
        <v>0.11169600948662101</v>
      </c>
      <c r="I297">
        <v>-1.38733307129033</v>
      </c>
      <c r="J297">
        <v>-9.08</v>
      </c>
      <c r="K297">
        <v>2772</v>
      </c>
      <c r="L297">
        <v>1337.5582822085889</v>
      </c>
    </row>
    <row r="298" spans="1:12">
      <c r="A298" s="14">
        <v>43424</v>
      </c>
      <c r="B298">
        <v>2785</v>
      </c>
      <c r="C298">
        <v>2782</v>
      </c>
      <c r="D298">
        <v>1571</v>
      </c>
      <c r="E298">
        <v>1610</v>
      </c>
      <c r="F298">
        <v>1.7279503105589999</v>
      </c>
      <c r="G298">
        <v>1.86182220214859</v>
      </c>
      <c r="H298">
        <v>0.11174343531792</v>
      </c>
      <c r="I298">
        <v>-1.1980291388814599</v>
      </c>
      <c r="J298">
        <v>-7.75</v>
      </c>
      <c r="K298">
        <v>2782</v>
      </c>
      <c r="L298">
        <v>1326.0276073619632</v>
      </c>
    </row>
    <row r="299" spans="1:12">
      <c r="A299" s="14">
        <v>43423</v>
      </c>
      <c r="B299">
        <v>2828</v>
      </c>
      <c r="C299">
        <v>2812</v>
      </c>
      <c r="D299">
        <v>1574</v>
      </c>
      <c r="E299">
        <v>1592</v>
      </c>
      <c r="F299">
        <v>1.7663316582914499</v>
      </c>
      <c r="G299">
        <v>1.86095556662433</v>
      </c>
      <c r="H299">
        <v>0.11302305003101799</v>
      </c>
      <c r="I299">
        <v>-0.83720894372347598</v>
      </c>
      <c r="J299">
        <v>-5.36</v>
      </c>
      <c r="K299">
        <v>2812</v>
      </c>
      <c r="L299">
        <v>1311.20245398773</v>
      </c>
    </row>
    <row r="300" spans="1:12">
      <c r="A300" s="14">
        <v>43420</v>
      </c>
      <c r="B300">
        <v>2885</v>
      </c>
      <c r="C300">
        <v>2839</v>
      </c>
      <c r="D300">
        <v>1587</v>
      </c>
      <c r="E300">
        <v>1573</v>
      </c>
      <c r="F300">
        <v>1.8048315321042501</v>
      </c>
      <c r="G300">
        <v>1.8591065282916699</v>
      </c>
      <c r="H300">
        <v>0.11565957837384799</v>
      </c>
      <c r="I300">
        <v>-0.46926503581038997</v>
      </c>
      <c r="J300">
        <v>-3.01</v>
      </c>
      <c r="K300">
        <v>2839</v>
      </c>
      <c r="L300">
        <v>1295.5536809815951</v>
      </c>
    </row>
    <row r="301" spans="1:12">
      <c r="A301" s="14">
        <v>43419</v>
      </c>
      <c r="B301">
        <v>2804</v>
      </c>
      <c r="C301">
        <v>2885</v>
      </c>
      <c r="D301">
        <v>1557</v>
      </c>
      <c r="E301">
        <v>1590</v>
      </c>
      <c r="F301">
        <v>1.81446540880503</v>
      </c>
      <c r="G301">
        <v>1.85720328002479</v>
      </c>
      <c r="H301">
        <v>0.117693627048849</v>
      </c>
      <c r="I301">
        <v>-0.36312816837587197</v>
      </c>
      <c r="J301">
        <v>-2.36</v>
      </c>
      <c r="K301">
        <v>2885</v>
      </c>
      <c r="L301">
        <v>1309.5552147239264</v>
      </c>
    </row>
    <row r="302" spans="1:12">
      <c r="A302" s="14">
        <v>43418</v>
      </c>
      <c r="B302">
        <v>2855</v>
      </c>
      <c r="C302">
        <v>2835</v>
      </c>
      <c r="D302">
        <v>1529</v>
      </c>
      <c r="E302">
        <v>1570</v>
      </c>
      <c r="F302">
        <v>1.8057324840764299</v>
      </c>
      <c r="G302">
        <v>1.8563788678815101</v>
      </c>
      <c r="H302">
        <v>0.118205548034787</v>
      </c>
      <c r="I302">
        <v>-0.42846029350646098</v>
      </c>
      <c r="J302">
        <v>-2.8</v>
      </c>
      <c r="K302">
        <v>2835</v>
      </c>
      <c r="L302">
        <v>1293.0828220858896</v>
      </c>
    </row>
    <row r="303" spans="1:12">
      <c r="A303" s="14">
        <v>43417</v>
      </c>
      <c r="B303">
        <v>2900</v>
      </c>
      <c r="C303">
        <v>2866</v>
      </c>
      <c r="D303">
        <v>1522</v>
      </c>
      <c r="E303">
        <v>1525</v>
      </c>
      <c r="F303">
        <v>1.87934426229508</v>
      </c>
      <c r="G303">
        <v>1.8558428190171501</v>
      </c>
      <c r="H303">
        <v>0.11852473682627</v>
      </c>
      <c r="I303">
        <v>0.19828302434765299</v>
      </c>
      <c r="J303">
        <v>1.25</v>
      </c>
      <c r="K303">
        <v>2866</v>
      </c>
      <c r="L303">
        <v>1256.0199386503066</v>
      </c>
    </row>
    <row r="304" spans="1:12">
      <c r="A304" s="14">
        <v>43416</v>
      </c>
      <c r="B304">
        <v>2916</v>
      </c>
      <c r="C304">
        <v>2960</v>
      </c>
      <c r="D304">
        <v>1531</v>
      </c>
      <c r="E304">
        <v>1561</v>
      </c>
      <c r="F304">
        <v>1.8962203715566901</v>
      </c>
      <c r="G304">
        <v>1.8544735588024599</v>
      </c>
      <c r="H304">
        <v>0.118838102891414</v>
      </c>
      <c r="I304">
        <v>0.35129147755224499</v>
      </c>
      <c r="J304">
        <v>2.2000000000000002</v>
      </c>
      <c r="K304">
        <v>2960</v>
      </c>
      <c r="L304">
        <v>1285.670245398773</v>
      </c>
    </row>
    <row r="305" spans="1:12">
      <c r="A305" s="14">
        <v>43413</v>
      </c>
      <c r="B305">
        <v>2888</v>
      </c>
      <c r="C305">
        <v>2924</v>
      </c>
      <c r="D305">
        <v>1525</v>
      </c>
      <c r="E305">
        <v>1540</v>
      </c>
      <c r="F305">
        <v>1.8987012987012899</v>
      </c>
      <c r="G305">
        <v>1.85177457042966</v>
      </c>
      <c r="H305">
        <v>0.120150747829052</v>
      </c>
      <c r="I305">
        <v>0.39056542817691903</v>
      </c>
      <c r="J305">
        <v>2.4700000000000002</v>
      </c>
      <c r="K305">
        <v>2924</v>
      </c>
      <c r="L305">
        <v>1268.3742331288342</v>
      </c>
    </row>
    <row r="306" spans="1:12">
      <c r="A306" s="14">
        <v>43412</v>
      </c>
      <c r="B306">
        <v>2929</v>
      </c>
      <c r="C306">
        <v>2904</v>
      </c>
      <c r="D306">
        <v>1555</v>
      </c>
      <c r="E306">
        <v>1529</v>
      </c>
      <c r="F306">
        <v>1.8992805755395601</v>
      </c>
      <c r="G306">
        <v>1.84958003027594</v>
      </c>
      <c r="H306">
        <v>0.120775086441356</v>
      </c>
      <c r="I306">
        <v>0.41151322452380601</v>
      </c>
      <c r="J306">
        <v>2.62</v>
      </c>
      <c r="K306">
        <v>2904</v>
      </c>
      <c r="L306">
        <v>1259.314417177914</v>
      </c>
    </row>
    <row r="307" spans="1:12">
      <c r="A307" s="14">
        <v>43411</v>
      </c>
      <c r="B307">
        <v>3035</v>
      </c>
      <c r="C307">
        <v>2902</v>
      </c>
      <c r="D307">
        <v>1548</v>
      </c>
      <c r="E307">
        <v>1524</v>
      </c>
      <c r="F307">
        <v>1.9041994750656099</v>
      </c>
      <c r="G307">
        <v>1.8471756284329801</v>
      </c>
      <c r="H307">
        <v>0.12155421139606799</v>
      </c>
      <c r="I307">
        <v>0.46912275582805402</v>
      </c>
      <c r="J307">
        <v>2.99</v>
      </c>
      <c r="K307">
        <v>2902</v>
      </c>
      <c r="L307">
        <v>1255.1963190184049</v>
      </c>
    </row>
    <row r="308" spans="1:12">
      <c r="A308" s="14">
        <v>43410</v>
      </c>
      <c r="B308">
        <v>2885</v>
      </c>
      <c r="C308">
        <v>2931</v>
      </c>
      <c r="D308">
        <v>1546</v>
      </c>
      <c r="E308">
        <v>1546</v>
      </c>
      <c r="F308">
        <v>1.89586028460543</v>
      </c>
      <c r="G308">
        <v>1.84462921397617</v>
      </c>
      <c r="H308">
        <v>0.122330888906186</v>
      </c>
      <c r="I308">
        <v>0.41879096185223003</v>
      </c>
      <c r="J308">
        <v>2.7</v>
      </c>
      <c r="K308">
        <v>2931</v>
      </c>
      <c r="L308">
        <v>1273.3159509202453</v>
      </c>
    </row>
    <row r="309" spans="1:12">
      <c r="A309" s="14">
        <v>43409</v>
      </c>
      <c r="B309">
        <v>2883</v>
      </c>
      <c r="C309">
        <v>2843</v>
      </c>
      <c r="D309">
        <v>1577</v>
      </c>
      <c r="E309">
        <v>1537</v>
      </c>
      <c r="F309">
        <v>1.84970722186076</v>
      </c>
      <c r="G309">
        <v>1.84185059983989</v>
      </c>
      <c r="H309">
        <v>0.123496862991733</v>
      </c>
      <c r="I309">
        <v>6.3617988591313401E-2</v>
      </c>
      <c r="J309">
        <v>0.42</v>
      </c>
      <c r="K309">
        <v>2843</v>
      </c>
      <c r="L309">
        <v>1265.9033742331287</v>
      </c>
    </row>
    <row r="310" spans="1:12">
      <c r="A310" s="14">
        <v>43406</v>
      </c>
      <c r="B310">
        <v>3035</v>
      </c>
      <c r="C310">
        <v>2931</v>
      </c>
      <c r="D310">
        <v>1571</v>
      </c>
      <c r="E310">
        <v>1604</v>
      </c>
      <c r="F310">
        <v>1.82730673316708</v>
      </c>
      <c r="G310">
        <v>1.83994062427121</v>
      </c>
      <c r="H310">
        <v>0.12446451602915801</v>
      </c>
      <c r="I310">
        <v>-0.101505967380906</v>
      </c>
      <c r="J310">
        <v>-0.69</v>
      </c>
      <c r="K310">
        <v>2931</v>
      </c>
      <c r="L310">
        <v>1321.0858895705521</v>
      </c>
    </row>
    <row r="311" spans="1:12">
      <c r="A311" s="14">
        <v>43405</v>
      </c>
      <c r="B311">
        <v>3040</v>
      </c>
      <c r="C311">
        <v>3045</v>
      </c>
      <c r="D311">
        <v>1507</v>
      </c>
      <c r="E311">
        <v>1579</v>
      </c>
      <c r="F311">
        <v>1.9284357188093699</v>
      </c>
      <c r="G311">
        <v>1.8385089381369499</v>
      </c>
      <c r="H311">
        <v>0.125216895615751</v>
      </c>
      <c r="I311">
        <v>0.71816810527212704</v>
      </c>
      <c r="J311">
        <v>4.66</v>
      </c>
      <c r="K311">
        <v>3045</v>
      </c>
      <c r="L311">
        <v>1300.4953987730062</v>
      </c>
    </row>
    <row r="312" spans="1:12">
      <c r="A312" s="14">
        <v>43404</v>
      </c>
      <c r="B312">
        <v>3020</v>
      </c>
      <c r="C312">
        <v>3040</v>
      </c>
      <c r="D312">
        <v>1478</v>
      </c>
      <c r="E312">
        <v>1493</v>
      </c>
      <c r="F312">
        <v>2.0361687876758201</v>
      </c>
      <c r="G312">
        <v>1.8360072171253801</v>
      </c>
      <c r="H312">
        <v>0.125269567364477</v>
      </c>
      <c r="I312">
        <v>1.59784674571484</v>
      </c>
      <c r="J312">
        <v>9.83</v>
      </c>
      <c r="K312">
        <v>3040</v>
      </c>
      <c r="L312">
        <v>1229.6641104294479</v>
      </c>
    </row>
    <row r="313" spans="1:12">
      <c r="A313" s="14">
        <v>43403</v>
      </c>
      <c r="B313">
        <v>2961</v>
      </c>
      <c r="C313">
        <v>2980</v>
      </c>
      <c r="D313">
        <v>1439</v>
      </c>
      <c r="E313">
        <v>1469</v>
      </c>
      <c r="F313">
        <v>2.0285908781484001</v>
      </c>
      <c r="G313">
        <v>1.8323137554118201</v>
      </c>
      <c r="H313">
        <v>0.123383017918836</v>
      </c>
      <c r="I313">
        <v>1.5907952816139199</v>
      </c>
      <c r="J313">
        <v>9.68</v>
      </c>
      <c r="K313">
        <v>2980</v>
      </c>
      <c r="L313">
        <v>1209.8972392638036</v>
      </c>
    </row>
    <row r="314" spans="1:12">
      <c r="A314" s="14">
        <v>43402</v>
      </c>
      <c r="B314">
        <v>2997</v>
      </c>
      <c r="C314">
        <v>2943</v>
      </c>
      <c r="D314">
        <v>1463</v>
      </c>
      <c r="E314">
        <v>1460</v>
      </c>
      <c r="F314">
        <v>2.0157534246575302</v>
      </c>
      <c r="G314">
        <v>1.8280564829177</v>
      </c>
      <c r="H314">
        <v>0.122038362950578</v>
      </c>
      <c r="I314">
        <v>1.5380158927224801</v>
      </c>
      <c r="J314">
        <v>9.31</v>
      </c>
      <c r="K314">
        <v>2943</v>
      </c>
      <c r="L314">
        <v>1202.484662576687</v>
      </c>
    </row>
    <row r="315" spans="1:12">
      <c r="A315" s="14">
        <v>43399</v>
      </c>
      <c r="B315">
        <v>3075</v>
      </c>
      <c r="C315">
        <v>2970</v>
      </c>
      <c r="D315">
        <v>1470</v>
      </c>
      <c r="E315">
        <v>1450</v>
      </c>
      <c r="F315">
        <v>2.0482758620689601</v>
      </c>
      <c r="G315">
        <v>1.82346592325484</v>
      </c>
      <c r="H315">
        <v>0.121365207641341</v>
      </c>
      <c r="I315">
        <v>1.85234255503012</v>
      </c>
      <c r="J315">
        <v>10.98</v>
      </c>
      <c r="K315">
        <v>2970</v>
      </c>
      <c r="L315">
        <v>1194.2484662576687</v>
      </c>
    </row>
    <row r="316" spans="1:12">
      <c r="A316" s="14">
        <v>43398</v>
      </c>
      <c r="B316">
        <v>3040</v>
      </c>
      <c r="C316">
        <v>3025</v>
      </c>
      <c r="D316">
        <v>1469</v>
      </c>
      <c r="E316">
        <v>1464</v>
      </c>
      <c r="F316">
        <v>2.0662568306010902</v>
      </c>
      <c r="G316">
        <v>1.81863878702445</v>
      </c>
      <c r="H316">
        <v>0.119513301746883</v>
      </c>
      <c r="I316">
        <v>2.0718868942393298</v>
      </c>
      <c r="J316">
        <v>11.98</v>
      </c>
      <c r="K316">
        <v>3025</v>
      </c>
      <c r="L316">
        <v>1205.7791411042945</v>
      </c>
    </row>
    <row r="317" spans="1:12">
      <c r="A317" s="14">
        <v>43397</v>
      </c>
      <c r="B317">
        <v>3065</v>
      </c>
      <c r="C317">
        <v>3120</v>
      </c>
      <c r="D317">
        <v>1563</v>
      </c>
      <c r="E317">
        <v>1524</v>
      </c>
      <c r="F317">
        <v>2.04724409448818</v>
      </c>
      <c r="G317">
        <v>1.8133602720261399</v>
      </c>
      <c r="H317">
        <v>0.117180030313043</v>
      </c>
      <c r="I317">
        <v>1.9959358419453599</v>
      </c>
      <c r="J317">
        <v>11.42</v>
      </c>
      <c r="K317">
        <v>3120</v>
      </c>
      <c r="L317">
        <v>1255.1963190184049</v>
      </c>
    </row>
    <row r="318" spans="1:12">
      <c r="A318" s="14">
        <v>43396</v>
      </c>
      <c r="B318">
        <v>3135</v>
      </c>
      <c r="C318">
        <v>3075</v>
      </c>
      <c r="D318">
        <v>1575</v>
      </c>
      <c r="E318">
        <v>1552</v>
      </c>
      <c r="F318">
        <v>1.9813144329896899</v>
      </c>
      <c r="G318">
        <v>1.80850522195139</v>
      </c>
      <c r="H318">
        <v>0.114910469477792</v>
      </c>
      <c r="I318">
        <v>1.5038595858464501</v>
      </c>
      <c r="J318">
        <v>8.7200000000000006</v>
      </c>
      <c r="K318">
        <v>3075</v>
      </c>
      <c r="L318">
        <v>1278.2576687116564</v>
      </c>
    </row>
    <row r="319" spans="1:12">
      <c r="A319" s="14">
        <v>43395</v>
      </c>
      <c r="B319">
        <v>3070</v>
      </c>
      <c r="C319">
        <v>3120</v>
      </c>
      <c r="D319">
        <v>1591</v>
      </c>
      <c r="E319">
        <v>1608</v>
      </c>
      <c r="F319">
        <v>1.94029850746268</v>
      </c>
      <c r="G319">
        <v>1.8045517214098099</v>
      </c>
      <c r="H319">
        <v>0.11399405993355299</v>
      </c>
      <c r="I319">
        <v>1.1908233300225901</v>
      </c>
      <c r="J319">
        <v>7</v>
      </c>
      <c r="K319">
        <v>3120</v>
      </c>
      <c r="L319">
        <v>1324.3803680981594</v>
      </c>
    </row>
    <row r="320" spans="1:12">
      <c r="A320" s="14">
        <v>43392</v>
      </c>
      <c r="B320">
        <v>3070</v>
      </c>
      <c r="C320">
        <v>3110</v>
      </c>
      <c r="D320">
        <v>1629</v>
      </c>
      <c r="E320">
        <v>1599</v>
      </c>
      <c r="F320">
        <v>1.9449656035021801</v>
      </c>
      <c r="G320">
        <v>1.8006795133633899</v>
      </c>
      <c r="H320">
        <v>0.114249384012025</v>
      </c>
      <c r="I320">
        <v>1.26290475337357</v>
      </c>
      <c r="J320">
        <v>7.42</v>
      </c>
      <c r="K320">
        <v>3110</v>
      </c>
      <c r="L320">
        <v>1316.967791411043</v>
      </c>
    </row>
    <row r="321" spans="1:12">
      <c r="A321" s="14">
        <v>43391</v>
      </c>
      <c r="B321">
        <v>3145</v>
      </c>
      <c r="C321">
        <v>3120</v>
      </c>
      <c r="D321">
        <v>1634</v>
      </c>
      <c r="E321">
        <v>1646</v>
      </c>
      <c r="F321">
        <v>1.8955042527339001</v>
      </c>
      <c r="G321">
        <v>1.7968024217590599</v>
      </c>
      <c r="H321">
        <v>0.11422108858940801</v>
      </c>
      <c r="I321">
        <v>0.86412966461594398</v>
      </c>
      <c r="J321">
        <v>5.21</v>
      </c>
      <c r="K321">
        <v>3120</v>
      </c>
      <c r="L321">
        <v>1355.6779141104294</v>
      </c>
    </row>
    <row r="322" spans="1:12">
      <c r="A322" s="14">
        <v>43390</v>
      </c>
      <c r="B322">
        <v>3155</v>
      </c>
      <c r="C322">
        <v>3150</v>
      </c>
      <c r="D322">
        <v>1651</v>
      </c>
      <c r="E322">
        <v>1646</v>
      </c>
      <c r="F322">
        <v>1.9137302551640301</v>
      </c>
      <c r="G322">
        <v>1.7941188201132099</v>
      </c>
      <c r="H322">
        <v>0.114234983272074</v>
      </c>
      <c r="I322">
        <v>1.04706484497778</v>
      </c>
      <c r="J322">
        <v>6.25</v>
      </c>
      <c r="K322">
        <v>3150</v>
      </c>
      <c r="L322">
        <v>1355.6779141104294</v>
      </c>
    </row>
    <row r="323" spans="1:12">
      <c r="A323" s="14">
        <v>43389</v>
      </c>
      <c r="B323">
        <v>3075</v>
      </c>
      <c r="C323">
        <v>3090</v>
      </c>
      <c r="D323">
        <v>1585</v>
      </c>
      <c r="E323">
        <v>1614</v>
      </c>
      <c r="F323">
        <v>1.9144981412639399</v>
      </c>
      <c r="G323">
        <v>1.79121077433979</v>
      </c>
      <c r="H323">
        <v>0.11392874256819301</v>
      </c>
      <c r="I323">
        <v>1.08214454179855</v>
      </c>
      <c r="J323">
        <v>6.44</v>
      </c>
      <c r="K323">
        <v>3090</v>
      </c>
      <c r="L323">
        <v>1329.3220858895704</v>
      </c>
    </row>
    <row r="324" spans="1:12">
      <c r="A324" s="14">
        <v>43388</v>
      </c>
      <c r="B324">
        <v>3115</v>
      </c>
      <c r="C324">
        <v>3075</v>
      </c>
      <c r="D324">
        <v>1590</v>
      </c>
      <c r="E324">
        <v>1596</v>
      </c>
      <c r="F324">
        <v>1.9266917293232999</v>
      </c>
      <c r="G324">
        <v>1.78887458068489</v>
      </c>
      <c r="H324">
        <v>0.113170620362315</v>
      </c>
      <c r="I324">
        <v>1.21778203739798</v>
      </c>
      <c r="J324">
        <v>7.15</v>
      </c>
      <c r="K324">
        <v>3075</v>
      </c>
      <c r="L324">
        <v>1314.4969325153374</v>
      </c>
    </row>
    <row r="325" spans="1:12">
      <c r="A325" s="14">
        <v>43385</v>
      </c>
      <c r="B325">
        <v>3150</v>
      </c>
      <c r="C325">
        <v>3165</v>
      </c>
      <c r="D325">
        <v>1564</v>
      </c>
      <c r="E325">
        <v>1611</v>
      </c>
      <c r="F325">
        <v>1.96461824953445</v>
      </c>
      <c r="G325">
        <v>1.78623554313789</v>
      </c>
      <c r="H325">
        <v>0.112229917902261</v>
      </c>
      <c r="I325">
        <v>1.58943987245814</v>
      </c>
      <c r="J325">
        <v>9.08</v>
      </c>
      <c r="K325">
        <v>3165</v>
      </c>
      <c r="L325">
        <v>1326.8512269938649</v>
      </c>
    </row>
    <row r="326" spans="1:12">
      <c r="A326" s="14">
        <v>43384</v>
      </c>
      <c r="B326">
        <v>3200</v>
      </c>
      <c r="C326">
        <v>3195</v>
      </c>
      <c r="D326">
        <v>1553</v>
      </c>
      <c r="E326">
        <v>1572</v>
      </c>
      <c r="F326">
        <v>2.0324427480915999</v>
      </c>
      <c r="G326">
        <v>1.783701382651</v>
      </c>
      <c r="H326">
        <v>0.11030267174363501</v>
      </c>
      <c r="I326">
        <v>2.2550801490894199</v>
      </c>
      <c r="J326">
        <v>12.24</v>
      </c>
      <c r="K326">
        <v>3195</v>
      </c>
      <c r="L326">
        <v>1294.7300613496932</v>
      </c>
    </row>
    <row r="327" spans="1:12">
      <c r="A327" s="14">
        <v>43383</v>
      </c>
      <c r="B327">
        <v>3295</v>
      </c>
      <c r="C327">
        <v>3325</v>
      </c>
      <c r="D327">
        <v>1628</v>
      </c>
      <c r="E327">
        <v>1619</v>
      </c>
      <c r="F327">
        <v>2.0537368746139499</v>
      </c>
      <c r="G327">
        <v>1.7803641346572601</v>
      </c>
      <c r="H327">
        <v>0.106445341546438</v>
      </c>
      <c r="I327">
        <v>2.5681982507184502</v>
      </c>
      <c r="J327">
        <v>13.31</v>
      </c>
      <c r="K327">
        <v>3325</v>
      </c>
      <c r="L327">
        <v>1333.4401840490798</v>
      </c>
    </row>
    <row r="328" spans="1:12">
      <c r="A328" s="14">
        <v>43382</v>
      </c>
      <c r="B328">
        <v>3265</v>
      </c>
      <c r="C328">
        <v>3305</v>
      </c>
      <c r="D328">
        <v>1614</v>
      </c>
      <c r="E328">
        <v>1625</v>
      </c>
      <c r="F328">
        <v>2.0338461538461501</v>
      </c>
      <c r="G328">
        <v>1.7767624228699599</v>
      </c>
      <c r="H328">
        <v>0.101594012394384</v>
      </c>
      <c r="I328">
        <v>2.5305008131601499</v>
      </c>
      <c r="J328">
        <v>12.64</v>
      </c>
      <c r="K328">
        <v>3305</v>
      </c>
      <c r="L328">
        <v>1338.3819018404906</v>
      </c>
    </row>
    <row r="329" spans="1:12">
      <c r="A329" s="14">
        <v>43378</v>
      </c>
      <c r="B329">
        <v>3275</v>
      </c>
      <c r="C329">
        <v>3260</v>
      </c>
      <c r="D329">
        <v>1678</v>
      </c>
      <c r="E329">
        <v>1654</v>
      </c>
      <c r="F329">
        <v>1.97097944377267</v>
      </c>
      <c r="G329">
        <v>1.77299540279326</v>
      </c>
      <c r="H329">
        <v>9.7131646653091194E-2</v>
      </c>
      <c r="I329">
        <v>2.0383062349031702</v>
      </c>
      <c r="J329">
        <v>10.039999999999999</v>
      </c>
      <c r="K329">
        <v>3260</v>
      </c>
      <c r="L329">
        <v>1362.266871165644</v>
      </c>
    </row>
    <row r="330" spans="1:12">
      <c r="A330" s="14">
        <v>43377</v>
      </c>
      <c r="B330">
        <v>3300</v>
      </c>
      <c r="C330">
        <v>3285</v>
      </c>
      <c r="D330">
        <v>1778</v>
      </c>
      <c r="E330">
        <v>1758</v>
      </c>
      <c r="F330">
        <v>1.8686006825938499</v>
      </c>
      <c r="G330">
        <v>1.7701958099747399</v>
      </c>
      <c r="H330">
        <v>9.4371598795344597E-2</v>
      </c>
      <c r="I330">
        <v>1.04273821653175</v>
      </c>
      <c r="J330">
        <v>5.27</v>
      </c>
      <c r="K330">
        <v>3285</v>
      </c>
      <c r="L330">
        <v>1447.9233128834355</v>
      </c>
    </row>
    <row r="331" spans="1:12">
      <c r="A331" s="14">
        <v>43376</v>
      </c>
      <c r="B331">
        <v>3325</v>
      </c>
      <c r="C331">
        <v>3265</v>
      </c>
      <c r="D331">
        <v>1768</v>
      </c>
      <c r="E331">
        <v>1772</v>
      </c>
      <c r="F331">
        <v>1.84255079006772</v>
      </c>
      <c r="G331">
        <v>1.7680178178130701</v>
      </c>
      <c r="H331">
        <v>9.3959452244498406E-2</v>
      </c>
      <c r="I331">
        <v>0.79324613409509404</v>
      </c>
      <c r="J331">
        <v>4.05</v>
      </c>
      <c r="K331">
        <v>3265</v>
      </c>
      <c r="L331">
        <v>1459.4539877300613</v>
      </c>
    </row>
    <row r="332" spans="1:12">
      <c r="A332" s="14">
        <v>43375</v>
      </c>
      <c r="B332">
        <v>3385</v>
      </c>
      <c r="C332">
        <v>3325</v>
      </c>
      <c r="D332">
        <v>1768</v>
      </c>
      <c r="E332">
        <v>1776</v>
      </c>
      <c r="F332">
        <v>1.8721846846846799</v>
      </c>
      <c r="G332">
        <v>1.76539476466677</v>
      </c>
      <c r="H332">
        <v>9.4586050499797805E-2</v>
      </c>
      <c r="I332">
        <v>1.12902398877659</v>
      </c>
      <c r="J332">
        <v>5.7</v>
      </c>
      <c r="K332">
        <v>3325</v>
      </c>
      <c r="L332">
        <v>1462.7484662576687</v>
      </c>
    </row>
    <row r="333" spans="1:12">
      <c r="A333" s="14">
        <v>43374</v>
      </c>
      <c r="B333">
        <v>3295</v>
      </c>
      <c r="C333">
        <v>3315</v>
      </c>
      <c r="D333">
        <v>1746</v>
      </c>
      <c r="E333">
        <v>1751</v>
      </c>
      <c r="F333">
        <v>1.8932038834951399</v>
      </c>
      <c r="G333">
        <v>1.76236445559664</v>
      </c>
      <c r="H333">
        <v>9.4756705457562401E-2</v>
      </c>
      <c r="I333">
        <v>1.38079334086912</v>
      </c>
      <c r="J333">
        <v>6.91</v>
      </c>
      <c r="K333">
        <v>3315</v>
      </c>
      <c r="L333">
        <v>1442.1579754601225</v>
      </c>
    </row>
    <row r="334" spans="1:12">
      <c r="A334" s="14">
        <v>43371</v>
      </c>
      <c r="B334">
        <v>3240</v>
      </c>
      <c r="C334">
        <v>3325</v>
      </c>
      <c r="D334">
        <v>1737</v>
      </c>
      <c r="E334">
        <v>1750</v>
      </c>
      <c r="F334">
        <v>1.9</v>
      </c>
      <c r="G334">
        <v>1.7590600631412301</v>
      </c>
      <c r="H334">
        <v>9.44571346976463E-2</v>
      </c>
      <c r="I334">
        <v>1.49210472358609</v>
      </c>
      <c r="J334">
        <v>7.42</v>
      </c>
      <c r="K334">
        <v>3325</v>
      </c>
      <c r="L334">
        <v>1441.3343558282209</v>
      </c>
    </row>
    <row r="335" spans="1:12">
      <c r="A335" s="14">
        <v>43370</v>
      </c>
      <c r="B335">
        <v>3385</v>
      </c>
      <c r="C335">
        <v>3245</v>
      </c>
      <c r="D335">
        <v>1735</v>
      </c>
      <c r="E335">
        <v>1710</v>
      </c>
      <c r="F335">
        <v>1.89766081871345</v>
      </c>
      <c r="G335">
        <v>1.7552037757160801</v>
      </c>
      <c r="H335">
        <v>9.4528254945634105E-2</v>
      </c>
      <c r="I335">
        <v>1.5070313429492299</v>
      </c>
      <c r="J335">
        <v>7.51</v>
      </c>
      <c r="K335">
        <v>3245</v>
      </c>
      <c r="L335">
        <v>1408.3895705521472</v>
      </c>
    </row>
    <row r="336" spans="1:12">
      <c r="A336" s="14">
        <v>43369</v>
      </c>
      <c r="B336">
        <v>3370</v>
      </c>
      <c r="C336">
        <v>3405</v>
      </c>
      <c r="D336">
        <v>1723</v>
      </c>
      <c r="E336">
        <v>1739</v>
      </c>
      <c r="F336">
        <v>1.9580218516388701</v>
      </c>
      <c r="G336">
        <v>1.75101214359595</v>
      </c>
      <c r="H336">
        <v>9.5086800641267094E-2</v>
      </c>
      <c r="I336">
        <v>2.1770603979400298</v>
      </c>
      <c r="J336">
        <v>10.57</v>
      </c>
      <c r="K336">
        <v>3405</v>
      </c>
      <c r="L336">
        <v>1432.2745398773006</v>
      </c>
    </row>
    <row r="337" spans="1:12">
      <c r="A337" s="14">
        <v>43368</v>
      </c>
      <c r="B337">
        <v>3320</v>
      </c>
      <c r="C337">
        <v>3375</v>
      </c>
      <c r="D337">
        <v>1740</v>
      </c>
      <c r="E337">
        <v>1758</v>
      </c>
      <c r="F337">
        <v>1.9197952218430001</v>
      </c>
      <c r="G337">
        <v>1.74558213046157</v>
      </c>
      <c r="H337">
        <v>9.4737859086447995E-2</v>
      </c>
      <c r="I337">
        <v>1.8388962243960301</v>
      </c>
      <c r="J337">
        <v>9.07</v>
      </c>
      <c r="K337">
        <v>3375</v>
      </c>
      <c r="L337">
        <v>1447.9233128834355</v>
      </c>
    </row>
    <row r="338" spans="1:12">
      <c r="A338" s="14">
        <v>43364</v>
      </c>
      <c r="B338">
        <v>3300</v>
      </c>
      <c r="C338">
        <v>3335</v>
      </c>
      <c r="D338">
        <v>1745</v>
      </c>
      <c r="E338">
        <v>1758</v>
      </c>
      <c r="F338">
        <v>1.89704209328782</v>
      </c>
      <c r="G338">
        <v>1.7402346006913101</v>
      </c>
      <c r="H338">
        <v>9.6063271247971802E-2</v>
      </c>
      <c r="I338">
        <v>1.63233554884611</v>
      </c>
      <c r="J338">
        <v>8.27</v>
      </c>
      <c r="K338">
        <v>3335</v>
      </c>
      <c r="L338">
        <v>1447.9233128834355</v>
      </c>
    </row>
    <row r="339" spans="1:12">
      <c r="A339" s="14">
        <v>43363</v>
      </c>
      <c r="B339">
        <v>3265</v>
      </c>
      <c r="C339">
        <v>3305</v>
      </c>
      <c r="D339">
        <v>1744</v>
      </c>
      <c r="E339">
        <v>1731</v>
      </c>
      <c r="F339">
        <v>1.9093009820912701</v>
      </c>
      <c r="G339">
        <v>1.7351571110007</v>
      </c>
      <c r="H339">
        <v>9.7691155915124506E-2</v>
      </c>
      <c r="I339">
        <v>1.7825960749391501</v>
      </c>
      <c r="J339">
        <v>9.1199999999999992</v>
      </c>
      <c r="K339">
        <v>3305</v>
      </c>
      <c r="L339">
        <v>1425.6855828220857</v>
      </c>
    </row>
    <row r="340" spans="1:12">
      <c r="A340" s="14">
        <v>43362</v>
      </c>
      <c r="B340">
        <v>3290</v>
      </c>
      <c r="C340">
        <v>3260</v>
      </c>
      <c r="D340">
        <v>1726</v>
      </c>
      <c r="E340">
        <v>1722</v>
      </c>
      <c r="F340">
        <v>1.8931475029036</v>
      </c>
      <c r="G340">
        <v>1.7296620610595399</v>
      </c>
      <c r="H340">
        <v>9.9318557541825503E-2</v>
      </c>
      <c r="I340">
        <v>1.64607144818038</v>
      </c>
      <c r="J340">
        <v>8.64</v>
      </c>
      <c r="K340">
        <v>3260</v>
      </c>
      <c r="L340">
        <v>1418.2730061349694</v>
      </c>
    </row>
    <row r="341" spans="1:12">
      <c r="A341" s="14">
        <v>43361</v>
      </c>
      <c r="B341">
        <v>3170</v>
      </c>
      <c r="C341">
        <v>3260</v>
      </c>
      <c r="D341">
        <v>1641</v>
      </c>
      <c r="E341">
        <v>1690</v>
      </c>
      <c r="F341">
        <v>1.9289940828402301</v>
      </c>
      <c r="G341">
        <v>1.7243692555132799</v>
      </c>
      <c r="H341">
        <v>0.101027734144023</v>
      </c>
      <c r="I341">
        <v>2.0254322148336201</v>
      </c>
      <c r="J341">
        <v>10.61</v>
      </c>
      <c r="K341">
        <v>3260</v>
      </c>
      <c r="L341">
        <v>1391.9171779141104</v>
      </c>
    </row>
    <row r="342" spans="1:12">
      <c r="A342" s="14">
        <v>43357</v>
      </c>
      <c r="B342">
        <v>3140</v>
      </c>
      <c r="C342">
        <v>3145</v>
      </c>
      <c r="D342">
        <v>1585</v>
      </c>
      <c r="E342">
        <v>1611</v>
      </c>
      <c r="F342">
        <v>1.9522036002482901</v>
      </c>
      <c r="G342">
        <v>1.7186110402399</v>
      </c>
      <c r="H342">
        <v>0.10150702757041399</v>
      </c>
      <c r="I342">
        <v>2.3012452004502499</v>
      </c>
      <c r="J342">
        <v>11.97</v>
      </c>
      <c r="K342">
        <v>3145</v>
      </c>
      <c r="L342">
        <v>1326.8512269938649</v>
      </c>
    </row>
    <row r="343" spans="1:12">
      <c r="A343" s="14">
        <v>43356</v>
      </c>
      <c r="B343">
        <v>3135</v>
      </c>
      <c r="C343">
        <v>3140</v>
      </c>
      <c r="D343">
        <v>1568</v>
      </c>
      <c r="E343">
        <v>1574</v>
      </c>
      <c r="F343">
        <v>1.9949174078780101</v>
      </c>
      <c r="G343">
        <v>1.7124769468613701</v>
      </c>
      <c r="H343">
        <v>0.10110551424922599</v>
      </c>
      <c r="I343">
        <v>2.7935218282993</v>
      </c>
      <c r="J343">
        <v>14.16</v>
      </c>
      <c r="K343">
        <v>3140</v>
      </c>
      <c r="L343">
        <v>1296.3773006134968</v>
      </c>
    </row>
    <row r="344" spans="1:12">
      <c r="A344" s="14">
        <v>43355</v>
      </c>
      <c r="B344">
        <v>3105</v>
      </c>
      <c r="C344">
        <v>3140</v>
      </c>
      <c r="D344">
        <v>1609</v>
      </c>
      <c r="E344">
        <v>1577</v>
      </c>
      <c r="F344">
        <v>1.9911223842739301</v>
      </c>
      <c r="G344">
        <v>1.7063804532206099</v>
      </c>
      <c r="H344">
        <v>9.7616122804142696E-2</v>
      </c>
      <c r="I344">
        <v>2.9169559584396501</v>
      </c>
      <c r="J344">
        <v>14.3</v>
      </c>
      <c r="K344">
        <v>3140</v>
      </c>
      <c r="L344">
        <v>1298.8481595092023</v>
      </c>
    </row>
    <row r="345" spans="1:12">
      <c r="A345" s="14">
        <v>43354</v>
      </c>
      <c r="B345">
        <v>3130</v>
      </c>
      <c r="C345">
        <v>3115</v>
      </c>
      <c r="D345">
        <v>1615</v>
      </c>
      <c r="E345">
        <v>1593</v>
      </c>
      <c r="F345">
        <v>1.9554300062774601</v>
      </c>
      <c r="G345">
        <v>1.6999626044718299</v>
      </c>
      <c r="H345">
        <v>9.4456424075054099E-2</v>
      </c>
      <c r="I345">
        <v>2.7046058995694802</v>
      </c>
      <c r="J345">
        <v>13.06</v>
      </c>
      <c r="K345">
        <v>3115</v>
      </c>
      <c r="L345">
        <v>1312.0260736196319</v>
      </c>
    </row>
    <row r="346" spans="1:12">
      <c r="A346" s="14">
        <v>43353</v>
      </c>
      <c r="B346">
        <v>3105</v>
      </c>
      <c r="C346">
        <v>3115</v>
      </c>
      <c r="D346">
        <v>1616</v>
      </c>
      <c r="E346">
        <v>1622</v>
      </c>
      <c r="F346">
        <v>1.92046855733662</v>
      </c>
      <c r="G346">
        <v>1.6936172600005499</v>
      </c>
      <c r="H346">
        <v>9.3056166135020504E-2</v>
      </c>
      <c r="I346">
        <v>2.4377889908650898</v>
      </c>
      <c r="J346">
        <v>11.81</v>
      </c>
      <c r="K346">
        <v>3115</v>
      </c>
      <c r="L346">
        <v>1335.9110429447853</v>
      </c>
    </row>
    <row r="347" spans="1:12">
      <c r="A347" s="14">
        <v>43350</v>
      </c>
      <c r="B347">
        <v>3075</v>
      </c>
      <c r="C347">
        <v>3105</v>
      </c>
      <c r="D347">
        <v>1640</v>
      </c>
      <c r="E347">
        <v>1628</v>
      </c>
      <c r="F347">
        <v>1.9072481572481499</v>
      </c>
      <c r="G347">
        <v>1.6877092293046501</v>
      </c>
      <c r="H347">
        <v>9.2530634795672598E-2</v>
      </c>
      <c r="I347">
        <v>2.37260803871379</v>
      </c>
      <c r="J347">
        <v>11.51</v>
      </c>
      <c r="K347">
        <v>3105</v>
      </c>
      <c r="L347">
        <v>1340.8527607361962</v>
      </c>
    </row>
    <row r="348" spans="1:12">
      <c r="A348" s="14">
        <v>43349</v>
      </c>
      <c r="B348">
        <v>3065</v>
      </c>
      <c r="C348">
        <v>3085</v>
      </c>
      <c r="D348">
        <v>1664</v>
      </c>
      <c r="E348">
        <v>1659</v>
      </c>
      <c r="F348">
        <v>1.85955394816154</v>
      </c>
      <c r="G348">
        <v>1.68212711002958</v>
      </c>
      <c r="H348">
        <v>9.1742997158186596E-2</v>
      </c>
      <c r="I348">
        <v>1.93395510968568</v>
      </c>
      <c r="J348">
        <v>9.5399999999999991</v>
      </c>
      <c r="K348">
        <v>3085</v>
      </c>
      <c r="L348">
        <v>1366.3849693251534</v>
      </c>
    </row>
    <row r="349" spans="1:12">
      <c r="A349" s="14">
        <v>43348</v>
      </c>
      <c r="B349">
        <v>3080</v>
      </c>
      <c r="C349">
        <v>3075</v>
      </c>
      <c r="D349">
        <v>1679</v>
      </c>
      <c r="E349">
        <v>1677</v>
      </c>
      <c r="F349">
        <v>1.8336314847942701</v>
      </c>
      <c r="G349">
        <v>1.67680256237138</v>
      </c>
      <c r="H349">
        <v>9.2872503956676303E-2</v>
      </c>
      <c r="I349">
        <v>1.68864750858928</v>
      </c>
      <c r="J349">
        <v>8.5500000000000007</v>
      </c>
      <c r="K349">
        <v>3075</v>
      </c>
      <c r="L349">
        <v>1381.2101226993864</v>
      </c>
    </row>
    <row r="350" spans="1:12">
      <c r="A350" s="14">
        <v>43347</v>
      </c>
      <c r="B350">
        <v>3095</v>
      </c>
      <c r="C350">
        <v>3065</v>
      </c>
      <c r="D350">
        <v>1722</v>
      </c>
      <c r="E350">
        <v>1694</v>
      </c>
      <c r="F350">
        <v>1.80932703659976</v>
      </c>
      <c r="G350">
        <v>1.6719450211790901</v>
      </c>
      <c r="H350">
        <v>9.4062630017110904E-2</v>
      </c>
      <c r="I350">
        <v>1.4605376800083201</v>
      </c>
      <c r="J350">
        <v>7.59</v>
      </c>
      <c r="K350">
        <v>3065</v>
      </c>
      <c r="L350">
        <v>1395.2116564417177</v>
      </c>
    </row>
    <row r="351" spans="1:12">
      <c r="A351" s="14">
        <v>43346</v>
      </c>
      <c r="B351">
        <v>3130</v>
      </c>
      <c r="C351">
        <v>3125</v>
      </c>
      <c r="D351">
        <v>1748</v>
      </c>
      <c r="E351">
        <v>1716</v>
      </c>
      <c r="F351">
        <v>1.8210955710955701</v>
      </c>
      <c r="G351">
        <v>1.66734209638401</v>
      </c>
      <c r="H351">
        <v>9.5660294944644397E-2</v>
      </c>
      <c r="I351">
        <v>1.6072862288426699</v>
      </c>
      <c r="J351">
        <v>8.44</v>
      </c>
      <c r="K351">
        <v>3125</v>
      </c>
      <c r="L351">
        <v>1413.3312883435583</v>
      </c>
    </row>
    <row r="352" spans="1:12">
      <c r="A352" s="14">
        <v>43343</v>
      </c>
      <c r="B352">
        <v>3075</v>
      </c>
      <c r="C352">
        <v>3110</v>
      </c>
      <c r="D352">
        <v>1750</v>
      </c>
      <c r="E352">
        <v>1746</v>
      </c>
      <c r="F352">
        <v>1.7812142038946099</v>
      </c>
      <c r="G352">
        <v>1.6626283537062001</v>
      </c>
      <c r="H352">
        <v>9.6672730281564798E-2</v>
      </c>
      <c r="I352">
        <v>1.22667322876913</v>
      </c>
      <c r="J352">
        <v>6.66</v>
      </c>
      <c r="K352">
        <v>3110</v>
      </c>
      <c r="L352">
        <v>1438.0398773006134</v>
      </c>
    </row>
    <row r="353" spans="1:12">
      <c r="A353" s="14">
        <v>43342</v>
      </c>
      <c r="B353">
        <v>3035</v>
      </c>
      <c r="C353">
        <v>3100</v>
      </c>
      <c r="D353">
        <v>1790</v>
      </c>
      <c r="E353">
        <v>1775</v>
      </c>
      <c r="F353">
        <v>1.7464788732394301</v>
      </c>
      <c r="G353">
        <v>1.65846195588338</v>
      </c>
      <c r="H353">
        <v>9.8193795957469507E-2</v>
      </c>
      <c r="I353">
        <v>0.89635925058006705</v>
      </c>
      <c r="J353">
        <v>5.04</v>
      </c>
      <c r="K353">
        <v>3100</v>
      </c>
      <c r="L353">
        <v>1461.9248466257668</v>
      </c>
    </row>
    <row r="354" spans="1:12">
      <c r="A354" s="14">
        <v>43341</v>
      </c>
      <c r="B354">
        <v>2980</v>
      </c>
      <c r="C354">
        <v>2984</v>
      </c>
      <c r="D354">
        <v>1760</v>
      </c>
      <c r="E354">
        <v>1777</v>
      </c>
      <c r="F354">
        <v>1.6792346651660099</v>
      </c>
      <c r="G354">
        <v>1.6550192678147699</v>
      </c>
      <c r="H354">
        <v>9.9564288107208299E-2</v>
      </c>
      <c r="I354">
        <v>0.243213684460408</v>
      </c>
      <c r="J354">
        <v>1.44</v>
      </c>
      <c r="K354">
        <v>2984</v>
      </c>
      <c r="L354">
        <v>1463.5720858895704</v>
      </c>
    </row>
    <row r="355" spans="1:12">
      <c r="A355" s="14">
        <v>43340</v>
      </c>
      <c r="B355">
        <v>2997</v>
      </c>
      <c r="C355">
        <v>2970</v>
      </c>
      <c r="D355">
        <v>1772</v>
      </c>
      <c r="E355">
        <v>1772</v>
      </c>
      <c r="F355">
        <v>1.67607223476297</v>
      </c>
      <c r="G355">
        <v>1.65221952604267</v>
      </c>
      <c r="H355">
        <v>0.10177183668680399</v>
      </c>
      <c r="I355">
        <v>0.234374356372405</v>
      </c>
      <c r="J355">
        <v>1.42</v>
      </c>
      <c r="K355">
        <v>2970</v>
      </c>
      <c r="L355">
        <v>1459.4539877300613</v>
      </c>
    </row>
    <row r="356" spans="1:12">
      <c r="A356" s="14">
        <v>43339</v>
      </c>
      <c r="B356">
        <v>2956</v>
      </c>
      <c r="C356">
        <v>2979</v>
      </c>
      <c r="D356">
        <v>1741</v>
      </c>
      <c r="E356">
        <v>1747</v>
      </c>
      <c r="F356">
        <v>1.7052089295935799</v>
      </c>
      <c r="G356">
        <v>1.6496257219278001</v>
      </c>
      <c r="H356">
        <v>0.103593565913786</v>
      </c>
      <c r="I356">
        <v>0.53655077103963</v>
      </c>
      <c r="J356">
        <v>3.26</v>
      </c>
      <c r="K356">
        <v>2979</v>
      </c>
      <c r="L356">
        <v>1438.8634969325153</v>
      </c>
    </row>
    <row r="357" spans="1:12">
      <c r="A357" s="14">
        <v>43336</v>
      </c>
      <c r="B357">
        <v>2950</v>
      </c>
      <c r="C357">
        <v>2956</v>
      </c>
      <c r="D357">
        <v>1749</v>
      </c>
      <c r="E357">
        <v>1726</v>
      </c>
      <c r="F357">
        <v>1.71263035921205</v>
      </c>
      <c r="G357">
        <v>1.6462431583116</v>
      </c>
      <c r="H357">
        <v>0.105840861374961</v>
      </c>
      <c r="I357">
        <v>0.62723602243991206</v>
      </c>
      <c r="J357">
        <v>3.88</v>
      </c>
      <c r="K357">
        <v>2956</v>
      </c>
      <c r="L357">
        <v>1421.5674846625766</v>
      </c>
    </row>
    <row r="358" spans="1:12">
      <c r="A358" s="14">
        <v>43335</v>
      </c>
      <c r="B358">
        <v>2875</v>
      </c>
      <c r="C358">
        <v>2912</v>
      </c>
      <c r="D358">
        <v>1748</v>
      </c>
      <c r="E358">
        <v>1731</v>
      </c>
      <c r="F358">
        <v>1.6822645869439601</v>
      </c>
      <c r="G358">
        <v>1.64368814150025</v>
      </c>
      <c r="H358">
        <v>0.106518201801104</v>
      </c>
      <c r="I358">
        <v>0.36215824893233001</v>
      </c>
      <c r="J358">
        <v>2.29</v>
      </c>
      <c r="K358">
        <v>2912</v>
      </c>
      <c r="L358">
        <v>1425.6855828220857</v>
      </c>
    </row>
    <row r="359" spans="1:12">
      <c r="A359" s="14">
        <v>43334</v>
      </c>
      <c r="B359">
        <v>2888</v>
      </c>
      <c r="C359">
        <v>2871</v>
      </c>
      <c r="D359">
        <v>1698</v>
      </c>
      <c r="E359">
        <v>1732</v>
      </c>
      <c r="F359">
        <v>1.6576212471131599</v>
      </c>
      <c r="G359">
        <v>1.64021344658785</v>
      </c>
      <c r="H359">
        <v>0.109414276526571</v>
      </c>
      <c r="I359">
        <v>0.159099900652209</v>
      </c>
      <c r="J359">
        <v>1.05</v>
      </c>
      <c r="K359">
        <v>2871</v>
      </c>
      <c r="L359">
        <v>1426.5092024539877</v>
      </c>
    </row>
    <row r="360" spans="1:12">
      <c r="A360" s="14">
        <v>43333</v>
      </c>
      <c r="B360">
        <v>2929</v>
      </c>
      <c r="C360">
        <v>2916</v>
      </c>
      <c r="D360">
        <v>1672</v>
      </c>
      <c r="E360">
        <v>1696</v>
      </c>
      <c r="F360">
        <v>1.7193396226415001</v>
      </c>
      <c r="G360">
        <v>1.6375102210054899</v>
      </c>
      <c r="H360">
        <v>0.111436615154272</v>
      </c>
      <c r="I360">
        <v>0.73431341684892004</v>
      </c>
      <c r="J360">
        <v>4.76</v>
      </c>
      <c r="K360">
        <v>2916</v>
      </c>
      <c r="L360">
        <v>1396.8588957055215</v>
      </c>
    </row>
    <row r="361" spans="1:12">
      <c r="A361" s="14">
        <v>43332</v>
      </c>
      <c r="B361">
        <v>2914</v>
      </c>
      <c r="C361">
        <v>2917</v>
      </c>
      <c r="D361">
        <v>1658</v>
      </c>
      <c r="E361">
        <v>1670</v>
      </c>
      <c r="F361">
        <v>1.7467065868263401</v>
      </c>
      <c r="G361">
        <v>1.6341755432423599</v>
      </c>
      <c r="H361">
        <v>0.112673224117532</v>
      </c>
      <c r="I361">
        <v>0.99873811604606999</v>
      </c>
      <c r="J361">
        <v>6.44</v>
      </c>
      <c r="K361">
        <v>2917</v>
      </c>
      <c r="L361">
        <v>1375.4447852760736</v>
      </c>
    </row>
    <row r="362" spans="1:12">
      <c r="A362" s="14">
        <v>43329</v>
      </c>
      <c r="B362">
        <v>2939</v>
      </c>
      <c r="C362">
        <v>2920</v>
      </c>
      <c r="D362">
        <v>1688</v>
      </c>
      <c r="E362">
        <v>1694</v>
      </c>
      <c r="F362">
        <v>1.7237308146399</v>
      </c>
      <c r="G362">
        <v>1.63016364305711</v>
      </c>
      <c r="H362">
        <v>0.113944654078071</v>
      </c>
      <c r="I362">
        <v>0.82116333003808695</v>
      </c>
      <c r="J362">
        <v>5.43</v>
      </c>
      <c r="K362">
        <v>2920</v>
      </c>
      <c r="L362">
        <v>1395.2116564417177</v>
      </c>
    </row>
    <row r="363" spans="1:12">
      <c r="A363" s="14">
        <v>43328</v>
      </c>
      <c r="B363">
        <v>2931</v>
      </c>
      <c r="C363">
        <v>2954</v>
      </c>
      <c r="D363">
        <v>1652</v>
      </c>
      <c r="E363">
        <v>1687</v>
      </c>
      <c r="F363">
        <v>1.75103734439834</v>
      </c>
      <c r="G363">
        <v>1.6264329341763</v>
      </c>
      <c r="H363">
        <v>0.115391448577305</v>
      </c>
      <c r="I363">
        <v>1.07984093932713</v>
      </c>
      <c r="J363">
        <v>7.12</v>
      </c>
      <c r="K363">
        <v>2954</v>
      </c>
      <c r="L363">
        <v>1389.4463190184049</v>
      </c>
    </row>
    <row r="364" spans="1:12">
      <c r="A364" s="14">
        <v>43327</v>
      </c>
      <c r="B364">
        <v>3025</v>
      </c>
      <c r="C364">
        <v>2957</v>
      </c>
      <c r="D364">
        <v>1720</v>
      </c>
      <c r="E364">
        <v>1692</v>
      </c>
      <c r="F364">
        <v>1.74763593380614</v>
      </c>
      <c r="G364">
        <v>1.6226532258150099</v>
      </c>
      <c r="H364">
        <v>0.115889724282882</v>
      </c>
      <c r="I364">
        <v>1.0784623810653999</v>
      </c>
      <c r="J364">
        <v>7.15</v>
      </c>
      <c r="K364">
        <v>2957</v>
      </c>
      <c r="L364">
        <v>1393.564417177914</v>
      </c>
    </row>
    <row r="365" spans="1:12">
      <c r="A365" s="14">
        <v>43326</v>
      </c>
      <c r="B365">
        <v>2969</v>
      </c>
      <c r="C365">
        <v>3025</v>
      </c>
      <c r="D365">
        <v>1690</v>
      </c>
      <c r="E365">
        <v>1713</v>
      </c>
      <c r="F365">
        <v>1.76590776415645</v>
      </c>
      <c r="G365">
        <v>1.6187372428375899</v>
      </c>
      <c r="H365">
        <v>0.116560508572642</v>
      </c>
      <c r="I365">
        <v>1.26261049407777</v>
      </c>
      <c r="J365">
        <v>8.33</v>
      </c>
      <c r="K365">
        <v>3025</v>
      </c>
      <c r="L365">
        <v>1410.8604294478528</v>
      </c>
    </row>
    <row r="366" spans="1:12">
      <c r="A366" s="14">
        <v>43325</v>
      </c>
      <c r="B366">
        <v>2978</v>
      </c>
      <c r="C366">
        <v>2934</v>
      </c>
      <c r="D366">
        <v>1706</v>
      </c>
      <c r="E366">
        <v>1682</v>
      </c>
      <c r="F366">
        <v>1.74435196195005</v>
      </c>
      <c r="G366">
        <v>1.61464022273395</v>
      </c>
      <c r="H366">
        <v>0.116715737780686</v>
      </c>
      <c r="I366">
        <v>1.11134746421116</v>
      </c>
      <c r="J366">
        <v>7.44</v>
      </c>
      <c r="K366">
        <v>2934</v>
      </c>
      <c r="L366">
        <v>1385.3282208588957</v>
      </c>
    </row>
    <row r="367" spans="1:12">
      <c r="A367" s="14">
        <v>43322</v>
      </c>
      <c r="B367">
        <v>2970</v>
      </c>
      <c r="C367">
        <v>2984</v>
      </c>
      <c r="D367">
        <v>1742</v>
      </c>
      <c r="E367">
        <v>1717</v>
      </c>
      <c r="F367">
        <v>1.73791496796738</v>
      </c>
      <c r="G367">
        <v>1.61020730567163</v>
      </c>
      <c r="H367">
        <v>0.11801150983783799</v>
      </c>
      <c r="I367">
        <v>1.08216276930303</v>
      </c>
      <c r="J367">
        <v>7.35</v>
      </c>
      <c r="K367">
        <v>2984</v>
      </c>
      <c r="L367">
        <v>1414.15490797546</v>
      </c>
    </row>
    <row r="368" spans="1:12">
      <c r="A368" s="14">
        <v>43321</v>
      </c>
      <c r="B368">
        <v>2995</v>
      </c>
      <c r="C368">
        <v>2976</v>
      </c>
      <c r="D368">
        <v>1731</v>
      </c>
      <c r="E368">
        <v>1745</v>
      </c>
      <c r="F368">
        <v>1.7054441260744899</v>
      </c>
      <c r="G368">
        <v>1.60541974694613</v>
      </c>
      <c r="H368">
        <v>0.120000140670912</v>
      </c>
      <c r="I368">
        <v>0.833535515617981</v>
      </c>
      <c r="J368">
        <v>5.87</v>
      </c>
      <c r="K368">
        <v>2976</v>
      </c>
      <c r="L368">
        <v>1437.2162576687117</v>
      </c>
    </row>
    <row r="369" spans="1:12">
      <c r="A369" s="14">
        <v>43320</v>
      </c>
      <c r="B369">
        <v>3015</v>
      </c>
      <c r="C369">
        <v>3010</v>
      </c>
      <c r="D369">
        <v>1746</v>
      </c>
      <c r="E369">
        <v>1739</v>
      </c>
      <c r="F369">
        <v>1.73087981598619</v>
      </c>
      <c r="G369">
        <v>1.6011537490935901</v>
      </c>
      <c r="H369">
        <v>0.122038243088292</v>
      </c>
      <c r="I369">
        <v>1.0629952022395901</v>
      </c>
      <c r="J369">
        <v>7.49</v>
      </c>
      <c r="K369">
        <v>3010</v>
      </c>
      <c r="L369">
        <v>1432.2745398773006</v>
      </c>
    </row>
    <row r="370" spans="1:12">
      <c r="A370" s="14">
        <v>43319</v>
      </c>
      <c r="B370">
        <v>2963</v>
      </c>
      <c r="C370">
        <v>3025</v>
      </c>
      <c r="D370">
        <v>1749</v>
      </c>
      <c r="E370">
        <v>1770</v>
      </c>
      <c r="F370">
        <v>1.7090395480225899</v>
      </c>
      <c r="G370">
        <v>1.5962287467596099</v>
      </c>
      <c r="H370">
        <v>0.12413882697555</v>
      </c>
      <c r="I370">
        <v>0.908747118137334</v>
      </c>
      <c r="J370">
        <v>6.6</v>
      </c>
      <c r="K370">
        <v>3025</v>
      </c>
      <c r="L370">
        <v>1457.8067484662577</v>
      </c>
    </row>
    <row r="371" spans="1:12">
      <c r="A371" s="14">
        <v>43318</v>
      </c>
      <c r="B371">
        <v>3000</v>
      </c>
      <c r="C371">
        <v>2954</v>
      </c>
      <c r="D371">
        <v>1769</v>
      </c>
      <c r="E371">
        <v>1768</v>
      </c>
      <c r="F371">
        <v>1.670814479638</v>
      </c>
      <c r="G371">
        <v>1.59234772438658</v>
      </c>
      <c r="H371">
        <v>0.12509763643035501</v>
      </c>
      <c r="I371">
        <v>0.62724410700683197</v>
      </c>
      <c r="J371">
        <v>4.7</v>
      </c>
      <c r="K371">
        <v>2954</v>
      </c>
      <c r="L371">
        <v>1456.1595092024538</v>
      </c>
    </row>
    <row r="372" spans="1:12">
      <c r="A372" s="14">
        <v>43315</v>
      </c>
      <c r="B372">
        <v>3010</v>
      </c>
      <c r="C372">
        <v>3015</v>
      </c>
      <c r="D372">
        <v>1772</v>
      </c>
      <c r="E372">
        <v>1769</v>
      </c>
      <c r="F372">
        <v>1.7043527416619499</v>
      </c>
      <c r="G372">
        <v>1.5892598472934201</v>
      </c>
      <c r="H372">
        <v>0.12597783985278499</v>
      </c>
      <c r="I372">
        <v>0.91359634760390895</v>
      </c>
      <c r="J372">
        <v>6.75</v>
      </c>
      <c r="K372">
        <v>3015</v>
      </c>
      <c r="L372">
        <v>1456.9831288343557</v>
      </c>
    </row>
    <row r="373" spans="1:12">
      <c r="A373" s="14">
        <v>43314</v>
      </c>
      <c r="B373">
        <v>3005</v>
      </c>
      <c r="C373">
        <v>2985</v>
      </c>
      <c r="D373">
        <v>1858</v>
      </c>
      <c r="E373">
        <v>1795</v>
      </c>
      <c r="F373">
        <v>1.6629526462395501</v>
      </c>
      <c r="G373">
        <v>1.5853726292432599</v>
      </c>
      <c r="H373">
        <v>0.12686137367081199</v>
      </c>
      <c r="I373">
        <v>0.61153379276498798</v>
      </c>
      <c r="J373">
        <v>4.67</v>
      </c>
      <c r="K373">
        <v>2985</v>
      </c>
      <c r="L373">
        <v>1478.3972392638036</v>
      </c>
    </row>
    <row r="374" spans="1:12">
      <c r="A374" s="14">
        <v>43313</v>
      </c>
      <c r="B374">
        <v>3025</v>
      </c>
      <c r="C374">
        <v>2990</v>
      </c>
      <c r="D374">
        <v>1827</v>
      </c>
      <c r="E374">
        <v>1837</v>
      </c>
      <c r="F374">
        <v>1.6276537833424001</v>
      </c>
      <c r="G374">
        <v>1.58188823020077</v>
      </c>
      <c r="H374">
        <v>0.12826381161742301</v>
      </c>
      <c r="I374">
        <v>0.35680799256252499</v>
      </c>
      <c r="J374">
        <v>2.81</v>
      </c>
      <c r="K374">
        <v>2990</v>
      </c>
      <c r="L374">
        <v>1512.9892638036808</v>
      </c>
    </row>
    <row r="375" spans="1:12">
      <c r="A375" s="14">
        <v>43312</v>
      </c>
      <c r="B375">
        <v>3130</v>
      </c>
      <c r="C375">
        <v>3025</v>
      </c>
      <c r="D375">
        <v>1810</v>
      </c>
      <c r="E375">
        <v>1820</v>
      </c>
      <c r="F375">
        <v>1.66208791208791</v>
      </c>
      <c r="G375">
        <v>1.57923872066921</v>
      </c>
      <c r="H375">
        <v>0.129338955802871</v>
      </c>
      <c r="I375">
        <v>0.64055868477064704</v>
      </c>
      <c r="J375">
        <v>4.9800000000000004</v>
      </c>
      <c r="K375">
        <v>3025</v>
      </c>
      <c r="L375">
        <v>1498.9877300613496</v>
      </c>
    </row>
    <row r="376" spans="1:12">
      <c r="A376" s="14">
        <v>43311</v>
      </c>
      <c r="B376">
        <v>3190</v>
      </c>
      <c r="C376">
        <v>3160</v>
      </c>
      <c r="D376">
        <v>1800</v>
      </c>
      <c r="E376">
        <v>1803</v>
      </c>
      <c r="F376">
        <v>1.75263449805879</v>
      </c>
      <c r="G376">
        <v>1.5760038142232999</v>
      </c>
      <c r="H376">
        <v>0.130257163259</v>
      </c>
      <c r="I376">
        <v>1.3560151274312799</v>
      </c>
      <c r="J376">
        <v>10.08</v>
      </c>
      <c r="K376">
        <v>3160</v>
      </c>
      <c r="L376">
        <v>1484.9861963190183</v>
      </c>
    </row>
    <row r="377" spans="1:12">
      <c r="A377" s="14">
        <v>43308</v>
      </c>
      <c r="B377">
        <v>3185</v>
      </c>
      <c r="C377">
        <v>3155</v>
      </c>
      <c r="D377">
        <v>1792</v>
      </c>
      <c r="E377">
        <v>1787</v>
      </c>
      <c r="F377">
        <v>1.7655288192501399</v>
      </c>
      <c r="G377">
        <v>1.5719548057474</v>
      </c>
      <c r="H377">
        <v>0.12942086795249799</v>
      </c>
      <c r="I377">
        <v>1.4956939832437299</v>
      </c>
      <c r="J377">
        <v>10.96</v>
      </c>
      <c r="K377">
        <v>3155</v>
      </c>
      <c r="L377">
        <v>1471.8082822085889</v>
      </c>
    </row>
    <row r="378" spans="1:12">
      <c r="A378" s="14">
        <v>43307</v>
      </c>
      <c r="B378">
        <v>3020</v>
      </c>
      <c r="C378">
        <v>3150</v>
      </c>
      <c r="D378">
        <v>1780</v>
      </c>
      <c r="E378">
        <v>1773</v>
      </c>
      <c r="F378">
        <v>1.7766497461928901</v>
      </c>
      <c r="G378">
        <v>1.5681564019649299</v>
      </c>
      <c r="H378">
        <v>0.12785491389552101</v>
      </c>
      <c r="I378">
        <v>1.6307026290622699</v>
      </c>
      <c r="J378">
        <v>11.74</v>
      </c>
      <c r="K378">
        <v>3150</v>
      </c>
      <c r="L378">
        <v>1460.2776073619632</v>
      </c>
    </row>
    <row r="379" spans="1:12">
      <c r="A379" s="14">
        <v>43306</v>
      </c>
      <c r="B379">
        <v>2970</v>
      </c>
      <c r="C379">
        <v>2976</v>
      </c>
      <c r="D379">
        <v>1733</v>
      </c>
      <c r="E379">
        <v>1757</v>
      </c>
      <c r="F379">
        <v>1.69379624359704</v>
      </c>
      <c r="G379">
        <v>1.56383586079808</v>
      </c>
      <c r="H379">
        <v>0.126200770504134</v>
      </c>
      <c r="I379">
        <v>1.0297907237792501</v>
      </c>
      <c r="J379">
        <v>7.67</v>
      </c>
      <c r="K379">
        <v>2976</v>
      </c>
      <c r="L379">
        <v>1447.0996932515336</v>
      </c>
    </row>
    <row r="380" spans="1:12">
      <c r="A380" s="14">
        <v>43305</v>
      </c>
      <c r="B380">
        <v>2960</v>
      </c>
      <c r="C380">
        <v>2974</v>
      </c>
      <c r="D380">
        <v>1729</v>
      </c>
      <c r="E380">
        <v>1715</v>
      </c>
      <c r="F380">
        <v>1.7341107871720101</v>
      </c>
      <c r="G380">
        <v>1.5601919387774601</v>
      </c>
      <c r="H380">
        <v>0.126341156729287</v>
      </c>
      <c r="I380">
        <v>1.3765810991204099</v>
      </c>
      <c r="J380">
        <v>10.029999999999999</v>
      </c>
      <c r="K380">
        <v>2974</v>
      </c>
      <c r="L380">
        <v>1412.5076687116564</v>
      </c>
    </row>
    <row r="381" spans="1:12">
      <c r="A381" s="14">
        <v>43304</v>
      </c>
      <c r="B381">
        <v>2965</v>
      </c>
      <c r="C381">
        <v>2948</v>
      </c>
      <c r="D381">
        <v>1722</v>
      </c>
      <c r="E381">
        <v>1715</v>
      </c>
      <c r="F381">
        <v>1.71895043731778</v>
      </c>
      <c r="G381">
        <v>1.5563593037941801</v>
      </c>
      <c r="H381">
        <v>0.125363254928192</v>
      </c>
      <c r="I381">
        <v>1.29696005114679</v>
      </c>
      <c r="J381">
        <v>9.4600000000000009</v>
      </c>
      <c r="K381">
        <v>2948</v>
      </c>
      <c r="L381">
        <v>1412.5076687116564</v>
      </c>
    </row>
    <row r="382" spans="1:12">
      <c r="A382" s="14">
        <v>43301</v>
      </c>
      <c r="B382">
        <v>2941</v>
      </c>
      <c r="C382">
        <v>2981</v>
      </c>
      <c r="D382">
        <v>1758</v>
      </c>
      <c r="E382">
        <v>1740</v>
      </c>
      <c r="F382">
        <v>1.7132183908045899</v>
      </c>
      <c r="G382">
        <v>1.5513384450696499</v>
      </c>
      <c r="H382">
        <v>0.126288238233698</v>
      </c>
      <c r="I382">
        <v>1.28182915526451</v>
      </c>
      <c r="J382">
        <v>9.4499999999999993</v>
      </c>
      <c r="K382">
        <v>2981</v>
      </c>
      <c r="L382">
        <v>1433.0981595092023</v>
      </c>
    </row>
    <row r="383" spans="1:12">
      <c r="A383" s="14">
        <v>43300</v>
      </c>
      <c r="B383">
        <v>2961</v>
      </c>
      <c r="C383">
        <v>2948</v>
      </c>
      <c r="D383">
        <v>1735</v>
      </c>
      <c r="E383">
        <v>1747</v>
      </c>
      <c r="F383">
        <v>1.68746422438465</v>
      </c>
      <c r="G383">
        <v>1.54639279675442</v>
      </c>
      <c r="H383">
        <v>0.127112213856378</v>
      </c>
      <c r="I383">
        <v>1.1098180367594399</v>
      </c>
      <c r="J383">
        <v>8.36</v>
      </c>
      <c r="K383">
        <v>2948</v>
      </c>
      <c r="L383">
        <v>1438.8634969325153</v>
      </c>
    </row>
    <row r="384" spans="1:12">
      <c r="A384" s="14">
        <v>43299</v>
      </c>
      <c r="B384">
        <v>2960</v>
      </c>
      <c r="C384">
        <v>2959</v>
      </c>
      <c r="D384">
        <v>1746</v>
      </c>
      <c r="E384">
        <v>1734</v>
      </c>
      <c r="F384">
        <v>1.7064590542099101</v>
      </c>
      <c r="G384">
        <v>1.5420669646949401</v>
      </c>
      <c r="H384">
        <v>0.12775664838018</v>
      </c>
      <c r="I384">
        <v>1.2867595667176099</v>
      </c>
      <c r="J384">
        <v>9.6300000000000008</v>
      </c>
      <c r="K384">
        <v>2959</v>
      </c>
      <c r="L384">
        <v>1428.1564417177913</v>
      </c>
    </row>
    <row r="385" spans="1:12">
      <c r="A385" s="14">
        <v>43298</v>
      </c>
      <c r="B385">
        <v>2935</v>
      </c>
      <c r="C385">
        <v>2960</v>
      </c>
      <c r="D385">
        <v>1701</v>
      </c>
      <c r="E385">
        <v>1721</v>
      </c>
      <c r="F385">
        <v>1.7199302730970301</v>
      </c>
      <c r="G385">
        <v>1.53742555745075</v>
      </c>
      <c r="H385">
        <v>0.128023032553858</v>
      </c>
      <c r="I385">
        <v>1.4255615728326101</v>
      </c>
      <c r="J385">
        <v>10.61</v>
      </c>
      <c r="K385">
        <v>2960</v>
      </c>
      <c r="L385">
        <v>1417.4493865030674</v>
      </c>
    </row>
    <row r="386" spans="1:12">
      <c r="A386" s="14">
        <v>43294</v>
      </c>
      <c r="B386">
        <v>2942</v>
      </c>
      <c r="C386">
        <v>2935</v>
      </c>
      <c r="D386">
        <v>1672</v>
      </c>
      <c r="E386">
        <v>1686</v>
      </c>
      <c r="F386">
        <v>1.74080664294187</v>
      </c>
      <c r="G386">
        <v>1.5319190887293199</v>
      </c>
      <c r="H386">
        <v>0.12893313183031399</v>
      </c>
      <c r="I386">
        <v>1.62012316964004</v>
      </c>
      <c r="J386">
        <v>12</v>
      </c>
      <c r="K386">
        <v>2935</v>
      </c>
      <c r="L386">
        <v>1388.622699386503</v>
      </c>
    </row>
    <row r="387" spans="1:12">
      <c r="A387" s="14">
        <v>43293</v>
      </c>
      <c r="B387">
        <v>2891</v>
      </c>
      <c r="C387">
        <v>2929</v>
      </c>
      <c r="D387">
        <v>1674</v>
      </c>
      <c r="E387">
        <v>1665</v>
      </c>
      <c r="F387">
        <v>1.75915915915915</v>
      </c>
      <c r="G387">
        <v>1.5263766104627201</v>
      </c>
      <c r="H387">
        <v>0.12876899417035501</v>
      </c>
      <c r="I387">
        <v>1.8077531023382201</v>
      </c>
      <c r="J387">
        <v>13.23</v>
      </c>
      <c r="K387">
        <v>2929</v>
      </c>
      <c r="L387">
        <v>1371.3266871165645</v>
      </c>
    </row>
    <row r="388" spans="1:12">
      <c r="A388" s="14">
        <v>43292</v>
      </c>
      <c r="B388">
        <v>2876</v>
      </c>
      <c r="C388">
        <v>2887</v>
      </c>
      <c r="D388">
        <v>1726</v>
      </c>
      <c r="E388">
        <v>1689</v>
      </c>
      <c r="F388">
        <v>1.7092954410893999</v>
      </c>
      <c r="G388">
        <v>1.5202159828747801</v>
      </c>
      <c r="H388">
        <v>0.12853726022124401</v>
      </c>
      <c r="I388">
        <v>1.4710089346012301</v>
      </c>
      <c r="J388">
        <v>11.06</v>
      </c>
      <c r="K388">
        <v>2887</v>
      </c>
      <c r="L388">
        <v>1391.0935582822085</v>
      </c>
    </row>
    <row r="389" spans="1:12">
      <c r="A389" s="14">
        <v>43291</v>
      </c>
      <c r="B389">
        <v>2940</v>
      </c>
      <c r="C389">
        <v>2905</v>
      </c>
      <c r="D389">
        <v>1774</v>
      </c>
      <c r="E389">
        <v>1738</v>
      </c>
      <c r="F389">
        <v>1.67146144994246</v>
      </c>
      <c r="G389">
        <v>1.5149762612111399</v>
      </c>
      <c r="H389">
        <v>0.128732382673477</v>
      </c>
      <c r="I389">
        <v>1.21558527451662</v>
      </c>
      <c r="J389">
        <v>9.36</v>
      </c>
      <c r="K389">
        <v>2905</v>
      </c>
      <c r="L389">
        <v>1431.4509202453987</v>
      </c>
    </row>
    <row r="390" spans="1:12">
      <c r="A390" s="14">
        <v>43290</v>
      </c>
      <c r="B390">
        <v>2891</v>
      </c>
      <c r="C390">
        <v>2929</v>
      </c>
      <c r="D390">
        <v>1719</v>
      </c>
      <c r="E390">
        <v>1737</v>
      </c>
      <c r="F390">
        <v>1.6862406447898599</v>
      </c>
      <c r="G390">
        <v>1.50962482945347</v>
      </c>
      <c r="H390">
        <v>0.13044686868240299</v>
      </c>
      <c r="I390">
        <v>1.3539291293100599</v>
      </c>
      <c r="J390">
        <v>10.47</v>
      </c>
      <c r="K390">
        <v>2929</v>
      </c>
      <c r="L390">
        <v>1430.6273006134968</v>
      </c>
    </row>
    <row r="391" spans="1:12">
      <c r="A391" s="14">
        <v>43287</v>
      </c>
      <c r="B391">
        <v>2843</v>
      </c>
      <c r="C391">
        <v>2858</v>
      </c>
      <c r="D391">
        <v>1672</v>
      </c>
      <c r="E391">
        <v>1711</v>
      </c>
      <c r="F391">
        <v>1.6703682057276401</v>
      </c>
      <c r="G391">
        <v>1.5040963533665599</v>
      </c>
      <c r="H391">
        <v>0.131625576793233</v>
      </c>
      <c r="I391">
        <v>1.26321841401895</v>
      </c>
      <c r="J391">
        <v>9.9499999999999993</v>
      </c>
      <c r="K391">
        <v>2858</v>
      </c>
      <c r="L391">
        <v>1409.2131901840489</v>
      </c>
    </row>
    <row r="392" spans="1:12">
      <c r="A392" s="14">
        <v>43286</v>
      </c>
      <c r="B392">
        <v>2861</v>
      </c>
      <c r="C392">
        <v>2831</v>
      </c>
      <c r="D392">
        <v>1694</v>
      </c>
      <c r="E392">
        <v>1682</v>
      </c>
      <c r="F392">
        <v>1.6831153388822799</v>
      </c>
      <c r="G392">
        <v>1.4986875223882301</v>
      </c>
      <c r="H392">
        <v>0.13300948561384501</v>
      </c>
      <c r="I392">
        <v>1.38657642079361</v>
      </c>
      <c r="J392">
        <v>10.96</v>
      </c>
      <c r="K392">
        <v>2831</v>
      </c>
      <c r="L392">
        <v>1385.3282208588957</v>
      </c>
    </row>
    <row r="393" spans="1:12">
      <c r="A393" s="14">
        <v>43285</v>
      </c>
      <c r="B393">
        <v>2768</v>
      </c>
      <c r="C393">
        <v>2849</v>
      </c>
      <c r="D393">
        <v>1696</v>
      </c>
      <c r="E393">
        <v>1691</v>
      </c>
      <c r="F393">
        <v>1.6848018923713699</v>
      </c>
      <c r="G393">
        <v>1.49286750096181</v>
      </c>
      <c r="H393">
        <v>0.134355318584368</v>
      </c>
      <c r="I393">
        <v>1.42855819502994</v>
      </c>
      <c r="J393">
        <v>11.39</v>
      </c>
      <c r="K393">
        <v>2849</v>
      </c>
      <c r="L393">
        <v>1392.7407975460121</v>
      </c>
    </row>
    <row r="394" spans="1:12">
      <c r="A394" s="14">
        <v>43284</v>
      </c>
      <c r="B394">
        <v>2845</v>
      </c>
      <c r="C394">
        <v>2818</v>
      </c>
      <c r="D394">
        <v>1710</v>
      </c>
      <c r="E394">
        <v>1708</v>
      </c>
      <c r="F394">
        <v>1.6498829039812599</v>
      </c>
      <c r="G394">
        <v>1.48712758689306</v>
      </c>
      <c r="H394">
        <v>0.13522583778658201</v>
      </c>
      <c r="I394">
        <v>1.20358150300436</v>
      </c>
      <c r="J394">
        <v>9.86</v>
      </c>
      <c r="K394">
        <v>2818</v>
      </c>
      <c r="L394">
        <v>1406.7423312883434</v>
      </c>
    </row>
    <row r="395" spans="1:12">
      <c r="A395" s="14">
        <v>43283</v>
      </c>
      <c r="B395">
        <v>2911</v>
      </c>
      <c r="C395">
        <v>2827</v>
      </c>
      <c r="D395">
        <v>1729</v>
      </c>
      <c r="E395">
        <v>1709</v>
      </c>
      <c r="F395">
        <v>1.6541837331772899</v>
      </c>
      <c r="G395">
        <v>1.4818672656010801</v>
      </c>
      <c r="H395">
        <v>0.136460211096046</v>
      </c>
      <c r="I395">
        <v>1.2627597905071799</v>
      </c>
      <c r="J395">
        <v>10.42</v>
      </c>
      <c r="K395">
        <v>2827</v>
      </c>
      <c r="L395">
        <v>1407.5659509202453</v>
      </c>
    </row>
    <row r="396" spans="1:12">
      <c r="A396" s="14">
        <v>43280</v>
      </c>
      <c r="B396">
        <v>2890</v>
      </c>
      <c r="C396">
        <v>2909</v>
      </c>
      <c r="D396">
        <v>1711</v>
      </c>
      <c r="E396">
        <v>1717</v>
      </c>
      <c r="F396">
        <v>1.6942341292952801</v>
      </c>
      <c r="G396">
        <v>1.4763570763617799</v>
      </c>
      <c r="H396">
        <v>0.137728712493459</v>
      </c>
      <c r="I396">
        <v>1.5819290617694499</v>
      </c>
      <c r="J396">
        <v>12.86</v>
      </c>
      <c r="K396">
        <v>2909</v>
      </c>
      <c r="L396">
        <v>1414.15490797546</v>
      </c>
    </row>
    <row r="397" spans="1:12">
      <c r="A397" s="14">
        <v>43279</v>
      </c>
      <c r="B397">
        <v>2943</v>
      </c>
      <c r="C397">
        <v>2908</v>
      </c>
      <c r="D397">
        <v>1703</v>
      </c>
      <c r="E397">
        <v>1715</v>
      </c>
      <c r="F397">
        <v>1.69562682215743</v>
      </c>
      <c r="G397">
        <v>1.47070625510733</v>
      </c>
      <c r="H397">
        <v>0.13736732313342001</v>
      </c>
      <c r="I397">
        <v>1.6373658736265899</v>
      </c>
      <c r="J397">
        <v>13.26</v>
      </c>
      <c r="K397">
        <v>2908</v>
      </c>
      <c r="L397">
        <v>1412.5076687116564</v>
      </c>
    </row>
    <row r="398" spans="1:12">
      <c r="A398" s="14">
        <v>43278</v>
      </c>
      <c r="B398">
        <v>2951</v>
      </c>
      <c r="C398">
        <v>2962</v>
      </c>
      <c r="D398">
        <v>1704</v>
      </c>
      <c r="E398">
        <v>1703</v>
      </c>
      <c r="F398">
        <v>1.73928361714621</v>
      </c>
      <c r="G398">
        <v>1.4654098269717999</v>
      </c>
      <c r="H398">
        <v>0.13624642894143399</v>
      </c>
      <c r="I398">
        <v>2.0101355485224199</v>
      </c>
      <c r="J398">
        <v>15.75</v>
      </c>
      <c r="K398">
        <v>2962</v>
      </c>
      <c r="L398">
        <v>1402.6242331288342</v>
      </c>
    </row>
    <row r="399" spans="1:12">
      <c r="A399" s="14">
        <v>43277</v>
      </c>
      <c r="B399">
        <v>2949</v>
      </c>
      <c r="C399">
        <v>2951</v>
      </c>
      <c r="D399">
        <v>1670</v>
      </c>
      <c r="E399">
        <v>1707</v>
      </c>
      <c r="F399">
        <v>1.72876391329818</v>
      </c>
      <c r="G399">
        <v>1.45952028479945</v>
      </c>
      <c r="H399">
        <v>0.13380554264684399</v>
      </c>
      <c r="I399">
        <v>2.0122008638262998</v>
      </c>
      <c r="J399">
        <v>15.57</v>
      </c>
      <c r="K399">
        <v>2951</v>
      </c>
      <c r="L399">
        <v>1405.9187116564417</v>
      </c>
    </row>
    <row r="400" spans="1:12">
      <c r="A400" s="14">
        <v>43276</v>
      </c>
      <c r="B400">
        <v>3080</v>
      </c>
      <c r="C400">
        <v>2999</v>
      </c>
      <c r="D400">
        <v>1699</v>
      </c>
      <c r="E400">
        <v>1690</v>
      </c>
      <c r="F400">
        <v>1.7745562130177499</v>
      </c>
      <c r="G400">
        <v>1.45403835325706</v>
      </c>
      <c r="H400">
        <v>0.13105643592715999</v>
      </c>
      <c r="I400">
        <v>2.4456476135122598</v>
      </c>
      <c r="J400">
        <v>18.059999999999999</v>
      </c>
      <c r="K400">
        <v>2999</v>
      </c>
      <c r="L400">
        <v>1391.9171779141104</v>
      </c>
    </row>
    <row r="401" spans="1:12">
      <c r="A401" s="14">
        <v>43273</v>
      </c>
      <c r="B401">
        <v>3010</v>
      </c>
      <c r="C401">
        <v>3035</v>
      </c>
      <c r="D401">
        <v>1676</v>
      </c>
      <c r="E401">
        <v>1703</v>
      </c>
      <c r="F401">
        <v>1.7821491485613601</v>
      </c>
      <c r="G401">
        <v>1.44787957753825</v>
      </c>
      <c r="H401">
        <v>0.12662800848111</v>
      </c>
      <c r="I401">
        <v>2.6397759471433702</v>
      </c>
      <c r="J401">
        <v>18.760000000000002</v>
      </c>
      <c r="K401">
        <v>3035</v>
      </c>
      <c r="L401">
        <v>1402.6242331288342</v>
      </c>
    </row>
    <row r="402" spans="1:12">
      <c r="A402" s="14">
        <v>43272</v>
      </c>
      <c r="B402">
        <v>2975</v>
      </c>
      <c r="C402">
        <v>3025</v>
      </c>
      <c r="D402">
        <v>1710</v>
      </c>
      <c r="E402">
        <v>1696</v>
      </c>
      <c r="F402">
        <v>1.7836084905660301</v>
      </c>
      <c r="G402">
        <v>1.44162078173879</v>
      </c>
      <c r="H402">
        <v>0.121446158430273</v>
      </c>
      <c r="I402">
        <v>2.8159615194711201</v>
      </c>
      <c r="J402">
        <v>19.170000000000002</v>
      </c>
      <c r="K402">
        <v>3025</v>
      </c>
      <c r="L402">
        <v>1396.8588957055215</v>
      </c>
    </row>
    <row r="403" spans="1:12">
      <c r="A403" s="14">
        <v>43271</v>
      </c>
      <c r="B403">
        <v>2997</v>
      </c>
      <c r="C403">
        <v>2986</v>
      </c>
      <c r="D403">
        <v>1701</v>
      </c>
      <c r="E403">
        <v>1705</v>
      </c>
      <c r="F403">
        <v>1.75131964809384</v>
      </c>
      <c r="G403">
        <v>1.43465604053434</v>
      </c>
      <c r="H403">
        <v>0.116511894271059</v>
      </c>
      <c r="I403">
        <v>2.7178650689756898</v>
      </c>
      <c r="J403">
        <v>18.079999999999998</v>
      </c>
      <c r="K403">
        <v>2986</v>
      </c>
      <c r="L403">
        <v>1404.2714723926381</v>
      </c>
    </row>
    <row r="404" spans="1:12">
      <c r="A404" s="14">
        <v>43270</v>
      </c>
      <c r="B404">
        <v>3000</v>
      </c>
      <c r="C404">
        <v>2999</v>
      </c>
      <c r="D404">
        <v>1731</v>
      </c>
      <c r="E404">
        <v>1703</v>
      </c>
      <c r="F404">
        <v>1.76100998238402</v>
      </c>
      <c r="G404">
        <v>1.4280936747222801</v>
      </c>
      <c r="H404">
        <v>0.112275021158229</v>
      </c>
      <c r="I404">
        <v>2.9651858821969301</v>
      </c>
      <c r="J404">
        <v>18.899999999999999</v>
      </c>
      <c r="K404">
        <v>2999</v>
      </c>
      <c r="L404">
        <v>1402.6242331288342</v>
      </c>
    </row>
    <row r="405" spans="1:12">
      <c r="A405" s="14">
        <v>43269</v>
      </c>
      <c r="B405">
        <v>2974</v>
      </c>
      <c r="C405">
        <v>3020</v>
      </c>
      <c r="D405">
        <v>1795</v>
      </c>
      <c r="E405">
        <v>1771</v>
      </c>
      <c r="F405">
        <v>1.70525127046866</v>
      </c>
      <c r="G405">
        <v>1.4215557638460501</v>
      </c>
      <c r="H405">
        <v>0.106843823859398</v>
      </c>
      <c r="I405">
        <v>2.6552354303224801</v>
      </c>
      <c r="J405">
        <v>16.64</v>
      </c>
      <c r="K405">
        <v>3020</v>
      </c>
      <c r="L405">
        <v>1458.6303680981594</v>
      </c>
    </row>
    <row r="406" spans="1:12">
      <c r="A406" s="14">
        <v>43266</v>
      </c>
      <c r="B406">
        <v>2984</v>
      </c>
      <c r="C406">
        <v>2974</v>
      </c>
      <c r="D406">
        <v>1818</v>
      </c>
      <c r="E406">
        <v>1807</v>
      </c>
      <c r="F406">
        <v>1.64582180409518</v>
      </c>
      <c r="G406">
        <v>1.41571803494363</v>
      </c>
      <c r="H406">
        <v>0.103078511856376</v>
      </c>
      <c r="I406">
        <v>2.2323155913636201</v>
      </c>
      <c r="J406">
        <v>13.98</v>
      </c>
      <c r="K406">
        <v>2974</v>
      </c>
      <c r="L406">
        <v>1488.2806748466257</v>
      </c>
    </row>
    <row r="407" spans="1:12">
      <c r="A407" s="14">
        <v>43265</v>
      </c>
      <c r="B407">
        <v>2994</v>
      </c>
      <c r="C407">
        <v>2974</v>
      </c>
      <c r="D407">
        <v>1828</v>
      </c>
      <c r="E407">
        <v>1808</v>
      </c>
      <c r="F407">
        <v>1.64491150442477</v>
      </c>
      <c r="G407">
        <v>1.4107033754842999</v>
      </c>
      <c r="H407">
        <v>0.10088736007947</v>
      </c>
      <c r="I407">
        <v>2.3214813902949301</v>
      </c>
      <c r="J407">
        <v>14.24</v>
      </c>
      <c r="K407">
        <v>2974</v>
      </c>
      <c r="L407">
        <v>1489.1042944785274</v>
      </c>
    </row>
    <row r="408" spans="1:12">
      <c r="A408" s="14">
        <v>43264</v>
      </c>
      <c r="B408">
        <v>2961</v>
      </c>
      <c r="C408">
        <v>2988</v>
      </c>
      <c r="D408">
        <v>1827</v>
      </c>
      <c r="E408">
        <v>1816</v>
      </c>
      <c r="F408">
        <v>1.6453744493392</v>
      </c>
      <c r="G408">
        <v>1.4056388343851101</v>
      </c>
      <c r="H408">
        <v>9.8508957453600707E-2</v>
      </c>
      <c r="I408">
        <v>2.4336427991029002</v>
      </c>
      <c r="J408">
        <v>14.57</v>
      </c>
      <c r="K408">
        <v>2988</v>
      </c>
      <c r="L408">
        <v>1495.6932515337423</v>
      </c>
    </row>
    <row r="409" spans="1:12">
      <c r="A409" s="14">
        <v>43263</v>
      </c>
      <c r="B409">
        <v>2941</v>
      </c>
      <c r="C409">
        <v>2959</v>
      </c>
      <c r="D409">
        <v>1866</v>
      </c>
      <c r="E409">
        <v>1837</v>
      </c>
      <c r="F409">
        <v>1.6107784431137699</v>
      </c>
      <c r="G409">
        <v>1.4008182801166</v>
      </c>
      <c r="H409">
        <v>9.5458318811680903E-2</v>
      </c>
      <c r="I409">
        <v>2.1994957130072099</v>
      </c>
      <c r="J409">
        <v>13.03</v>
      </c>
      <c r="K409">
        <v>2959</v>
      </c>
      <c r="L409">
        <v>1512.9892638036808</v>
      </c>
    </row>
    <row r="410" spans="1:12">
      <c r="A410" s="14">
        <v>43262</v>
      </c>
      <c r="B410">
        <v>2920</v>
      </c>
      <c r="C410">
        <v>2937</v>
      </c>
      <c r="D410">
        <v>1864</v>
      </c>
      <c r="E410">
        <v>1855</v>
      </c>
      <c r="F410">
        <v>1.5832884097035</v>
      </c>
      <c r="G410">
        <v>1.3961192072605499</v>
      </c>
      <c r="H410">
        <v>9.3664665520387394E-2</v>
      </c>
      <c r="I410">
        <v>1.99829040549133</v>
      </c>
      <c r="J410">
        <v>11.82</v>
      </c>
      <c r="K410">
        <v>2937</v>
      </c>
      <c r="L410">
        <v>1527.814417177914</v>
      </c>
    </row>
    <row r="411" spans="1:12">
      <c r="A411" s="14">
        <v>43259</v>
      </c>
      <c r="B411">
        <v>2906</v>
      </c>
      <c r="C411">
        <v>2917</v>
      </c>
      <c r="D411">
        <v>1893</v>
      </c>
      <c r="E411">
        <v>1881</v>
      </c>
      <c r="F411">
        <v>1.5507708665603399</v>
      </c>
      <c r="G411">
        <v>1.3916651053875799</v>
      </c>
      <c r="H411">
        <v>9.2594902210294205E-2</v>
      </c>
      <c r="I411">
        <v>1.71829935962784</v>
      </c>
      <c r="J411">
        <v>10.26</v>
      </c>
      <c r="K411">
        <v>2917</v>
      </c>
      <c r="L411">
        <v>1549.2285276073619</v>
      </c>
    </row>
    <row r="412" spans="1:12">
      <c r="A412" s="14">
        <v>43258</v>
      </c>
      <c r="B412">
        <v>2941</v>
      </c>
      <c r="C412">
        <v>2919</v>
      </c>
      <c r="D412">
        <v>1920</v>
      </c>
      <c r="E412">
        <v>1922</v>
      </c>
      <c r="F412">
        <v>1.51873048907388</v>
      </c>
      <c r="G412">
        <v>1.38757010616181</v>
      </c>
      <c r="H412">
        <v>9.2258589618899295E-2</v>
      </c>
      <c r="I412">
        <v>1.4216603944831401</v>
      </c>
      <c r="J412">
        <v>8.64</v>
      </c>
      <c r="K412">
        <v>2919</v>
      </c>
      <c r="L412">
        <v>1582.9969325153374</v>
      </c>
    </row>
    <row r="413" spans="1:12">
      <c r="A413" s="14">
        <v>43257</v>
      </c>
      <c r="B413">
        <v>2923</v>
      </c>
      <c r="C413">
        <v>2896</v>
      </c>
      <c r="D413">
        <v>1930</v>
      </c>
      <c r="E413">
        <v>1910</v>
      </c>
      <c r="F413">
        <v>1.5162303664921399</v>
      </c>
      <c r="G413">
        <v>1.38379024763542</v>
      </c>
      <c r="H413">
        <v>9.2614115720037901E-2</v>
      </c>
      <c r="I413">
        <v>1.4300208756197901</v>
      </c>
      <c r="J413">
        <v>8.73</v>
      </c>
      <c r="K413">
        <v>2896</v>
      </c>
      <c r="L413">
        <v>1573.1134969325153</v>
      </c>
    </row>
    <row r="414" spans="1:12">
      <c r="A414" s="14">
        <v>43256</v>
      </c>
      <c r="B414">
        <v>2970</v>
      </c>
      <c r="C414">
        <v>2912</v>
      </c>
      <c r="D414">
        <v>1986</v>
      </c>
      <c r="E414">
        <v>1945</v>
      </c>
      <c r="F414">
        <v>1.49717223650385</v>
      </c>
      <c r="G414">
        <v>1.3799112725774101</v>
      </c>
      <c r="H414">
        <v>9.3077106262511297E-2</v>
      </c>
      <c r="I414">
        <v>1.2598260585768499</v>
      </c>
      <c r="J414">
        <v>7.83</v>
      </c>
      <c r="K414">
        <v>2912</v>
      </c>
      <c r="L414">
        <v>1601.9401840490798</v>
      </c>
    </row>
    <row r="415" spans="1:12">
      <c r="A415" s="14">
        <v>43255</v>
      </c>
      <c r="B415">
        <v>2908</v>
      </c>
      <c r="C415">
        <v>2943</v>
      </c>
      <c r="D415">
        <v>1937</v>
      </c>
      <c r="E415">
        <v>1967</v>
      </c>
      <c r="F415">
        <v>1.49618708693441</v>
      </c>
      <c r="G415">
        <v>1.3763316640178</v>
      </c>
      <c r="H415">
        <v>9.3659261263407206E-2</v>
      </c>
      <c r="I415">
        <v>1.2796964368481401</v>
      </c>
      <c r="J415">
        <v>8.01</v>
      </c>
      <c r="K415">
        <v>2943</v>
      </c>
      <c r="L415">
        <v>1620.0598159509202</v>
      </c>
    </row>
    <row r="416" spans="1:12">
      <c r="A416" s="14">
        <v>43252</v>
      </c>
      <c r="B416">
        <v>2828</v>
      </c>
      <c r="C416">
        <v>2867</v>
      </c>
      <c r="D416">
        <v>1874</v>
      </c>
      <c r="E416">
        <v>1915</v>
      </c>
      <c r="F416">
        <v>1.49712793733681</v>
      </c>
      <c r="G416">
        <v>1.3726368768127299</v>
      </c>
      <c r="H416">
        <v>9.4321705554033602E-2</v>
      </c>
      <c r="I416">
        <v>1.31985591007748</v>
      </c>
      <c r="J416">
        <v>8.32</v>
      </c>
      <c r="K416">
        <v>2867</v>
      </c>
      <c r="L416">
        <v>1577.2315950920245</v>
      </c>
    </row>
    <row r="417" spans="1:12">
      <c r="A417" s="14">
        <v>43251</v>
      </c>
      <c r="B417">
        <v>2870</v>
      </c>
      <c r="C417">
        <v>2850</v>
      </c>
      <c r="D417">
        <v>1872</v>
      </c>
      <c r="E417">
        <v>1910</v>
      </c>
      <c r="F417">
        <v>1.49214659685863</v>
      </c>
      <c r="G417">
        <v>1.3687650586220199</v>
      </c>
      <c r="H417">
        <v>9.5088920830593698E-2</v>
      </c>
      <c r="I417">
        <v>1.2975385266641399</v>
      </c>
      <c r="J417">
        <v>8.27</v>
      </c>
      <c r="K417">
        <v>2850</v>
      </c>
      <c r="L417">
        <v>1573.1134969325153</v>
      </c>
    </row>
    <row r="418" spans="1:12">
      <c r="A418" s="14">
        <v>43250</v>
      </c>
      <c r="B418">
        <v>2918</v>
      </c>
      <c r="C418">
        <v>2877</v>
      </c>
      <c r="D418">
        <v>1879</v>
      </c>
      <c r="E418">
        <v>1871</v>
      </c>
      <c r="F418">
        <v>1.5376803848209499</v>
      </c>
      <c r="G418">
        <v>1.3647687693578601</v>
      </c>
      <c r="H418">
        <v>9.6112280665679395E-2</v>
      </c>
      <c r="I418">
        <v>1.7990584997618799</v>
      </c>
      <c r="J418">
        <v>11.24</v>
      </c>
      <c r="K418">
        <v>2877</v>
      </c>
      <c r="L418">
        <v>1540.9923312883434</v>
      </c>
    </row>
    <row r="419" spans="1:12">
      <c r="A419" s="14">
        <v>43249</v>
      </c>
      <c r="B419">
        <v>2894</v>
      </c>
      <c r="C419">
        <v>2932</v>
      </c>
      <c r="D419">
        <v>1956</v>
      </c>
      <c r="E419">
        <v>1942</v>
      </c>
      <c r="F419">
        <v>1.5097837281153399</v>
      </c>
      <c r="G419">
        <v>1.3599070511489699</v>
      </c>
      <c r="H419">
        <v>9.6464303696558396E-2</v>
      </c>
      <c r="I419">
        <v>1.55370091549955</v>
      </c>
      <c r="J419">
        <v>9.93</v>
      </c>
      <c r="K419">
        <v>2932</v>
      </c>
      <c r="L419">
        <v>1599.4693251533743</v>
      </c>
    </row>
    <row r="420" spans="1:12">
      <c r="A420" s="14">
        <v>43248</v>
      </c>
      <c r="B420">
        <v>2883</v>
      </c>
      <c r="C420">
        <v>2891</v>
      </c>
      <c r="D420">
        <v>1944</v>
      </c>
      <c r="E420">
        <v>1954</v>
      </c>
      <c r="F420">
        <v>1.47952917093142</v>
      </c>
      <c r="G420">
        <v>1.3549466101591601</v>
      </c>
      <c r="H420">
        <v>9.8179912406616901E-2</v>
      </c>
      <c r="I420">
        <v>1.26892108292265</v>
      </c>
      <c r="J420">
        <v>8.42</v>
      </c>
      <c r="K420">
        <v>2891</v>
      </c>
      <c r="L420">
        <v>1609.3527607361962</v>
      </c>
    </row>
    <row r="421" spans="1:12">
      <c r="A421" s="14">
        <v>43245</v>
      </c>
      <c r="B421">
        <v>2876</v>
      </c>
      <c r="C421">
        <v>2872</v>
      </c>
      <c r="D421">
        <v>1919</v>
      </c>
      <c r="E421">
        <v>1944</v>
      </c>
      <c r="F421">
        <v>1.4773662551440301</v>
      </c>
      <c r="G421">
        <v>1.3503686060372599</v>
      </c>
      <c r="H421">
        <v>0.100247280539065</v>
      </c>
      <c r="I421">
        <v>1.2668438328088101</v>
      </c>
      <c r="J421">
        <v>8.6</v>
      </c>
      <c r="K421">
        <v>2872</v>
      </c>
      <c r="L421">
        <v>1601.1165644171779</v>
      </c>
    </row>
    <row r="422" spans="1:12">
      <c r="A422" s="14">
        <v>43244</v>
      </c>
      <c r="B422">
        <v>2883</v>
      </c>
      <c r="C422">
        <v>2870</v>
      </c>
      <c r="D422">
        <v>1967</v>
      </c>
      <c r="E422">
        <v>1928</v>
      </c>
      <c r="F422">
        <v>1.48858921161825</v>
      </c>
      <c r="G422">
        <v>1.34578636532494</v>
      </c>
      <c r="H422">
        <v>0.10217349203801999</v>
      </c>
      <c r="I422">
        <v>1.3976506376054401</v>
      </c>
      <c r="J422">
        <v>9.59</v>
      </c>
      <c r="K422">
        <v>2870</v>
      </c>
      <c r="L422">
        <v>1587.9386503067483</v>
      </c>
    </row>
    <row r="423" spans="1:12">
      <c r="A423" s="14">
        <v>43243</v>
      </c>
      <c r="B423">
        <v>2900</v>
      </c>
      <c r="C423">
        <v>2881</v>
      </c>
      <c r="D423">
        <v>1983</v>
      </c>
      <c r="E423">
        <v>1973</v>
      </c>
      <c r="F423">
        <v>1.4602128737962401</v>
      </c>
      <c r="G423">
        <v>1.3412092532292399</v>
      </c>
      <c r="H423">
        <v>0.103356034585367</v>
      </c>
      <c r="I423">
        <v>1.1513949915397601</v>
      </c>
      <c r="J423">
        <v>8.15</v>
      </c>
      <c r="K423">
        <v>2881</v>
      </c>
      <c r="L423">
        <v>1625.0015337423313</v>
      </c>
    </row>
    <row r="424" spans="1:12">
      <c r="A424" s="14">
        <v>43242</v>
      </c>
      <c r="B424">
        <v>2937</v>
      </c>
      <c r="C424">
        <v>2921</v>
      </c>
      <c r="D424">
        <v>1993</v>
      </c>
      <c r="E424">
        <v>1988</v>
      </c>
      <c r="F424">
        <v>1.4693158953722301</v>
      </c>
      <c r="G424">
        <v>1.3368224149119601</v>
      </c>
      <c r="H424">
        <v>0.105178194181308</v>
      </c>
      <c r="I424">
        <v>1.2597048417837799</v>
      </c>
      <c r="J424">
        <v>9.02</v>
      </c>
      <c r="K424">
        <v>2921</v>
      </c>
      <c r="L424">
        <v>1637.3558282208589</v>
      </c>
    </row>
    <row r="425" spans="1:12">
      <c r="A425" s="14">
        <v>43241</v>
      </c>
      <c r="B425">
        <v>2941</v>
      </c>
      <c r="C425">
        <v>2937</v>
      </c>
      <c r="D425">
        <v>2007</v>
      </c>
      <c r="E425">
        <v>2006</v>
      </c>
      <c r="F425">
        <v>1.4641076769690899</v>
      </c>
      <c r="G425">
        <v>1.33226857334403</v>
      </c>
      <c r="H425">
        <v>0.106725427605373</v>
      </c>
      <c r="I425">
        <v>1.2353110836204999</v>
      </c>
      <c r="J425">
        <v>9</v>
      </c>
      <c r="K425">
        <v>2937</v>
      </c>
      <c r="L425">
        <v>1652.1809815950919</v>
      </c>
    </row>
    <row r="426" spans="1:12">
      <c r="A426" s="14">
        <v>43238</v>
      </c>
      <c r="B426">
        <v>2927</v>
      </c>
      <c r="C426">
        <v>2941</v>
      </c>
      <c r="D426">
        <v>2010</v>
      </c>
      <c r="E426">
        <v>2004</v>
      </c>
      <c r="F426">
        <v>1.4675648702594799</v>
      </c>
      <c r="G426">
        <v>1.3279689718252199</v>
      </c>
      <c r="H426">
        <v>0.10781749438520399</v>
      </c>
      <c r="I426">
        <v>1.29474255759941</v>
      </c>
      <c r="J426">
        <v>9.51</v>
      </c>
      <c r="K426">
        <v>2941</v>
      </c>
      <c r="L426">
        <v>1650.5337423312883</v>
      </c>
    </row>
    <row r="427" spans="1:12">
      <c r="A427" s="14">
        <v>43237</v>
      </c>
      <c r="B427">
        <v>2924</v>
      </c>
      <c r="C427">
        <v>2936</v>
      </c>
      <c r="D427">
        <v>1985</v>
      </c>
      <c r="E427">
        <v>1999</v>
      </c>
      <c r="F427">
        <v>1.46873436718359</v>
      </c>
      <c r="G427">
        <v>1.32384339975317</v>
      </c>
      <c r="H427">
        <v>0.108315704031315</v>
      </c>
      <c r="I427">
        <v>1.33767276616256</v>
      </c>
      <c r="J427">
        <v>9.8699999999999992</v>
      </c>
      <c r="K427">
        <v>2936</v>
      </c>
      <c r="L427">
        <v>1646.4156441717791</v>
      </c>
    </row>
    <row r="428" spans="1:12">
      <c r="A428" s="14">
        <v>43236</v>
      </c>
      <c r="B428">
        <v>2912</v>
      </c>
      <c r="C428">
        <v>2920</v>
      </c>
      <c r="D428">
        <v>1965</v>
      </c>
      <c r="E428">
        <v>1962</v>
      </c>
      <c r="F428">
        <v>1.4882772680937799</v>
      </c>
      <c r="G428">
        <v>1.3197290877346499</v>
      </c>
      <c r="H428">
        <v>0.108594098057838</v>
      </c>
      <c r="I428">
        <v>1.55209337683667</v>
      </c>
      <c r="J428">
        <v>11.33</v>
      </c>
      <c r="K428">
        <v>2920</v>
      </c>
      <c r="L428">
        <v>1615.9417177914111</v>
      </c>
    </row>
    <row r="429" spans="1:12">
      <c r="A429" s="14">
        <v>43235</v>
      </c>
      <c r="B429">
        <v>2941</v>
      </c>
      <c r="C429">
        <v>2915</v>
      </c>
      <c r="D429">
        <v>2004</v>
      </c>
      <c r="E429">
        <v>1984</v>
      </c>
      <c r="F429">
        <v>1.4692540322580601</v>
      </c>
      <c r="G429">
        <v>1.31555178932499</v>
      </c>
      <c r="H429">
        <v>0.108054675371835</v>
      </c>
      <c r="I429">
        <v>1.4224487964463199</v>
      </c>
      <c r="J429">
        <v>10.46</v>
      </c>
      <c r="K429">
        <v>2915</v>
      </c>
      <c r="L429">
        <v>1634.0613496932515</v>
      </c>
    </row>
    <row r="430" spans="1:12">
      <c r="A430" s="14">
        <v>43234</v>
      </c>
      <c r="B430">
        <v>2925</v>
      </c>
      <c r="C430">
        <v>2969</v>
      </c>
      <c r="D430">
        <v>2000</v>
      </c>
      <c r="E430">
        <v>2004</v>
      </c>
      <c r="F430">
        <v>1.4815369261477001</v>
      </c>
      <c r="G430">
        <v>1.3115589190343799</v>
      </c>
      <c r="H430">
        <v>0.10783399095165901</v>
      </c>
      <c r="I430">
        <v>1.57629338961881</v>
      </c>
      <c r="J430">
        <v>11.47</v>
      </c>
      <c r="K430">
        <v>2969</v>
      </c>
      <c r="L430">
        <v>1650.5337423312883</v>
      </c>
    </row>
    <row r="431" spans="1:12">
      <c r="A431" s="14">
        <v>43231</v>
      </c>
      <c r="B431">
        <v>2941</v>
      </c>
      <c r="C431">
        <v>2919</v>
      </c>
      <c r="D431">
        <v>1964</v>
      </c>
      <c r="E431">
        <v>2011</v>
      </c>
      <c r="F431">
        <v>1.4515166583789101</v>
      </c>
      <c r="G431">
        <v>1.3075151919402099</v>
      </c>
      <c r="H431">
        <v>0.107067773821567</v>
      </c>
      <c r="I431">
        <v>1.34495620202848</v>
      </c>
      <c r="J431">
        <v>9.92</v>
      </c>
      <c r="K431">
        <v>2919</v>
      </c>
      <c r="L431">
        <v>1656.2990797546011</v>
      </c>
    </row>
    <row r="432" spans="1:12">
      <c r="A432" s="14">
        <v>43230</v>
      </c>
      <c r="B432">
        <v>2948</v>
      </c>
      <c r="C432">
        <v>2969</v>
      </c>
      <c r="D432">
        <v>1948</v>
      </c>
      <c r="E432">
        <v>1952</v>
      </c>
      <c r="F432">
        <v>1.5210040983606501</v>
      </c>
      <c r="G432">
        <v>1.30377601816248</v>
      </c>
      <c r="H432">
        <v>0.10687020303408</v>
      </c>
      <c r="I432">
        <v>2.0326346730050902</v>
      </c>
      <c r="J432">
        <v>14.28</v>
      </c>
      <c r="K432">
        <v>2969</v>
      </c>
      <c r="L432">
        <v>1607.7055214723925</v>
      </c>
    </row>
    <row r="433" spans="1:12">
      <c r="A433" s="14">
        <v>43229</v>
      </c>
      <c r="B433">
        <v>2796</v>
      </c>
      <c r="C433">
        <v>2822</v>
      </c>
      <c r="D433">
        <v>1900</v>
      </c>
      <c r="E433">
        <v>1985</v>
      </c>
      <c r="F433">
        <v>1.4216624685138499</v>
      </c>
      <c r="G433">
        <v>1.2993780756748601</v>
      </c>
      <c r="H433">
        <v>0.104603190921395</v>
      </c>
      <c r="I433">
        <v>1.1690311907490401</v>
      </c>
      <c r="J433">
        <v>8.6</v>
      </c>
      <c r="K433">
        <v>2822</v>
      </c>
      <c r="L433">
        <v>1634.8849693251534</v>
      </c>
    </row>
    <row r="434" spans="1:12">
      <c r="A434" s="14">
        <v>43228</v>
      </c>
      <c r="B434">
        <v>2783</v>
      </c>
      <c r="C434">
        <v>2773</v>
      </c>
      <c r="D434">
        <v>1912</v>
      </c>
      <c r="E434">
        <v>1906</v>
      </c>
      <c r="F434">
        <v>1.45487932843651</v>
      </c>
      <c r="G434">
        <v>1.2958707444500901</v>
      </c>
      <c r="H434">
        <v>0.104853923932407</v>
      </c>
      <c r="I434">
        <v>1.5164771905810699</v>
      </c>
      <c r="J434">
        <v>10.93</v>
      </c>
      <c r="K434">
        <v>2773</v>
      </c>
      <c r="L434">
        <v>1569.8190184049079</v>
      </c>
    </row>
    <row r="435" spans="1:12">
      <c r="A435" s="14">
        <v>43227</v>
      </c>
      <c r="B435">
        <v>2795</v>
      </c>
      <c r="C435">
        <v>2818</v>
      </c>
      <c r="D435">
        <v>1919</v>
      </c>
      <c r="E435">
        <v>1918</v>
      </c>
      <c r="F435">
        <v>1.4692387904066699</v>
      </c>
      <c r="G435">
        <v>1.2923021185528401</v>
      </c>
      <c r="H435">
        <v>0.103931986324811</v>
      </c>
      <c r="I435">
        <v>1.70242750197098</v>
      </c>
      <c r="J435">
        <v>12.04</v>
      </c>
      <c r="K435">
        <v>2818</v>
      </c>
      <c r="L435">
        <v>1579.70245398773</v>
      </c>
    </row>
    <row r="436" spans="1:12">
      <c r="A436" s="14">
        <v>43222</v>
      </c>
      <c r="B436">
        <v>2825</v>
      </c>
      <c r="C436">
        <v>2815</v>
      </c>
      <c r="D436">
        <v>1946</v>
      </c>
      <c r="E436">
        <v>1947</v>
      </c>
      <c r="F436">
        <v>1.44581407293271</v>
      </c>
      <c r="G436">
        <v>1.28842152944433</v>
      </c>
      <c r="H436">
        <v>0.102679037068863</v>
      </c>
      <c r="I436">
        <v>1.5328595590823999</v>
      </c>
      <c r="J436">
        <v>10.89</v>
      </c>
      <c r="K436">
        <v>2815</v>
      </c>
      <c r="L436">
        <v>1603.5874233128834</v>
      </c>
    </row>
    <row r="437" spans="1:12">
      <c r="A437" s="14">
        <v>43221</v>
      </c>
      <c r="B437">
        <v>2849</v>
      </c>
      <c r="C437">
        <v>2794</v>
      </c>
      <c r="D437">
        <v>1920</v>
      </c>
      <c r="E437">
        <v>1935</v>
      </c>
      <c r="F437">
        <v>1.44392764857881</v>
      </c>
      <c r="G437">
        <v>1.2844794057887099</v>
      </c>
      <c r="H437">
        <v>0.10223525808339699</v>
      </c>
      <c r="I437">
        <v>1.55962087619542</v>
      </c>
      <c r="J437">
        <v>11.04</v>
      </c>
      <c r="K437">
        <v>2794</v>
      </c>
      <c r="L437">
        <v>1593.7039877300613</v>
      </c>
    </row>
    <row r="438" spans="1:12">
      <c r="A438" s="14">
        <v>43217</v>
      </c>
      <c r="B438">
        <v>2849</v>
      </c>
      <c r="C438">
        <v>2850</v>
      </c>
      <c r="D438">
        <v>1968</v>
      </c>
      <c r="E438">
        <v>1942</v>
      </c>
      <c r="F438">
        <v>1.46755921730175</v>
      </c>
      <c r="G438">
        <v>1.2801685129679701</v>
      </c>
      <c r="H438">
        <v>0.102237568420883</v>
      </c>
      <c r="I438">
        <v>1.8328947688030099</v>
      </c>
      <c r="J438">
        <v>12.77</v>
      </c>
      <c r="K438">
        <v>2850</v>
      </c>
      <c r="L438">
        <v>1599.4693251533743</v>
      </c>
    </row>
    <row r="439" spans="1:12">
      <c r="A439" s="14">
        <v>43216</v>
      </c>
      <c r="B439">
        <v>2820</v>
      </c>
      <c r="C439">
        <v>2825</v>
      </c>
      <c r="D439">
        <v>1934</v>
      </c>
      <c r="E439">
        <v>1943</v>
      </c>
      <c r="F439">
        <v>1.4539372104992201</v>
      </c>
      <c r="G439">
        <v>1.2756226687382901</v>
      </c>
      <c r="H439">
        <v>0.10138052216726801</v>
      </c>
      <c r="I439">
        <v>1.75886391142003</v>
      </c>
      <c r="J439">
        <v>12.26</v>
      </c>
      <c r="K439">
        <v>2825</v>
      </c>
      <c r="L439">
        <v>1600.2929447852759</v>
      </c>
    </row>
    <row r="440" spans="1:12">
      <c r="A440" s="14">
        <v>43215</v>
      </c>
      <c r="B440">
        <v>2800</v>
      </c>
      <c r="C440">
        <v>2856</v>
      </c>
      <c r="D440">
        <v>1962</v>
      </c>
      <c r="E440">
        <v>1958</v>
      </c>
      <c r="F440">
        <v>1.45863125638406</v>
      </c>
      <c r="G440">
        <v>1.27117756059281</v>
      </c>
      <c r="H440">
        <v>0.100771625104893</v>
      </c>
      <c r="I440">
        <v>1.86018331644573</v>
      </c>
      <c r="J440">
        <v>12.85</v>
      </c>
      <c r="K440">
        <v>2856</v>
      </c>
      <c r="L440">
        <v>1612.6472392638036</v>
      </c>
    </row>
    <row r="441" spans="1:12">
      <c r="A441" s="14">
        <v>43214</v>
      </c>
      <c r="B441">
        <v>2805</v>
      </c>
      <c r="C441">
        <v>2804</v>
      </c>
      <c r="D441">
        <v>2003</v>
      </c>
      <c r="E441">
        <v>1986</v>
      </c>
      <c r="F441">
        <v>1.4118831822759299</v>
      </c>
      <c r="G441">
        <v>1.2668007338937799</v>
      </c>
      <c r="H441">
        <v>9.9657438406214396E-2</v>
      </c>
      <c r="I441">
        <v>1.45581153501836</v>
      </c>
      <c r="J441">
        <v>10.28</v>
      </c>
      <c r="K441">
        <v>2804</v>
      </c>
      <c r="L441">
        <v>1635.7085889570551</v>
      </c>
    </row>
    <row r="442" spans="1:12">
      <c r="A442" s="14">
        <v>43213</v>
      </c>
      <c r="B442">
        <v>2780</v>
      </c>
      <c r="C442">
        <v>2777</v>
      </c>
      <c r="D442">
        <v>2020</v>
      </c>
      <c r="E442">
        <v>2014</v>
      </c>
      <c r="F442">
        <v>1.3788480635551099</v>
      </c>
      <c r="G442">
        <v>1.26310256682026</v>
      </c>
      <c r="H442">
        <v>9.9350809260188702E-2</v>
      </c>
      <c r="I442">
        <v>1.16501815734309</v>
      </c>
      <c r="J442">
        <v>8.39</v>
      </c>
      <c r="K442">
        <v>2777</v>
      </c>
      <c r="L442">
        <v>1658.7699386503066</v>
      </c>
    </row>
    <row r="443" spans="1:12">
      <c r="A443" s="14">
        <v>43210</v>
      </c>
      <c r="B443">
        <v>2780</v>
      </c>
      <c r="C443">
        <v>2789</v>
      </c>
      <c r="D443">
        <v>2024</v>
      </c>
      <c r="E443">
        <v>2013</v>
      </c>
      <c r="F443">
        <v>1.38549428713363</v>
      </c>
      <c r="G443">
        <v>1.25994632586845</v>
      </c>
      <c r="H443">
        <v>9.9383697662575002E-2</v>
      </c>
      <c r="I443">
        <v>1.2632651452699799</v>
      </c>
      <c r="J443">
        <v>9.06</v>
      </c>
      <c r="K443">
        <v>2789</v>
      </c>
      <c r="L443">
        <v>1657.9463190184049</v>
      </c>
    </row>
    <row r="444" spans="1:12">
      <c r="A444" s="14">
        <v>43209</v>
      </c>
      <c r="B444">
        <v>2820</v>
      </c>
      <c r="C444">
        <v>2787</v>
      </c>
      <c r="D444">
        <v>2020</v>
      </c>
      <c r="E444">
        <v>2047</v>
      </c>
      <c r="F444">
        <v>1.3615046409379501</v>
      </c>
      <c r="G444">
        <v>1.25671636821226</v>
      </c>
      <c r="H444">
        <v>9.9187219548529396E-2</v>
      </c>
      <c r="I444">
        <v>1.05646950486826</v>
      </c>
      <c r="J444">
        <v>7.7</v>
      </c>
      <c r="K444">
        <v>2787</v>
      </c>
      <c r="L444">
        <v>1685.9493865030674</v>
      </c>
    </row>
    <row r="445" spans="1:12">
      <c r="A445" s="14">
        <v>43208</v>
      </c>
      <c r="B445">
        <v>2839</v>
      </c>
      <c r="C445">
        <v>2826</v>
      </c>
      <c r="D445">
        <v>1975</v>
      </c>
      <c r="E445">
        <v>1993</v>
      </c>
      <c r="F445">
        <v>1.4179628700451501</v>
      </c>
      <c r="G445">
        <v>1.25429536552556</v>
      </c>
      <c r="H445">
        <v>9.8815241429789397E-2</v>
      </c>
      <c r="I445">
        <v>1.6562981798297101</v>
      </c>
      <c r="J445">
        <v>11.54</v>
      </c>
      <c r="K445">
        <v>2826</v>
      </c>
      <c r="L445">
        <v>1641.4739263803681</v>
      </c>
    </row>
    <row r="446" spans="1:12">
      <c r="A446" s="14">
        <v>43207</v>
      </c>
      <c r="B446">
        <v>2784</v>
      </c>
      <c r="C446">
        <v>2818</v>
      </c>
      <c r="D446">
        <v>1969</v>
      </c>
      <c r="E446">
        <v>1958</v>
      </c>
      <c r="F446">
        <v>1.43922369765066</v>
      </c>
      <c r="G446">
        <v>1.2509647381825499</v>
      </c>
      <c r="H446">
        <v>9.7442848974408594E-2</v>
      </c>
      <c r="I446">
        <v>1.93199358854492</v>
      </c>
      <c r="J446">
        <v>13.08</v>
      </c>
      <c r="K446">
        <v>2818</v>
      </c>
      <c r="L446">
        <v>1612.6472392638036</v>
      </c>
    </row>
    <row r="447" spans="1:12">
      <c r="A447" s="14">
        <v>43206</v>
      </c>
      <c r="B447">
        <v>2792</v>
      </c>
      <c r="C447">
        <v>2779</v>
      </c>
      <c r="D447">
        <v>1980</v>
      </c>
      <c r="E447">
        <v>1967</v>
      </c>
      <c r="F447">
        <v>1.4128113879003501</v>
      </c>
      <c r="G447">
        <v>1.2472409273898599</v>
      </c>
      <c r="H447">
        <v>9.54943352808727E-2</v>
      </c>
      <c r="I447">
        <v>1.73382494389335</v>
      </c>
      <c r="J447">
        <v>11.72</v>
      </c>
      <c r="K447">
        <v>2779</v>
      </c>
      <c r="L447">
        <v>1620.0598159509202</v>
      </c>
    </row>
    <row r="448" spans="1:12">
      <c r="A448" s="14">
        <v>43203</v>
      </c>
      <c r="B448">
        <v>2787</v>
      </c>
      <c r="C448">
        <v>2764</v>
      </c>
      <c r="D448">
        <v>1941</v>
      </c>
      <c r="E448">
        <v>1972</v>
      </c>
      <c r="F448">
        <v>1.4016227180527301</v>
      </c>
      <c r="G448">
        <v>1.2435980800110999</v>
      </c>
      <c r="H448">
        <v>9.4312656491265898E-2</v>
      </c>
      <c r="I448">
        <v>1.67554010162218</v>
      </c>
      <c r="J448">
        <v>11.27</v>
      </c>
      <c r="K448">
        <v>2764</v>
      </c>
      <c r="L448">
        <v>1624.1779141104294</v>
      </c>
    </row>
    <row r="449" spans="1:12">
      <c r="A449" s="14">
        <v>43202</v>
      </c>
      <c r="B449">
        <v>2785</v>
      </c>
      <c r="C449">
        <v>2765</v>
      </c>
      <c r="D449">
        <v>1970</v>
      </c>
      <c r="E449">
        <v>1935</v>
      </c>
      <c r="F449">
        <v>1.4289405684754499</v>
      </c>
      <c r="G449">
        <v>1.24000197568529</v>
      </c>
      <c r="H449">
        <v>9.3355752438633102E-2</v>
      </c>
      <c r="I449">
        <v>2.0238559259040301</v>
      </c>
      <c r="J449">
        <v>13.22</v>
      </c>
      <c r="K449">
        <v>2765</v>
      </c>
      <c r="L449">
        <v>1593.7039877300613</v>
      </c>
    </row>
    <row r="450" spans="1:12">
      <c r="A450" s="14">
        <v>43201</v>
      </c>
      <c r="B450">
        <v>2864</v>
      </c>
      <c r="C450">
        <v>2785</v>
      </c>
      <c r="D450">
        <v>1987</v>
      </c>
      <c r="E450">
        <v>1962</v>
      </c>
      <c r="F450">
        <v>1.41946992864424</v>
      </c>
      <c r="G450">
        <v>1.2360243701728</v>
      </c>
      <c r="H450">
        <v>9.1558886583094801E-2</v>
      </c>
      <c r="I450">
        <v>2.0035800490534301</v>
      </c>
      <c r="J450">
        <v>12.92</v>
      </c>
      <c r="K450">
        <v>2785</v>
      </c>
      <c r="L450">
        <v>1615.9417177914111</v>
      </c>
    </row>
    <row r="451" spans="1:12">
      <c r="A451" s="14">
        <v>43200</v>
      </c>
      <c r="B451">
        <v>2850</v>
      </c>
      <c r="C451">
        <v>2853</v>
      </c>
      <c r="D451">
        <v>1906</v>
      </c>
      <c r="E451">
        <v>1969</v>
      </c>
      <c r="F451">
        <v>1.44895886236668</v>
      </c>
      <c r="G451">
        <v>1.2320181200642499</v>
      </c>
      <c r="H451">
        <v>9.00048614811646E-2</v>
      </c>
      <c r="I451">
        <v>2.4103224951668101</v>
      </c>
      <c r="J451">
        <v>14.97</v>
      </c>
      <c r="K451">
        <v>2853</v>
      </c>
      <c r="L451">
        <v>1621.7070552147238</v>
      </c>
    </row>
    <row r="452" spans="1:12">
      <c r="A452" s="14">
        <v>43199</v>
      </c>
      <c r="B452">
        <v>2750</v>
      </c>
      <c r="C452">
        <v>2831</v>
      </c>
      <c r="D452">
        <v>1884</v>
      </c>
      <c r="E452">
        <v>1912</v>
      </c>
      <c r="F452">
        <v>1.48064853556485</v>
      </c>
      <c r="G452">
        <v>1.22767359598752</v>
      </c>
      <c r="H452">
        <v>8.7250262770238299E-2</v>
      </c>
      <c r="I452">
        <v>2.8994175094177899</v>
      </c>
      <c r="J452">
        <v>17.09</v>
      </c>
      <c r="K452">
        <v>2831</v>
      </c>
      <c r="L452">
        <v>1574.7607361963189</v>
      </c>
    </row>
    <row r="453" spans="1:12">
      <c r="A453" s="14">
        <v>43196</v>
      </c>
      <c r="B453">
        <v>2729</v>
      </c>
      <c r="C453">
        <v>2728</v>
      </c>
      <c r="D453">
        <v>1909</v>
      </c>
      <c r="E453">
        <v>1878</v>
      </c>
      <c r="F453">
        <v>1.4526091586794401</v>
      </c>
      <c r="G453">
        <v>1.2237338800811199</v>
      </c>
      <c r="H453">
        <v>8.2267188550728995E-2</v>
      </c>
      <c r="I453">
        <v>2.7820967585052601</v>
      </c>
      <c r="J453">
        <v>15.76</v>
      </c>
      <c r="K453">
        <v>2728</v>
      </c>
      <c r="L453">
        <v>1546.7576687116564</v>
      </c>
    </row>
    <row r="454" spans="1:12">
      <c r="A454" s="14">
        <v>43195</v>
      </c>
      <c r="B454">
        <v>2785</v>
      </c>
      <c r="C454">
        <v>2716</v>
      </c>
      <c r="D454">
        <v>1916</v>
      </c>
      <c r="E454">
        <v>1912</v>
      </c>
      <c r="F454">
        <v>1.4205020920502001</v>
      </c>
      <c r="G454">
        <v>1.21876702679965</v>
      </c>
      <c r="H454">
        <v>7.9497567179050294E-2</v>
      </c>
      <c r="I454">
        <v>2.5376256457784701</v>
      </c>
      <c r="J454">
        <v>14.2</v>
      </c>
      <c r="K454">
        <v>2716</v>
      </c>
      <c r="L454">
        <v>1574.7607361963189</v>
      </c>
    </row>
    <row r="455" spans="1:12">
      <c r="A455" s="14">
        <v>43194</v>
      </c>
      <c r="B455">
        <v>2756</v>
      </c>
      <c r="C455">
        <v>2753</v>
      </c>
      <c r="D455">
        <v>1986</v>
      </c>
      <c r="E455">
        <v>1903</v>
      </c>
      <c r="F455">
        <v>1.44666316342616</v>
      </c>
      <c r="G455">
        <v>1.21391778590538</v>
      </c>
      <c r="H455">
        <v>7.8124640719138494E-2</v>
      </c>
      <c r="I455">
        <v>2.9791545327871098</v>
      </c>
      <c r="J455">
        <v>16.09</v>
      </c>
      <c r="K455">
        <v>2753</v>
      </c>
      <c r="L455">
        <v>1567.3481595092023</v>
      </c>
    </row>
    <row r="456" spans="1:12">
      <c r="A456" s="14">
        <v>43193</v>
      </c>
      <c r="B456">
        <v>2754</v>
      </c>
      <c r="C456">
        <v>2768</v>
      </c>
      <c r="D456">
        <v>2051</v>
      </c>
      <c r="E456">
        <v>2062</v>
      </c>
      <c r="F456">
        <v>1.34238603297769</v>
      </c>
      <c r="G456">
        <v>1.2086545028317901</v>
      </c>
      <c r="H456">
        <v>7.5520916839723395E-2</v>
      </c>
      <c r="I456">
        <v>1.7707879583838799</v>
      </c>
      <c r="J456">
        <v>9.9600000000000009</v>
      </c>
      <c r="K456">
        <v>2768</v>
      </c>
      <c r="L456">
        <v>1698.3036809815951</v>
      </c>
    </row>
    <row r="457" spans="1:12">
      <c r="A457" s="14">
        <v>43192</v>
      </c>
      <c r="B457">
        <v>2826</v>
      </c>
      <c r="C457">
        <v>2796</v>
      </c>
      <c r="D457">
        <v>2088</v>
      </c>
      <c r="E457">
        <v>2083</v>
      </c>
      <c r="F457">
        <v>1.3422947671627401</v>
      </c>
      <c r="G457">
        <v>1.2046484274553799</v>
      </c>
      <c r="H457">
        <v>7.6285850946083603E-2</v>
      </c>
      <c r="I457">
        <v>1.80434953533707</v>
      </c>
      <c r="J457">
        <v>10.25</v>
      </c>
      <c r="K457">
        <v>2796</v>
      </c>
      <c r="L457">
        <v>1715.5996932515336</v>
      </c>
    </row>
    <row r="458" spans="1:12">
      <c r="A458" s="14">
        <v>43189</v>
      </c>
      <c r="B458">
        <v>2839</v>
      </c>
      <c r="C458">
        <v>2846</v>
      </c>
      <c r="D458">
        <v>2108</v>
      </c>
      <c r="E458">
        <v>2088</v>
      </c>
      <c r="F458">
        <v>1.3630268199233699</v>
      </c>
      <c r="G458">
        <v>1.20087068580556</v>
      </c>
      <c r="H458">
        <v>7.6391262587016007E-2</v>
      </c>
      <c r="I458">
        <v>2.12270524961012</v>
      </c>
      <c r="J458">
        <v>11.9</v>
      </c>
      <c r="K458">
        <v>2846</v>
      </c>
      <c r="L458">
        <v>1719.717791411043</v>
      </c>
    </row>
    <row r="459" spans="1:12">
      <c r="A459" s="14">
        <v>43188</v>
      </c>
      <c r="B459">
        <v>2750</v>
      </c>
      <c r="C459">
        <v>2805</v>
      </c>
      <c r="D459">
        <v>2082</v>
      </c>
      <c r="E459">
        <v>2065</v>
      </c>
      <c r="F459">
        <v>1.35835351089588</v>
      </c>
      <c r="G459">
        <v>1.1971808924785401</v>
      </c>
      <c r="H459">
        <v>7.5142919103175804E-2</v>
      </c>
      <c r="I459">
        <v>2.1448809860053899</v>
      </c>
      <c r="J459">
        <v>11.87</v>
      </c>
      <c r="K459">
        <v>2805</v>
      </c>
      <c r="L459">
        <v>1700.7745398773006</v>
      </c>
    </row>
    <row r="460" spans="1:12">
      <c r="A460" s="14">
        <v>43187</v>
      </c>
      <c r="B460">
        <v>2684</v>
      </c>
      <c r="C460">
        <v>2691</v>
      </c>
      <c r="D460">
        <v>2028</v>
      </c>
      <c r="E460">
        <v>2059</v>
      </c>
      <c r="F460">
        <v>1.3069451189898</v>
      </c>
      <c r="G460">
        <v>1.19343994399786</v>
      </c>
      <c r="H460">
        <v>7.4001275914357803E-2</v>
      </c>
      <c r="I460">
        <v>1.53382726972574</v>
      </c>
      <c r="J460">
        <v>8.68</v>
      </c>
      <c r="K460">
        <v>2691</v>
      </c>
      <c r="L460">
        <v>1695.8328220858896</v>
      </c>
    </row>
    <row r="461" spans="1:12">
      <c r="A461" s="14">
        <v>43186</v>
      </c>
      <c r="B461">
        <v>2699</v>
      </c>
      <c r="C461">
        <v>2743</v>
      </c>
      <c r="D461">
        <v>2052</v>
      </c>
      <c r="E461">
        <v>2070</v>
      </c>
      <c r="F461">
        <v>1.3251207729468599</v>
      </c>
      <c r="G461">
        <v>1.1905783641593799</v>
      </c>
      <c r="H461">
        <v>7.3705765683834606E-2</v>
      </c>
      <c r="I461">
        <v>1.8253986989919699</v>
      </c>
      <c r="J461">
        <v>10.15</v>
      </c>
      <c r="K461">
        <v>2743</v>
      </c>
      <c r="L461">
        <v>1704.8926380368098</v>
      </c>
    </row>
    <row r="462" spans="1:12">
      <c r="A462" s="14">
        <v>43185</v>
      </c>
      <c r="B462">
        <v>2600</v>
      </c>
      <c r="C462">
        <v>2650</v>
      </c>
      <c r="D462">
        <v>1955</v>
      </c>
      <c r="E462">
        <v>2043</v>
      </c>
      <c r="F462">
        <v>1.2971120900636299</v>
      </c>
      <c r="G462">
        <v>1.1874014291780901</v>
      </c>
      <c r="H462">
        <v>7.2969518978313205E-2</v>
      </c>
      <c r="I462">
        <v>1.5035135549973999</v>
      </c>
      <c r="J462">
        <v>8.4600000000000009</v>
      </c>
      <c r="K462">
        <v>2650</v>
      </c>
      <c r="L462">
        <v>1682.65490797546</v>
      </c>
    </row>
    <row r="463" spans="1:12">
      <c r="A463" s="14">
        <v>43182</v>
      </c>
      <c r="B463">
        <v>2602</v>
      </c>
      <c r="C463">
        <v>2630</v>
      </c>
      <c r="D463">
        <v>2043</v>
      </c>
      <c r="E463">
        <v>1998</v>
      </c>
      <c r="F463">
        <v>1.3163163163163101</v>
      </c>
      <c r="G463">
        <v>1.1844668163643399</v>
      </c>
      <c r="H463">
        <v>7.2924060176170397E-2</v>
      </c>
      <c r="I463">
        <v>1.80803838449816</v>
      </c>
      <c r="J463">
        <v>10.02</v>
      </c>
      <c r="K463">
        <v>2630</v>
      </c>
      <c r="L463">
        <v>1645.5920245398772</v>
      </c>
    </row>
    <row r="464" spans="1:12">
      <c r="A464" s="14">
        <v>43181</v>
      </c>
      <c r="B464">
        <v>2653</v>
      </c>
      <c r="C464">
        <v>2685</v>
      </c>
      <c r="D464">
        <v>2105</v>
      </c>
      <c r="E464">
        <v>2114</v>
      </c>
      <c r="F464">
        <v>1.2701040681173099</v>
      </c>
      <c r="G464">
        <v>1.18142715979235</v>
      </c>
      <c r="H464">
        <v>7.2111636010361899E-2</v>
      </c>
      <c r="I464">
        <v>1.2297170502721599</v>
      </c>
      <c r="J464">
        <v>6.98</v>
      </c>
      <c r="K464">
        <v>2685</v>
      </c>
      <c r="L464">
        <v>1741.1319018404906</v>
      </c>
    </row>
    <row r="465" spans="1:12">
      <c r="A465" s="14">
        <v>43179</v>
      </c>
      <c r="B465">
        <v>2657</v>
      </c>
      <c r="C465">
        <v>2678</v>
      </c>
      <c r="D465">
        <v>2074</v>
      </c>
      <c r="E465">
        <v>2106</v>
      </c>
      <c r="F465">
        <v>1.2716049382715999</v>
      </c>
      <c r="G465">
        <v>1.1788930890263301</v>
      </c>
      <c r="H465">
        <v>7.2290061626528707E-2</v>
      </c>
      <c r="I465">
        <v>1.28249785875467</v>
      </c>
      <c r="J465">
        <v>7.29</v>
      </c>
      <c r="K465">
        <v>2678</v>
      </c>
      <c r="L465">
        <v>1734.5429447852759</v>
      </c>
    </row>
    <row r="466" spans="1:12">
      <c r="A466" s="14">
        <v>43178</v>
      </c>
      <c r="B466">
        <v>2644</v>
      </c>
      <c r="C466">
        <v>2666</v>
      </c>
      <c r="D466">
        <v>2130</v>
      </c>
      <c r="E466">
        <v>2108</v>
      </c>
      <c r="F466">
        <v>1.26470588235294</v>
      </c>
      <c r="G466">
        <v>1.1763846466600101</v>
      </c>
      <c r="H466">
        <v>7.2293549496034601E-2</v>
      </c>
      <c r="I466">
        <v>1.22170285327836</v>
      </c>
      <c r="J466">
        <v>6.98</v>
      </c>
      <c r="K466">
        <v>2666</v>
      </c>
      <c r="L466">
        <v>1736.1901840490798</v>
      </c>
    </row>
    <row r="467" spans="1:12">
      <c r="A467" s="14">
        <v>43175</v>
      </c>
      <c r="B467">
        <v>2703</v>
      </c>
      <c r="C467">
        <v>2669</v>
      </c>
      <c r="D467">
        <v>2168</v>
      </c>
      <c r="E467">
        <v>2141</v>
      </c>
      <c r="F467">
        <v>1.24661373190098</v>
      </c>
      <c r="G467">
        <v>1.17383522672871</v>
      </c>
      <c r="H467">
        <v>7.2505086500489299E-2</v>
      </c>
      <c r="I467">
        <v>1.00377102745445</v>
      </c>
      <c r="J467">
        <v>5.84</v>
      </c>
      <c r="K467">
        <v>2669</v>
      </c>
      <c r="L467">
        <v>1763.3696319018404</v>
      </c>
    </row>
    <row r="468" spans="1:12">
      <c r="A468" s="14">
        <v>43174</v>
      </c>
      <c r="B468">
        <v>2694</v>
      </c>
      <c r="C468">
        <v>2693</v>
      </c>
      <c r="D468">
        <v>2141</v>
      </c>
      <c r="E468">
        <v>2147</v>
      </c>
      <c r="F468">
        <v>1.2543083372147099</v>
      </c>
      <c r="G468">
        <v>1.17146123770245</v>
      </c>
      <c r="H468">
        <v>7.2996491638658303E-2</v>
      </c>
      <c r="I468">
        <v>1.1349463193706</v>
      </c>
      <c r="J468">
        <v>6.61</v>
      </c>
      <c r="K468">
        <v>2693</v>
      </c>
      <c r="L468">
        <v>1768.3113496932515</v>
      </c>
    </row>
    <row r="469" spans="1:12">
      <c r="A469" s="14">
        <v>43173</v>
      </c>
      <c r="B469">
        <v>2679</v>
      </c>
      <c r="C469">
        <v>2694</v>
      </c>
      <c r="D469">
        <v>2157</v>
      </c>
      <c r="E469">
        <v>2146</v>
      </c>
      <c r="F469">
        <v>1.25535880708294</v>
      </c>
      <c r="G469">
        <v>1.16900783361029</v>
      </c>
      <c r="H469">
        <v>7.3262494817850493E-2</v>
      </c>
      <c r="I469">
        <v>1.1786518284333001</v>
      </c>
      <c r="J469">
        <v>6.88</v>
      </c>
      <c r="K469">
        <v>2694</v>
      </c>
      <c r="L469">
        <v>1767.4877300613496</v>
      </c>
    </row>
    <row r="470" spans="1:12">
      <c r="A470" s="14">
        <v>43172</v>
      </c>
      <c r="B470">
        <v>2670</v>
      </c>
      <c r="C470">
        <v>2699</v>
      </c>
      <c r="D470">
        <v>2180</v>
      </c>
      <c r="E470">
        <v>2175</v>
      </c>
      <c r="F470">
        <v>1.24091954022988</v>
      </c>
      <c r="G470">
        <v>1.16615326319107</v>
      </c>
      <c r="H470">
        <v>7.4009442819402305E-2</v>
      </c>
      <c r="I470">
        <v>1.0102261845323599</v>
      </c>
      <c r="J470">
        <v>6.03</v>
      </c>
      <c r="K470">
        <v>2699</v>
      </c>
      <c r="L470">
        <v>1791.372699386503</v>
      </c>
    </row>
    <row r="471" spans="1:12">
      <c r="A471" s="14">
        <v>43171</v>
      </c>
      <c r="B471">
        <v>2772</v>
      </c>
      <c r="C471">
        <v>2706</v>
      </c>
      <c r="D471">
        <v>2168</v>
      </c>
      <c r="E471">
        <v>2130</v>
      </c>
      <c r="F471">
        <v>1.2704225352112599</v>
      </c>
      <c r="G471">
        <v>1.1636887172132699</v>
      </c>
      <c r="H471">
        <v>7.45542943136768E-2</v>
      </c>
      <c r="I471">
        <v>1.4316253541200601</v>
      </c>
      <c r="J471">
        <v>8.4</v>
      </c>
      <c r="K471">
        <v>2706</v>
      </c>
      <c r="L471">
        <v>1754.3098159509202</v>
      </c>
    </row>
    <row r="472" spans="1:12">
      <c r="A472" s="14">
        <v>43168</v>
      </c>
      <c r="B472">
        <v>2751</v>
      </c>
      <c r="C472">
        <v>2750</v>
      </c>
      <c r="D472">
        <v>2118</v>
      </c>
      <c r="E472">
        <v>2118</v>
      </c>
      <c r="F472">
        <v>1.2983947119924399</v>
      </c>
      <c r="G472">
        <v>1.16023235703434</v>
      </c>
      <c r="H472">
        <v>7.5528519546360195E-2</v>
      </c>
      <c r="I472">
        <v>1.8292739721092299</v>
      </c>
      <c r="J472">
        <v>10.64</v>
      </c>
      <c r="K472">
        <v>2750</v>
      </c>
      <c r="L472">
        <v>1744.4263803680981</v>
      </c>
    </row>
    <row r="473" spans="1:12">
      <c r="A473" s="14">
        <v>43167</v>
      </c>
      <c r="B473">
        <v>2770</v>
      </c>
      <c r="C473">
        <v>2721</v>
      </c>
      <c r="D473">
        <v>2116</v>
      </c>
      <c r="E473">
        <v>2097</v>
      </c>
      <c r="F473">
        <v>1.29756795422031</v>
      </c>
      <c r="G473">
        <v>1.15636141798654</v>
      </c>
      <c r="H473">
        <v>7.5787529776676202E-2</v>
      </c>
      <c r="I473">
        <v>1.86318958606864</v>
      </c>
      <c r="J473">
        <v>10.88</v>
      </c>
      <c r="K473">
        <v>2721</v>
      </c>
      <c r="L473">
        <v>1727.1303680981594</v>
      </c>
    </row>
    <row r="474" spans="1:12">
      <c r="A474" s="14">
        <v>43166</v>
      </c>
      <c r="B474">
        <v>2749</v>
      </c>
      <c r="C474">
        <v>2767</v>
      </c>
      <c r="D474">
        <v>2089</v>
      </c>
      <c r="E474">
        <v>2100</v>
      </c>
      <c r="F474">
        <v>1.3176190476190399</v>
      </c>
      <c r="G474">
        <v>1.15244270519846</v>
      </c>
      <c r="H474">
        <v>7.5983030242261607E-2</v>
      </c>
      <c r="I474">
        <v>2.1738583193371501</v>
      </c>
      <c r="J474">
        <v>12.54</v>
      </c>
      <c r="K474">
        <v>2767</v>
      </c>
      <c r="L474">
        <v>1729.6012269938649</v>
      </c>
    </row>
    <row r="475" spans="1:12">
      <c r="A475" s="14">
        <v>43165</v>
      </c>
      <c r="B475">
        <v>2768</v>
      </c>
      <c r="C475">
        <v>2771</v>
      </c>
      <c r="D475">
        <v>2128</v>
      </c>
      <c r="E475">
        <v>2111</v>
      </c>
      <c r="F475">
        <v>1.3126480341070501</v>
      </c>
      <c r="G475">
        <v>1.14802556407675</v>
      </c>
      <c r="H475">
        <v>7.5881687493825303E-2</v>
      </c>
      <c r="I475">
        <v>2.1694624285168</v>
      </c>
      <c r="J475">
        <v>12.54</v>
      </c>
      <c r="K475">
        <v>2771</v>
      </c>
      <c r="L475">
        <v>1738.6610429447851</v>
      </c>
    </row>
    <row r="476" spans="1:12">
      <c r="A476" s="14">
        <v>43164</v>
      </c>
      <c r="B476">
        <v>2713</v>
      </c>
      <c r="C476">
        <v>2741</v>
      </c>
      <c r="D476">
        <v>2132</v>
      </c>
      <c r="E476">
        <v>2088</v>
      </c>
      <c r="F476">
        <v>1.3127394636015299</v>
      </c>
      <c r="G476">
        <v>1.1435497519442499</v>
      </c>
      <c r="H476">
        <v>7.5939621896491505E-2</v>
      </c>
      <c r="I476">
        <v>2.2279504089167599</v>
      </c>
      <c r="J476">
        <v>12.89</v>
      </c>
      <c r="K476">
        <v>2741</v>
      </c>
      <c r="L476">
        <v>1719.717791411043</v>
      </c>
    </row>
    <row r="477" spans="1:12">
      <c r="A477" s="14">
        <v>43161</v>
      </c>
      <c r="B477">
        <v>2706</v>
      </c>
      <c r="C477">
        <v>2718</v>
      </c>
      <c r="D477">
        <v>2150</v>
      </c>
      <c r="E477">
        <v>2155</v>
      </c>
      <c r="F477">
        <v>1.2612529002320101</v>
      </c>
      <c r="G477">
        <v>1.13817376041386</v>
      </c>
      <c r="H477">
        <v>7.8015359674650994E-2</v>
      </c>
      <c r="I477">
        <v>1.5776270253887801</v>
      </c>
      <c r="J477">
        <v>9.76</v>
      </c>
      <c r="K477">
        <v>2718</v>
      </c>
      <c r="L477">
        <v>1774.9003067484662</v>
      </c>
    </row>
    <row r="478" spans="1:12">
      <c r="A478" s="14">
        <v>43160</v>
      </c>
      <c r="B478">
        <v>2809</v>
      </c>
      <c r="C478">
        <v>2789</v>
      </c>
      <c r="D478">
        <v>2210</v>
      </c>
      <c r="E478">
        <v>2215</v>
      </c>
      <c r="F478">
        <v>1.2591422121896101</v>
      </c>
      <c r="G478">
        <v>1.13349335584444</v>
      </c>
      <c r="H478">
        <v>8.0965016157784106E-2</v>
      </c>
      <c r="I478">
        <v>1.5518907091960601</v>
      </c>
      <c r="J478">
        <v>9.98</v>
      </c>
      <c r="K478">
        <v>2789</v>
      </c>
      <c r="L478">
        <v>1824.3174846625766</v>
      </c>
    </row>
    <row r="479" spans="1:12">
      <c r="A479" s="14">
        <v>43159</v>
      </c>
      <c r="B479">
        <v>2905</v>
      </c>
      <c r="C479">
        <v>2859</v>
      </c>
      <c r="D479">
        <v>2282</v>
      </c>
      <c r="E479">
        <v>2250</v>
      </c>
      <c r="F479">
        <v>1.2706666666666599</v>
      </c>
      <c r="G479">
        <v>1.12899057994634</v>
      </c>
      <c r="H479">
        <v>8.3211452792448098E-2</v>
      </c>
      <c r="I479">
        <v>1.70260321104719</v>
      </c>
      <c r="J479">
        <v>11.15</v>
      </c>
      <c r="K479">
        <v>2859</v>
      </c>
      <c r="L479">
        <v>1853.1441717791411</v>
      </c>
    </row>
    <row r="480" spans="1:12">
      <c r="A480" s="14">
        <v>43158</v>
      </c>
      <c r="B480">
        <v>2921</v>
      </c>
      <c r="C480">
        <v>2910</v>
      </c>
      <c r="D480">
        <v>2298</v>
      </c>
      <c r="E480">
        <v>2296</v>
      </c>
      <c r="F480">
        <v>1.2674216027874501</v>
      </c>
      <c r="G480">
        <v>1.12479429664549</v>
      </c>
      <c r="H480">
        <v>8.3893805517409506E-2</v>
      </c>
      <c r="I480">
        <v>1.70009341288447</v>
      </c>
      <c r="J480">
        <v>11.25</v>
      </c>
      <c r="K480">
        <v>2910</v>
      </c>
      <c r="L480">
        <v>1891.0306748466257</v>
      </c>
    </row>
    <row r="481" spans="1:12">
      <c r="A481" s="14">
        <v>43157</v>
      </c>
      <c r="B481">
        <v>2877</v>
      </c>
      <c r="C481">
        <v>2881</v>
      </c>
      <c r="D481">
        <v>2286</v>
      </c>
      <c r="E481">
        <v>2269</v>
      </c>
      <c r="F481">
        <v>1.2697223446452099</v>
      </c>
      <c r="G481">
        <v>1.12112826570966</v>
      </c>
      <c r="H481">
        <v>8.3588051178589806E-2</v>
      </c>
      <c r="I481">
        <v>1.77769521887851</v>
      </c>
      <c r="J481">
        <v>11.7</v>
      </c>
      <c r="K481">
        <v>2881</v>
      </c>
      <c r="L481">
        <v>1868.7929447852759</v>
      </c>
    </row>
    <row r="482" spans="1:12">
      <c r="A482" s="14">
        <v>43154</v>
      </c>
      <c r="B482">
        <v>2812</v>
      </c>
      <c r="C482">
        <v>2854</v>
      </c>
      <c r="D482">
        <v>2218</v>
      </c>
      <c r="E482">
        <v>2256</v>
      </c>
      <c r="F482">
        <v>1.2650709219858101</v>
      </c>
      <c r="G482">
        <v>1.1170524627539899</v>
      </c>
      <c r="H482">
        <v>8.3695773416995606E-2</v>
      </c>
      <c r="I482">
        <v>1.7685296782473301</v>
      </c>
      <c r="J482">
        <v>11.7</v>
      </c>
      <c r="K482">
        <v>2854</v>
      </c>
      <c r="L482">
        <v>1858.0858895705521</v>
      </c>
    </row>
    <row r="483" spans="1:12">
      <c r="A483" s="14">
        <v>43153</v>
      </c>
      <c r="B483">
        <v>2814</v>
      </c>
      <c r="C483">
        <v>2827</v>
      </c>
      <c r="D483">
        <v>2235</v>
      </c>
      <c r="E483">
        <v>2202</v>
      </c>
      <c r="F483">
        <v>1.2838328792007201</v>
      </c>
      <c r="G483">
        <v>1.1137562790322699</v>
      </c>
      <c r="H483">
        <v>8.26630971088234E-2</v>
      </c>
      <c r="I483">
        <v>2.0574670695503499</v>
      </c>
      <c r="J483">
        <v>13.25</v>
      </c>
      <c r="K483">
        <v>2827</v>
      </c>
      <c r="L483">
        <v>1813.6104294478528</v>
      </c>
    </row>
    <row r="484" spans="1:12">
      <c r="A484" s="14">
        <v>43152</v>
      </c>
      <c r="B484">
        <v>2850</v>
      </c>
      <c r="C484">
        <v>2864</v>
      </c>
      <c r="D484">
        <v>2285</v>
      </c>
      <c r="E484">
        <v>2276</v>
      </c>
      <c r="F484">
        <v>1.25834797891036</v>
      </c>
      <c r="G484">
        <v>1.11009762680645</v>
      </c>
      <c r="H484">
        <v>8.1112451770325694E-2</v>
      </c>
      <c r="I484">
        <v>1.8277138573457199</v>
      </c>
      <c r="J484">
        <v>11.78</v>
      </c>
      <c r="K484">
        <v>2864</v>
      </c>
      <c r="L484">
        <v>1874.5582822085889</v>
      </c>
    </row>
    <row r="485" spans="1:12">
      <c r="A485" s="14">
        <v>43151</v>
      </c>
      <c r="B485">
        <v>2825</v>
      </c>
      <c r="C485">
        <v>2842</v>
      </c>
      <c r="D485">
        <v>2270</v>
      </c>
      <c r="E485">
        <v>2275</v>
      </c>
      <c r="F485">
        <v>1.24923076923076</v>
      </c>
      <c r="G485">
        <v>1.10595095900653</v>
      </c>
      <c r="H485">
        <v>8.1376649561025305E-2</v>
      </c>
      <c r="I485">
        <v>1.76069930375779</v>
      </c>
      <c r="J485">
        <v>11.47</v>
      </c>
      <c r="K485">
        <v>2842</v>
      </c>
      <c r="L485">
        <v>1873.734662576687</v>
      </c>
    </row>
    <row r="486" spans="1:12">
      <c r="A486" s="14">
        <v>43150</v>
      </c>
      <c r="B486">
        <v>2789</v>
      </c>
      <c r="C486">
        <v>2838</v>
      </c>
      <c r="D486">
        <v>2245</v>
      </c>
      <c r="E486">
        <v>2282</v>
      </c>
      <c r="F486">
        <v>1.24364592462751</v>
      </c>
      <c r="G486">
        <v>1.1021308880954701</v>
      </c>
      <c r="H486">
        <v>8.1285661183662997E-2</v>
      </c>
      <c r="I486">
        <v>1.7409594074936801</v>
      </c>
      <c r="J486">
        <v>11.38</v>
      </c>
      <c r="K486">
        <v>2838</v>
      </c>
      <c r="L486">
        <v>1879.5</v>
      </c>
    </row>
    <row r="487" spans="1:12">
      <c r="A487" s="14">
        <v>43147</v>
      </c>
      <c r="B487">
        <v>2725</v>
      </c>
      <c r="C487">
        <v>2741</v>
      </c>
      <c r="D487">
        <v>2209</v>
      </c>
      <c r="E487">
        <v>2219</v>
      </c>
      <c r="F487">
        <v>1.2352410995944101</v>
      </c>
      <c r="G487">
        <v>1.09845788683345</v>
      </c>
      <c r="H487">
        <v>8.1031588473577096E-2</v>
      </c>
      <c r="I487">
        <v>1.68802334173122</v>
      </c>
      <c r="J487">
        <v>11.07</v>
      </c>
      <c r="K487">
        <v>2741</v>
      </c>
      <c r="L487">
        <v>1827.611963190184</v>
      </c>
    </row>
    <row r="488" spans="1:12">
      <c r="A488" s="14">
        <v>43146</v>
      </c>
      <c r="B488">
        <v>2725</v>
      </c>
      <c r="C488">
        <v>2692</v>
      </c>
      <c r="D488">
        <v>2235</v>
      </c>
      <c r="E488">
        <v>2197</v>
      </c>
      <c r="F488">
        <v>1.2253072371415501</v>
      </c>
      <c r="G488">
        <v>1.09425304429479</v>
      </c>
      <c r="H488">
        <v>8.2001136850117007E-2</v>
      </c>
      <c r="I488">
        <v>1.5981997065029001</v>
      </c>
      <c r="J488">
        <v>10.7</v>
      </c>
      <c r="K488">
        <v>2692</v>
      </c>
      <c r="L488">
        <v>1809.4923312883434</v>
      </c>
    </row>
    <row r="489" spans="1:12">
      <c r="A489" s="14">
        <v>43145</v>
      </c>
      <c r="B489">
        <v>2688</v>
      </c>
      <c r="C489">
        <v>2697</v>
      </c>
      <c r="D489">
        <v>2194</v>
      </c>
      <c r="E489">
        <v>2195</v>
      </c>
      <c r="F489">
        <v>1.22870159453302</v>
      </c>
      <c r="G489">
        <v>1.0903176323164501</v>
      </c>
      <c r="H489">
        <v>8.2696762660551204E-2</v>
      </c>
      <c r="I489">
        <v>1.6733903210287</v>
      </c>
      <c r="J489">
        <v>11.26</v>
      </c>
      <c r="K489">
        <v>2697</v>
      </c>
      <c r="L489">
        <v>1807.8450920245398</v>
      </c>
    </row>
    <row r="490" spans="1:12">
      <c r="A490" s="14">
        <v>43144</v>
      </c>
      <c r="B490">
        <v>2769</v>
      </c>
      <c r="C490">
        <v>2671</v>
      </c>
      <c r="D490">
        <v>2257</v>
      </c>
      <c r="E490">
        <v>2191</v>
      </c>
      <c r="F490">
        <v>1.21907804655408</v>
      </c>
      <c r="G490">
        <v>1.0861775102898801</v>
      </c>
      <c r="H490">
        <v>8.3434445785689801E-2</v>
      </c>
      <c r="I490">
        <v>1.5928737227496399</v>
      </c>
      <c r="J490">
        <v>10.9</v>
      </c>
      <c r="K490">
        <v>2671</v>
      </c>
      <c r="L490">
        <v>1804.5506134969323</v>
      </c>
    </row>
    <row r="491" spans="1:12">
      <c r="A491" s="14">
        <v>43140</v>
      </c>
      <c r="B491">
        <v>2656</v>
      </c>
      <c r="C491">
        <v>2685</v>
      </c>
      <c r="D491">
        <v>2210</v>
      </c>
      <c r="E491">
        <v>2225</v>
      </c>
      <c r="F491">
        <v>1.2067415730337001</v>
      </c>
      <c r="G491">
        <v>1.08249744631459</v>
      </c>
      <c r="H491">
        <v>8.3578192345632907E-2</v>
      </c>
      <c r="I491">
        <v>1.48656154473058</v>
      </c>
      <c r="J491">
        <v>10.3</v>
      </c>
      <c r="K491">
        <v>2685</v>
      </c>
      <c r="L491">
        <v>1832.5536809815951</v>
      </c>
    </row>
    <row r="492" spans="1:12">
      <c r="A492" s="14">
        <v>43139</v>
      </c>
      <c r="B492">
        <v>2720</v>
      </c>
      <c r="C492">
        <v>2739</v>
      </c>
      <c r="D492">
        <v>2277</v>
      </c>
      <c r="E492">
        <v>2297</v>
      </c>
      <c r="F492">
        <v>1.1924249020461399</v>
      </c>
      <c r="G492">
        <v>1.0791724795024</v>
      </c>
      <c r="H492">
        <v>8.3529629223545204E-2</v>
      </c>
      <c r="I492">
        <v>1.35583533168396</v>
      </c>
      <c r="J492">
        <v>9.5</v>
      </c>
      <c r="K492">
        <v>2739</v>
      </c>
      <c r="L492">
        <v>1891.8542944785274</v>
      </c>
    </row>
    <row r="493" spans="1:12">
      <c r="A493" s="14">
        <v>43138</v>
      </c>
      <c r="B493">
        <v>2860</v>
      </c>
      <c r="C493">
        <v>2664</v>
      </c>
      <c r="D493">
        <v>2389</v>
      </c>
      <c r="E493">
        <v>2271</v>
      </c>
      <c r="F493">
        <v>1.1730515191545501</v>
      </c>
      <c r="G493">
        <v>1.0763599005615401</v>
      </c>
      <c r="H493">
        <v>8.3219712947243701E-2</v>
      </c>
      <c r="I493">
        <v>1.1618835870572299</v>
      </c>
      <c r="J493">
        <v>8.24</v>
      </c>
      <c r="K493">
        <v>2664</v>
      </c>
      <c r="L493">
        <v>1870.4401840490796</v>
      </c>
    </row>
    <row r="494" spans="1:12">
      <c r="A494" s="14">
        <v>43137</v>
      </c>
      <c r="B494">
        <v>2670</v>
      </c>
      <c r="C494">
        <v>2610</v>
      </c>
      <c r="D494">
        <v>2325</v>
      </c>
      <c r="E494">
        <v>2294</v>
      </c>
      <c r="F494">
        <v>1.13775065387968</v>
      </c>
      <c r="G494">
        <v>1.0742465871668501</v>
      </c>
      <c r="H494">
        <v>8.2748608186945197E-2</v>
      </c>
      <c r="I494">
        <v>0.76743365361946003</v>
      </c>
      <c r="J494">
        <v>5.58</v>
      </c>
      <c r="K494">
        <v>2610</v>
      </c>
      <c r="L494">
        <v>1889.3834355828219</v>
      </c>
    </row>
    <row r="495" spans="1:12">
      <c r="A495" s="14">
        <v>43136</v>
      </c>
      <c r="B495">
        <v>2811</v>
      </c>
      <c r="C495">
        <v>2795</v>
      </c>
      <c r="D495">
        <v>2501</v>
      </c>
      <c r="E495">
        <v>2460</v>
      </c>
      <c r="F495">
        <v>1.1361788617886099</v>
      </c>
      <c r="G495">
        <v>1.0728153171871899</v>
      </c>
      <c r="H495">
        <v>8.2565978018658101E-2</v>
      </c>
      <c r="I495">
        <v>0.76742922595918095</v>
      </c>
      <c r="J495">
        <v>5.58</v>
      </c>
      <c r="K495">
        <v>2795</v>
      </c>
      <c r="L495">
        <v>2026.1042944785274</v>
      </c>
    </row>
    <row r="496" spans="1:12">
      <c r="A496" s="14">
        <v>43133</v>
      </c>
      <c r="B496">
        <v>2900</v>
      </c>
      <c r="C496">
        <v>2900</v>
      </c>
      <c r="D496">
        <v>2548</v>
      </c>
      <c r="E496">
        <v>2558</v>
      </c>
      <c r="F496">
        <v>1.1336982017200901</v>
      </c>
      <c r="G496">
        <v>1.0711267410974501</v>
      </c>
      <c r="H496">
        <v>8.2547851547024903E-2</v>
      </c>
      <c r="I496">
        <v>0.75800229139814301</v>
      </c>
      <c r="J496">
        <v>5.52</v>
      </c>
      <c r="K496">
        <v>2900</v>
      </c>
      <c r="L496">
        <v>2106.8190184049081</v>
      </c>
    </row>
    <row r="497" spans="1:12">
      <c r="A497" s="14">
        <v>43132</v>
      </c>
      <c r="B497">
        <v>2863</v>
      </c>
      <c r="C497">
        <v>2940</v>
      </c>
      <c r="D497">
        <v>2536</v>
      </c>
      <c r="E497">
        <v>2567</v>
      </c>
      <c r="F497">
        <v>1.1453058044409801</v>
      </c>
      <c r="G497">
        <v>1.0690212971494699</v>
      </c>
      <c r="H497">
        <v>8.2937931979278304E-2</v>
      </c>
      <c r="I497">
        <v>0.91977826636145898</v>
      </c>
      <c r="J497">
        <v>6.66</v>
      </c>
      <c r="K497">
        <v>2940</v>
      </c>
      <c r="L497">
        <v>2114.2315950920242</v>
      </c>
    </row>
    <row r="498" spans="1:12">
      <c r="A498" s="14">
        <v>43131</v>
      </c>
      <c r="B498">
        <v>2823</v>
      </c>
      <c r="C498">
        <v>2828</v>
      </c>
      <c r="D498">
        <v>2518</v>
      </c>
      <c r="E498">
        <v>2500</v>
      </c>
      <c r="F498">
        <v>1.1312</v>
      </c>
      <c r="G498">
        <v>1.06662392749135</v>
      </c>
      <c r="H498">
        <v>8.3296113049867407E-2</v>
      </c>
      <c r="I498">
        <v>0.77525913448063899</v>
      </c>
      <c r="J498">
        <v>5.71</v>
      </c>
      <c r="K498">
        <v>2828</v>
      </c>
      <c r="L498">
        <v>2059.0490797546013</v>
      </c>
    </row>
    <row r="499" spans="1:12">
      <c r="A499" s="14">
        <v>43130</v>
      </c>
      <c r="B499">
        <v>2918</v>
      </c>
      <c r="C499">
        <v>2842</v>
      </c>
      <c r="D499">
        <v>2559</v>
      </c>
      <c r="E499">
        <v>2520</v>
      </c>
      <c r="F499">
        <v>1.12777777777777</v>
      </c>
      <c r="G499">
        <v>1.06367868542474</v>
      </c>
      <c r="H499">
        <v>8.4851443595312603E-2</v>
      </c>
      <c r="I499">
        <v>0.75542724598470701</v>
      </c>
      <c r="J499">
        <v>5.68</v>
      </c>
      <c r="K499">
        <v>2842</v>
      </c>
      <c r="L499">
        <v>2075.5214723926379</v>
      </c>
    </row>
    <row r="500" spans="1:12">
      <c r="A500" s="14">
        <v>43129</v>
      </c>
      <c r="B500">
        <v>2950</v>
      </c>
      <c r="C500">
        <v>2942</v>
      </c>
      <c r="D500">
        <v>2504</v>
      </c>
      <c r="E500">
        <v>2577</v>
      </c>
      <c r="F500">
        <v>1.1416375630578099</v>
      </c>
      <c r="G500">
        <v>1.06054024601445</v>
      </c>
      <c r="H500">
        <v>8.6754311639075904E-2</v>
      </c>
      <c r="I500">
        <v>0.93479292857222795</v>
      </c>
      <c r="J500">
        <v>7.1</v>
      </c>
      <c r="K500">
        <v>2942</v>
      </c>
      <c r="L500">
        <v>2122.467791411043</v>
      </c>
    </row>
    <row r="501" spans="1:12">
      <c r="A501" s="14">
        <v>43126</v>
      </c>
      <c r="B501">
        <v>2867</v>
      </c>
      <c r="C501">
        <v>2900</v>
      </c>
      <c r="D501">
        <v>2485</v>
      </c>
      <c r="E501">
        <v>2504</v>
      </c>
      <c r="F501">
        <v>1.1581469648562299</v>
      </c>
      <c r="G501">
        <v>1.0574664386053401</v>
      </c>
      <c r="H501">
        <v>8.7902952891996303E-2</v>
      </c>
      <c r="I501">
        <v>1.1453600014392</v>
      </c>
      <c r="J501">
        <v>8.69</v>
      </c>
      <c r="K501">
        <v>2900</v>
      </c>
      <c r="L501">
        <v>2062.3435582822085</v>
      </c>
    </row>
    <row r="502" spans="1:12">
      <c r="A502" s="14">
        <v>43125</v>
      </c>
      <c r="B502">
        <v>2899</v>
      </c>
      <c r="C502">
        <v>2883</v>
      </c>
      <c r="D502">
        <v>2452</v>
      </c>
      <c r="E502">
        <v>2485</v>
      </c>
      <c r="F502">
        <v>1.16016096579476</v>
      </c>
      <c r="G502">
        <v>1.0539889091466801</v>
      </c>
      <c r="H502">
        <v>8.9003301957194095E-2</v>
      </c>
      <c r="I502">
        <v>1.1929001993560699</v>
      </c>
      <c r="J502">
        <v>9.15</v>
      </c>
      <c r="K502">
        <v>2883</v>
      </c>
      <c r="L502">
        <v>2046.6947852760736</v>
      </c>
    </row>
    <row r="503" spans="1:12">
      <c r="A503" s="14">
        <v>43124</v>
      </c>
      <c r="B503">
        <v>2932</v>
      </c>
      <c r="C503">
        <v>2921</v>
      </c>
      <c r="D503">
        <v>2498</v>
      </c>
      <c r="E503">
        <v>2486</v>
      </c>
      <c r="F503">
        <v>1.1749798873692601</v>
      </c>
      <c r="G503">
        <v>1.05046431724018</v>
      </c>
      <c r="H503">
        <v>8.9958016741755797E-2</v>
      </c>
      <c r="I503">
        <v>1.38415201489521</v>
      </c>
      <c r="J503">
        <v>10.6</v>
      </c>
      <c r="K503">
        <v>2921</v>
      </c>
      <c r="L503">
        <v>2047.5184049079753</v>
      </c>
    </row>
    <row r="504" spans="1:12">
      <c r="A504" s="14">
        <v>43123</v>
      </c>
      <c r="B504">
        <v>2944</v>
      </c>
      <c r="C504">
        <v>2935</v>
      </c>
      <c r="D504">
        <v>2508</v>
      </c>
      <c r="E504">
        <v>2509</v>
      </c>
      <c r="F504">
        <v>1.16978876046233</v>
      </c>
      <c r="G504">
        <v>1.04674168732803</v>
      </c>
      <c r="H504">
        <v>9.0503502918829803E-2</v>
      </c>
      <c r="I504">
        <v>1.35958354280117</v>
      </c>
      <c r="J504">
        <v>10.52</v>
      </c>
      <c r="K504">
        <v>2935</v>
      </c>
      <c r="L504">
        <v>2066.4616564417179</v>
      </c>
    </row>
    <row r="505" spans="1:12">
      <c r="A505" s="14">
        <v>43122</v>
      </c>
      <c r="B505">
        <v>2952</v>
      </c>
      <c r="C505">
        <v>2948</v>
      </c>
      <c r="D505">
        <v>2505</v>
      </c>
      <c r="E505">
        <v>2502</v>
      </c>
      <c r="F505">
        <v>1.1782573940847301</v>
      </c>
      <c r="G505">
        <v>1.04289529249873</v>
      </c>
      <c r="H505">
        <v>9.1318785167026406E-2</v>
      </c>
      <c r="I505">
        <v>1.4823029165183199</v>
      </c>
      <c r="J505">
        <v>11.49</v>
      </c>
      <c r="K505">
        <v>2948</v>
      </c>
      <c r="L505">
        <v>2060.6963190184047</v>
      </c>
    </row>
    <row r="506" spans="1:12">
      <c r="A506" s="14">
        <v>43119</v>
      </c>
      <c r="B506">
        <v>2932</v>
      </c>
      <c r="C506">
        <v>2964</v>
      </c>
      <c r="D506">
        <v>2500</v>
      </c>
      <c r="E506">
        <v>2531</v>
      </c>
      <c r="F506">
        <v>1.1710786250493801</v>
      </c>
      <c r="G506">
        <v>1.0386560110315599</v>
      </c>
      <c r="H506">
        <v>9.2311082604665806E-2</v>
      </c>
      <c r="I506">
        <v>1.4345256309574399</v>
      </c>
      <c r="J506">
        <v>11.31</v>
      </c>
      <c r="K506">
        <v>2964</v>
      </c>
      <c r="L506">
        <v>2084.5812883435583</v>
      </c>
    </row>
    <row r="507" spans="1:12">
      <c r="A507" s="14">
        <v>43118</v>
      </c>
      <c r="B507">
        <v>2969</v>
      </c>
      <c r="C507">
        <v>2910</v>
      </c>
      <c r="D507">
        <v>2608</v>
      </c>
      <c r="E507">
        <v>2443</v>
      </c>
      <c r="F507">
        <v>1.1911584117887799</v>
      </c>
      <c r="G507">
        <v>1.0345458222363499</v>
      </c>
      <c r="H507">
        <v>9.3182092302628999E-2</v>
      </c>
      <c r="I507">
        <v>1.68071552894299</v>
      </c>
      <c r="J507">
        <v>13.15</v>
      </c>
      <c r="K507">
        <v>2910</v>
      </c>
      <c r="L507">
        <v>2012.1027607361962</v>
      </c>
    </row>
    <row r="508" spans="1:12">
      <c r="A508" s="14">
        <v>43117</v>
      </c>
      <c r="B508">
        <v>3010</v>
      </c>
      <c r="C508">
        <v>2973</v>
      </c>
      <c r="D508">
        <v>2540</v>
      </c>
      <c r="E508">
        <v>2566</v>
      </c>
      <c r="F508">
        <v>1.15861262665627</v>
      </c>
      <c r="G508">
        <v>1.03032375773604</v>
      </c>
      <c r="H508">
        <v>9.3164138681728695E-2</v>
      </c>
      <c r="I508">
        <v>1.3770198569483501</v>
      </c>
      <c r="J508">
        <v>11.07</v>
      </c>
      <c r="K508">
        <v>2973</v>
      </c>
      <c r="L508">
        <v>2113.4079754601225</v>
      </c>
    </row>
    <row r="509" spans="1:12">
      <c r="A509" s="14">
        <v>43116</v>
      </c>
      <c r="B509">
        <v>3050</v>
      </c>
      <c r="C509">
        <v>3050</v>
      </c>
      <c r="D509">
        <v>2534</v>
      </c>
      <c r="E509">
        <v>2569</v>
      </c>
      <c r="F509">
        <v>1.1872323861424601</v>
      </c>
      <c r="G509">
        <v>1.0264174858870601</v>
      </c>
      <c r="H509">
        <v>9.3842726750716102E-2</v>
      </c>
      <c r="I509">
        <v>1.71366397613951</v>
      </c>
      <c r="J509">
        <v>13.55</v>
      </c>
      <c r="K509">
        <v>3050</v>
      </c>
      <c r="L509">
        <v>2115.8788343558281</v>
      </c>
    </row>
    <row r="510" spans="1:12">
      <c r="A510" s="14">
        <v>43115</v>
      </c>
      <c r="B510">
        <v>3005</v>
      </c>
      <c r="C510">
        <v>3015</v>
      </c>
      <c r="D510">
        <v>2598</v>
      </c>
      <c r="E510">
        <v>2559</v>
      </c>
      <c r="F510">
        <v>1.1781946072684599</v>
      </c>
      <c r="G510">
        <v>1.02223449878145</v>
      </c>
      <c r="H510">
        <v>9.3572914131140203E-2</v>
      </c>
      <c r="I510">
        <v>1.6667227897640799</v>
      </c>
      <c r="J510">
        <v>13.24</v>
      </c>
      <c r="K510">
        <v>3015</v>
      </c>
      <c r="L510">
        <v>2107.6426380368098</v>
      </c>
    </row>
    <row r="511" spans="1:12">
      <c r="A511" s="14">
        <v>43112</v>
      </c>
      <c r="B511">
        <v>2937</v>
      </c>
      <c r="C511">
        <v>2972</v>
      </c>
      <c r="D511">
        <v>2609</v>
      </c>
      <c r="E511">
        <v>2584</v>
      </c>
      <c r="F511">
        <v>1.1501547987616001</v>
      </c>
      <c r="G511">
        <v>1.0177194221902499</v>
      </c>
      <c r="H511">
        <v>9.4106877640364905E-2</v>
      </c>
      <c r="I511">
        <v>1.40728690497485</v>
      </c>
      <c r="J511">
        <v>11.51</v>
      </c>
      <c r="K511">
        <v>2972</v>
      </c>
      <c r="L511">
        <v>2128.2331288343557</v>
      </c>
    </row>
    <row r="512" spans="1:12">
      <c r="A512" s="14">
        <v>43111</v>
      </c>
      <c r="B512">
        <v>2930</v>
      </c>
      <c r="C512">
        <v>2936</v>
      </c>
      <c r="D512">
        <v>2601</v>
      </c>
      <c r="E512">
        <v>2620</v>
      </c>
      <c r="F512">
        <v>1.1206106870229</v>
      </c>
      <c r="G512">
        <v>1.0132744534082001</v>
      </c>
      <c r="H512">
        <v>9.5607716755778394E-2</v>
      </c>
      <c r="I512">
        <v>1.12267332864856</v>
      </c>
      <c r="J512">
        <v>9.58</v>
      </c>
      <c r="K512">
        <v>2936</v>
      </c>
      <c r="L512">
        <v>2157.8834355828221</v>
      </c>
    </row>
    <row r="513" spans="1:12">
      <c r="A513" s="14">
        <v>43110</v>
      </c>
      <c r="B513">
        <v>2979</v>
      </c>
      <c r="C513">
        <v>2954</v>
      </c>
      <c r="D513">
        <v>2658</v>
      </c>
      <c r="E513">
        <v>2622</v>
      </c>
      <c r="F513">
        <v>1.1266209000762699</v>
      </c>
      <c r="G513">
        <v>1.00908915042073</v>
      </c>
      <c r="H513">
        <v>9.7665789844761694E-2</v>
      </c>
      <c r="I513">
        <v>1.2034075579827499</v>
      </c>
      <c r="J513">
        <v>10.43</v>
      </c>
      <c r="K513">
        <v>2954</v>
      </c>
      <c r="L513">
        <v>2159.5306748466255</v>
      </c>
    </row>
    <row r="514" spans="1:12">
      <c r="A514" s="14">
        <v>43109</v>
      </c>
      <c r="B514">
        <v>3000</v>
      </c>
      <c r="C514">
        <v>2993</v>
      </c>
      <c r="D514">
        <v>2680</v>
      </c>
      <c r="E514">
        <v>2671</v>
      </c>
      <c r="F514">
        <v>1.12055409958816</v>
      </c>
      <c r="G514">
        <v>1.0046368965977699</v>
      </c>
      <c r="H514">
        <v>9.9794357988099602E-2</v>
      </c>
      <c r="I514">
        <v>1.1615606866694701</v>
      </c>
      <c r="J514">
        <v>10.34</v>
      </c>
      <c r="K514">
        <v>2993</v>
      </c>
      <c r="L514">
        <v>2199.8880368098157</v>
      </c>
    </row>
    <row r="515" spans="1:12">
      <c r="A515" s="14">
        <v>43105</v>
      </c>
      <c r="B515">
        <v>3020</v>
      </c>
      <c r="C515">
        <v>3000</v>
      </c>
      <c r="D515">
        <v>2650</v>
      </c>
      <c r="E515">
        <v>2654</v>
      </c>
      <c r="F515">
        <v>1.13036925395629</v>
      </c>
      <c r="G515">
        <v>1.0004342892704501</v>
      </c>
      <c r="H515">
        <v>0.101447455023187</v>
      </c>
      <c r="I515">
        <v>1.2808104910678799</v>
      </c>
      <c r="J515">
        <v>11.49</v>
      </c>
      <c r="K515">
        <v>3000</v>
      </c>
      <c r="L515">
        <v>2185.8865030674847</v>
      </c>
    </row>
    <row r="516" spans="1:12">
      <c r="A516" s="14">
        <v>43104</v>
      </c>
      <c r="B516">
        <v>2942</v>
      </c>
      <c r="C516">
        <v>2994</v>
      </c>
      <c r="D516">
        <v>2585</v>
      </c>
      <c r="E516">
        <v>2639</v>
      </c>
      <c r="F516">
        <v>1.1345206517620301</v>
      </c>
      <c r="G516">
        <v>0.99587610917939096</v>
      </c>
      <c r="H516">
        <v>0.103172431479073</v>
      </c>
      <c r="I516">
        <v>1.34381385216031</v>
      </c>
      <c r="J516">
        <v>12.22</v>
      </c>
      <c r="K516">
        <v>2994</v>
      </c>
      <c r="L516">
        <v>2173.532208588957</v>
      </c>
    </row>
    <row r="517" spans="1:12">
      <c r="A517" s="14">
        <v>43098</v>
      </c>
      <c r="B517">
        <v>2909</v>
      </c>
      <c r="C517">
        <v>2917</v>
      </c>
      <c r="D517">
        <v>2556</v>
      </c>
      <c r="E517">
        <v>2554</v>
      </c>
      <c r="F517">
        <v>1.1421299921691399</v>
      </c>
      <c r="G517">
        <v>0.99134193082025401</v>
      </c>
      <c r="H517">
        <v>0.10444434728201001</v>
      </c>
      <c r="I517">
        <v>1.44371682405893</v>
      </c>
      <c r="J517">
        <v>13.2</v>
      </c>
      <c r="K517">
        <v>2917</v>
      </c>
      <c r="L517">
        <v>2103.5245398773004</v>
      </c>
    </row>
    <row r="518" spans="1:12">
      <c r="A518" s="14">
        <v>43097</v>
      </c>
      <c r="B518">
        <v>2991</v>
      </c>
      <c r="C518">
        <v>2929</v>
      </c>
      <c r="D518">
        <v>2550</v>
      </c>
      <c r="E518">
        <v>2562</v>
      </c>
      <c r="F518">
        <v>1.1432474629195899</v>
      </c>
      <c r="G518">
        <v>0.98692294390630497</v>
      </c>
      <c r="H518">
        <v>0.104980911098077</v>
      </c>
      <c r="I518">
        <v>1.48907565554697</v>
      </c>
      <c r="J518">
        <v>13.67</v>
      </c>
      <c r="K518">
        <v>2929</v>
      </c>
      <c r="L518">
        <v>2110.1134969325153</v>
      </c>
    </row>
    <row r="519" spans="1:12">
      <c r="A519" s="14">
        <v>43096</v>
      </c>
      <c r="B519">
        <v>3000</v>
      </c>
      <c r="C519">
        <v>3010</v>
      </c>
      <c r="D519">
        <v>2548</v>
      </c>
      <c r="E519">
        <v>2551</v>
      </c>
      <c r="F519">
        <v>1.17992943943551</v>
      </c>
      <c r="G519">
        <v>0.98241835492015706</v>
      </c>
      <c r="H519">
        <v>0.105423878248162</v>
      </c>
      <c r="I519">
        <v>1.8734947698511499</v>
      </c>
      <c r="J519">
        <v>16.739999999999998</v>
      </c>
      <c r="K519">
        <v>3010</v>
      </c>
      <c r="L519">
        <v>2101.0536809815949</v>
      </c>
    </row>
    <row r="520" spans="1:12">
      <c r="A520" s="14">
        <v>43095</v>
      </c>
      <c r="B520">
        <v>3010</v>
      </c>
      <c r="C520">
        <v>2987</v>
      </c>
      <c r="D520">
        <v>2577</v>
      </c>
      <c r="E520">
        <v>2557</v>
      </c>
      <c r="F520">
        <v>1.1681658193195099</v>
      </c>
      <c r="G520">
        <v>0.97762098616614101</v>
      </c>
      <c r="H520">
        <v>0.10450941761018701</v>
      </c>
      <c r="I520">
        <v>1.8232312217458799</v>
      </c>
      <c r="J520">
        <v>16.309999999999999</v>
      </c>
      <c r="K520">
        <v>2987</v>
      </c>
      <c r="L520">
        <v>2105.9953987730059</v>
      </c>
    </row>
    <row r="521" spans="1:12">
      <c r="A521" s="14">
        <v>43094</v>
      </c>
      <c r="B521">
        <v>2961</v>
      </c>
      <c r="C521">
        <v>2988</v>
      </c>
      <c r="D521">
        <v>2553</v>
      </c>
      <c r="E521">
        <v>2576</v>
      </c>
      <c r="F521">
        <v>1.1599378881987501</v>
      </c>
      <c r="G521">
        <v>0.97289913247854998</v>
      </c>
      <c r="H521">
        <v>0.10379145190884601</v>
      </c>
      <c r="I521">
        <v>1.8020631976944601</v>
      </c>
      <c r="J521">
        <v>16.12</v>
      </c>
      <c r="K521">
        <v>2988</v>
      </c>
      <c r="L521">
        <v>2121.6441717791408</v>
      </c>
    </row>
    <row r="522" spans="1:12">
      <c r="A522" s="14">
        <v>43091</v>
      </c>
      <c r="B522">
        <v>2929</v>
      </c>
      <c r="C522">
        <v>2947</v>
      </c>
      <c r="D522">
        <v>2585</v>
      </c>
      <c r="E522">
        <v>2586</v>
      </c>
      <c r="F522">
        <v>1.1395978344934199</v>
      </c>
      <c r="G522">
        <v>0.96855331535389</v>
      </c>
      <c r="H522">
        <v>0.102686739133013</v>
      </c>
      <c r="I522">
        <v>1.6656923823238201</v>
      </c>
      <c r="J522">
        <v>15.01</v>
      </c>
      <c r="K522">
        <v>2947</v>
      </c>
      <c r="L522">
        <v>2129.8803680981596</v>
      </c>
    </row>
    <row r="523" spans="1:12">
      <c r="A523" s="14">
        <v>43090</v>
      </c>
      <c r="B523">
        <v>2884</v>
      </c>
      <c r="C523">
        <v>2926</v>
      </c>
      <c r="D523">
        <v>2585</v>
      </c>
      <c r="E523">
        <v>2585</v>
      </c>
      <c r="F523">
        <v>1.13191489361702</v>
      </c>
      <c r="G523">
        <v>0.96446091398236999</v>
      </c>
      <c r="H523">
        <v>0.101901590612081</v>
      </c>
      <c r="I523">
        <v>1.6432911265547701</v>
      </c>
      <c r="J523">
        <v>14.79</v>
      </c>
      <c r="K523">
        <v>2926</v>
      </c>
      <c r="L523">
        <v>2129.0567484662574</v>
      </c>
    </row>
    <row r="524" spans="1:12">
      <c r="A524" s="14">
        <v>43089</v>
      </c>
      <c r="B524">
        <v>2868</v>
      </c>
      <c r="C524">
        <v>2917</v>
      </c>
      <c r="D524">
        <v>2559</v>
      </c>
      <c r="E524">
        <v>2580</v>
      </c>
      <c r="F524">
        <v>1.13062015503875</v>
      </c>
      <c r="G524">
        <v>0.96040283613571797</v>
      </c>
      <c r="H524">
        <v>0.101210094797881</v>
      </c>
      <c r="I524">
        <v>1.68182155389704</v>
      </c>
      <c r="J524">
        <v>15.06</v>
      </c>
      <c r="K524">
        <v>2917</v>
      </c>
      <c r="L524">
        <v>2124.9386503067485</v>
      </c>
    </row>
    <row r="525" spans="1:12">
      <c r="A525" s="14">
        <v>43088</v>
      </c>
      <c r="B525">
        <v>2850</v>
      </c>
      <c r="C525">
        <v>2868</v>
      </c>
      <c r="D525">
        <v>2523</v>
      </c>
      <c r="E525">
        <v>2563</v>
      </c>
      <c r="F525">
        <v>1.11900117050331</v>
      </c>
      <c r="G525">
        <v>0.95602557515380604</v>
      </c>
      <c r="H525">
        <v>0.10085228131339</v>
      </c>
      <c r="I525">
        <v>1.61598323039491</v>
      </c>
      <c r="J525">
        <v>14.56</v>
      </c>
      <c r="K525">
        <v>2868</v>
      </c>
      <c r="L525">
        <v>2110.937116564417</v>
      </c>
    </row>
    <row r="526" spans="1:12">
      <c r="A526" s="14">
        <v>43087</v>
      </c>
      <c r="B526">
        <v>2911</v>
      </c>
      <c r="C526">
        <v>2837</v>
      </c>
      <c r="D526">
        <v>2446</v>
      </c>
      <c r="E526">
        <v>2526</v>
      </c>
      <c r="F526">
        <v>1.12311955661124</v>
      </c>
      <c r="G526">
        <v>0.95193823619537399</v>
      </c>
      <c r="H526">
        <v>0.100375190102665</v>
      </c>
      <c r="I526">
        <v>1.7054146571556199</v>
      </c>
      <c r="J526">
        <v>15.24</v>
      </c>
      <c r="K526">
        <v>2837</v>
      </c>
      <c r="L526">
        <v>2080.4631901840489</v>
      </c>
    </row>
    <row r="527" spans="1:12">
      <c r="A527" s="14">
        <v>43084</v>
      </c>
      <c r="B527">
        <v>2900</v>
      </c>
      <c r="C527">
        <v>2861</v>
      </c>
      <c r="D527">
        <v>2496</v>
      </c>
      <c r="E527">
        <v>2414</v>
      </c>
      <c r="F527">
        <v>1.18516984258492</v>
      </c>
      <c r="G527">
        <v>0.94800548564463905</v>
      </c>
      <c r="H527">
        <v>9.9364354343209102E-2</v>
      </c>
      <c r="I527">
        <v>2.3868152569190402</v>
      </c>
      <c r="J527">
        <v>20.010000000000002</v>
      </c>
      <c r="K527">
        <v>2861</v>
      </c>
      <c r="L527">
        <v>1988.2177914110428</v>
      </c>
    </row>
    <row r="528" spans="1:12">
      <c r="A528" s="14">
        <v>43083</v>
      </c>
      <c r="B528">
        <v>2700</v>
      </c>
      <c r="C528">
        <v>2724</v>
      </c>
      <c r="D528">
        <v>2493</v>
      </c>
      <c r="E528">
        <v>2522</v>
      </c>
      <c r="F528">
        <v>1.08009516256938</v>
      </c>
      <c r="G528">
        <v>0.94328887301355602</v>
      </c>
      <c r="H528">
        <v>9.6344622473356595E-2</v>
      </c>
      <c r="I528">
        <v>1.4199680900059</v>
      </c>
      <c r="J528">
        <v>12.67</v>
      </c>
      <c r="K528">
        <v>2724</v>
      </c>
      <c r="L528">
        <v>2077.1687116564417</v>
      </c>
    </row>
    <row r="529" spans="1:12">
      <c r="A529" s="14">
        <v>43082</v>
      </c>
      <c r="B529">
        <v>2620</v>
      </c>
      <c r="C529">
        <v>2623</v>
      </c>
      <c r="D529">
        <v>2505</v>
      </c>
      <c r="E529">
        <v>2482</v>
      </c>
      <c r="F529">
        <v>1.0568090249798501</v>
      </c>
      <c r="G529">
        <v>0.93980705088393601</v>
      </c>
      <c r="H529">
        <v>9.6055839291379896E-2</v>
      </c>
      <c r="I529">
        <v>1.21806206638828</v>
      </c>
      <c r="J529">
        <v>11.07</v>
      </c>
      <c r="K529">
        <v>2623</v>
      </c>
      <c r="L529">
        <v>2044.2239263803681</v>
      </c>
    </row>
    <row r="530" spans="1:12">
      <c r="A530" s="14">
        <v>43081</v>
      </c>
      <c r="B530">
        <v>2618</v>
      </c>
      <c r="C530">
        <v>2634</v>
      </c>
      <c r="D530">
        <v>2509</v>
      </c>
      <c r="E530">
        <v>2504</v>
      </c>
      <c r="F530">
        <v>1.0519169329073399</v>
      </c>
      <c r="G530">
        <v>0.936767314935255</v>
      </c>
      <c r="H530">
        <v>9.5912322731280503E-2</v>
      </c>
      <c r="I530">
        <v>1.2005716751820199</v>
      </c>
      <c r="J530">
        <v>10.95</v>
      </c>
      <c r="K530">
        <v>2634</v>
      </c>
      <c r="L530">
        <v>2062.3435582822085</v>
      </c>
    </row>
    <row r="531" spans="1:12">
      <c r="A531" s="14">
        <v>43080</v>
      </c>
      <c r="B531">
        <v>2642</v>
      </c>
      <c r="C531">
        <v>2634</v>
      </c>
      <c r="D531">
        <v>2527</v>
      </c>
      <c r="E531">
        <v>2528</v>
      </c>
      <c r="F531">
        <v>1.04193037974683</v>
      </c>
      <c r="G531">
        <v>0.93392015190183697</v>
      </c>
      <c r="H531">
        <v>9.5620830071592805E-2</v>
      </c>
      <c r="I531">
        <v>1.1295679797396501</v>
      </c>
      <c r="J531">
        <v>10.37</v>
      </c>
      <c r="K531">
        <v>2634</v>
      </c>
      <c r="L531">
        <v>2082.1104294478528</v>
      </c>
    </row>
    <row r="532" spans="1:12">
      <c r="A532" s="14">
        <v>43077</v>
      </c>
      <c r="B532">
        <v>2581</v>
      </c>
      <c r="C532">
        <v>2658</v>
      </c>
      <c r="D532">
        <v>2422</v>
      </c>
      <c r="E532">
        <v>2510</v>
      </c>
      <c r="F532">
        <v>1.05896414342629</v>
      </c>
      <c r="G532">
        <v>0.93141218941085702</v>
      </c>
      <c r="H532">
        <v>9.5220915542655493E-2</v>
      </c>
      <c r="I532">
        <v>1.3395371519852499</v>
      </c>
      <c r="J532">
        <v>12.04</v>
      </c>
      <c r="K532">
        <v>2658</v>
      </c>
      <c r="L532">
        <v>2067.2852760736196</v>
      </c>
    </row>
    <row r="533" spans="1:12">
      <c r="A533" s="14">
        <v>43076</v>
      </c>
      <c r="B533">
        <v>2616</v>
      </c>
      <c r="C533">
        <v>2631</v>
      </c>
      <c r="D533">
        <v>2423</v>
      </c>
      <c r="E533">
        <v>2422</v>
      </c>
      <c r="F533">
        <v>1.0862923203963599</v>
      </c>
      <c r="G533">
        <v>0.92881140517108995</v>
      </c>
      <c r="H533">
        <v>9.4361508859526697E-2</v>
      </c>
      <c r="I533">
        <v>1.6689105243083</v>
      </c>
      <c r="J533">
        <v>14.5</v>
      </c>
      <c r="K533">
        <v>2631</v>
      </c>
      <c r="L533">
        <v>1994.8067484662577</v>
      </c>
    </row>
    <row r="534" spans="1:12">
      <c r="A534" s="14">
        <v>43075</v>
      </c>
      <c r="B534">
        <v>2650</v>
      </c>
      <c r="C534">
        <v>2605</v>
      </c>
      <c r="D534">
        <v>2424</v>
      </c>
      <c r="E534">
        <v>2417</v>
      </c>
      <c r="F534">
        <v>1.0777823748448401</v>
      </c>
      <c r="G534">
        <v>0.92552905795340201</v>
      </c>
      <c r="H534">
        <v>9.3099633229361198E-2</v>
      </c>
      <c r="I534">
        <v>1.6353804156924301</v>
      </c>
      <c r="J534">
        <v>14.13</v>
      </c>
      <c r="K534">
        <v>2605</v>
      </c>
      <c r="L534">
        <v>1990.6886503067483</v>
      </c>
    </row>
    <row r="535" spans="1:12">
      <c r="A535" s="14">
        <v>43074</v>
      </c>
      <c r="B535">
        <v>2657</v>
      </c>
      <c r="C535">
        <v>2662</v>
      </c>
      <c r="D535">
        <v>2451</v>
      </c>
      <c r="E535">
        <v>2437</v>
      </c>
      <c r="F535">
        <v>1.09232663110381</v>
      </c>
      <c r="G535">
        <v>0.922537072404092</v>
      </c>
      <c r="H535">
        <v>9.1754610764325104E-2</v>
      </c>
      <c r="I535">
        <v>1.85047440434174</v>
      </c>
      <c r="J535">
        <v>15.54</v>
      </c>
      <c r="K535">
        <v>2662</v>
      </c>
      <c r="L535">
        <v>2007.1610429447851</v>
      </c>
    </row>
    <row r="536" spans="1:12">
      <c r="A536" s="14">
        <v>43073</v>
      </c>
      <c r="B536">
        <v>2717</v>
      </c>
      <c r="C536">
        <v>2678</v>
      </c>
      <c r="D536">
        <v>2490</v>
      </c>
      <c r="E536">
        <v>2464</v>
      </c>
      <c r="F536">
        <v>1.08685064935064</v>
      </c>
      <c r="G536">
        <v>0.91921034108508504</v>
      </c>
      <c r="H536">
        <v>9.0045480537755199E-2</v>
      </c>
      <c r="I536">
        <v>1.86172928684937</v>
      </c>
      <c r="J536">
        <v>15.42</v>
      </c>
      <c r="K536">
        <v>2678</v>
      </c>
      <c r="L536">
        <v>2029.3987730061349</v>
      </c>
    </row>
    <row r="537" spans="1:12">
      <c r="A537" s="14">
        <v>43070</v>
      </c>
      <c r="B537">
        <v>2698</v>
      </c>
      <c r="C537">
        <v>2671</v>
      </c>
      <c r="D537">
        <v>2490</v>
      </c>
      <c r="E537">
        <v>2480</v>
      </c>
      <c r="F537">
        <v>1.07701612903225</v>
      </c>
      <c r="G537">
        <v>0.91617785543962804</v>
      </c>
      <c r="H537">
        <v>8.8158701377103701E-2</v>
      </c>
      <c r="I537">
        <v>1.8244174548878</v>
      </c>
      <c r="J537">
        <v>14.93</v>
      </c>
      <c r="K537">
        <v>2671</v>
      </c>
      <c r="L537">
        <v>2042.5766871165642</v>
      </c>
    </row>
    <row r="538" spans="1:12">
      <c r="A538" s="14">
        <v>43069</v>
      </c>
      <c r="B538">
        <v>2662</v>
      </c>
      <c r="C538">
        <v>2698</v>
      </c>
      <c r="D538">
        <v>2478</v>
      </c>
      <c r="E538">
        <v>2479</v>
      </c>
      <c r="F538">
        <v>1.0883420734167</v>
      </c>
      <c r="G538">
        <v>0.91377622537292202</v>
      </c>
      <c r="H538">
        <v>8.6175563574273806E-2</v>
      </c>
      <c r="I538">
        <v>2.0257001034094801</v>
      </c>
      <c r="J538">
        <v>16.04</v>
      </c>
      <c r="K538">
        <v>2698</v>
      </c>
      <c r="L538">
        <v>2041.7530674846626</v>
      </c>
    </row>
    <row r="539" spans="1:12">
      <c r="A539" s="14">
        <v>43068</v>
      </c>
      <c r="B539">
        <v>2631</v>
      </c>
      <c r="C539">
        <v>2658</v>
      </c>
      <c r="D539">
        <v>2433</v>
      </c>
      <c r="E539">
        <v>2461</v>
      </c>
      <c r="F539">
        <v>1.08004876066639</v>
      </c>
      <c r="G539">
        <v>0.91154292208972398</v>
      </c>
      <c r="H539">
        <v>8.3759157214323907E-2</v>
      </c>
      <c r="I539">
        <v>2.0117900439888201</v>
      </c>
      <c r="J539">
        <v>15.6</v>
      </c>
      <c r="K539">
        <v>2658</v>
      </c>
      <c r="L539">
        <v>2026.9279141104294</v>
      </c>
    </row>
    <row r="540" spans="1:12">
      <c r="A540" s="14">
        <v>43067</v>
      </c>
      <c r="B540">
        <v>2621</v>
      </c>
      <c r="C540">
        <v>2609</v>
      </c>
      <c r="D540">
        <v>2430</v>
      </c>
      <c r="E540">
        <v>2408</v>
      </c>
      <c r="F540">
        <v>1.0834717607973401</v>
      </c>
      <c r="G540">
        <v>0.909077003882237</v>
      </c>
      <c r="H540">
        <v>8.1452617387477694E-2</v>
      </c>
      <c r="I540">
        <v>2.1410577401766302</v>
      </c>
      <c r="J540">
        <v>16.100000000000001</v>
      </c>
      <c r="K540">
        <v>2609</v>
      </c>
      <c r="L540">
        <v>1983.2760736196319</v>
      </c>
    </row>
    <row r="541" spans="1:12">
      <c r="A541" s="14">
        <v>43066</v>
      </c>
      <c r="B541">
        <v>2668</v>
      </c>
      <c r="C541">
        <v>2629</v>
      </c>
      <c r="D541">
        <v>2494</v>
      </c>
      <c r="E541">
        <v>2449</v>
      </c>
      <c r="F541">
        <v>1.0734993875051</v>
      </c>
      <c r="G541">
        <v>0.90637811858256301</v>
      </c>
      <c r="H541">
        <v>7.8944288238054106E-2</v>
      </c>
      <c r="I541">
        <v>2.11695200061328</v>
      </c>
      <c r="J541">
        <v>15.57</v>
      </c>
      <c r="K541">
        <v>2629</v>
      </c>
      <c r="L541">
        <v>2017.0444785276072</v>
      </c>
    </row>
    <row r="542" spans="1:12">
      <c r="A542" s="14">
        <v>43063</v>
      </c>
      <c r="B542">
        <v>2635</v>
      </c>
      <c r="C542">
        <v>2665</v>
      </c>
      <c r="D542">
        <v>2476</v>
      </c>
      <c r="E542">
        <v>2494</v>
      </c>
      <c r="F542">
        <v>1.0685645549318299</v>
      </c>
      <c r="G542">
        <v>0.90357380242483698</v>
      </c>
      <c r="H542">
        <v>7.6660478020022599E-2</v>
      </c>
      <c r="I542">
        <v>2.1522270245158799</v>
      </c>
      <c r="J542">
        <v>15.44</v>
      </c>
      <c r="K542">
        <v>2665</v>
      </c>
      <c r="L542">
        <v>2054.1073619631902</v>
      </c>
    </row>
    <row r="543" spans="1:12">
      <c r="A543" s="14">
        <v>43061</v>
      </c>
      <c r="B543">
        <v>2669</v>
      </c>
      <c r="C543">
        <v>2649</v>
      </c>
      <c r="D543">
        <v>2517</v>
      </c>
      <c r="E543">
        <v>2475</v>
      </c>
      <c r="F543">
        <v>1.0703030303030301</v>
      </c>
      <c r="G543">
        <v>0.90062708803387603</v>
      </c>
      <c r="H543">
        <v>7.4478311894289106E-2</v>
      </c>
      <c r="I543">
        <v>2.2781926436515199</v>
      </c>
      <c r="J543">
        <v>15.85</v>
      </c>
      <c r="K543">
        <v>2649</v>
      </c>
      <c r="L543">
        <v>2038.4585889570551</v>
      </c>
    </row>
    <row r="544" spans="1:12">
      <c r="A544" s="14">
        <v>43060</v>
      </c>
      <c r="B544">
        <v>2581</v>
      </c>
      <c r="C544">
        <v>2599</v>
      </c>
      <c r="D544">
        <v>2480</v>
      </c>
      <c r="E544">
        <v>2496</v>
      </c>
      <c r="F544">
        <v>1.04126602564102</v>
      </c>
      <c r="G544">
        <v>0.89739574658197396</v>
      </c>
      <c r="H544">
        <v>7.2271246925475596E-2</v>
      </c>
      <c r="I544">
        <v>1.9906987243129599</v>
      </c>
      <c r="J544">
        <v>13.82</v>
      </c>
      <c r="K544">
        <v>2599</v>
      </c>
      <c r="L544">
        <v>2055.7546012269936</v>
      </c>
    </row>
    <row r="545" spans="1:12">
      <c r="A545" s="14">
        <v>43059</v>
      </c>
      <c r="B545">
        <v>2529</v>
      </c>
      <c r="C545">
        <v>2580</v>
      </c>
      <c r="D545">
        <v>2479</v>
      </c>
      <c r="E545">
        <v>2443</v>
      </c>
      <c r="F545">
        <v>1.05607859189521</v>
      </c>
      <c r="G545">
        <v>0.89469425306781802</v>
      </c>
      <c r="H545">
        <v>7.0610628477356704E-2</v>
      </c>
      <c r="I545">
        <v>2.2855530719308699</v>
      </c>
      <c r="J545">
        <v>15.28</v>
      </c>
      <c r="K545">
        <v>2580</v>
      </c>
      <c r="L545">
        <v>2012.1027607361962</v>
      </c>
    </row>
    <row r="546" spans="1:12">
      <c r="A546" s="14">
        <v>43056</v>
      </c>
      <c r="B546">
        <v>2521</v>
      </c>
      <c r="C546">
        <v>2529</v>
      </c>
      <c r="D546">
        <v>2510</v>
      </c>
      <c r="E546">
        <v>2501</v>
      </c>
      <c r="F546">
        <v>1.01119552179128</v>
      </c>
      <c r="G546">
        <v>0.89146276769352295</v>
      </c>
      <c r="H546">
        <v>6.8670105755287203E-2</v>
      </c>
      <c r="I546">
        <v>1.7435935591018299</v>
      </c>
      <c r="J546">
        <v>11.84</v>
      </c>
      <c r="K546">
        <v>2529</v>
      </c>
      <c r="L546">
        <v>2059.872699386503</v>
      </c>
    </row>
    <row r="547" spans="1:12">
      <c r="A547" s="14">
        <v>43055</v>
      </c>
      <c r="B547">
        <v>2452</v>
      </c>
      <c r="C547">
        <v>2497</v>
      </c>
      <c r="D547">
        <v>2424</v>
      </c>
      <c r="E547">
        <v>2477</v>
      </c>
      <c r="F547">
        <v>1.00807428340734</v>
      </c>
      <c r="G547">
        <v>0.88753149153478506</v>
      </c>
      <c r="H547">
        <v>7.0127336800398801E-2</v>
      </c>
      <c r="I547">
        <v>1.71891301413112</v>
      </c>
      <c r="J547">
        <v>11.96</v>
      </c>
      <c r="K547">
        <v>2497</v>
      </c>
      <c r="L547">
        <v>2040.1058282208587</v>
      </c>
    </row>
    <row r="548" spans="1:12">
      <c r="A548" s="14">
        <v>43054</v>
      </c>
      <c r="B548">
        <v>2527</v>
      </c>
      <c r="C548">
        <v>2465</v>
      </c>
      <c r="D548">
        <v>2493</v>
      </c>
      <c r="E548">
        <v>2456</v>
      </c>
      <c r="F548">
        <v>1.0036644951139999</v>
      </c>
      <c r="G548">
        <v>0.883955084422687</v>
      </c>
      <c r="H548">
        <v>7.0725766661907705E-2</v>
      </c>
      <c r="I548">
        <v>1.69258555037755</v>
      </c>
      <c r="J548">
        <v>11.93</v>
      </c>
      <c r="K548">
        <v>2465</v>
      </c>
      <c r="L548">
        <v>2022.8098159509202</v>
      </c>
    </row>
    <row r="549" spans="1:12">
      <c r="A549" s="14">
        <v>43053</v>
      </c>
      <c r="B549">
        <v>2515</v>
      </c>
      <c r="C549">
        <v>2526</v>
      </c>
      <c r="D549">
        <v>2566</v>
      </c>
      <c r="E549">
        <v>2561</v>
      </c>
      <c r="F549">
        <v>0.98633346349082296</v>
      </c>
      <c r="G549">
        <v>0.88022174611633197</v>
      </c>
      <c r="H549">
        <v>7.1691707443064606E-2</v>
      </c>
      <c r="I549">
        <v>1.4801114544351099</v>
      </c>
      <c r="J549">
        <v>10.76</v>
      </c>
      <c r="K549">
        <v>2526</v>
      </c>
      <c r="L549">
        <v>2109.2898773006136</v>
      </c>
    </row>
    <row r="550" spans="1:12">
      <c r="A550" s="14">
        <v>43052</v>
      </c>
      <c r="B550">
        <v>2426</v>
      </c>
      <c r="C550">
        <v>2502</v>
      </c>
      <c r="D550">
        <v>2610</v>
      </c>
      <c r="E550">
        <v>2561</v>
      </c>
      <c r="F550">
        <v>0.97696212417024597</v>
      </c>
      <c r="G550">
        <v>0.87657699459294303</v>
      </c>
      <c r="H550">
        <v>7.3138437502984793E-2</v>
      </c>
      <c r="I550">
        <v>1.37253587859606</v>
      </c>
      <c r="J550">
        <v>10.28</v>
      </c>
      <c r="K550">
        <v>2502</v>
      </c>
      <c r="L550">
        <v>2109.2898773006136</v>
      </c>
    </row>
    <row r="551" spans="1:12">
      <c r="A551" s="14">
        <v>43049</v>
      </c>
      <c r="B551">
        <v>2381</v>
      </c>
      <c r="C551">
        <v>2393</v>
      </c>
      <c r="D551">
        <v>2615</v>
      </c>
      <c r="E551">
        <v>2631</v>
      </c>
      <c r="F551">
        <v>0.90954009882174003</v>
      </c>
      <c r="G551">
        <v>0.87295577494440002</v>
      </c>
      <c r="H551">
        <v>7.4783534164051896E-2</v>
      </c>
      <c r="I551">
        <v>0.48920292797457199</v>
      </c>
      <c r="J551">
        <v>4.0199999999999996</v>
      </c>
      <c r="K551">
        <v>2393</v>
      </c>
      <c r="L551">
        <v>2166.9432515337421</v>
      </c>
    </row>
    <row r="552" spans="1:12">
      <c r="A552" s="14">
        <v>43048</v>
      </c>
      <c r="B552">
        <v>2426</v>
      </c>
      <c r="C552">
        <v>2413</v>
      </c>
      <c r="D552">
        <v>2640</v>
      </c>
      <c r="E552">
        <v>2651</v>
      </c>
      <c r="F552">
        <v>0.91022255752546199</v>
      </c>
      <c r="G552">
        <v>0.87030357990660601</v>
      </c>
      <c r="H552">
        <v>7.6935334586507101E-2</v>
      </c>
      <c r="I552">
        <v>0.51886402825700795</v>
      </c>
      <c r="J552">
        <v>4.3899999999999997</v>
      </c>
      <c r="K552">
        <v>2413</v>
      </c>
      <c r="L552">
        <v>2183.4156441717791</v>
      </c>
    </row>
    <row r="553" spans="1:12">
      <c r="A553" s="14">
        <v>43047</v>
      </c>
      <c r="B553">
        <v>2452</v>
      </c>
      <c r="C553">
        <v>2416</v>
      </c>
      <c r="D553">
        <v>2563</v>
      </c>
      <c r="E553">
        <v>2622</v>
      </c>
      <c r="F553">
        <v>0.92143401983218898</v>
      </c>
      <c r="G553">
        <v>0.86771682868914901</v>
      </c>
      <c r="H553">
        <v>7.8788829396954294E-2</v>
      </c>
      <c r="I553">
        <v>0.68178689230679301</v>
      </c>
      <c r="J553">
        <v>5.83</v>
      </c>
      <c r="K553">
        <v>2416</v>
      </c>
      <c r="L553">
        <v>2159.5306748466255</v>
      </c>
    </row>
    <row r="554" spans="1:12">
      <c r="A554" s="14">
        <v>43046</v>
      </c>
      <c r="B554">
        <v>2505</v>
      </c>
      <c r="C554">
        <v>2452</v>
      </c>
      <c r="D554">
        <v>2489</v>
      </c>
      <c r="E554">
        <v>2565</v>
      </c>
      <c r="F554">
        <v>0.95594541910331299</v>
      </c>
      <c r="G554">
        <v>0.86512801145502305</v>
      </c>
      <c r="H554">
        <v>8.0159202734613702E-2</v>
      </c>
      <c r="I554">
        <v>1.1329629605843601</v>
      </c>
      <c r="J554">
        <v>9.5</v>
      </c>
      <c r="K554">
        <v>2452</v>
      </c>
      <c r="L554">
        <v>2112.5843558282209</v>
      </c>
    </row>
    <row r="555" spans="1:12">
      <c r="A555" s="14">
        <v>43045</v>
      </c>
      <c r="B555">
        <v>2512</v>
      </c>
      <c r="C555">
        <v>2504</v>
      </c>
      <c r="D555">
        <v>2565</v>
      </c>
      <c r="E555">
        <v>2523</v>
      </c>
      <c r="F555">
        <v>0.99246928260007905</v>
      </c>
      <c r="G555">
        <v>0.86232759782547397</v>
      </c>
      <c r="H555">
        <v>8.06050655445264E-2</v>
      </c>
      <c r="I555">
        <v>1.61455962966389</v>
      </c>
      <c r="J555">
        <v>13.11</v>
      </c>
      <c r="K555">
        <v>2504</v>
      </c>
      <c r="L555">
        <v>2077.9923312883434</v>
      </c>
    </row>
    <row r="556" spans="1:12">
      <c r="A556" s="14">
        <v>43041</v>
      </c>
      <c r="B556">
        <v>2518</v>
      </c>
      <c r="C556">
        <v>2493</v>
      </c>
      <c r="D556">
        <v>2489</v>
      </c>
      <c r="E556">
        <v>2586</v>
      </c>
      <c r="F556">
        <v>0.96403712296983701</v>
      </c>
      <c r="G556">
        <v>0.85901362830583905</v>
      </c>
      <c r="H556">
        <v>8.0295096939891605E-2</v>
      </c>
      <c r="I556">
        <v>1.30796896281995</v>
      </c>
      <c r="J556">
        <v>10.89</v>
      </c>
      <c r="K556">
        <v>2493</v>
      </c>
      <c r="L556">
        <v>2129.8803680981596</v>
      </c>
    </row>
    <row r="557" spans="1:12">
      <c r="A557" s="14">
        <v>43040</v>
      </c>
      <c r="B557">
        <v>2497</v>
      </c>
      <c r="C557">
        <v>2508</v>
      </c>
      <c r="D557">
        <v>2439</v>
      </c>
      <c r="E557">
        <v>2464</v>
      </c>
      <c r="F557">
        <v>1.0178571428571399</v>
      </c>
      <c r="G557">
        <v>0.85600354999957495</v>
      </c>
      <c r="H557">
        <v>8.0532769671995505E-2</v>
      </c>
      <c r="I557">
        <v>2.0097855011914501</v>
      </c>
      <c r="J557">
        <v>15.9</v>
      </c>
      <c r="K557">
        <v>2508</v>
      </c>
      <c r="L557">
        <v>2029.3987730061349</v>
      </c>
    </row>
    <row r="558" spans="1:12">
      <c r="A558" s="14">
        <v>43039</v>
      </c>
      <c r="B558">
        <v>2440</v>
      </c>
      <c r="C558">
        <v>2461</v>
      </c>
      <c r="D558">
        <v>2546</v>
      </c>
      <c r="E558">
        <v>2438</v>
      </c>
      <c r="F558">
        <v>1.0094339622641499</v>
      </c>
      <c r="G558">
        <v>0.852456063966055</v>
      </c>
      <c r="H558">
        <v>7.9173511356144297E-2</v>
      </c>
      <c r="I558">
        <v>1.98270729198766</v>
      </c>
      <c r="J558">
        <v>15.55</v>
      </c>
      <c r="K558">
        <v>2461</v>
      </c>
      <c r="L558">
        <v>2007.984662576687</v>
      </c>
    </row>
    <row r="559" spans="1:12">
      <c r="A559" s="14">
        <v>43038</v>
      </c>
      <c r="B559">
        <v>2396</v>
      </c>
      <c r="C559">
        <v>2429</v>
      </c>
      <c r="D559">
        <v>2496</v>
      </c>
      <c r="E559">
        <v>2564</v>
      </c>
      <c r="F559">
        <v>0.94734789391575602</v>
      </c>
      <c r="G559">
        <v>0.84924708041264696</v>
      </c>
      <c r="H559">
        <v>7.7607902276085106E-2</v>
      </c>
      <c r="I559">
        <v>1.2640570177263799</v>
      </c>
      <c r="J559">
        <v>10.36</v>
      </c>
      <c r="K559">
        <v>2429</v>
      </c>
      <c r="L559">
        <v>2111.7607361963187</v>
      </c>
    </row>
    <row r="560" spans="1:12">
      <c r="A560" s="14">
        <v>43035</v>
      </c>
      <c r="B560">
        <v>2410</v>
      </c>
      <c r="C560">
        <v>2402</v>
      </c>
      <c r="D560">
        <v>2487</v>
      </c>
      <c r="E560">
        <v>2495</v>
      </c>
      <c r="F560">
        <v>0.96272545090180295</v>
      </c>
      <c r="G560">
        <v>0.846877160231846</v>
      </c>
      <c r="H560">
        <v>7.7289241835041503E-2</v>
      </c>
      <c r="I560">
        <v>1.4988928331993701</v>
      </c>
      <c r="J560">
        <v>12.03</v>
      </c>
      <c r="K560">
        <v>2402</v>
      </c>
      <c r="L560">
        <v>2054.9309815950919</v>
      </c>
    </row>
    <row r="561" spans="1:12">
      <c r="A561" s="14">
        <v>43034</v>
      </c>
      <c r="B561">
        <v>2415</v>
      </c>
      <c r="C561">
        <v>2403</v>
      </c>
      <c r="D561">
        <v>2490</v>
      </c>
      <c r="E561">
        <v>2482</v>
      </c>
      <c r="F561">
        <v>0.96817082997582504</v>
      </c>
      <c r="G561">
        <v>0.84419121738635206</v>
      </c>
      <c r="H561">
        <v>7.6714799824971494E-2</v>
      </c>
      <c r="I561">
        <v>1.61611074880386</v>
      </c>
      <c r="J561">
        <v>12.81</v>
      </c>
      <c r="K561">
        <v>2403</v>
      </c>
      <c r="L561">
        <v>2044.2239263803681</v>
      </c>
    </row>
    <row r="562" spans="1:12">
      <c r="A562" s="14">
        <v>43033</v>
      </c>
      <c r="B562">
        <v>2417</v>
      </c>
      <c r="C562">
        <v>2411</v>
      </c>
      <c r="D562">
        <v>2587</v>
      </c>
      <c r="E562">
        <v>2621</v>
      </c>
      <c r="F562">
        <v>0.91987790919496304</v>
      </c>
      <c r="G562">
        <v>0.84191045634830497</v>
      </c>
      <c r="H562">
        <v>7.5528558968848802E-2</v>
      </c>
      <c r="I562">
        <v>1.0322910156251699</v>
      </c>
      <c r="J562">
        <v>8.48</v>
      </c>
      <c r="K562">
        <v>2411</v>
      </c>
      <c r="L562">
        <v>2158.7070552147238</v>
      </c>
    </row>
    <row r="563" spans="1:12">
      <c r="A563" s="14">
        <v>43032</v>
      </c>
      <c r="B563">
        <v>2377</v>
      </c>
      <c r="C563">
        <v>2397</v>
      </c>
      <c r="D563">
        <v>2570</v>
      </c>
      <c r="E563">
        <v>2577</v>
      </c>
      <c r="F563">
        <v>0.93015133876600697</v>
      </c>
      <c r="G563">
        <v>0.84050728970515698</v>
      </c>
      <c r="H563">
        <v>7.5043037200291596E-2</v>
      </c>
      <c r="I563">
        <v>1.19456850902219</v>
      </c>
      <c r="J563">
        <v>9.64</v>
      </c>
      <c r="K563">
        <v>2397</v>
      </c>
      <c r="L563">
        <v>2122.467791411043</v>
      </c>
    </row>
    <row r="564" spans="1:12">
      <c r="A564" s="14">
        <v>43031</v>
      </c>
      <c r="B564">
        <v>2385</v>
      </c>
      <c r="C564">
        <v>2357</v>
      </c>
      <c r="D564">
        <v>2541</v>
      </c>
      <c r="E564">
        <v>2567</v>
      </c>
      <c r="F564">
        <v>0.91819244253992904</v>
      </c>
      <c r="G564">
        <v>0.83877193852161003</v>
      </c>
      <c r="H564">
        <v>7.4452511408350505E-2</v>
      </c>
      <c r="I564">
        <v>1.0667269984046699</v>
      </c>
      <c r="J564">
        <v>8.65</v>
      </c>
      <c r="K564">
        <v>2357</v>
      </c>
      <c r="L564">
        <v>2114.2315950920242</v>
      </c>
    </row>
    <row r="565" spans="1:12">
      <c r="A565" s="14">
        <v>43028</v>
      </c>
      <c r="B565">
        <v>2358</v>
      </c>
      <c r="C565">
        <v>2369</v>
      </c>
      <c r="D565">
        <v>2455</v>
      </c>
      <c r="E565">
        <v>2512</v>
      </c>
      <c r="F565">
        <v>0.94307324840764295</v>
      </c>
      <c r="G565">
        <v>0.83731183177842905</v>
      </c>
      <c r="H565">
        <v>7.3952776107407206E-2</v>
      </c>
      <c r="I565">
        <v>1.43012097984811</v>
      </c>
      <c r="J565">
        <v>11.21</v>
      </c>
      <c r="K565">
        <v>2369</v>
      </c>
      <c r="L565">
        <v>2068.9325153374234</v>
      </c>
    </row>
    <row r="566" spans="1:12">
      <c r="A566" s="14">
        <v>43027</v>
      </c>
      <c r="B566">
        <v>2366</v>
      </c>
      <c r="C566">
        <v>2358</v>
      </c>
      <c r="D566">
        <v>2445</v>
      </c>
      <c r="E566">
        <v>2463</v>
      </c>
      <c r="F566">
        <v>0.95736906211936601</v>
      </c>
      <c r="G566">
        <v>0.83548141731357395</v>
      </c>
      <c r="H566">
        <v>7.3005270403732794E-2</v>
      </c>
      <c r="I566">
        <v>1.6695732257648099</v>
      </c>
      <c r="J566">
        <v>12.73</v>
      </c>
      <c r="K566">
        <v>2358</v>
      </c>
      <c r="L566">
        <v>2028.575153374233</v>
      </c>
    </row>
    <row r="567" spans="1:12">
      <c r="A567" s="14">
        <v>43026</v>
      </c>
      <c r="B567">
        <v>2416</v>
      </c>
      <c r="C567">
        <v>2385</v>
      </c>
      <c r="D567">
        <v>2411</v>
      </c>
      <c r="E567">
        <v>2430</v>
      </c>
      <c r="F567">
        <v>0.98148148148148096</v>
      </c>
      <c r="G567">
        <v>0.83365770702687303</v>
      </c>
      <c r="H567">
        <v>7.1633176845234001E-2</v>
      </c>
      <c r="I567">
        <v>2.0636216480247098</v>
      </c>
      <c r="J567">
        <v>15.06</v>
      </c>
      <c r="K567">
        <v>2385</v>
      </c>
      <c r="L567">
        <v>2001.3957055214723</v>
      </c>
    </row>
    <row r="568" spans="1:12">
      <c r="A568" s="14">
        <v>43025</v>
      </c>
      <c r="B568">
        <v>2450</v>
      </c>
      <c r="C568">
        <v>2440</v>
      </c>
      <c r="D568">
        <v>2370</v>
      </c>
      <c r="E568">
        <v>2405</v>
      </c>
      <c r="F568">
        <v>1.0145530145530099</v>
      </c>
      <c r="G568">
        <v>0.83164385159873599</v>
      </c>
      <c r="H568">
        <v>6.9541613559628193E-2</v>
      </c>
      <c r="I568">
        <v>2.63021166164692</v>
      </c>
      <c r="J568">
        <v>18.03</v>
      </c>
      <c r="K568">
        <v>2440</v>
      </c>
      <c r="L568">
        <v>1980.8052147239264</v>
      </c>
    </row>
    <row r="569" spans="1:12">
      <c r="A569" s="14">
        <v>43024</v>
      </c>
      <c r="B569">
        <v>2433</v>
      </c>
      <c r="C569">
        <v>2440</v>
      </c>
      <c r="D569">
        <v>2381</v>
      </c>
      <c r="E569">
        <v>2368</v>
      </c>
      <c r="F569">
        <v>1.0304054054053999</v>
      </c>
      <c r="G569">
        <v>0.82915056241567198</v>
      </c>
      <c r="H569">
        <v>6.6211520688250994E-2</v>
      </c>
      <c r="I569">
        <v>3.0395743957810102</v>
      </c>
      <c r="J569">
        <v>19.53</v>
      </c>
      <c r="K569">
        <v>2440</v>
      </c>
      <c r="L569">
        <v>1950.3312883435583</v>
      </c>
    </row>
    <row r="570" spans="1:12">
      <c r="A570" s="14">
        <v>43021</v>
      </c>
      <c r="B570">
        <v>2385</v>
      </c>
      <c r="C570">
        <v>2435</v>
      </c>
      <c r="D570">
        <v>2416</v>
      </c>
      <c r="E570">
        <v>2412</v>
      </c>
      <c r="F570">
        <v>1.0095356550580401</v>
      </c>
      <c r="G570">
        <v>0.82663897772393102</v>
      </c>
      <c r="H570">
        <v>6.19663180557588E-2</v>
      </c>
      <c r="I570">
        <v>2.9515498592241101</v>
      </c>
      <c r="J570">
        <v>18.12</v>
      </c>
      <c r="K570">
        <v>2435</v>
      </c>
      <c r="L570">
        <v>1986.5705521472391</v>
      </c>
    </row>
    <row r="571" spans="1:12">
      <c r="A571" s="14">
        <v>43020</v>
      </c>
      <c r="B571">
        <v>2373</v>
      </c>
      <c r="C571">
        <v>2378</v>
      </c>
      <c r="D571">
        <v>2456</v>
      </c>
      <c r="E571">
        <v>2437</v>
      </c>
      <c r="F571">
        <v>0.97578990562166601</v>
      </c>
      <c r="G571">
        <v>0.82463738826480204</v>
      </c>
      <c r="H571">
        <v>5.8344897954477698E-2</v>
      </c>
      <c r="I571">
        <v>2.5906724093475502</v>
      </c>
      <c r="J571">
        <v>15.49</v>
      </c>
      <c r="K571">
        <v>2378</v>
      </c>
      <c r="L571">
        <v>2007.1610429447851</v>
      </c>
    </row>
    <row r="572" spans="1:12">
      <c r="A572" s="14">
        <v>43019</v>
      </c>
      <c r="B572">
        <v>2320</v>
      </c>
      <c r="C572">
        <v>2351</v>
      </c>
      <c r="D572">
        <v>2522</v>
      </c>
      <c r="E572">
        <v>2435</v>
      </c>
      <c r="F572">
        <v>0.96550308008213503</v>
      </c>
      <c r="G572">
        <v>0.82309257723003504</v>
      </c>
      <c r="H572">
        <v>5.5800713325900003E-2</v>
      </c>
      <c r="I572">
        <v>2.55212692390438</v>
      </c>
      <c r="J572">
        <v>14.75</v>
      </c>
      <c r="K572">
        <v>2351</v>
      </c>
      <c r="L572">
        <v>2005.5138036809815</v>
      </c>
    </row>
    <row r="573" spans="1:12">
      <c r="A573" s="14">
        <v>43018</v>
      </c>
      <c r="B573">
        <v>2219</v>
      </c>
      <c r="C573">
        <v>2314</v>
      </c>
      <c r="D573">
        <v>2470</v>
      </c>
      <c r="E573">
        <v>2542</v>
      </c>
      <c r="F573">
        <v>0.910306845003933</v>
      </c>
      <c r="G573">
        <v>0.82172305125996403</v>
      </c>
      <c r="H573">
        <v>5.35018162856679E-2</v>
      </c>
      <c r="I573">
        <v>1.65571563535309</v>
      </c>
      <c r="J573">
        <v>9.73</v>
      </c>
      <c r="K573">
        <v>2314</v>
      </c>
      <c r="L573">
        <v>2093.6411042944783</v>
      </c>
    </row>
    <row r="574" spans="1:12">
      <c r="A574" s="14">
        <v>43014</v>
      </c>
      <c r="B574">
        <v>2216</v>
      </c>
      <c r="C574">
        <v>2206</v>
      </c>
      <c r="D574">
        <v>2490</v>
      </c>
      <c r="E574">
        <v>2472</v>
      </c>
      <c r="F574">
        <v>0.89239482200647202</v>
      </c>
      <c r="G574">
        <v>0.82114356529559895</v>
      </c>
      <c r="H574">
        <v>5.2769571822309798E-2</v>
      </c>
      <c r="I574">
        <v>1.3502337474102799</v>
      </c>
      <c r="J574">
        <v>7.98</v>
      </c>
      <c r="K574">
        <v>2206</v>
      </c>
      <c r="L574">
        <v>2035.9877300613496</v>
      </c>
    </row>
    <row r="575" spans="1:12">
      <c r="A575" s="14">
        <v>43013</v>
      </c>
      <c r="B575">
        <v>2218</v>
      </c>
      <c r="C575">
        <v>2224</v>
      </c>
      <c r="D575">
        <v>2448</v>
      </c>
      <c r="E575">
        <v>2441</v>
      </c>
      <c r="F575">
        <v>0.91110200737402702</v>
      </c>
      <c r="G575">
        <v>0.82080849532205902</v>
      </c>
      <c r="H575">
        <v>5.2394537086978998E-2</v>
      </c>
      <c r="I575">
        <v>1.7233382919687299</v>
      </c>
      <c r="J575">
        <v>9.91</v>
      </c>
      <c r="K575">
        <v>2224</v>
      </c>
      <c r="L575">
        <v>2010.4555214723925</v>
      </c>
    </row>
    <row r="576" spans="1:12">
      <c r="A576" s="14">
        <v>43012</v>
      </c>
      <c r="B576">
        <v>2214</v>
      </c>
      <c r="C576">
        <v>2220</v>
      </c>
      <c r="D576">
        <v>2469</v>
      </c>
      <c r="E576">
        <v>2474</v>
      </c>
      <c r="F576">
        <v>0.89733225545674999</v>
      </c>
      <c r="G576">
        <v>0.82045722399019105</v>
      </c>
      <c r="H576">
        <v>5.1873725976447703E-2</v>
      </c>
      <c r="I576">
        <v>1.4819647137254399</v>
      </c>
      <c r="J576">
        <v>8.57</v>
      </c>
      <c r="K576">
        <v>2220</v>
      </c>
      <c r="L576">
        <v>2037.6349693251532</v>
      </c>
    </row>
    <row r="577" spans="1:12">
      <c r="A577" s="14">
        <v>43011</v>
      </c>
      <c r="B577">
        <v>2205</v>
      </c>
      <c r="C577">
        <v>2227</v>
      </c>
      <c r="D577">
        <v>2486</v>
      </c>
      <c r="E577">
        <v>2486</v>
      </c>
      <c r="F577">
        <v>0.89581657280772298</v>
      </c>
      <c r="G577">
        <v>0.82022096119910803</v>
      </c>
      <c r="H577">
        <v>5.1562473908444803E-2</v>
      </c>
      <c r="I577">
        <v>1.46609745185702</v>
      </c>
      <c r="J577">
        <v>8.44</v>
      </c>
      <c r="K577">
        <v>2227</v>
      </c>
      <c r="L577">
        <v>2047.5184049079753</v>
      </c>
    </row>
    <row r="578" spans="1:12">
      <c r="A578" s="14">
        <v>43010</v>
      </c>
      <c r="B578">
        <v>2234</v>
      </c>
      <c r="C578">
        <v>2209</v>
      </c>
      <c r="D578">
        <v>2535</v>
      </c>
      <c r="E578">
        <v>2466</v>
      </c>
      <c r="F578">
        <v>0.89578264395782603</v>
      </c>
      <c r="G578">
        <v>0.82030695741436199</v>
      </c>
      <c r="H578">
        <v>5.1693692500771403E-2</v>
      </c>
      <c r="I578">
        <v>1.4600560124881199</v>
      </c>
      <c r="J578">
        <v>8.43</v>
      </c>
      <c r="K578">
        <v>2209</v>
      </c>
      <c r="L578">
        <v>2031.0460122699385</v>
      </c>
    </row>
    <row r="579" spans="1:12">
      <c r="A579" s="14">
        <v>43007</v>
      </c>
      <c r="B579">
        <v>2220</v>
      </c>
      <c r="C579">
        <v>2235</v>
      </c>
      <c r="D579">
        <v>2571</v>
      </c>
      <c r="E579">
        <v>2536</v>
      </c>
      <c r="F579">
        <v>0.88130914826498397</v>
      </c>
      <c r="G579">
        <v>0.82022329405883698</v>
      </c>
      <c r="H579">
        <v>5.1576416249996898E-2</v>
      </c>
      <c r="I579">
        <v>1.1843757020661601</v>
      </c>
      <c r="J579">
        <v>6.93</v>
      </c>
      <c r="K579">
        <v>2235</v>
      </c>
      <c r="L579">
        <v>2088.6993865030672</v>
      </c>
    </row>
    <row r="580" spans="1:12">
      <c r="A580" s="14">
        <v>43006</v>
      </c>
      <c r="B580">
        <v>2209</v>
      </c>
      <c r="C580">
        <v>2211</v>
      </c>
      <c r="D580">
        <v>2585</v>
      </c>
      <c r="E580">
        <v>2570</v>
      </c>
      <c r="F580">
        <v>0.86031128404669199</v>
      </c>
      <c r="G580">
        <v>0.820563641495204</v>
      </c>
      <c r="H580">
        <v>5.2060344148673499E-2</v>
      </c>
      <c r="I580">
        <v>0.76349173639684897</v>
      </c>
      <c r="J580">
        <v>4.62</v>
      </c>
      <c r="K580">
        <v>2211</v>
      </c>
      <c r="L580">
        <v>2116.7024539877298</v>
      </c>
    </row>
    <row r="581" spans="1:12">
      <c r="A581" s="14">
        <v>43005</v>
      </c>
      <c r="B581">
        <v>2200</v>
      </c>
      <c r="C581">
        <v>2195</v>
      </c>
      <c r="D581">
        <v>2514</v>
      </c>
      <c r="E581">
        <v>2544</v>
      </c>
      <c r="F581">
        <v>0.86281446540880502</v>
      </c>
      <c r="G581">
        <v>0.82075486569434697</v>
      </c>
      <c r="H581">
        <v>5.2232047542565302E-2</v>
      </c>
      <c r="I581">
        <v>0.80524508789708404</v>
      </c>
      <c r="J581">
        <v>4.87</v>
      </c>
      <c r="K581">
        <v>2195</v>
      </c>
      <c r="L581">
        <v>2095.2883435582821</v>
      </c>
    </row>
    <row r="582" spans="1:12">
      <c r="A582" s="14">
        <v>43004</v>
      </c>
      <c r="B582">
        <v>2185</v>
      </c>
      <c r="C582">
        <v>2202</v>
      </c>
      <c r="D582">
        <v>2500</v>
      </c>
      <c r="E582">
        <v>2518</v>
      </c>
      <c r="F582">
        <v>0.87450357426528902</v>
      </c>
      <c r="G582">
        <v>0.82055502064831598</v>
      </c>
      <c r="H582">
        <v>5.2099245679243497E-2</v>
      </c>
      <c r="I582">
        <v>1.03549586781188</v>
      </c>
      <c r="J582">
        <v>6.17</v>
      </c>
      <c r="K582">
        <v>2202</v>
      </c>
      <c r="L582">
        <v>2073.8742331288345</v>
      </c>
    </row>
    <row r="583" spans="1:12">
      <c r="A583" s="14">
        <v>43003</v>
      </c>
      <c r="B583">
        <v>2200</v>
      </c>
      <c r="C583">
        <v>2197</v>
      </c>
      <c r="D583">
        <v>2542</v>
      </c>
      <c r="E583">
        <v>2538</v>
      </c>
      <c r="F583">
        <v>0.86564223798266304</v>
      </c>
      <c r="G583">
        <v>0.82028025437672702</v>
      </c>
      <c r="H583">
        <v>5.1867828716579897E-2</v>
      </c>
      <c r="I583">
        <v>0.87456877853526505</v>
      </c>
      <c r="J583">
        <v>5.24</v>
      </c>
      <c r="K583">
        <v>2197</v>
      </c>
      <c r="L583">
        <v>2090.3466257668711</v>
      </c>
    </row>
    <row r="584" spans="1:12">
      <c r="A584" s="14">
        <v>43000</v>
      </c>
      <c r="B584">
        <v>2200</v>
      </c>
      <c r="C584">
        <v>2196</v>
      </c>
      <c r="D584">
        <v>2586</v>
      </c>
      <c r="E584">
        <v>2514</v>
      </c>
      <c r="F584">
        <v>0.87350835322195697</v>
      </c>
      <c r="G584">
        <v>0.82026037044890798</v>
      </c>
      <c r="H584">
        <v>5.1850718070054598E-2</v>
      </c>
      <c r="I584">
        <v>1.02694783707924</v>
      </c>
      <c r="J584">
        <v>6.1</v>
      </c>
      <c r="K584">
        <v>2196</v>
      </c>
      <c r="L584">
        <v>2070.5797546012268</v>
      </c>
    </row>
    <row r="585" spans="1:12">
      <c r="A585" s="14">
        <v>42999</v>
      </c>
      <c r="B585">
        <v>2133</v>
      </c>
      <c r="C585">
        <v>2156</v>
      </c>
      <c r="D585">
        <v>2602</v>
      </c>
      <c r="E585">
        <v>2568</v>
      </c>
      <c r="F585">
        <v>0.83956386292834895</v>
      </c>
      <c r="G585">
        <v>0.82039608918844598</v>
      </c>
      <c r="H585">
        <v>5.2003014443716397E-2</v>
      </c>
      <c r="I585">
        <v>0.36858966629037399</v>
      </c>
      <c r="J585">
        <v>2.2799999999999998</v>
      </c>
      <c r="K585">
        <v>2156</v>
      </c>
      <c r="L585">
        <v>2115.0552147239264</v>
      </c>
    </row>
    <row r="586" spans="1:12">
      <c r="A586" s="14">
        <v>42998</v>
      </c>
      <c r="B586">
        <v>2095</v>
      </c>
      <c r="C586">
        <v>2122</v>
      </c>
      <c r="D586">
        <v>2592</v>
      </c>
      <c r="E586">
        <v>2598</v>
      </c>
      <c r="F586">
        <v>0.81678214010777495</v>
      </c>
      <c r="G586">
        <v>0.82131008290919205</v>
      </c>
      <c r="H586">
        <v>5.2926084452820599E-2</v>
      </c>
      <c r="I586">
        <v>-8.5552196959777893E-2</v>
      </c>
      <c r="J586">
        <v>-0.55000000000000004</v>
      </c>
      <c r="K586">
        <v>2122</v>
      </c>
      <c r="L586">
        <v>2139.7638036809817</v>
      </c>
    </row>
    <row r="587" spans="1:12">
      <c r="A587" s="14">
        <v>42997</v>
      </c>
      <c r="B587">
        <v>2061</v>
      </c>
      <c r="C587">
        <v>2091</v>
      </c>
      <c r="D587">
        <v>2604</v>
      </c>
      <c r="E587">
        <v>2592</v>
      </c>
      <c r="F587">
        <v>0.80671296296296202</v>
      </c>
      <c r="G587">
        <v>0.82246666710703698</v>
      </c>
      <c r="H587">
        <v>5.3755793732559398E-2</v>
      </c>
      <c r="I587">
        <v>-0.29306058101292098</v>
      </c>
      <c r="J587">
        <v>-1.95</v>
      </c>
      <c r="K587">
        <v>2091</v>
      </c>
      <c r="L587">
        <v>2134.8220858895706</v>
      </c>
    </row>
    <row r="588" spans="1:12">
      <c r="A588" s="14">
        <v>42993</v>
      </c>
      <c r="B588">
        <v>2041</v>
      </c>
      <c r="C588">
        <v>2042</v>
      </c>
      <c r="D588">
        <v>2538</v>
      </c>
      <c r="E588">
        <v>2576</v>
      </c>
      <c r="F588">
        <v>0.79270186335403703</v>
      </c>
      <c r="G588">
        <v>0.82427880027846001</v>
      </c>
      <c r="H588">
        <v>5.5458028371055602E-2</v>
      </c>
      <c r="I588">
        <v>-0.56938441289599695</v>
      </c>
      <c r="J588">
        <v>-3.98</v>
      </c>
      <c r="K588">
        <v>2042</v>
      </c>
      <c r="L588">
        <v>2121.6441717791408</v>
      </c>
    </row>
    <row r="589" spans="1:12">
      <c r="A589" s="14">
        <v>42992</v>
      </c>
      <c r="B589">
        <v>2037</v>
      </c>
      <c r="C589">
        <v>2044</v>
      </c>
      <c r="D589">
        <v>2570</v>
      </c>
      <c r="E589">
        <v>2538</v>
      </c>
      <c r="F589">
        <v>0.80535855003940104</v>
      </c>
      <c r="G589">
        <v>0.82674521964202896</v>
      </c>
      <c r="H589">
        <v>5.80515941620608E-2</v>
      </c>
      <c r="I589">
        <v>-0.36840796383512397</v>
      </c>
      <c r="J589">
        <v>-2.66</v>
      </c>
      <c r="K589">
        <v>2044</v>
      </c>
      <c r="L589">
        <v>2090.3466257668711</v>
      </c>
    </row>
    <row r="590" spans="1:12">
      <c r="A590" s="14">
        <v>42991</v>
      </c>
      <c r="B590">
        <v>2063</v>
      </c>
      <c r="C590">
        <v>2058</v>
      </c>
      <c r="D590">
        <v>2614</v>
      </c>
      <c r="E590">
        <v>2610</v>
      </c>
      <c r="F590">
        <v>0.78850574712643595</v>
      </c>
      <c r="G590">
        <v>0.82919134419315399</v>
      </c>
      <c r="H590">
        <v>6.0894495180145503E-2</v>
      </c>
      <c r="I590">
        <v>-0.66813259468456598</v>
      </c>
      <c r="J590">
        <v>-5.16</v>
      </c>
      <c r="K590">
        <v>2058</v>
      </c>
      <c r="L590">
        <v>2149.6472392638034</v>
      </c>
    </row>
    <row r="591" spans="1:12">
      <c r="A591" s="14">
        <v>42990</v>
      </c>
      <c r="B591">
        <v>2101</v>
      </c>
      <c r="C591">
        <v>2064</v>
      </c>
      <c r="D591">
        <v>2608</v>
      </c>
      <c r="E591">
        <v>2598</v>
      </c>
      <c r="F591">
        <v>0.79445727482678896</v>
      </c>
      <c r="G591">
        <v>0.83189767154066196</v>
      </c>
      <c r="H591">
        <v>6.3481602263494794E-2</v>
      </c>
      <c r="I591">
        <v>-0.58978342352588797</v>
      </c>
      <c r="J591">
        <v>-4.71</v>
      </c>
      <c r="K591">
        <v>2064</v>
      </c>
      <c r="L591">
        <v>2139.7638036809817</v>
      </c>
    </row>
    <row r="592" spans="1:12">
      <c r="A592" s="14">
        <v>42989</v>
      </c>
      <c r="B592">
        <v>2064</v>
      </c>
      <c r="C592">
        <v>2090</v>
      </c>
      <c r="D592">
        <v>2580</v>
      </c>
      <c r="E592">
        <v>2578</v>
      </c>
      <c r="F592">
        <v>0.81070597362296304</v>
      </c>
      <c r="G592">
        <v>0.83457447925427197</v>
      </c>
      <c r="H592">
        <v>6.6028058476145401E-2</v>
      </c>
      <c r="I592">
        <v>-0.36149034489529602</v>
      </c>
      <c r="J592">
        <v>-2.94</v>
      </c>
      <c r="K592">
        <v>2090</v>
      </c>
      <c r="L592">
        <v>2123.2914110429447</v>
      </c>
    </row>
    <row r="593" spans="1:12">
      <c r="A593" s="14">
        <v>42986</v>
      </c>
      <c r="B593">
        <v>2054</v>
      </c>
      <c r="C593">
        <v>2057</v>
      </c>
      <c r="D593">
        <v>2524</v>
      </c>
      <c r="E593">
        <v>2554</v>
      </c>
      <c r="F593">
        <v>0.805403288958496</v>
      </c>
      <c r="G593">
        <v>0.83707712301022097</v>
      </c>
      <c r="H593">
        <v>6.8583631282437704E-2</v>
      </c>
      <c r="I593">
        <v>-0.46182789478275399</v>
      </c>
      <c r="J593">
        <v>-3.93</v>
      </c>
      <c r="K593">
        <v>2057</v>
      </c>
      <c r="L593">
        <v>2103.5245398773004</v>
      </c>
    </row>
    <row r="594" spans="1:12">
      <c r="A594" s="14">
        <v>42985</v>
      </c>
      <c r="B594">
        <v>2064</v>
      </c>
      <c r="C594">
        <v>2070</v>
      </c>
      <c r="D594">
        <v>2550</v>
      </c>
      <c r="E594">
        <v>2524</v>
      </c>
      <c r="F594">
        <v>0.82012678288430996</v>
      </c>
      <c r="G594">
        <v>0.83914362511080198</v>
      </c>
      <c r="H594">
        <v>6.9920084951527794E-2</v>
      </c>
      <c r="I594">
        <v>-0.27197967850975702</v>
      </c>
      <c r="J594">
        <v>-2.3199999999999998</v>
      </c>
      <c r="K594">
        <v>2070</v>
      </c>
      <c r="L594">
        <v>2078.8159509202451</v>
      </c>
    </row>
    <row r="595" spans="1:12">
      <c r="A595" s="14">
        <v>42984</v>
      </c>
      <c r="B595">
        <v>2069</v>
      </c>
      <c r="C595">
        <v>2066</v>
      </c>
      <c r="D595">
        <v>2452</v>
      </c>
      <c r="E595">
        <v>2538</v>
      </c>
      <c r="F595">
        <v>0.81402679275019696</v>
      </c>
      <c r="G595">
        <v>0.84143024182766701</v>
      </c>
      <c r="H595">
        <v>7.2033099375797105E-2</v>
      </c>
      <c r="I595">
        <v>-0.38042857123926599</v>
      </c>
      <c r="J595">
        <v>-3.37</v>
      </c>
      <c r="K595">
        <v>2066</v>
      </c>
      <c r="L595">
        <v>2090.3466257668711</v>
      </c>
    </row>
    <row r="596" spans="1:12">
      <c r="A596" s="14">
        <v>42983</v>
      </c>
      <c r="B596">
        <v>2087</v>
      </c>
      <c r="C596">
        <v>2080</v>
      </c>
      <c r="D596">
        <v>2526</v>
      </c>
      <c r="E596">
        <v>2494</v>
      </c>
      <c r="F596">
        <v>0.83400160384923805</v>
      </c>
      <c r="G596">
        <v>0.84355175786923497</v>
      </c>
      <c r="H596">
        <v>7.3522480475985905E-2</v>
      </c>
      <c r="I596">
        <v>-0.12989433923024801</v>
      </c>
      <c r="J596">
        <v>-1.1499999999999999</v>
      </c>
      <c r="K596">
        <v>2080</v>
      </c>
      <c r="L596">
        <v>2054.1073619631902</v>
      </c>
    </row>
    <row r="597" spans="1:12">
      <c r="A597" s="14">
        <v>42982</v>
      </c>
      <c r="B597">
        <v>2104</v>
      </c>
      <c r="C597">
        <v>2085</v>
      </c>
      <c r="D597">
        <v>2510</v>
      </c>
      <c r="E597">
        <v>2504</v>
      </c>
      <c r="F597">
        <v>0.832667731629393</v>
      </c>
      <c r="G597">
        <v>0.84531332443803497</v>
      </c>
      <c r="H597">
        <v>7.4843431994343498E-2</v>
      </c>
      <c r="I597">
        <v>-0.16896062181646099</v>
      </c>
      <c r="J597">
        <v>-1.52</v>
      </c>
      <c r="K597">
        <v>2085</v>
      </c>
      <c r="L597">
        <v>2062.3435582822085</v>
      </c>
    </row>
    <row r="598" spans="1:12">
      <c r="A598" s="14">
        <v>42979</v>
      </c>
      <c r="B598">
        <v>2080</v>
      </c>
      <c r="C598">
        <v>2102</v>
      </c>
      <c r="D598">
        <v>2556</v>
      </c>
      <c r="E598">
        <v>2540</v>
      </c>
      <c r="F598">
        <v>0.82755905511811001</v>
      </c>
      <c r="G598">
        <v>0.84730757007830904</v>
      </c>
      <c r="H598">
        <v>7.6455226347810601E-2</v>
      </c>
      <c r="I598">
        <v>-0.25830170027041599</v>
      </c>
      <c r="J598">
        <v>-2.39</v>
      </c>
      <c r="K598">
        <v>2102</v>
      </c>
      <c r="L598">
        <v>2091.9938650306749</v>
      </c>
    </row>
    <row r="599" spans="1:12">
      <c r="A599" s="14">
        <v>42978</v>
      </c>
      <c r="B599">
        <v>2081</v>
      </c>
      <c r="C599">
        <v>2070</v>
      </c>
      <c r="D599">
        <v>2600</v>
      </c>
      <c r="E599">
        <v>2580</v>
      </c>
      <c r="F599">
        <v>0.80232558139534804</v>
      </c>
      <c r="G599">
        <v>0.84921743841443897</v>
      </c>
      <c r="H599">
        <v>7.77167272317799E-2</v>
      </c>
      <c r="I599">
        <v>-0.60336891026357398</v>
      </c>
      <c r="J599">
        <v>-5.84</v>
      </c>
      <c r="K599">
        <v>2070</v>
      </c>
      <c r="L599">
        <v>2124.9386503067485</v>
      </c>
    </row>
    <row r="600" spans="1:12">
      <c r="A600" s="14">
        <v>42977</v>
      </c>
      <c r="B600">
        <v>2034</v>
      </c>
      <c r="C600">
        <v>2062</v>
      </c>
      <c r="D600">
        <v>2502</v>
      </c>
      <c r="E600">
        <v>2538</v>
      </c>
      <c r="F600">
        <v>0.81245074862096101</v>
      </c>
      <c r="G600">
        <v>0.85089596871501005</v>
      </c>
      <c r="H600">
        <v>7.8044623259267004E-2</v>
      </c>
      <c r="I600">
        <v>-0.49260562084248399</v>
      </c>
      <c r="J600">
        <v>-4.7300000000000004</v>
      </c>
      <c r="K600">
        <v>2062</v>
      </c>
      <c r="L600">
        <v>2090.3466257668711</v>
      </c>
    </row>
    <row r="601" spans="1:12">
      <c r="A601" s="14">
        <v>42976</v>
      </c>
      <c r="B601">
        <v>2022</v>
      </c>
      <c r="C601">
        <v>2029</v>
      </c>
      <c r="D601">
        <v>2426</v>
      </c>
      <c r="E601">
        <v>2450</v>
      </c>
      <c r="F601">
        <v>0.82816326530612205</v>
      </c>
      <c r="G601">
        <v>0.85255651699898005</v>
      </c>
      <c r="H601">
        <v>7.8532363111166695E-2</v>
      </c>
      <c r="I601">
        <v>-0.31061400327821098</v>
      </c>
      <c r="J601">
        <v>-2.95</v>
      </c>
      <c r="K601">
        <v>2029</v>
      </c>
      <c r="L601">
        <v>2017.8680981595091</v>
      </c>
    </row>
    <row r="602" spans="1:12">
      <c r="A602" s="14">
        <v>42975</v>
      </c>
      <c r="B602">
        <v>2020</v>
      </c>
      <c r="C602">
        <v>2032</v>
      </c>
      <c r="D602">
        <v>2466</v>
      </c>
      <c r="E602">
        <v>2444</v>
      </c>
      <c r="F602">
        <v>0.83142389525368199</v>
      </c>
      <c r="G602">
        <v>0.85346858849424501</v>
      </c>
      <c r="H602">
        <v>7.8640917996012097E-2</v>
      </c>
      <c r="I602">
        <v>-0.280320904210204</v>
      </c>
      <c r="J602">
        <v>-2.65</v>
      </c>
      <c r="K602">
        <v>2032</v>
      </c>
      <c r="L602">
        <v>2012.9263803680981</v>
      </c>
    </row>
    <row r="603" spans="1:12">
      <c r="A603" s="14">
        <v>42972</v>
      </c>
      <c r="B603">
        <v>2022</v>
      </c>
      <c r="C603">
        <v>2013</v>
      </c>
      <c r="D603">
        <v>2454</v>
      </c>
      <c r="E603">
        <v>2458</v>
      </c>
      <c r="F603">
        <v>0.818958502847843</v>
      </c>
      <c r="G603">
        <v>0.85392164113888802</v>
      </c>
      <c r="H603">
        <v>7.8610483816231994E-2</v>
      </c>
      <c r="I603">
        <v>-0.44476431887606299</v>
      </c>
      <c r="J603">
        <v>-4.2699999999999996</v>
      </c>
      <c r="K603">
        <v>2013</v>
      </c>
      <c r="L603">
        <v>2024.4570552147238</v>
      </c>
    </row>
    <row r="604" spans="1:12">
      <c r="A604" s="14">
        <v>42971</v>
      </c>
      <c r="B604">
        <v>2033</v>
      </c>
      <c r="C604">
        <v>2024</v>
      </c>
      <c r="D604">
        <v>2460</v>
      </c>
      <c r="E604">
        <v>2442</v>
      </c>
      <c r="F604">
        <v>0.82882882882882802</v>
      </c>
      <c r="G604">
        <v>0.85456489134666302</v>
      </c>
      <c r="H604">
        <v>7.8519087585676398E-2</v>
      </c>
      <c r="I604">
        <v>-0.327768232020686</v>
      </c>
      <c r="J604">
        <v>-3.11</v>
      </c>
      <c r="K604">
        <v>2024</v>
      </c>
      <c r="L604">
        <v>2011.2791411042945</v>
      </c>
    </row>
    <row r="605" spans="1:12">
      <c r="A605" s="14">
        <v>42970</v>
      </c>
      <c r="B605">
        <v>2051</v>
      </c>
      <c r="C605">
        <v>2049</v>
      </c>
      <c r="D605">
        <v>2424</v>
      </c>
      <c r="E605">
        <v>2444</v>
      </c>
      <c r="F605">
        <v>0.83837970540098194</v>
      </c>
      <c r="G605">
        <v>0.85467603697505001</v>
      </c>
      <c r="H605">
        <v>7.8488472794150596E-2</v>
      </c>
      <c r="I605">
        <v>-0.20762706922337801</v>
      </c>
      <c r="J605">
        <v>-1.94</v>
      </c>
      <c r="K605">
        <v>2049</v>
      </c>
      <c r="L605">
        <v>2012.9263803680981</v>
      </c>
    </row>
    <row r="606" spans="1:12">
      <c r="A606" s="14">
        <v>42969</v>
      </c>
      <c r="B606">
        <v>2023</v>
      </c>
      <c r="C606">
        <v>2027</v>
      </c>
      <c r="D606">
        <v>2368</v>
      </c>
      <c r="E606">
        <v>2374</v>
      </c>
      <c r="F606">
        <v>0.85383319292333604</v>
      </c>
      <c r="G606">
        <v>0.85435765345796499</v>
      </c>
      <c r="H606">
        <v>7.8602280914836106E-2</v>
      </c>
      <c r="I606">
        <v>-6.6723322596336197E-3</v>
      </c>
      <c r="J606">
        <v>-0.06</v>
      </c>
      <c r="K606">
        <v>2027</v>
      </c>
      <c r="L606">
        <v>1955.2730061349691</v>
      </c>
    </row>
    <row r="607" spans="1:12">
      <c r="A607" s="14">
        <v>42968</v>
      </c>
      <c r="B607">
        <v>2029</v>
      </c>
      <c r="C607">
        <v>2044</v>
      </c>
      <c r="D607">
        <v>2348</v>
      </c>
      <c r="E607">
        <v>2366</v>
      </c>
      <c r="F607">
        <v>0.86390532544378695</v>
      </c>
      <c r="G607">
        <v>0.85375471008820503</v>
      </c>
      <c r="H607">
        <v>7.8777236669910197E-2</v>
      </c>
      <c r="I607">
        <v>0.12885213780871699</v>
      </c>
      <c r="J607">
        <v>1.17</v>
      </c>
      <c r="K607">
        <v>2044</v>
      </c>
      <c r="L607">
        <v>1948.6840490797545</v>
      </c>
    </row>
    <row r="608" spans="1:12">
      <c r="A608" s="14">
        <v>42965</v>
      </c>
      <c r="B608">
        <v>2024</v>
      </c>
      <c r="C608">
        <v>2023</v>
      </c>
      <c r="D608">
        <v>2370</v>
      </c>
      <c r="E608">
        <v>2408</v>
      </c>
      <c r="F608">
        <v>0.84011627906976705</v>
      </c>
      <c r="G608">
        <v>0.85292922977554497</v>
      </c>
      <c r="H608">
        <v>7.8990630231184994E-2</v>
      </c>
      <c r="I608">
        <v>-0.16220848812420099</v>
      </c>
      <c r="J608">
        <v>-1.53</v>
      </c>
      <c r="K608">
        <v>2023</v>
      </c>
      <c r="L608">
        <v>1983.2760736196319</v>
      </c>
    </row>
    <row r="609" spans="1:12">
      <c r="A609" s="14">
        <v>42964</v>
      </c>
      <c r="B609">
        <v>2040</v>
      </c>
      <c r="C609">
        <v>2043</v>
      </c>
      <c r="D609">
        <v>2430</v>
      </c>
      <c r="E609">
        <v>2394</v>
      </c>
      <c r="F609">
        <v>0.85338345864661602</v>
      </c>
      <c r="G609">
        <v>0.85245037916509003</v>
      </c>
      <c r="H609">
        <v>7.9175492975933598E-2</v>
      </c>
      <c r="I609">
        <v>1.17849532280153E-2</v>
      </c>
      <c r="J609">
        <v>0.11</v>
      </c>
      <c r="K609">
        <v>2043</v>
      </c>
      <c r="L609">
        <v>1971.7453987730059</v>
      </c>
    </row>
    <row r="610" spans="1:12">
      <c r="A610" s="14">
        <v>42963</v>
      </c>
      <c r="B610">
        <v>2049</v>
      </c>
      <c r="C610">
        <v>2043</v>
      </c>
      <c r="D610">
        <v>2400</v>
      </c>
      <c r="E610">
        <v>2424</v>
      </c>
      <c r="F610">
        <v>0.84282178217821702</v>
      </c>
      <c r="G610">
        <v>0.85170152716932901</v>
      </c>
      <c r="H610">
        <v>7.9428325427226096E-2</v>
      </c>
      <c r="I610">
        <v>-0.111795696854354</v>
      </c>
      <c r="J610">
        <v>-1.05</v>
      </c>
      <c r="K610">
        <v>2043</v>
      </c>
      <c r="L610">
        <v>1996.4539877300613</v>
      </c>
    </row>
    <row r="611" spans="1:12">
      <c r="A611" s="14">
        <v>42962</v>
      </c>
      <c r="B611">
        <v>2100</v>
      </c>
      <c r="C611">
        <v>2054</v>
      </c>
      <c r="D611">
        <v>2350</v>
      </c>
      <c r="E611">
        <v>2390</v>
      </c>
      <c r="F611">
        <v>0.85941422594142203</v>
      </c>
      <c r="G611">
        <v>0.85113694965894604</v>
      </c>
      <c r="H611">
        <v>7.9639643541644295E-2</v>
      </c>
      <c r="I611">
        <v>0.103934120174055</v>
      </c>
      <c r="J611">
        <v>0.96</v>
      </c>
      <c r="K611">
        <v>2054</v>
      </c>
      <c r="L611">
        <v>1968.4509202453987</v>
      </c>
    </row>
    <row r="612" spans="1:12">
      <c r="A612" s="14">
        <v>42961</v>
      </c>
      <c r="B612">
        <v>2073</v>
      </c>
      <c r="C612">
        <v>2079</v>
      </c>
      <c r="D612">
        <v>2250</v>
      </c>
      <c r="E612">
        <v>2318</v>
      </c>
      <c r="F612">
        <v>0.89689387402933496</v>
      </c>
      <c r="G612">
        <v>0.85056258176190502</v>
      </c>
      <c r="H612">
        <v>7.9733160651651994E-2</v>
      </c>
      <c r="I612">
        <v>0.58107933874398499</v>
      </c>
      <c r="J612">
        <v>5.17</v>
      </c>
      <c r="K612">
        <v>2079</v>
      </c>
      <c r="L612">
        <v>1909.1503067484662</v>
      </c>
    </row>
    <row r="613" spans="1:12">
      <c r="A613" s="14">
        <v>42957</v>
      </c>
      <c r="B613">
        <v>2075</v>
      </c>
      <c r="C613">
        <v>2094</v>
      </c>
      <c r="D613">
        <v>2286</v>
      </c>
      <c r="E613">
        <v>2274</v>
      </c>
      <c r="F613">
        <v>0.920844327176781</v>
      </c>
      <c r="G613">
        <v>0.84953920051566201</v>
      </c>
      <c r="H613">
        <v>7.9624422354091395E-2</v>
      </c>
      <c r="I613">
        <v>0.89551829141092698</v>
      </c>
      <c r="J613">
        <v>7.74</v>
      </c>
      <c r="K613">
        <v>2094</v>
      </c>
      <c r="L613">
        <v>1872.9110429447851</v>
      </c>
    </row>
    <row r="614" spans="1:12">
      <c r="A614" s="14">
        <v>42956</v>
      </c>
      <c r="B614">
        <v>2055</v>
      </c>
      <c r="C614">
        <v>2048</v>
      </c>
      <c r="D614">
        <v>2316</v>
      </c>
      <c r="E614">
        <v>2288</v>
      </c>
      <c r="F614">
        <v>0.89510489510489499</v>
      </c>
      <c r="G614">
        <v>0.84785888571505796</v>
      </c>
      <c r="H614">
        <v>7.9431444624928196E-2</v>
      </c>
      <c r="I614">
        <v>0.59480234323988301</v>
      </c>
      <c r="J614">
        <v>5.28</v>
      </c>
      <c r="K614">
        <v>2048</v>
      </c>
      <c r="L614">
        <v>1884.4417177914111</v>
      </c>
    </row>
    <row r="615" spans="1:12">
      <c r="A615" s="14">
        <v>42955</v>
      </c>
      <c r="B615">
        <v>2050</v>
      </c>
      <c r="C615">
        <v>2037</v>
      </c>
      <c r="D615">
        <v>2376</v>
      </c>
      <c r="E615">
        <v>2312</v>
      </c>
      <c r="F615">
        <v>0.88105536332179901</v>
      </c>
      <c r="G615">
        <v>0.84668557510012299</v>
      </c>
      <c r="H615">
        <v>7.9374798164637994E-2</v>
      </c>
      <c r="I615">
        <v>0.433006306994145</v>
      </c>
      <c r="J615">
        <v>3.9</v>
      </c>
      <c r="K615">
        <v>2037</v>
      </c>
      <c r="L615">
        <v>1904.2085889570551</v>
      </c>
    </row>
    <row r="616" spans="1:12">
      <c r="A616" s="14">
        <v>42954</v>
      </c>
      <c r="B616">
        <v>1980</v>
      </c>
      <c r="C616">
        <v>2044</v>
      </c>
      <c r="D616">
        <v>2308</v>
      </c>
      <c r="E616">
        <v>2368</v>
      </c>
      <c r="F616">
        <v>0.86317567567567499</v>
      </c>
      <c r="G616">
        <v>0.84564010311442905</v>
      </c>
      <c r="H616">
        <v>7.9431581540276006E-2</v>
      </c>
      <c r="I616">
        <v>0.22076323071012999</v>
      </c>
      <c r="J616">
        <v>2.0299999999999998</v>
      </c>
      <c r="K616">
        <v>2044</v>
      </c>
      <c r="L616">
        <v>1950.3312883435583</v>
      </c>
    </row>
    <row r="617" spans="1:12">
      <c r="A617" s="14">
        <v>42951</v>
      </c>
      <c r="B617">
        <v>1951</v>
      </c>
      <c r="C617">
        <v>1946</v>
      </c>
      <c r="D617">
        <v>2316</v>
      </c>
      <c r="E617">
        <v>2296</v>
      </c>
      <c r="F617">
        <v>0.84756097560975596</v>
      </c>
      <c r="G617">
        <v>0.84497820154343595</v>
      </c>
      <c r="H617">
        <v>7.9489514484445897E-2</v>
      </c>
      <c r="I617">
        <v>3.2492009582279303E-2</v>
      </c>
      <c r="J617">
        <v>0.3</v>
      </c>
      <c r="K617">
        <v>1946</v>
      </c>
      <c r="L617">
        <v>1891.0306748466257</v>
      </c>
    </row>
    <row r="618" spans="1:12">
      <c r="A618" s="14">
        <v>42950</v>
      </c>
      <c r="B618">
        <v>1949</v>
      </c>
      <c r="C618">
        <v>1949</v>
      </c>
      <c r="D618">
        <v>2336</v>
      </c>
      <c r="E618">
        <v>2354</v>
      </c>
      <c r="F618">
        <v>0.82795242141036496</v>
      </c>
      <c r="G618">
        <v>0.84475333790239504</v>
      </c>
      <c r="H618">
        <v>7.9505742431817295E-2</v>
      </c>
      <c r="I618">
        <v>-0.211317019100074</v>
      </c>
      <c r="J618">
        <v>-2.0299999999999998</v>
      </c>
      <c r="K618">
        <v>1949</v>
      </c>
      <c r="L618">
        <v>1938.8006134969323</v>
      </c>
    </row>
    <row r="619" spans="1:12">
      <c r="A619" s="14">
        <v>42949</v>
      </c>
      <c r="B619">
        <v>1930</v>
      </c>
      <c r="C619">
        <v>1944</v>
      </c>
      <c r="D619">
        <v>2400</v>
      </c>
      <c r="E619">
        <v>2318</v>
      </c>
      <c r="F619">
        <v>0.83865401207937795</v>
      </c>
      <c r="G619">
        <v>0.84457586221090097</v>
      </c>
      <c r="H619">
        <v>7.9557887177438794E-2</v>
      </c>
      <c r="I619">
        <v>-7.44344821314155E-2</v>
      </c>
      <c r="J619">
        <v>-0.71</v>
      </c>
      <c r="K619">
        <v>1944</v>
      </c>
      <c r="L619">
        <v>1909.1503067484662</v>
      </c>
    </row>
    <row r="620" spans="1:12">
      <c r="A620" s="14">
        <v>42948</v>
      </c>
      <c r="B620">
        <v>1875</v>
      </c>
      <c r="C620">
        <v>1922</v>
      </c>
      <c r="D620">
        <v>2636</v>
      </c>
      <c r="E620">
        <v>2362</v>
      </c>
      <c r="F620">
        <v>0.81371718882303101</v>
      </c>
      <c r="G620">
        <v>0.84454927090138299</v>
      </c>
      <c r="H620">
        <v>7.9560195304376302E-2</v>
      </c>
      <c r="I620">
        <v>-0.38753150316432</v>
      </c>
      <c r="J620">
        <v>-3.79</v>
      </c>
      <c r="K620">
        <v>1922</v>
      </c>
      <c r="L620">
        <v>1945.3895705521472</v>
      </c>
    </row>
    <row r="621" spans="1:12">
      <c r="A621" s="14">
        <v>42947</v>
      </c>
      <c r="B621">
        <v>1883</v>
      </c>
      <c r="C621">
        <v>1884</v>
      </c>
      <c r="D621">
        <v>2560</v>
      </c>
      <c r="E621">
        <v>2630</v>
      </c>
      <c r="F621">
        <v>0.716349809885931</v>
      </c>
      <c r="G621">
        <v>0.84482462211735199</v>
      </c>
      <c r="H621">
        <v>7.9488715726864501E-2</v>
      </c>
      <c r="I621">
        <v>-1.6162647874810201</v>
      </c>
      <c r="J621">
        <v>-17.93</v>
      </c>
      <c r="K621">
        <v>1884</v>
      </c>
      <c r="L621">
        <v>2166.1196319018404</v>
      </c>
    </row>
    <row r="622" spans="1:12">
      <c r="A622" s="14">
        <v>42944</v>
      </c>
      <c r="B622">
        <v>1893</v>
      </c>
      <c r="C622">
        <v>1894</v>
      </c>
      <c r="D622">
        <v>2620</v>
      </c>
      <c r="E622">
        <v>2560</v>
      </c>
      <c r="F622">
        <v>0.73984375000000002</v>
      </c>
      <c r="G622">
        <v>0.84617254757309901</v>
      </c>
      <c r="H622">
        <v>7.8144467576295895E-2</v>
      </c>
      <c r="I622">
        <v>-1.3606695505255699</v>
      </c>
      <c r="J622">
        <v>-14.37</v>
      </c>
      <c r="K622">
        <v>1894</v>
      </c>
      <c r="L622">
        <v>2108.4662576687115</v>
      </c>
    </row>
    <row r="623" spans="1:12">
      <c r="A623" s="14">
        <v>42943</v>
      </c>
      <c r="B623">
        <v>1894</v>
      </c>
      <c r="C623">
        <v>1896</v>
      </c>
      <c r="D623">
        <v>2612</v>
      </c>
      <c r="E623">
        <v>2620</v>
      </c>
      <c r="F623">
        <v>0.72366412213740405</v>
      </c>
      <c r="G623">
        <v>0.84714807264084901</v>
      </c>
      <c r="H623">
        <v>7.7262714394124202E-2</v>
      </c>
      <c r="I623">
        <v>-1.59823469149093</v>
      </c>
      <c r="J623">
        <v>-17.059999999999999</v>
      </c>
      <c r="K623">
        <v>1896</v>
      </c>
      <c r="L623">
        <v>2157.8834355828221</v>
      </c>
    </row>
    <row r="624" spans="1:12">
      <c r="A624" s="14">
        <v>42942</v>
      </c>
      <c r="B624">
        <v>1869</v>
      </c>
      <c r="C624">
        <v>1868</v>
      </c>
      <c r="D624">
        <v>2682</v>
      </c>
      <c r="E624">
        <v>2620</v>
      </c>
      <c r="F624">
        <v>0.71297709923664099</v>
      </c>
      <c r="G624">
        <v>0.84849020867000802</v>
      </c>
      <c r="H624">
        <v>7.59694732935383E-2</v>
      </c>
      <c r="I624">
        <v>-1.7837837167799999</v>
      </c>
      <c r="J624">
        <v>-19.010000000000002</v>
      </c>
      <c r="K624">
        <v>1868</v>
      </c>
      <c r="L624">
        <v>2157.8834355828221</v>
      </c>
    </row>
    <row r="625" spans="1:12">
      <c r="A625" s="14">
        <v>42941</v>
      </c>
      <c r="B625">
        <v>1886</v>
      </c>
      <c r="C625">
        <v>1865</v>
      </c>
      <c r="D625">
        <v>2654</v>
      </c>
      <c r="E625">
        <v>2644</v>
      </c>
      <c r="F625">
        <v>0.70537065052949999</v>
      </c>
      <c r="G625">
        <v>0.84992974612521199</v>
      </c>
      <c r="H625">
        <v>7.4394598711074705E-2</v>
      </c>
      <c r="I625">
        <v>-1.9431396647105199</v>
      </c>
      <c r="J625">
        <v>-20.49</v>
      </c>
      <c r="K625">
        <v>1865</v>
      </c>
      <c r="L625">
        <v>2177.6503067484664</v>
      </c>
    </row>
    <row r="626" spans="1:12">
      <c r="A626" s="14">
        <v>42940</v>
      </c>
      <c r="B626">
        <v>1892</v>
      </c>
      <c r="C626">
        <v>1886</v>
      </c>
      <c r="D626">
        <v>2668</v>
      </c>
      <c r="E626">
        <v>2654</v>
      </c>
      <c r="F626">
        <v>0.71062547098718898</v>
      </c>
      <c r="G626">
        <v>0.85164510746182698</v>
      </c>
      <c r="H626">
        <v>7.2500734648839202E-2</v>
      </c>
      <c r="I626">
        <v>-1.94507872448015</v>
      </c>
      <c r="J626">
        <v>-19.84</v>
      </c>
      <c r="K626">
        <v>1886</v>
      </c>
      <c r="L626">
        <v>2185.8865030674847</v>
      </c>
    </row>
    <row r="627" spans="1:12">
      <c r="A627" s="14">
        <v>42937</v>
      </c>
      <c r="B627">
        <v>1905</v>
      </c>
      <c r="C627">
        <v>1908</v>
      </c>
      <c r="D627">
        <v>2642</v>
      </c>
      <c r="E627">
        <v>2664</v>
      </c>
      <c r="F627">
        <v>0.71621621621621601</v>
      </c>
      <c r="G627">
        <v>0.85340660414263902</v>
      </c>
      <c r="H627">
        <v>7.0633969891578996E-2</v>
      </c>
      <c r="I627">
        <v>-1.9422720843385299</v>
      </c>
      <c r="J627">
        <v>-19.149999999999999</v>
      </c>
      <c r="K627">
        <v>1908</v>
      </c>
      <c r="L627">
        <v>2194.122699386503</v>
      </c>
    </row>
    <row r="628" spans="1:12">
      <c r="A628" s="14">
        <v>42936</v>
      </c>
      <c r="B628">
        <v>1927</v>
      </c>
      <c r="C628">
        <v>1920</v>
      </c>
      <c r="D628">
        <v>2600</v>
      </c>
      <c r="E628">
        <v>2640</v>
      </c>
      <c r="F628">
        <v>0.72727272727272696</v>
      </c>
      <c r="G628">
        <v>0.854833076207409</v>
      </c>
      <c r="H628">
        <v>6.8908185722718104E-2</v>
      </c>
      <c r="I628">
        <v>-1.8511639451367301</v>
      </c>
      <c r="J628">
        <v>-17.54</v>
      </c>
      <c r="K628">
        <v>1920</v>
      </c>
      <c r="L628">
        <v>2174.3558282208587</v>
      </c>
    </row>
    <row r="629" spans="1:12">
      <c r="A629" s="14">
        <v>42935</v>
      </c>
      <c r="B629">
        <v>1897</v>
      </c>
      <c r="C629">
        <v>1917</v>
      </c>
      <c r="D629">
        <v>2558</v>
      </c>
      <c r="E629">
        <v>2570</v>
      </c>
      <c r="F629">
        <v>0.74591439688715899</v>
      </c>
      <c r="G629">
        <v>0.85611770160246303</v>
      </c>
      <c r="H629">
        <v>6.7399725150221398E-2</v>
      </c>
      <c r="I629">
        <v>-1.63507053581719</v>
      </c>
      <c r="J629">
        <v>-14.77</v>
      </c>
      <c r="K629">
        <v>1917</v>
      </c>
      <c r="L629">
        <v>2116.7024539877298</v>
      </c>
    </row>
    <row r="630" spans="1:12">
      <c r="A630" s="14">
        <v>42934</v>
      </c>
      <c r="B630">
        <v>1892</v>
      </c>
      <c r="C630">
        <v>1897</v>
      </c>
      <c r="D630">
        <v>2542</v>
      </c>
      <c r="E630">
        <v>2550</v>
      </c>
      <c r="F630">
        <v>0.74392156862745096</v>
      </c>
      <c r="G630">
        <v>0.85704936929309095</v>
      </c>
      <c r="H630">
        <v>6.6344627365479497E-2</v>
      </c>
      <c r="I630">
        <v>-1.7051539085816401</v>
      </c>
      <c r="J630">
        <v>-15.21</v>
      </c>
      <c r="K630">
        <v>1897</v>
      </c>
      <c r="L630">
        <v>2100.2300613496932</v>
      </c>
    </row>
    <row r="631" spans="1:12">
      <c r="A631" s="14">
        <v>42930</v>
      </c>
      <c r="B631">
        <v>1888</v>
      </c>
      <c r="C631">
        <v>1890</v>
      </c>
      <c r="D631">
        <v>2534</v>
      </c>
      <c r="E631">
        <v>2560</v>
      </c>
      <c r="F631">
        <v>0.73828125</v>
      </c>
      <c r="G631">
        <v>0.85810446290451603</v>
      </c>
      <c r="H631">
        <v>6.5155715082308302E-2</v>
      </c>
      <c r="I631">
        <v>-1.8390284375384101</v>
      </c>
      <c r="J631">
        <v>-16.23</v>
      </c>
      <c r="K631">
        <v>1890</v>
      </c>
      <c r="L631">
        <v>2108.4662576687115</v>
      </c>
    </row>
    <row r="632" spans="1:12">
      <c r="A632" s="14">
        <v>42929</v>
      </c>
      <c r="B632">
        <v>1892</v>
      </c>
      <c r="C632">
        <v>1884</v>
      </c>
      <c r="D632">
        <v>2482</v>
      </c>
      <c r="E632">
        <v>2506</v>
      </c>
      <c r="F632">
        <v>0.75179569034317595</v>
      </c>
      <c r="G632">
        <v>0.859437183492751</v>
      </c>
      <c r="H632">
        <v>6.3697096877494405E-2</v>
      </c>
      <c r="I632">
        <v>-1.68989637560086</v>
      </c>
      <c r="J632">
        <v>-14.32</v>
      </c>
      <c r="K632">
        <v>1884</v>
      </c>
      <c r="L632">
        <v>2063.9907975460123</v>
      </c>
    </row>
    <row r="633" spans="1:12">
      <c r="A633" s="14">
        <v>42928</v>
      </c>
      <c r="B633">
        <v>1903</v>
      </c>
      <c r="C633">
        <v>1885</v>
      </c>
      <c r="D633">
        <v>2474</v>
      </c>
      <c r="E633">
        <v>2452</v>
      </c>
      <c r="F633">
        <v>0.76876019575856402</v>
      </c>
      <c r="G633">
        <v>0.86077513576501297</v>
      </c>
      <c r="H633">
        <v>6.24639927866735E-2</v>
      </c>
      <c r="I633">
        <v>-1.4730877086371501</v>
      </c>
      <c r="J633">
        <v>-11.97</v>
      </c>
      <c r="K633">
        <v>1885</v>
      </c>
      <c r="L633">
        <v>2019.5153374233128</v>
      </c>
    </row>
    <row r="634" spans="1:12">
      <c r="A634" s="14">
        <v>42927</v>
      </c>
      <c r="B634">
        <v>1862</v>
      </c>
      <c r="C634">
        <v>1904</v>
      </c>
      <c r="D634">
        <v>2450</v>
      </c>
      <c r="E634">
        <v>2474</v>
      </c>
      <c r="F634">
        <v>0.76960388035569904</v>
      </c>
      <c r="G634">
        <v>0.86182186944660799</v>
      </c>
      <c r="H634">
        <v>6.15645866114434E-2</v>
      </c>
      <c r="I634">
        <v>-1.4979064128689801</v>
      </c>
      <c r="J634">
        <v>-11.98</v>
      </c>
      <c r="K634">
        <v>1904</v>
      </c>
      <c r="L634">
        <v>2037.6349693251532</v>
      </c>
    </row>
    <row r="635" spans="1:12">
      <c r="A635" s="14">
        <v>42926</v>
      </c>
      <c r="B635">
        <v>1886</v>
      </c>
      <c r="C635">
        <v>1856</v>
      </c>
      <c r="D635">
        <v>2394</v>
      </c>
      <c r="E635">
        <v>2438</v>
      </c>
      <c r="F635">
        <v>0.76127973748974498</v>
      </c>
      <c r="G635">
        <v>0.86288754811605595</v>
      </c>
      <c r="H635">
        <v>6.06439485255785E-2</v>
      </c>
      <c r="I635">
        <v>-1.67548144698154</v>
      </c>
      <c r="J635">
        <v>-13.35</v>
      </c>
      <c r="K635">
        <v>1856</v>
      </c>
      <c r="L635">
        <v>2007.984662576687</v>
      </c>
    </row>
    <row r="636" spans="1:12">
      <c r="A636" s="14">
        <v>42923</v>
      </c>
      <c r="B636">
        <v>1883</v>
      </c>
      <c r="C636">
        <v>1878</v>
      </c>
      <c r="D636">
        <v>2332</v>
      </c>
      <c r="E636">
        <v>2356</v>
      </c>
      <c r="F636">
        <v>0.797113752122241</v>
      </c>
      <c r="G636">
        <v>0.86421668991629697</v>
      </c>
      <c r="H636">
        <v>5.9483744355623397E-2</v>
      </c>
      <c r="I636">
        <v>-1.1280886655836899</v>
      </c>
      <c r="J636">
        <v>-8.42</v>
      </c>
      <c r="K636">
        <v>1878</v>
      </c>
      <c r="L636">
        <v>1940.4478527607362</v>
      </c>
    </row>
    <row r="637" spans="1:12">
      <c r="A637" s="14">
        <v>42922</v>
      </c>
      <c r="B637">
        <v>1896</v>
      </c>
      <c r="C637">
        <v>1903</v>
      </c>
      <c r="D637">
        <v>2354</v>
      </c>
      <c r="E637">
        <v>2336</v>
      </c>
      <c r="F637">
        <v>0.81464041095890405</v>
      </c>
      <c r="G637">
        <v>0.86468183988800096</v>
      </c>
      <c r="H637">
        <v>5.90923087723767E-2</v>
      </c>
      <c r="I637">
        <v>-0.84683489219986596</v>
      </c>
      <c r="J637">
        <v>-6.14</v>
      </c>
      <c r="K637">
        <v>1903</v>
      </c>
      <c r="L637">
        <v>1923.9754601226994</v>
      </c>
    </row>
    <row r="638" spans="1:12">
      <c r="A638" s="14">
        <v>42921</v>
      </c>
      <c r="B638">
        <v>1872</v>
      </c>
      <c r="C638">
        <v>1896</v>
      </c>
      <c r="D638">
        <v>2326</v>
      </c>
      <c r="E638">
        <v>2370</v>
      </c>
      <c r="F638">
        <v>0.8</v>
      </c>
      <c r="G638">
        <v>0.86500254730637105</v>
      </c>
      <c r="H638">
        <v>5.8884758481713401E-2</v>
      </c>
      <c r="I638">
        <v>-1.10389426708029</v>
      </c>
      <c r="J638">
        <v>-8.1300000000000008</v>
      </c>
      <c r="K638">
        <v>1896</v>
      </c>
      <c r="L638">
        <v>1951.9785276073619</v>
      </c>
    </row>
    <row r="639" spans="1:12">
      <c r="A639" s="14">
        <v>42920</v>
      </c>
      <c r="B639">
        <v>1917</v>
      </c>
      <c r="C639">
        <v>1881</v>
      </c>
      <c r="D639">
        <v>2374</v>
      </c>
      <c r="E639">
        <v>2326</v>
      </c>
      <c r="F639">
        <v>0.80868443680137503</v>
      </c>
      <c r="G639">
        <v>0.865309331967138</v>
      </c>
      <c r="H639">
        <v>5.8604571987849498E-2</v>
      </c>
      <c r="I639">
        <v>-0.96621975462089804</v>
      </c>
      <c r="J639">
        <v>-7</v>
      </c>
      <c r="K639">
        <v>1881</v>
      </c>
      <c r="L639">
        <v>1915.7392638036808</v>
      </c>
    </row>
    <row r="640" spans="1:12">
      <c r="A640" s="14">
        <v>42919</v>
      </c>
      <c r="B640">
        <v>1896</v>
      </c>
      <c r="C640">
        <v>1892</v>
      </c>
      <c r="D640">
        <v>2310</v>
      </c>
      <c r="E640">
        <v>2348</v>
      </c>
      <c r="F640">
        <v>0.80579216354344096</v>
      </c>
      <c r="G640">
        <v>0.86558943487532802</v>
      </c>
      <c r="H640">
        <v>5.8383046576505102E-2</v>
      </c>
      <c r="I640">
        <v>-1.0242232092757999</v>
      </c>
      <c r="J640">
        <v>-7.42</v>
      </c>
      <c r="K640">
        <v>1892</v>
      </c>
      <c r="L640">
        <v>1933.8588957055215</v>
      </c>
    </row>
    <row r="641" spans="1:12">
      <c r="A641" s="14">
        <v>42916</v>
      </c>
      <c r="B641">
        <v>1891</v>
      </c>
      <c r="C641">
        <v>1889</v>
      </c>
      <c r="D641">
        <v>2272</v>
      </c>
      <c r="E641">
        <v>2302</v>
      </c>
      <c r="F641">
        <v>0.82059079061685403</v>
      </c>
      <c r="G641">
        <v>0.86566510528302199</v>
      </c>
      <c r="H641">
        <v>5.8309125225280402E-2</v>
      </c>
      <c r="I641">
        <v>-0.773023338834536</v>
      </c>
      <c r="J641">
        <v>-5.49</v>
      </c>
      <c r="K641">
        <v>1889</v>
      </c>
      <c r="L641">
        <v>1895.9723926380368</v>
      </c>
    </row>
    <row r="642" spans="1:12">
      <c r="A642" s="14">
        <v>42915</v>
      </c>
      <c r="B642">
        <v>1912</v>
      </c>
      <c r="C642">
        <v>1915</v>
      </c>
      <c r="D642">
        <v>2320</v>
      </c>
      <c r="E642">
        <v>2306</v>
      </c>
      <c r="F642">
        <v>0.83044232437120502</v>
      </c>
      <c r="G642">
        <v>0.86557190517851501</v>
      </c>
      <c r="H642">
        <v>5.8386631427184199E-2</v>
      </c>
      <c r="I642">
        <v>-0.601671648947949</v>
      </c>
      <c r="J642">
        <v>-4.2300000000000004</v>
      </c>
      <c r="K642">
        <v>1915</v>
      </c>
      <c r="L642">
        <v>1899.266871165644</v>
      </c>
    </row>
    <row r="643" spans="1:12">
      <c r="A643" s="14">
        <v>42914</v>
      </c>
      <c r="B643">
        <v>1920</v>
      </c>
      <c r="C643">
        <v>1910</v>
      </c>
      <c r="D643">
        <v>2298</v>
      </c>
      <c r="E643">
        <v>2308</v>
      </c>
      <c r="F643">
        <v>0.82755632582322303</v>
      </c>
      <c r="G643">
        <v>0.865228814193441</v>
      </c>
      <c r="H643">
        <v>5.8666981000913401E-2</v>
      </c>
      <c r="I643">
        <v>-0.64214124755510604</v>
      </c>
      <c r="J643">
        <v>-4.55</v>
      </c>
      <c r="K643">
        <v>1910</v>
      </c>
      <c r="L643">
        <v>1900.9141104294479</v>
      </c>
    </row>
    <row r="644" spans="1:12">
      <c r="A644" s="14">
        <v>42913</v>
      </c>
      <c r="B644">
        <v>1944</v>
      </c>
      <c r="C644">
        <v>1935</v>
      </c>
      <c r="D644">
        <v>2282</v>
      </c>
      <c r="E644">
        <v>2298</v>
      </c>
      <c r="F644">
        <v>0.842036553524804</v>
      </c>
      <c r="G644">
        <v>0.86463231028671195</v>
      </c>
      <c r="H644">
        <v>5.9271314175869498E-2</v>
      </c>
      <c r="I644">
        <v>-0.38122584383505598</v>
      </c>
      <c r="J644">
        <v>-2.68</v>
      </c>
      <c r="K644">
        <v>1935</v>
      </c>
      <c r="L644">
        <v>1892.6779141104294</v>
      </c>
    </row>
    <row r="645" spans="1:12">
      <c r="A645" s="14">
        <v>42912</v>
      </c>
      <c r="B645">
        <v>1952</v>
      </c>
      <c r="C645">
        <v>1944</v>
      </c>
      <c r="D645">
        <v>2256</v>
      </c>
      <c r="E645">
        <v>2262</v>
      </c>
      <c r="F645">
        <v>0.85941644562334196</v>
      </c>
      <c r="G645">
        <v>0.863838522156952</v>
      </c>
      <c r="H645">
        <v>5.9963226573975702E-2</v>
      </c>
      <c r="I645">
        <v>-7.3746474068645901E-2</v>
      </c>
      <c r="J645">
        <v>-0.51</v>
      </c>
      <c r="K645">
        <v>1944</v>
      </c>
      <c r="L645">
        <v>1863.0276073619632</v>
      </c>
    </row>
    <row r="646" spans="1:12">
      <c r="A646" s="14">
        <v>42909</v>
      </c>
      <c r="B646">
        <v>1947</v>
      </c>
      <c r="C646">
        <v>1940</v>
      </c>
      <c r="D646">
        <v>2274</v>
      </c>
      <c r="E646">
        <v>2256</v>
      </c>
      <c r="F646">
        <v>0.85992907801418395</v>
      </c>
      <c r="G646">
        <v>0.86279507618913798</v>
      </c>
      <c r="H646">
        <v>6.0707385210631203E-2</v>
      </c>
      <c r="I646">
        <v>-4.72100414967618E-2</v>
      </c>
      <c r="J646">
        <v>-0.33</v>
      </c>
      <c r="K646">
        <v>1940</v>
      </c>
      <c r="L646">
        <v>1858.0858895705521</v>
      </c>
    </row>
    <row r="647" spans="1:12">
      <c r="A647" s="14">
        <v>42908</v>
      </c>
      <c r="B647">
        <v>1953</v>
      </c>
      <c r="C647">
        <v>1943</v>
      </c>
      <c r="D647">
        <v>2242</v>
      </c>
      <c r="E647">
        <v>2252</v>
      </c>
      <c r="F647">
        <v>0.86278863232682002</v>
      </c>
      <c r="G647">
        <v>0.86169167398952795</v>
      </c>
      <c r="H647">
        <v>6.1496390553724502E-2</v>
      </c>
      <c r="I647">
        <v>1.7837767833437299E-2</v>
      </c>
      <c r="J647">
        <v>0.13</v>
      </c>
      <c r="K647">
        <v>1943</v>
      </c>
      <c r="L647">
        <v>1854.7914110429447</v>
      </c>
    </row>
    <row r="648" spans="1:12">
      <c r="A648" s="14">
        <v>42907</v>
      </c>
      <c r="B648">
        <v>1926</v>
      </c>
      <c r="C648">
        <v>1940</v>
      </c>
      <c r="D648">
        <v>2230</v>
      </c>
      <c r="E648">
        <v>2238</v>
      </c>
      <c r="F648">
        <v>0.86684539767649604</v>
      </c>
      <c r="G648">
        <v>0.86065825566603105</v>
      </c>
      <c r="H648">
        <v>6.2117367711161497E-2</v>
      </c>
      <c r="I648">
        <v>9.9604059837741898E-2</v>
      </c>
      <c r="J648">
        <v>0.71</v>
      </c>
      <c r="K648">
        <v>1940</v>
      </c>
      <c r="L648">
        <v>1843.2607361963189</v>
      </c>
    </row>
    <row r="649" spans="1:12">
      <c r="A649" s="14">
        <v>42906</v>
      </c>
      <c r="B649">
        <v>1930</v>
      </c>
      <c r="C649">
        <v>1934</v>
      </c>
      <c r="D649">
        <v>2192</v>
      </c>
      <c r="E649">
        <v>2230</v>
      </c>
      <c r="F649">
        <v>0.86726457399103096</v>
      </c>
      <c r="G649">
        <v>0.85960333513899601</v>
      </c>
      <c r="H649">
        <v>6.2672680864162694E-2</v>
      </c>
      <c r="I649">
        <v>0.12224207974508</v>
      </c>
      <c r="J649">
        <v>0.88</v>
      </c>
      <c r="K649">
        <v>1934</v>
      </c>
      <c r="L649">
        <v>1836.6717791411043</v>
      </c>
    </row>
    <row r="650" spans="1:12">
      <c r="A650" s="14">
        <v>42905</v>
      </c>
      <c r="B650">
        <v>1916</v>
      </c>
      <c r="C650">
        <v>1927</v>
      </c>
      <c r="D650">
        <v>2180</v>
      </c>
      <c r="E650">
        <v>2178</v>
      </c>
      <c r="F650">
        <v>0.88475665748392995</v>
      </c>
      <c r="G650">
        <v>0.85850145039141701</v>
      </c>
      <c r="H650">
        <v>6.32521021152503E-2</v>
      </c>
      <c r="I650">
        <v>0.41508829294991201</v>
      </c>
      <c r="J650">
        <v>2.97</v>
      </c>
      <c r="K650">
        <v>1927</v>
      </c>
      <c r="L650">
        <v>1793.8435582822085</v>
      </c>
    </row>
    <row r="651" spans="1:12">
      <c r="A651" s="14">
        <v>42902</v>
      </c>
      <c r="B651">
        <v>1912</v>
      </c>
      <c r="C651">
        <v>1907</v>
      </c>
      <c r="D651">
        <v>2144</v>
      </c>
      <c r="E651">
        <v>2168</v>
      </c>
      <c r="F651">
        <v>0.87961254612546103</v>
      </c>
      <c r="G651">
        <v>0.85733587885457896</v>
      </c>
      <c r="H651">
        <v>6.3562229322062194E-2</v>
      </c>
      <c r="I651">
        <v>0.35047020075411001</v>
      </c>
      <c r="J651">
        <v>2.5299999999999998</v>
      </c>
      <c r="K651">
        <v>1907</v>
      </c>
      <c r="L651">
        <v>1785.6073619631902</v>
      </c>
    </row>
    <row r="652" spans="1:12">
      <c r="A652" s="14">
        <v>42901</v>
      </c>
      <c r="B652">
        <v>1907</v>
      </c>
      <c r="C652">
        <v>1911</v>
      </c>
      <c r="D652">
        <v>2134</v>
      </c>
      <c r="E652">
        <v>2118</v>
      </c>
      <c r="F652">
        <v>0.90226628895184102</v>
      </c>
      <c r="G652">
        <v>0.85655071675425298</v>
      </c>
      <c r="H652">
        <v>6.3645855257238898E-2</v>
      </c>
      <c r="I652">
        <v>0.71828042867548803</v>
      </c>
      <c r="J652">
        <v>5.07</v>
      </c>
      <c r="K652">
        <v>1911</v>
      </c>
      <c r="L652">
        <v>1744.4263803680981</v>
      </c>
    </row>
    <row r="653" spans="1:12">
      <c r="A653" s="14">
        <v>42900</v>
      </c>
      <c r="B653">
        <v>1944</v>
      </c>
      <c r="C653">
        <v>1916</v>
      </c>
      <c r="D653">
        <v>2196</v>
      </c>
      <c r="E653">
        <v>2154</v>
      </c>
      <c r="F653">
        <v>0.88950789229340699</v>
      </c>
      <c r="G653">
        <v>0.85525484812998898</v>
      </c>
      <c r="H653">
        <v>6.3691275120563107E-2</v>
      </c>
      <c r="I653">
        <v>0.537798059445034</v>
      </c>
      <c r="J653">
        <v>3.85</v>
      </c>
      <c r="K653">
        <v>1916</v>
      </c>
      <c r="L653">
        <v>1774.0766871165642</v>
      </c>
    </row>
    <row r="654" spans="1:12">
      <c r="A654" s="14">
        <v>42899</v>
      </c>
      <c r="B654">
        <v>1894</v>
      </c>
      <c r="C654">
        <v>1937</v>
      </c>
      <c r="D654">
        <v>2142</v>
      </c>
      <c r="E654">
        <v>2136</v>
      </c>
      <c r="F654">
        <v>0.906835205992509</v>
      </c>
      <c r="G654">
        <v>0.85393429933767495</v>
      </c>
      <c r="H654">
        <v>6.3993419416610894E-2</v>
      </c>
      <c r="I654">
        <v>0.82666166516962103</v>
      </c>
      <c r="J654">
        <v>5.83</v>
      </c>
      <c r="K654">
        <v>1937</v>
      </c>
      <c r="L654">
        <v>1759.2515337423313</v>
      </c>
    </row>
    <row r="655" spans="1:12">
      <c r="A655" s="14">
        <v>42898</v>
      </c>
      <c r="B655">
        <v>1846</v>
      </c>
      <c r="C655">
        <v>1891</v>
      </c>
      <c r="D655">
        <v>2186</v>
      </c>
      <c r="E655">
        <v>2162</v>
      </c>
      <c r="F655">
        <v>0.87465309898242305</v>
      </c>
      <c r="G655">
        <v>0.85230145537778801</v>
      </c>
      <c r="H655">
        <v>6.4184867003255597E-2</v>
      </c>
      <c r="I655">
        <v>0.34823852799291699</v>
      </c>
      <c r="J655">
        <v>2.56</v>
      </c>
      <c r="K655">
        <v>1891</v>
      </c>
      <c r="L655">
        <v>1780.6656441717791</v>
      </c>
    </row>
    <row r="656" spans="1:12">
      <c r="A656" s="14">
        <v>42895</v>
      </c>
      <c r="B656">
        <v>1841</v>
      </c>
      <c r="C656">
        <v>1833</v>
      </c>
      <c r="D656">
        <v>2160</v>
      </c>
      <c r="E656">
        <v>2162</v>
      </c>
      <c r="F656">
        <v>0.84782608695652095</v>
      </c>
      <c r="G656">
        <v>0.85103678680022299</v>
      </c>
      <c r="H656">
        <v>6.4664649684338105E-2</v>
      </c>
      <c r="I656">
        <v>-4.9651546237005899E-2</v>
      </c>
      <c r="J656">
        <v>-0.38</v>
      </c>
      <c r="K656">
        <v>1833</v>
      </c>
      <c r="L656">
        <v>1780.6656441717791</v>
      </c>
    </row>
    <row r="657" spans="1:12">
      <c r="A657" s="14">
        <v>42894</v>
      </c>
      <c r="B657">
        <v>1840</v>
      </c>
      <c r="C657">
        <v>1841</v>
      </c>
      <c r="D657">
        <v>2150</v>
      </c>
      <c r="E657">
        <v>2156</v>
      </c>
      <c r="F657">
        <v>0.85389610389610304</v>
      </c>
      <c r="G657">
        <v>0.85030348811092205</v>
      </c>
      <c r="H657">
        <v>6.5007826593299095E-2</v>
      </c>
      <c r="I657">
        <v>5.5264357746603002E-2</v>
      </c>
      <c r="J657">
        <v>0.42</v>
      </c>
      <c r="K657">
        <v>1841</v>
      </c>
      <c r="L657">
        <v>1775.7239263803681</v>
      </c>
    </row>
    <row r="658" spans="1:12">
      <c r="A658" s="14">
        <v>42893</v>
      </c>
      <c r="B658">
        <v>1848</v>
      </c>
      <c r="C658">
        <v>1832</v>
      </c>
      <c r="D658">
        <v>2084</v>
      </c>
      <c r="E658">
        <v>2120</v>
      </c>
      <c r="F658">
        <v>0.864150943396226</v>
      </c>
      <c r="G658">
        <v>0.84960231135340802</v>
      </c>
      <c r="H658">
        <v>6.5248459104875298E-2</v>
      </c>
      <c r="I658">
        <v>0.22297280644488501</v>
      </c>
      <c r="J658">
        <v>1.68</v>
      </c>
      <c r="K658">
        <v>1832</v>
      </c>
      <c r="L658">
        <v>1746.0736196319017</v>
      </c>
    </row>
    <row r="659" spans="1:12">
      <c r="A659" s="14">
        <v>42892</v>
      </c>
      <c r="B659">
        <v>1853</v>
      </c>
      <c r="C659">
        <v>1831</v>
      </c>
      <c r="D659">
        <v>2032</v>
      </c>
      <c r="E659">
        <v>2072</v>
      </c>
      <c r="F659">
        <v>0.88368725868725795</v>
      </c>
      <c r="G659">
        <v>0.848738941369241</v>
      </c>
      <c r="H659">
        <v>6.54782397679953E-2</v>
      </c>
      <c r="I659">
        <v>0.53373941391593904</v>
      </c>
      <c r="J659">
        <v>3.95</v>
      </c>
      <c r="K659">
        <v>1831</v>
      </c>
      <c r="L659">
        <v>1706.5398773006134</v>
      </c>
    </row>
    <row r="660" spans="1:12">
      <c r="A660" s="14">
        <v>42891</v>
      </c>
      <c r="B660">
        <v>1850</v>
      </c>
      <c r="C660">
        <v>1858</v>
      </c>
      <c r="D660">
        <v>2060</v>
      </c>
      <c r="E660">
        <v>2046</v>
      </c>
      <c r="F660">
        <v>0.90811339198435903</v>
      </c>
      <c r="G660">
        <v>0.84765145133438302</v>
      </c>
      <c r="H660">
        <v>6.5566019767071895E-2</v>
      </c>
      <c r="I660">
        <v>0.92215359213159398</v>
      </c>
      <c r="J660">
        <v>6.66</v>
      </c>
      <c r="K660">
        <v>1858</v>
      </c>
      <c r="L660">
        <v>1685.1257668711655</v>
      </c>
    </row>
    <row r="661" spans="1:12">
      <c r="A661" s="14">
        <v>42888</v>
      </c>
      <c r="B661">
        <v>1839</v>
      </c>
      <c r="C661">
        <v>1845</v>
      </c>
      <c r="D661">
        <v>1980</v>
      </c>
      <c r="E661">
        <v>2042</v>
      </c>
      <c r="F661">
        <v>0.90352595494613097</v>
      </c>
      <c r="G661">
        <v>0.84651666213033405</v>
      </c>
      <c r="H661">
        <v>6.5245483191325407E-2</v>
      </c>
      <c r="I661">
        <v>0.87376612184208102</v>
      </c>
      <c r="J661">
        <v>6.31</v>
      </c>
      <c r="K661">
        <v>1845</v>
      </c>
      <c r="L661">
        <v>1681.8312883435583</v>
      </c>
    </row>
    <row r="662" spans="1:12">
      <c r="A662" s="14">
        <v>42887</v>
      </c>
      <c r="B662">
        <v>1839</v>
      </c>
      <c r="C662">
        <v>1840</v>
      </c>
      <c r="D662">
        <v>1924</v>
      </c>
      <c r="E662">
        <v>1952</v>
      </c>
      <c r="F662">
        <v>0.94262295081967196</v>
      </c>
      <c r="G662">
        <v>0.84551263741745097</v>
      </c>
      <c r="H662">
        <v>6.4939144245588401E-2</v>
      </c>
      <c r="I662">
        <v>1.49540488299271</v>
      </c>
      <c r="J662">
        <v>10.3</v>
      </c>
      <c r="K662">
        <v>1840</v>
      </c>
      <c r="L662">
        <v>1607.7055214723925</v>
      </c>
    </row>
    <row r="663" spans="1:12">
      <c r="A663" s="14">
        <v>42886</v>
      </c>
      <c r="B663">
        <v>1854</v>
      </c>
      <c r="C663">
        <v>1840</v>
      </c>
      <c r="D663">
        <v>1874</v>
      </c>
      <c r="E663">
        <v>1882</v>
      </c>
      <c r="F663">
        <v>0.97768331562167898</v>
      </c>
      <c r="G663">
        <v>0.84407923504677895</v>
      </c>
      <c r="H663">
        <v>6.3958890568995994E-2</v>
      </c>
      <c r="I663">
        <v>2.08890553582654</v>
      </c>
      <c r="J663">
        <v>13.67</v>
      </c>
      <c r="K663">
        <v>1840</v>
      </c>
      <c r="L663">
        <v>1550.0521472392638</v>
      </c>
    </row>
    <row r="664" spans="1:12">
      <c r="A664" s="14">
        <v>42885</v>
      </c>
      <c r="B664">
        <v>1859</v>
      </c>
      <c r="C664">
        <v>1857</v>
      </c>
      <c r="D664">
        <v>1878</v>
      </c>
      <c r="E664">
        <v>1878</v>
      </c>
      <c r="F664">
        <v>0.98881789137380105</v>
      </c>
      <c r="G664">
        <v>0.84236504340824003</v>
      </c>
      <c r="H664">
        <v>6.2049489983992401E-2</v>
      </c>
      <c r="I664">
        <v>2.3602586903348102</v>
      </c>
      <c r="J664">
        <v>14.81</v>
      </c>
      <c r="K664">
        <v>1857</v>
      </c>
      <c r="L664">
        <v>1546.7576687116564</v>
      </c>
    </row>
    <row r="665" spans="1:12">
      <c r="A665" s="14">
        <v>42884</v>
      </c>
      <c r="B665">
        <v>1872</v>
      </c>
      <c r="C665">
        <v>1862</v>
      </c>
      <c r="D665">
        <v>1890</v>
      </c>
      <c r="E665">
        <v>1878</v>
      </c>
      <c r="F665">
        <v>0.99148029818956296</v>
      </c>
      <c r="G665">
        <v>0.84062928303774098</v>
      </c>
      <c r="H665">
        <v>5.9704916453368499E-2</v>
      </c>
      <c r="I665">
        <v>2.5266096012317698</v>
      </c>
      <c r="J665">
        <v>15.21</v>
      </c>
      <c r="K665">
        <v>1862</v>
      </c>
      <c r="L665">
        <v>1546.7576687116564</v>
      </c>
    </row>
    <row r="666" spans="1:12">
      <c r="A666" s="14">
        <v>42881</v>
      </c>
      <c r="B666">
        <v>1879</v>
      </c>
      <c r="C666">
        <v>1873</v>
      </c>
      <c r="D666">
        <v>1866</v>
      </c>
      <c r="E666">
        <v>1882</v>
      </c>
      <c r="F666">
        <v>0.99521785334750201</v>
      </c>
      <c r="G666">
        <v>0.83908550262189496</v>
      </c>
      <c r="H666">
        <v>5.72300310401265E-2</v>
      </c>
      <c r="I666">
        <v>2.7281542205723399</v>
      </c>
      <c r="J666">
        <v>15.69</v>
      </c>
      <c r="K666">
        <v>1873</v>
      </c>
      <c r="L666">
        <v>1550.0521472392638</v>
      </c>
    </row>
    <row r="667" spans="1:12">
      <c r="A667" s="14">
        <v>42880</v>
      </c>
      <c r="B667">
        <v>1861</v>
      </c>
      <c r="C667">
        <v>1877</v>
      </c>
      <c r="D667">
        <v>1942</v>
      </c>
      <c r="E667">
        <v>1880</v>
      </c>
      <c r="F667">
        <v>0.998404255319148</v>
      </c>
      <c r="G667">
        <v>0.83777715421186305</v>
      </c>
      <c r="H667">
        <v>5.4711944023142202E-2</v>
      </c>
      <c r="I667">
        <v>2.9358690131599601</v>
      </c>
      <c r="J667">
        <v>16.09</v>
      </c>
      <c r="K667">
        <v>1877</v>
      </c>
      <c r="L667">
        <v>1548.40490797546</v>
      </c>
    </row>
    <row r="668" spans="1:12">
      <c r="A668" s="14">
        <v>42879</v>
      </c>
      <c r="B668">
        <v>1890</v>
      </c>
      <c r="C668">
        <v>1867</v>
      </c>
      <c r="D668">
        <v>1938</v>
      </c>
      <c r="E668">
        <v>1944</v>
      </c>
      <c r="F668">
        <v>0.96039094650205703</v>
      </c>
      <c r="G668">
        <v>0.83705684059354002</v>
      </c>
      <c r="H668">
        <v>5.2918692996329397E-2</v>
      </c>
      <c r="I668">
        <v>2.33063401465852</v>
      </c>
      <c r="J668">
        <v>12.84</v>
      </c>
      <c r="K668">
        <v>1867</v>
      </c>
      <c r="L668">
        <v>1601.1165644171779</v>
      </c>
    </row>
    <row r="669" spans="1:12">
      <c r="A669" s="14">
        <v>42878</v>
      </c>
      <c r="B669">
        <v>1880</v>
      </c>
      <c r="C669">
        <v>1894</v>
      </c>
      <c r="D669">
        <v>1928</v>
      </c>
      <c r="E669">
        <v>1910</v>
      </c>
      <c r="F669">
        <v>0.99162303664921403</v>
      </c>
      <c r="G669">
        <v>0.83636814714755403</v>
      </c>
      <c r="H669">
        <v>5.1629520515462102E-2</v>
      </c>
      <c r="I669">
        <v>3.0070953197243799</v>
      </c>
      <c r="J669">
        <v>15.66</v>
      </c>
      <c r="K669">
        <v>1894</v>
      </c>
      <c r="L669">
        <v>1573.1134969325153</v>
      </c>
    </row>
    <row r="670" spans="1:12">
      <c r="A670" s="14">
        <v>42877</v>
      </c>
      <c r="B670">
        <v>1898</v>
      </c>
      <c r="C670">
        <v>1884</v>
      </c>
      <c r="D670">
        <v>1972</v>
      </c>
      <c r="E670">
        <v>1936</v>
      </c>
      <c r="F670">
        <v>0.97314049586776796</v>
      </c>
      <c r="G670">
        <v>0.83600970511747197</v>
      </c>
      <c r="H670">
        <v>5.06341308219172E-2</v>
      </c>
      <c r="I670">
        <v>2.70826789211791</v>
      </c>
      <c r="J670">
        <v>14.09</v>
      </c>
      <c r="K670">
        <v>1884</v>
      </c>
      <c r="L670">
        <v>1594.5276073619632</v>
      </c>
    </row>
    <row r="671" spans="1:12">
      <c r="A671" s="14">
        <v>42874</v>
      </c>
      <c r="B671">
        <v>1885</v>
      </c>
      <c r="C671">
        <v>1882</v>
      </c>
      <c r="D671">
        <v>1918</v>
      </c>
      <c r="E671">
        <v>1948</v>
      </c>
      <c r="F671">
        <v>0.96611909650923999</v>
      </c>
      <c r="G671">
        <v>0.83606373827198299</v>
      </c>
      <c r="H671">
        <v>5.0782383476487697E-2</v>
      </c>
      <c r="I671">
        <v>2.56103296721927</v>
      </c>
      <c r="J671">
        <v>13.46</v>
      </c>
      <c r="K671">
        <v>1882</v>
      </c>
      <c r="L671">
        <v>1604.4110429447851</v>
      </c>
    </row>
    <row r="672" spans="1:12">
      <c r="A672" s="14">
        <v>42873</v>
      </c>
      <c r="B672">
        <v>1865</v>
      </c>
      <c r="C672">
        <v>1880</v>
      </c>
      <c r="D672">
        <v>1922</v>
      </c>
      <c r="E672">
        <v>1914</v>
      </c>
      <c r="F672">
        <v>0.98223615464994696</v>
      </c>
      <c r="G672">
        <v>0.83594470739615201</v>
      </c>
      <c r="H672">
        <v>5.0487005486696698E-2</v>
      </c>
      <c r="I672">
        <v>2.8976059452039</v>
      </c>
      <c r="J672">
        <v>14.89</v>
      </c>
      <c r="K672">
        <v>1880</v>
      </c>
      <c r="L672">
        <v>1576.4079754601225</v>
      </c>
    </row>
    <row r="673" spans="1:12">
      <c r="A673" s="14">
        <v>42872</v>
      </c>
      <c r="B673">
        <v>1862</v>
      </c>
      <c r="C673">
        <v>1895</v>
      </c>
      <c r="D673">
        <v>1966</v>
      </c>
      <c r="E673">
        <v>1952</v>
      </c>
      <c r="F673">
        <v>0.97079918032786805</v>
      </c>
      <c r="G673">
        <v>0.83563998734788303</v>
      </c>
      <c r="H673">
        <v>4.96654111837916E-2</v>
      </c>
      <c r="I673">
        <v>2.7213948250587401</v>
      </c>
      <c r="J673">
        <v>13.92</v>
      </c>
      <c r="K673">
        <v>1895</v>
      </c>
      <c r="L673">
        <v>1607.7055214723925</v>
      </c>
    </row>
    <row r="674" spans="1:12">
      <c r="A674" s="14">
        <v>42871</v>
      </c>
      <c r="B674">
        <v>1850</v>
      </c>
      <c r="C674">
        <v>1862</v>
      </c>
      <c r="D674">
        <v>2008</v>
      </c>
      <c r="E674">
        <v>2006</v>
      </c>
      <c r="F674">
        <v>0.92821535393818499</v>
      </c>
      <c r="G674">
        <v>0.835483256524854</v>
      </c>
      <c r="H674">
        <v>4.9255493315054098E-2</v>
      </c>
      <c r="I674">
        <v>1.88267523421573</v>
      </c>
      <c r="J674">
        <v>9.99</v>
      </c>
      <c r="K674">
        <v>1862</v>
      </c>
      <c r="L674">
        <v>1652.1809815950919</v>
      </c>
    </row>
    <row r="675" spans="1:12">
      <c r="A675" s="14">
        <v>42870</v>
      </c>
      <c r="B675">
        <v>1829</v>
      </c>
      <c r="C675">
        <v>1844</v>
      </c>
      <c r="D675">
        <v>2020</v>
      </c>
      <c r="E675">
        <v>1968</v>
      </c>
      <c r="F675">
        <v>0.93699186991869898</v>
      </c>
      <c r="G675">
        <v>0.83627625852705401</v>
      </c>
      <c r="H675">
        <v>5.11831237863586E-2</v>
      </c>
      <c r="I675">
        <v>1.96775038217749</v>
      </c>
      <c r="J675">
        <v>10.75</v>
      </c>
      <c r="K675">
        <v>1844</v>
      </c>
      <c r="L675">
        <v>1620.8834355828221</v>
      </c>
    </row>
    <row r="676" spans="1:12">
      <c r="A676" s="14">
        <v>42867</v>
      </c>
      <c r="B676">
        <v>1824</v>
      </c>
      <c r="C676">
        <v>1829</v>
      </c>
      <c r="D676">
        <v>2112</v>
      </c>
      <c r="E676">
        <v>2040</v>
      </c>
      <c r="F676">
        <v>0.89656862745097998</v>
      </c>
      <c r="G676">
        <v>0.83714014814097903</v>
      </c>
      <c r="H676">
        <v>5.3375585162377497E-2</v>
      </c>
      <c r="I676">
        <v>1.1134019257907699</v>
      </c>
      <c r="J676">
        <v>6.63</v>
      </c>
      <c r="K676">
        <v>1829</v>
      </c>
      <c r="L676">
        <v>1680.1840490797545</v>
      </c>
    </row>
    <row r="677" spans="1:12">
      <c r="A677" s="14">
        <v>42866</v>
      </c>
      <c r="B677">
        <v>1830</v>
      </c>
      <c r="C677">
        <v>1826</v>
      </c>
      <c r="D677">
        <v>2118</v>
      </c>
      <c r="E677">
        <v>2110</v>
      </c>
      <c r="F677">
        <v>0.86540284360189501</v>
      </c>
      <c r="G677">
        <v>0.83878302207712496</v>
      </c>
      <c r="H677">
        <v>5.6955672797863802E-2</v>
      </c>
      <c r="I677">
        <v>0.46737787856961199</v>
      </c>
      <c r="J677">
        <v>3.08</v>
      </c>
      <c r="K677">
        <v>1826</v>
      </c>
      <c r="L677">
        <v>1737.8374233128834</v>
      </c>
    </row>
    <row r="678" spans="1:12">
      <c r="A678" s="14">
        <v>42865</v>
      </c>
      <c r="B678">
        <v>1828</v>
      </c>
      <c r="C678">
        <v>1835</v>
      </c>
      <c r="D678">
        <v>2042</v>
      </c>
      <c r="E678">
        <v>2116</v>
      </c>
      <c r="F678">
        <v>0.86720226843100101</v>
      </c>
      <c r="G678">
        <v>0.84082397581916701</v>
      </c>
      <c r="H678">
        <v>6.0504997592544803E-2</v>
      </c>
      <c r="I678">
        <v>0.43596882342632698</v>
      </c>
      <c r="J678">
        <v>3.04</v>
      </c>
      <c r="K678">
        <v>1835</v>
      </c>
      <c r="L678">
        <v>1742.7791411042945</v>
      </c>
    </row>
    <row r="679" spans="1:12">
      <c r="A679" s="14">
        <v>42864</v>
      </c>
      <c r="B679">
        <v>1730</v>
      </c>
      <c r="C679">
        <v>1748</v>
      </c>
      <c r="D679">
        <v>2126</v>
      </c>
      <c r="E679">
        <v>2088</v>
      </c>
      <c r="F679">
        <v>0.83716475095785403</v>
      </c>
      <c r="G679">
        <v>0.84291628493811699</v>
      </c>
      <c r="H679">
        <v>6.39936861671975E-2</v>
      </c>
      <c r="I679">
        <v>-8.9876585093654204E-2</v>
      </c>
      <c r="J679">
        <v>-0.69</v>
      </c>
      <c r="K679">
        <v>1748</v>
      </c>
      <c r="L679">
        <v>1719.717791411043</v>
      </c>
    </row>
    <row r="680" spans="1:12">
      <c r="A680" s="14">
        <v>42863</v>
      </c>
      <c r="B680">
        <v>1706</v>
      </c>
      <c r="C680">
        <v>1730</v>
      </c>
      <c r="D680">
        <v>2126</v>
      </c>
      <c r="E680">
        <v>2124</v>
      </c>
      <c r="F680">
        <v>0.81450094161958497</v>
      </c>
      <c r="G680">
        <v>0.84533884089452604</v>
      </c>
      <c r="H680">
        <v>6.7094072526894699E-2</v>
      </c>
      <c r="I680">
        <v>-0.45962181327686502</v>
      </c>
      <c r="J680">
        <v>-3.79</v>
      </c>
      <c r="K680">
        <v>1730</v>
      </c>
      <c r="L680">
        <v>1749.3680981595091</v>
      </c>
    </row>
    <row r="681" spans="1:12">
      <c r="A681" s="14">
        <v>42857</v>
      </c>
      <c r="B681">
        <v>1698</v>
      </c>
      <c r="C681">
        <v>1690</v>
      </c>
      <c r="D681">
        <v>2116</v>
      </c>
      <c r="E681">
        <v>2090</v>
      </c>
      <c r="F681">
        <v>0.80861244019138701</v>
      </c>
      <c r="G681">
        <v>0.84813936003694002</v>
      </c>
      <c r="H681">
        <v>7.0066150645953895E-2</v>
      </c>
      <c r="I681">
        <v>-0.56413716867768604</v>
      </c>
      <c r="J681">
        <v>-4.8899999999999997</v>
      </c>
      <c r="K681">
        <v>1690</v>
      </c>
      <c r="L681">
        <v>1721.3650306748466</v>
      </c>
    </row>
    <row r="682" spans="1:12">
      <c r="A682" s="14">
        <v>42856</v>
      </c>
      <c r="B682">
        <v>1679</v>
      </c>
      <c r="C682">
        <v>1689</v>
      </c>
      <c r="D682">
        <v>2100</v>
      </c>
      <c r="E682">
        <v>2106</v>
      </c>
      <c r="F682">
        <v>0.80199430199430199</v>
      </c>
      <c r="G682">
        <v>0.85096363006515696</v>
      </c>
      <c r="H682">
        <v>7.2637849393519693E-2</v>
      </c>
      <c r="I682">
        <v>-0.67415718498989996</v>
      </c>
      <c r="J682">
        <v>-6.11</v>
      </c>
      <c r="K682">
        <v>1689</v>
      </c>
      <c r="L682">
        <v>1734.5429447852759</v>
      </c>
    </row>
    <row r="683" spans="1:12">
      <c r="A683" s="14">
        <v>42853</v>
      </c>
      <c r="B683">
        <v>1663</v>
      </c>
      <c r="C683">
        <v>1684</v>
      </c>
      <c r="D683">
        <v>2100</v>
      </c>
      <c r="E683">
        <v>2094</v>
      </c>
      <c r="F683">
        <v>0.80420248328557697</v>
      </c>
      <c r="G683">
        <v>0.85389840934402295</v>
      </c>
      <c r="H683">
        <v>7.5007903601085099E-2</v>
      </c>
      <c r="I683">
        <v>-0.66254252782137701</v>
      </c>
      <c r="J683">
        <v>-6.18</v>
      </c>
      <c r="K683">
        <v>1684</v>
      </c>
      <c r="L683">
        <v>1724.6595092024538</v>
      </c>
    </row>
    <row r="684" spans="1:12">
      <c r="A684" s="14">
        <v>42852</v>
      </c>
      <c r="B684">
        <v>1654</v>
      </c>
      <c r="C684">
        <v>1663</v>
      </c>
      <c r="D684">
        <v>2072</v>
      </c>
      <c r="E684">
        <v>2086</v>
      </c>
      <c r="F684">
        <v>0.79721955896452501</v>
      </c>
      <c r="G684">
        <v>0.85678915494503305</v>
      </c>
      <c r="H684">
        <v>7.7183180764650805E-2</v>
      </c>
      <c r="I684">
        <v>-0.77179503863865395</v>
      </c>
      <c r="J684">
        <v>-7.47</v>
      </c>
      <c r="K684">
        <v>1663</v>
      </c>
      <c r="L684">
        <v>1718.0705521472391</v>
      </c>
    </row>
    <row r="685" spans="1:12">
      <c r="A685" s="14">
        <v>42851</v>
      </c>
      <c r="B685">
        <v>1665</v>
      </c>
      <c r="C685">
        <v>1673</v>
      </c>
      <c r="D685">
        <v>2042</v>
      </c>
      <c r="E685">
        <v>2090</v>
      </c>
      <c r="F685">
        <v>0.80047846889952101</v>
      </c>
      <c r="G685">
        <v>0.86005992534555398</v>
      </c>
      <c r="H685">
        <v>7.9744679680197494E-2</v>
      </c>
      <c r="I685">
        <v>-0.74715274655280495</v>
      </c>
      <c r="J685">
        <v>-7.44</v>
      </c>
      <c r="K685">
        <v>1673</v>
      </c>
      <c r="L685">
        <v>1721.3650306748466</v>
      </c>
    </row>
    <row r="686" spans="1:12">
      <c r="A686" s="14">
        <v>42850</v>
      </c>
      <c r="B686">
        <v>1630</v>
      </c>
      <c r="C686">
        <v>1649</v>
      </c>
      <c r="D686">
        <v>1996</v>
      </c>
      <c r="E686">
        <v>2020</v>
      </c>
      <c r="F686">
        <v>0.81633663366336595</v>
      </c>
      <c r="G686">
        <v>0.86361020006595501</v>
      </c>
      <c r="H686">
        <v>8.2878719848526405E-2</v>
      </c>
      <c r="I686">
        <v>-0.57039450523594404</v>
      </c>
      <c r="J686">
        <v>-5.79</v>
      </c>
      <c r="K686">
        <v>1649</v>
      </c>
      <c r="L686">
        <v>1663.7116564417177</v>
      </c>
    </row>
    <row r="687" spans="1:12">
      <c r="A687" s="14">
        <v>42849</v>
      </c>
      <c r="B687">
        <v>1617</v>
      </c>
      <c r="C687">
        <v>1637</v>
      </c>
      <c r="D687">
        <v>2028</v>
      </c>
      <c r="E687">
        <v>1996</v>
      </c>
      <c r="F687">
        <v>0.82014028056112198</v>
      </c>
      <c r="G687">
        <v>0.86710773408901998</v>
      </c>
      <c r="H687">
        <v>8.6275277246184903E-2</v>
      </c>
      <c r="I687">
        <v>-0.54439064152615901</v>
      </c>
      <c r="J687">
        <v>-5.73</v>
      </c>
      <c r="K687">
        <v>1637</v>
      </c>
      <c r="L687">
        <v>1643.9447852760736</v>
      </c>
    </row>
    <row r="688" spans="1:12">
      <c r="A688" s="14">
        <v>42846</v>
      </c>
      <c r="B688">
        <v>1616</v>
      </c>
      <c r="C688">
        <v>1596</v>
      </c>
      <c r="D688">
        <v>1992</v>
      </c>
      <c r="E688">
        <v>2008</v>
      </c>
      <c r="F688">
        <v>0.79482071713147395</v>
      </c>
      <c r="G688">
        <v>0.870108224283899</v>
      </c>
      <c r="H688">
        <v>8.8474800709784501E-2</v>
      </c>
      <c r="I688">
        <v>-0.85094859268893297</v>
      </c>
      <c r="J688">
        <v>-9.4700000000000006</v>
      </c>
      <c r="K688">
        <v>1596</v>
      </c>
      <c r="L688">
        <v>1653.8282208588957</v>
      </c>
    </row>
    <row r="689" spans="1:12">
      <c r="A689" s="14">
        <v>42845</v>
      </c>
      <c r="B689">
        <v>1577</v>
      </c>
      <c r="C689">
        <v>1590</v>
      </c>
      <c r="D689">
        <v>1962</v>
      </c>
      <c r="E689">
        <v>1970</v>
      </c>
      <c r="F689">
        <v>0.807106598984771</v>
      </c>
      <c r="G689">
        <v>0.87304859189648598</v>
      </c>
      <c r="H689">
        <v>8.9581420121019897E-2</v>
      </c>
      <c r="I689">
        <v>-0.73611238605763396</v>
      </c>
      <c r="J689">
        <v>-8.17</v>
      </c>
      <c r="K689">
        <v>1590</v>
      </c>
      <c r="L689">
        <v>1622.5306748466257</v>
      </c>
    </row>
    <row r="690" spans="1:12">
      <c r="A690" s="14">
        <v>42844</v>
      </c>
      <c r="B690">
        <v>1559</v>
      </c>
      <c r="C690">
        <v>1578</v>
      </c>
      <c r="D690">
        <v>1920</v>
      </c>
      <c r="E690">
        <v>1966</v>
      </c>
      <c r="F690">
        <v>0.80264496439471</v>
      </c>
      <c r="G690">
        <v>0.87584621934734597</v>
      </c>
      <c r="H690">
        <v>9.0747153145494405E-2</v>
      </c>
      <c r="I690">
        <v>-0.80665070379974901</v>
      </c>
      <c r="J690">
        <v>-9.1199999999999992</v>
      </c>
      <c r="K690">
        <v>1578</v>
      </c>
      <c r="L690">
        <v>1619.2361963190183</v>
      </c>
    </row>
    <row r="691" spans="1:12">
      <c r="A691" s="14">
        <v>42843</v>
      </c>
      <c r="B691">
        <v>1570</v>
      </c>
      <c r="C691">
        <v>1575</v>
      </c>
      <c r="D691">
        <v>1924</v>
      </c>
      <c r="E691">
        <v>1936</v>
      </c>
      <c r="F691">
        <v>0.81353305785123897</v>
      </c>
      <c r="G691">
        <v>0.87877880012326404</v>
      </c>
      <c r="H691">
        <v>9.1880960152015898E-2</v>
      </c>
      <c r="I691">
        <v>-0.71011167236472394</v>
      </c>
      <c r="J691">
        <v>-8.02</v>
      </c>
      <c r="K691">
        <v>1575</v>
      </c>
      <c r="L691">
        <v>1594.5276073619632</v>
      </c>
    </row>
    <row r="692" spans="1:12">
      <c r="A692" s="14">
        <v>42842</v>
      </c>
      <c r="B692">
        <v>1567</v>
      </c>
      <c r="C692">
        <v>1575</v>
      </c>
      <c r="D692">
        <v>1906</v>
      </c>
      <c r="E692">
        <v>1896</v>
      </c>
      <c r="F692">
        <v>0.830696202531645</v>
      </c>
      <c r="G692">
        <v>0.88109448338292196</v>
      </c>
      <c r="H692">
        <v>9.2394538123961603E-2</v>
      </c>
      <c r="I692">
        <v>-0.54546818323459101</v>
      </c>
      <c r="J692">
        <v>-6.07</v>
      </c>
      <c r="K692">
        <v>1575</v>
      </c>
      <c r="L692">
        <v>1561.5828220858896</v>
      </c>
    </row>
    <row r="693" spans="1:12">
      <c r="A693" s="14">
        <v>42839</v>
      </c>
      <c r="B693">
        <v>1592</v>
      </c>
      <c r="C693">
        <v>1569</v>
      </c>
      <c r="D693">
        <v>1916</v>
      </c>
      <c r="E693">
        <v>1926</v>
      </c>
      <c r="F693">
        <v>0.81464174454828597</v>
      </c>
      <c r="G693">
        <v>0.88317829732944197</v>
      </c>
      <c r="H693">
        <v>9.29948286509414E-2</v>
      </c>
      <c r="I693">
        <v>-0.73699316161342598</v>
      </c>
      <c r="J693">
        <v>-8.41</v>
      </c>
      <c r="K693">
        <v>1569</v>
      </c>
      <c r="L693">
        <v>1586.2914110429447</v>
      </c>
    </row>
    <row r="694" spans="1:12">
      <c r="A694" s="14">
        <v>42838</v>
      </c>
      <c r="B694">
        <v>1588</v>
      </c>
      <c r="C694">
        <v>1593</v>
      </c>
      <c r="D694">
        <v>1896</v>
      </c>
      <c r="E694">
        <v>1904</v>
      </c>
      <c r="F694">
        <v>0.83665966386554602</v>
      </c>
      <c r="G694">
        <v>0.88576138347868705</v>
      </c>
      <c r="H694">
        <v>9.3742835648560494E-2</v>
      </c>
      <c r="I694">
        <v>-0.52379170390388197</v>
      </c>
      <c r="J694">
        <v>-5.87</v>
      </c>
      <c r="K694">
        <v>1593</v>
      </c>
      <c r="L694">
        <v>1568.1717791411043</v>
      </c>
    </row>
    <row r="695" spans="1:12">
      <c r="A695" s="14">
        <v>42837</v>
      </c>
      <c r="B695">
        <v>1596</v>
      </c>
      <c r="C695">
        <v>1612</v>
      </c>
      <c r="D695">
        <v>1942</v>
      </c>
      <c r="E695">
        <v>1932</v>
      </c>
      <c r="F695">
        <v>0.83436853002070299</v>
      </c>
      <c r="G695">
        <v>0.88803483407756501</v>
      </c>
      <c r="H695">
        <v>9.4588230303785201E-2</v>
      </c>
      <c r="I695">
        <v>-0.567367672325649</v>
      </c>
      <c r="J695">
        <v>-6.43</v>
      </c>
      <c r="K695">
        <v>1612</v>
      </c>
      <c r="L695">
        <v>1591.2331288343557</v>
      </c>
    </row>
    <row r="696" spans="1:12">
      <c r="A696" s="14">
        <v>42836</v>
      </c>
      <c r="B696">
        <v>1589</v>
      </c>
      <c r="C696">
        <v>1612</v>
      </c>
      <c r="D696">
        <v>1950</v>
      </c>
      <c r="E696">
        <v>1972</v>
      </c>
      <c r="F696">
        <v>0.81744421906693698</v>
      </c>
      <c r="G696">
        <v>0.89041890237988297</v>
      </c>
      <c r="H696">
        <v>9.5454936419138298E-2</v>
      </c>
      <c r="I696">
        <v>-0.76449355109847905</v>
      </c>
      <c r="J696">
        <v>-8.93</v>
      </c>
      <c r="K696">
        <v>1612</v>
      </c>
      <c r="L696">
        <v>1624.1779141104294</v>
      </c>
    </row>
    <row r="697" spans="1:12">
      <c r="A697" s="14">
        <v>42835</v>
      </c>
      <c r="B697">
        <v>1610</v>
      </c>
      <c r="C697">
        <v>1600</v>
      </c>
      <c r="D697">
        <v>1932</v>
      </c>
      <c r="E697">
        <v>1968</v>
      </c>
      <c r="F697">
        <v>0.81300813008130002</v>
      </c>
      <c r="G697">
        <v>0.892852979458991</v>
      </c>
      <c r="H697">
        <v>9.5889639636240698E-2</v>
      </c>
      <c r="I697">
        <v>-0.83267441279979204</v>
      </c>
      <c r="J697">
        <v>-9.82</v>
      </c>
      <c r="K697">
        <v>1600</v>
      </c>
      <c r="L697">
        <v>1620.8834355828221</v>
      </c>
    </row>
    <row r="698" spans="1:12">
      <c r="A698" s="14">
        <v>42832</v>
      </c>
      <c r="B698">
        <v>1577</v>
      </c>
      <c r="C698">
        <v>1586</v>
      </c>
      <c r="D698">
        <v>1924</v>
      </c>
      <c r="E698">
        <v>1924</v>
      </c>
      <c r="F698">
        <v>0.82432432432432401</v>
      </c>
      <c r="G698">
        <v>0.89528382622359903</v>
      </c>
      <c r="H698">
        <v>9.6145249417169495E-2</v>
      </c>
      <c r="I698">
        <v>-0.73804480543167506</v>
      </c>
      <c r="J698">
        <v>-8.61</v>
      </c>
      <c r="K698">
        <v>1586</v>
      </c>
      <c r="L698">
        <v>1584.6441717791411</v>
      </c>
    </row>
    <row r="699" spans="1:12">
      <c r="A699" s="14">
        <v>42831</v>
      </c>
      <c r="B699">
        <v>1604</v>
      </c>
      <c r="C699">
        <v>1568</v>
      </c>
      <c r="D699">
        <v>1934</v>
      </c>
      <c r="E699">
        <v>1910</v>
      </c>
      <c r="F699">
        <v>0.82094240837696297</v>
      </c>
      <c r="G699">
        <v>0.89753346868181605</v>
      </c>
      <c r="H699">
        <v>9.6432089663984893E-2</v>
      </c>
      <c r="I699">
        <v>-0.79424868393635795</v>
      </c>
      <c r="J699">
        <v>-9.33</v>
      </c>
      <c r="K699">
        <v>1568</v>
      </c>
      <c r="L699">
        <v>1573.1134969325153</v>
      </c>
    </row>
    <row r="700" spans="1:12">
      <c r="A700" s="14">
        <v>42830</v>
      </c>
      <c r="B700">
        <v>1608</v>
      </c>
      <c r="C700">
        <v>1613</v>
      </c>
      <c r="D700">
        <v>1920</v>
      </c>
      <c r="E700">
        <v>1934</v>
      </c>
      <c r="F700">
        <v>0.83402275077559396</v>
      </c>
      <c r="G700">
        <v>0.90004668940031196</v>
      </c>
      <c r="H700">
        <v>9.6858515567059295E-2</v>
      </c>
      <c r="I700">
        <v>-0.68165342239842897</v>
      </c>
      <c r="J700">
        <v>-7.92</v>
      </c>
      <c r="K700">
        <v>1613</v>
      </c>
      <c r="L700">
        <v>1592.8803680981594</v>
      </c>
    </row>
    <row r="701" spans="1:12">
      <c r="A701" s="14">
        <v>42829</v>
      </c>
      <c r="B701">
        <v>1620</v>
      </c>
      <c r="C701">
        <v>1613</v>
      </c>
      <c r="D701">
        <v>1966</v>
      </c>
      <c r="E701">
        <v>1914</v>
      </c>
      <c r="F701">
        <v>0.84273772204806596</v>
      </c>
      <c r="G701">
        <v>0.90224419746525197</v>
      </c>
      <c r="H701">
        <v>9.7204654457004699E-2</v>
      </c>
      <c r="I701">
        <v>-0.612177222887061</v>
      </c>
      <c r="J701">
        <v>-7.06</v>
      </c>
      <c r="K701">
        <v>1613</v>
      </c>
      <c r="L701">
        <v>1576.4079754601225</v>
      </c>
    </row>
    <row r="702" spans="1:12">
      <c r="A702" s="14">
        <v>42828</v>
      </c>
      <c r="B702">
        <v>1632</v>
      </c>
      <c r="C702">
        <v>1625</v>
      </c>
      <c r="D702">
        <v>1966</v>
      </c>
      <c r="E702">
        <v>1974</v>
      </c>
      <c r="F702">
        <v>0.823201621073961</v>
      </c>
      <c r="G702">
        <v>0.90452794372579504</v>
      </c>
      <c r="H702">
        <v>9.7790062089098601E-2</v>
      </c>
      <c r="I702">
        <v>-0.83164199832223795</v>
      </c>
      <c r="J702">
        <v>-9.8800000000000008</v>
      </c>
      <c r="K702">
        <v>1625</v>
      </c>
      <c r="L702">
        <v>1625.825153374233</v>
      </c>
    </row>
    <row r="703" spans="1:12">
      <c r="A703" s="14">
        <v>42825</v>
      </c>
      <c r="B703">
        <v>1621</v>
      </c>
      <c r="C703">
        <v>1611</v>
      </c>
      <c r="D703">
        <v>1990</v>
      </c>
      <c r="E703">
        <v>1956</v>
      </c>
      <c r="F703">
        <v>0.82361963190183995</v>
      </c>
      <c r="G703">
        <v>0.90663891210377701</v>
      </c>
      <c r="H703">
        <v>9.7720517431237497E-2</v>
      </c>
      <c r="I703">
        <v>-0.84955833620462295</v>
      </c>
      <c r="J703">
        <v>-10.08</v>
      </c>
      <c r="K703">
        <v>1611</v>
      </c>
      <c r="L703">
        <v>1611</v>
      </c>
    </row>
    <row r="704" spans="1:12">
      <c r="A704" s="14">
        <v>42824</v>
      </c>
      <c r="B704">
        <v>1619</v>
      </c>
      <c r="C704">
        <v>1612</v>
      </c>
      <c r="D704">
        <v>1984</v>
      </c>
      <c r="E704">
        <v>1976</v>
      </c>
      <c r="F704">
        <v>0.81578947368420995</v>
      </c>
    </row>
    <row r="705" spans="1:6">
      <c r="A705" s="14">
        <v>42823</v>
      </c>
      <c r="B705">
        <v>1644</v>
      </c>
      <c r="C705">
        <v>1628</v>
      </c>
      <c r="D705">
        <v>1982</v>
      </c>
      <c r="E705">
        <v>1978</v>
      </c>
      <c r="F705">
        <v>0.82305358948432705</v>
      </c>
    </row>
    <row r="706" spans="1:6">
      <c r="A706" s="14">
        <v>42822</v>
      </c>
      <c r="B706">
        <v>1645</v>
      </c>
      <c r="C706">
        <v>1653</v>
      </c>
      <c r="D706">
        <v>1946</v>
      </c>
      <c r="E706">
        <v>1972</v>
      </c>
      <c r="F706">
        <v>0.83823529411764697</v>
      </c>
    </row>
    <row r="707" spans="1:6">
      <c r="A707" s="14">
        <v>42821</v>
      </c>
      <c r="B707">
        <v>1640</v>
      </c>
      <c r="C707">
        <v>1631</v>
      </c>
      <c r="D707">
        <v>1900</v>
      </c>
      <c r="E707">
        <v>1914</v>
      </c>
      <c r="F707">
        <v>0.8521421107628</v>
      </c>
    </row>
    <row r="708" spans="1:6">
      <c r="A708" s="14">
        <v>42818</v>
      </c>
      <c r="B708">
        <v>1635</v>
      </c>
      <c r="C708">
        <v>1642</v>
      </c>
      <c r="D708">
        <v>1916</v>
      </c>
      <c r="E708">
        <v>1938</v>
      </c>
      <c r="F708">
        <v>0.84726522187822495</v>
      </c>
    </row>
    <row r="709" spans="1:6">
      <c r="A709" s="14">
        <v>42817</v>
      </c>
      <c r="B709">
        <v>1635</v>
      </c>
      <c r="C709">
        <v>1626</v>
      </c>
      <c r="D709">
        <v>1916</v>
      </c>
      <c r="E709">
        <v>1914</v>
      </c>
      <c r="F709">
        <v>0.84952978056426298</v>
      </c>
    </row>
    <row r="710" spans="1:6">
      <c r="A710" s="14">
        <v>42816</v>
      </c>
      <c r="B710">
        <v>1636</v>
      </c>
      <c r="C710">
        <v>1641</v>
      </c>
      <c r="D710">
        <v>1946</v>
      </c>
      <c r="E710">
        <v>1906</v>
      </c>
      <c r="F710">
        <v>0.86096537250786898</v>
      </c>
    </row>
    <row r="711" spans="1:6">
      <c r="A711" s="14">
        <v>42815</v>
      </c>
      <c r="B711">
        <v>1672</v>
      </c>
      <c r="C711">
        <v>1664</v>
      </c>
      <c r="D711">
        <v>1990</v>
      </c>
      <c r="E711">
        <v>2000</v>
      </c>
      <c r="F711">
        <v>0.83199999999999996</v>
      </c>
    </row>
    <row r="712" spans="1:6">
      <c r="A712" s="14">
        <v>42811</v>
      </c>
      <c r="B712">
        <v>1664</v>
      </c>
      <c r="C712">
        <v>1669</v>
      </c>
      <c r="D712">
        <v>2000</v>
      </c>
      <c r="E712">
        <v>1990</v>
      </c>
      <c r="F712">
        <v>0.83869346733668304</v>
      </c>
    </row>
    <row r="713" spans="1:6">
      <c r="A713" s="14">
        <v>42810</v>
      </c>
      <c r="B713">
        <v>1668</v>
      </c>
      <c r="C713">
        <v>1674</v>
      </c>
      <c r="D713">
        <v>2000</v>
      </c>
      <c r="E713">
        <v>2034</v>
      </c>
      <c r="F713">
        <v>0.82300884955752196</v>
      </c>
    </row>
    <row r="714" spans="1:6">
      <c r="A714" s="14">
        <v>42809</v>
      </c>
      <c r="B714">
        <v>1673</v>
      </c>
      <c r="C714">
        <v>1671</v>
      </c>
      <c r="D714">
        <v>2034</v>
      </c>
      <c r="E714">
        <v>2014</v>
      </c>
      <c r="F714">
        <v>0.82969215491559001</v>
      </c>
    </row>
    <row r="715" spans="1:6">
      <c r="A715" s="14">
        <v>42808</v>
      </c>
      <c r="B715">
        <v>1674</v>
      </c>
      <c r="C715">
        <v>1670</v>
      </c>
      <c r="D715">
        <v>2050</v>
      </c>
      <c r="E715">
        <v>2058</v>
      </c>
      <c r="F715">
        <v>0.81146744412050498</v>
      </c>
    </row>
    <row r="716" spans="1:6">
      <c r="A716" s="14">
        <v>42807</v>
      </c>
      <c r="B716">
        <v>1650</v>
      </c>
      <c r="C716">
        <v>1663</v>
      </c>
      <c r="D716">
        <v>2030</v>
      </c>
      <c r="E716">
        <v>2044</v>
      </c>
      <c r="F716">
        <v>0.81360078277886405</v>
      </c>
    </row>
    <row r="717" spans="1:6">
      <c r="A717" s="14">
        <v>42804</v>
      </c>
      <c r="B717">
        <v>1655</v>
      </c>
      <c r="C717">
        <v>1640</v>
      </c>
      <c r="D717">
        <v>2100</v>
      </c>
      <c r="E717">
        <v>2038</v>
      </c>
      <c r="F717">
        <v>0.80471050049067705</v>
      </c>
    </row>
    <row r="718" spans="1:6">
      <c r="A718" s="14">
        <v>42803</v>
      </c>
      <c r="B718">
        <v>1608</v>
      </c>
      <c r="C718">
        <v>1622</v>
      </c>
      <c r="D718">
        <v>2052</v>
      </c>
      <c r="E718">
        <v>2072</v>
      </c>
      <c r="F718">
        <v>0.78281853281853198</v>
      </c>
    </row>
    <row r="719" spans="1:6">
      <c r="A719" s="14">
        <v>42802</v>
      </c>
      <c r="B719">
        <v>1598</v>
      </c>
      <c r="C719">
        <v>1601</v>
      </c>
      <c r="D719">
        <v>2020</v>
      </c>
      <c r="E719">
        <v>2046</v>
      </c>
      <c r="F719">
        <v>0.78250244379276601</v>
      </c>
    </row>
    <row r="720" spans="1:6">
      <c r="A720" s="14">
        <v>42801</v>
      </c>
      <c r="B720">
        <v>1574</v>
      </c>
      <c r="C720">
        <v>1592</v>
      </c>
      <c r="D720">
        <v>2032</v>
      </c>
      <c r="E720">
        <v>2038</v>
      </c>
      <c r="F720">
        <v>0.78115799803729102</v>
      </c>
    </row>
    <row r="721" spans="1:6">
      <c r="A721" s="14">
        <v>42800</v>
      </c>
      <c r="B721">
        <v>1564</v>
      </c>
      <c r="C721">
        <v>1573</v>
      </c>
      <c r="D721">
        <v>1984</v>
      </c>
      <c r="E721">
        <v>2024</v>
      </c>
      <c r="F721">
        <v>0.77717391304347805</v>
      </c>
    </row>
    <row r="722" spans="1:6">
      <c r="A722" s="14">
        <v>42797</v>
      </c>
      <c r="B722">
        <v>1577</v>
      </c>
      <c r="C722">
        <v>1558</v>
      </c>
      <c r="D722">
        <v>1994</v>
      </c>
      <c r="E722">
        <v>1984</v>
      </c>
      <c r="F722">
        <v>0.78528225806451601</v>
      </c>
    </row>
    <row r="723" spans="1:6">
      <c r="A723" s="14">
        <v>42796</v>
      </c>
      <c r="B723">
        <v>1558</v>
      </c>
      <c r="C723">
        <v>1566</v>
      </c>
      <c r="D723">
        <v>2020</v>
      </c>
      <c r="E723">
        <v>1988</v>
      </c>
      <c r="F723">
        <v>0.78772635814889302</v>
      </c>
    </row>
    <row r="724" spans="1:6">
      <c r="A724" s="14">
        <v>42795</v>
      </c>
      <c r="B724">
        <v>1500</v>
      </c>
      <c r="C724">
        <v>1541</v>
      </c>
      <c r="D724">
        <v>1960</v>
      </c>
      <c r="E724">
        <v>1964</v>
      </c>
      <c r="F724">
        <v>0.78462321792260603</v>
      </c>
    </row>
    <row r="725" spans="1:6">
      <c r="A725" s="14">
        <v>42794</v>
      </c>
      <c r="B725">
        <v>1580</v>
      </c>
      <c r="C725">
        <v>1558</v>
      </c>
      <c r="D725">
        <v>1950</v>
      </c>
      <c r="E725">
        <v>1954</v>
      </c>
      <c r="F725">
        <v>0.79733879222108495</v>
      </c>
    </row>
    <row r="726" spans="1:6">
      <c r="A726" s="14">
        <v>42793</v>
      </c>
      <c r="B726">
        <v>1575</v>
      </c>
      <c r="C726">
        <v>1584</v>
      </c>
      <c r="D726">
        <v>1916</v>
      </c>
      <c r="E726">
        <v>1930</v>
      </c>
      <c r="F726">
        <v>0.82072538860103605</v>
      </c>
    </row>
    <row r="727" spans="1:6">
      <c r="A727" s="14">
        <v>42790</v>
      </c>
      <c r="B727">
        <v>1575</v>
      </c>
      <c r="C727">
        <v>1586</v>
      </c>
      <c r="D727">
        <v>1982</v>
      </c>
      <c r="E727">
        <v>1970</v>
      </c>
      <c r="F727">
        <v>0.80507614213197898</v>
      </c>
    </row>
    <row r="728" spans="1:6">
      <c r="A728" s="14">
        <v>42789</v>
      </c>
      <c r="B728">
        <v>1591</v>
      </c>
      <c r="C728">
        <v>1592</v>
      </c>
      <c r="D728">
        <v>2040</v>
      </c>
      <c r="E728">
        <v>2014</v>
      </c>
      <c r="F728">
        <v>0.79046673286990998</v>
      </c>
    </row>
    <row r="729" spans="1:6">
      <c r="A729" s="14">
        <v>42788</v>
      </c>
      <c r="B729">
        <v>1591</v>
      </c>
      <c r="C729">
        <v>1586</v>
      </c>
      <c r="D729">
        <v>2026</v>
      </c>
      <c r="E729">
        <v>2022</v>
      </c>
      <c r="F729">
        <v>0.78437190900098896</v>
      </c>
    </row>
    <row r="730" spans="1:6">
      <c r="A730" s="14">
        <v>42787</v>
      </c>
      <c r="B730">
        <v>1586</v>
      </c>
      <c r="C730">
        <v>1583</v>
      </c>
      <c r="D730">
        <v>2030</v>
      </c>
      <c r="E730">
        <v>2030</v>
      </c>
      <c r="F730">
        <v>0.779802955665024</v>
      </c>
    </row>
    <row r="731" spans="1:6">
      <c r="A731" s="14">
        <v>42786</v>
      </c>
      <c r="B731">
        <v>1590</v>
      </c>
      <c r="C731">
        <v>1592</v>
      </c>
      <c r="D731">
        <v>1976</v>
      </c>
      <c r="E731">
        <v>2008</v>
      </c>
      <c r="F731">
        <v>0.79282868525896399</v>
      </c>
    </row>
    <row r="732" spans="1:6">
      <c r="A732" s="14">
        <v>42783</v>
      </c>
      <c r="B732">
        <v>1590</v>
      </c>
      <c r="C732">
        <v>1593</v>
      </c>
      <c r="D732">
        <v>1994</v>
      </c>
      <c r="E732">
        <v>1988</v>
      </c>
      <c r="F732">
        <v>0.80130784708249403</v>
      </c>
    </row>
    <row r="733" spans="1:6">
      <c r="A733" s="14">
        <v>42782</v>
      </c>
      <c r="B733">
        <v>1600</v>
      </c>
      <c r="C733">
        <v>1594</v>
      </c>
      <c r="D733">
        <v>1978</v>
      </c>
      <c r="E733">
        <v>1994</v>
      </c>
      <c r="F733">
        <v>0.79939819458375105</v>
      </c>
    </row>
    <row r="734" spans="1:6">
      <c r="A734" s="14">
        <v>42781</v>
      </c>
      <c r="B734">
        <v>1577</v>
      </c>
      <c r="C734">
        <v>1585</v>
      </c>
      <c r="D734">
        <v>1934</v>
      </c>
      <c r="E734">
        <v>1976</v>
      </c>
      <c r="F734">
        <v>0.80212550607287403</v>
      </c>
    </row>
    <row r="735" spans="1:6">
      <c r="A735" s="14">
        <v>42780</v>
      </c>
      <c r="B735">
        <v>1573</v>
      </c>
      <c r="C735">
        <v>1567</v>
      </c>
      <c r="D735">
        <v>1906</v>
      </c>
      <c r="E735">
        <v>1904</v>
      </c>
      <c r="F735">
        <v>0.82300420168067201</v>
      </c>
    </row>
    <row r="736" spans="1:6">
      <c r="A736" s="14">
        <v>42779</v>
      </c>
      <c r="B736">
        <v>1568</v>
      </c>
      <c r="C736">
        <v>1567</v>
      </c>
      <c r="D736">
        <v>1896</v>
      </c>
      <c r="E736">
        <v>1892</v>
      </c>
      <c r="F736">
        <v>0.82822410147991499</v>
      </c>
    </row>
    <row r="737" spans="1:6">
      <c r="A737" s="14">
        <v>42776</v>
      </c>
      <c r="B737">
        <v>1566</v>
      </c>
      <c r="C737">
        <v>1560</v>
      </c>
      <c r="D737">
        <v>1838</v>
      </c>
      <c r="E737">
        <v>1868</v>
      </c>
      <c r="F737">
        <v>0.83511777301927104</v>
      </c>
    </row>
    <row r="738" spans="1:6">
      <c r="A738" s="14">
        <v>42775</v>
      </c>
      <c r="B738">
        <v>1548</v>
      </c>
      <c r="C738">
        <v>1542</v>
      </c>
      <c r="D738">
        <v>1820</v>
      </c>
      <c r="E738">
        <v>1816</v>
      </c>
      <c r="F738">
        <v>0.84911894273127697</v>
      </c>
    </row>
    <row r="739" spans="1:6">
      <c r="A739" s="14">
        <v>42774</v>
      </c>
      <c r="B739">
        <v>1549</v>
      </c>
      <c r="C739">
        <v>1561</v>
      </c>
      <c r="D739">
        <v>1796</v>
      </c>
      <c r="E739">
        <v>1818</v>
      </c>
      <c r="F739">
        <v>0.85863586358635802</v>
      </c>
    </row>
    <row r="740" spans="1:6">
      <c r="A740" s="14">
        <v>42773</v>
      </c>
      <c r="B740">
        <v>1595</v>
      </c>
      <c r="C740">
        <v>1571</v>
      </c>
      <c r="D740">
        <v>1768</v>
      </c>
      <c r="E740">
        <v>1794</v>
      </c>
      <c r="F740">
        <v>0.87569676700111398</v>
      </c>
    </row>
    <row r="741" spans="1:6">
      <c r="A741" s="14">
        <v>42772</v>
      </c>
      <c r="B741">
        <v>1652</v>
      </c>
      <c r="C741">
        <v>1604</v>
      </c>
      <c r="D741">
        <v>1764</v>
      </c>
      <c r="E741">
        <v>1788</v>
      </c>
      <c r="F741">
        <v>0.89709172259507797</v>
      </c>
    </row>
    <row r="742" spans="1:6">
      <c r="A742" s="14">
        <v>42769</v>
      </c>
      <c r="B742">
        <v>1644</v>
      </c>
      <c r="C742">
        <v>1647</v>
      </c>
      <c r="D742">
        <v>1798</v>
      </c>
      <c r="E742">
        <v>1744</v>
      </c>
      <c r="F742">
        <v>0.94438073394495403</v>
      </c>
    </row>
    <row r="743" spans="1:6">
      <c r="A743" s="14">
        <v>42768</v>
      </c>
      <c r="B743">
        <v>1662</v>
      </c>
      <c r="C743">
        <v>1643</v>
      </c>
      <c r="D743">
        <v>1746</v>
      </c>
      <c r="E743">
        <v>1808</v>
      </c>
      <c r="F743">
        <v>0.90873893805309702</v>
      </c>
    </row>
    <row r="744" spans="1:6">
      <c r="A744" s="14">
        <v>42767</v>
      </c>
      <c r="B744">
        <v>1651</v>
      </c>
      <c r="C744">
        <v>1669</v>
      </c>
      <c r="D744">
        <v>1680</v>
      </c>
      <c r="E744">
        <v>1730</v>
      </c>
      <c r="F744">
        <v>0.96473988439306302</v>
      </c>
    </row>
    <row r="745" spans="1:6">
      <c r="A745" s="14">
        <v>42766</v>
      </c>
      <c r="B745">
        <v>1673</v>
      </c>
      <c r="C745">
        <v>1671</v>
      </c>
      <c r="D745">
        <v>1728</v>
      </c>
      <c r="E745">
        <v>1710</v>
      </c>
      <c r="F745">
        <v>0.97719298245613995</v>
      </c>
    </row>
    <row r="746" spans="1:6">
      <c r="A746" s="14">
        <v>42765</v>
      </c>
      <c r="B746">
        <v>1664</v>
      </c>
      <c r="C746">
        <v>1677</v>
      </c>
      <c r="D746">
        <v>1740</v>
      </c>
      <c r="E746">
        <v>1752</v>
      </c>
      <c r="F746">
        <v>0.95719178082191703</v>
      </c>
    </row>
    <row r="747" spans="1:6">
      <c r="A747" s="14">
        <v>42762</v>
      </c>
      <c r="B747">
        <v>1689</v>
      </c>
      <c r="C747">
        <v>1677</v>
      </c>
      <c r="D747">
        <v>1760</v>
      </c>
      <c r="E747">
        <v>1748</v>
      </c>
      <c r="F747">
        <v>0.959382151029748</v>
      </c>
    </row>
    <row r="748" spans="1:6">
      <c r="A748" s="14">
        <v>42761</v>
      </c>
      <c r="B748">
        <v>1695</v>
      </c>
      <c r="C748">
        <v>1686</v>
      </c>
      <c r="D748">
        <v>1720</v>
      </c>
      <c r="E748">
        <v>1758</v>
      </c>
      <c r="F748">
        <v>0.95904436860068198</v>
      </c>
    </row>
    <row r="749" spans="1:6">
      <c r="A749" s="14">
        <v>42760</v>
      </c>
      <c r="B749">
        <v>1705</v>
      </c>
      <c r="C749">
        <v>1685</v>
      </c>
      <c r="D749">
        <v>1706</v>
      </c>
      <c r="E749">
        <v>1706</v>
      </c>
      <c r="F749">
        <v>0.98769050410316495</v>
      </c>
    </row>
    <row r="750" spans="1:6">
      <c r="A750" s="14">
        <v>42759</v>
      </c>
      <c r="B750">
        <v>1698</v>
      </c>
      <c r="C750">
        <v>1685</v>
      </c>
      <c r="D750">
        <v>1668</v>
      </c>
      <c r="E750">
        <v>1682</v>
      </c>
      <c r="F750">
        <v>1.0017835909631301</v>
      </c>
    </row>
    <row r="751" spans="1:6">
      <c r="A751" s="14">
        <v>42758</v>
      </c>
      <c r="B751">
        <v>1679</v>
      </c>
      <c r="C751">
        <v>1701</v>
      </c>
      <c r="D751">
        <v>1692</v>
      </c>
      <c r="E751">
        <v>1668</v>
      </c>
      <c r="F751">
        <v>1.0197841726618699</v>
      </c>
    </row>
    <row r="752" spans="1:6">
      <c r="A752" s="14">
        <v>42755</v>
      </c>
      <c r="B752">
        <v>1704</v>
      </c>
      <c r="C752">
        <v>1709</v>
      </c>
      <c r="D752">
        <v>1650</v>
      </c>
      <c r="E752">
        <v>1678</v>
      </c>
      <c r="F752">
        <v>1.0184743742550599</v>
      </c>
    </row>
    <row r="753" spans="1:6">
      <c r="A753" s="14">
        <v>42754</v>
      </c>
      <c r="B753">
        <v>1704</v>
      </c>
      <c r="C753">
        <v>1698</v>
      </c>
      <c r="D753">
        <v>1656</v>
      </c>
      <c r="E753">
        <v>1658</v>
      </c>
      <c r="F753">
        <v>1.0241254523522301</v>
      </c>
    </row>
    <row r="754" spans="1:6">
      <c r="A754" s="14">
        <v>42753</v>
      </c>
      <c r="B754">
        <v>1690</v>
      </c>
      <c r="C754">
        <v>1675</v>
      </c>
      <c r="D754">
        <v>1608</v>
      </c>
      <c r="E754">
        <v>1644</v>
      </c>
      <c r="F754">
        <v>1.01885644768856</v>
      </c>
    </row>
    <row r="755" spans="1:6">
      <c r="A755" s="14">
        <v>42752</v>
      </c>
      <c r="B755">
        <v>1701</v>
      </c>
      <c r="C755">
        <v>1670</v>
      </c>
      <c r="D755">
        <v>1676</v>
      </c>
      <c r="E755">
        <v>1630</v>
      </c>
      <c r="F755">
        <v>1.02453987730061</v>
      </c>
    </row>
    <row r="756" spans="1:6">
      <c r="A756" s="14">
        <v>42751</v>
      </c>
      <c r="B756">
        <v>1691</v>
      </c>
      <c r="C756">
        <v>1698</v>
      </c>
      <c r="D756">
        <v>1668</v>
      </c>
      <c r="E756">
        <v>1664</v>
      </c>
      <c r="F756">
        <v>1.0204326923076901</v>
      </c>
    </row>
    <row r="757" spans="1:6">
      <c r="A757" s="14">
        <v>42748</v>
      </c>
      <c r="B757">
        <v>1694</v>
      </c>
      <c r="C757">
        <v>1711</v>
      </c>
      <c r="D757">
        <v>1664</v>
      </c>
      <c r="E757">
        <v>1674</v>
      </c>
      <c r="F757">
        <v>1.02210274790919</v>
      </c>
    </row>
    <row r="758" spans="1:6">
      <c r="A758" s="14">
        <v>42747</v>
      </c>
      <c r="B758">
        <v>1714</v>
      </c>
      <c r="C758">
        <v>1701</v>
      </c>
      <c r="D758">
        <v>1656</v>
      </c>
      <c r="E758">
        <v>1666</v>
      </c>
      <c r="F758">
        <v>1.02100840336134</v>
      </c>
    </row>
    <row r="759" spans="1:6">
      <c r="A759" s="14">
        <v>42746</v>
      </c>
      <c r="B759">
        <v>1722</v>
      </c>
      <c r="C759">
        <v>1716</v>
      </c>
      <c r="D759">
        <v>1632</v>
      </c>
      <c r="E759">
        <v>1646</v>
      </c>
      <c r="F759">
        <v>1.04252733900364</v>
      </c>
    </row>
    <row r="760" spans="1:6">
      <c r="A760" s="14">
        <v>42745</v>
      </c>
      <c r="B760">
        <v>1715</v>
      </c>
      <c r="C760">
        <v>1726</v>
      </c>
      <c r="D760">
        <v>1602</v>
      </c>
      <c r="E760">
        <v>1618</v>
      </c>
      <c r="F760">
        <v>1.0667490729295399</v>
      </c>
    </row>
    <row r="761" spans="1:6">
      <c r="A761" s="14">
        <v>42741</v>
      </c>
      <c r="B761">
        <v>1705</v>
      </c>
      <c r="C761">
        <v>1728</v>
      </c>
      <c r="D761">
        <v>1578</v>
      </c>
      <c r="E761">
        <v>1602</v>
      </c>
      <c r="F761">
        <v>1.07865168539325</v>
      </c>
    </row>
    <row r="762" spans="1:6">
      <c r="A762" s="14">
        <v>42740</v>
      </c>
      <c r="B762">
        <v>1728</v>
      </c>
      <c r="C762">
        <v>1712</v>
      </c>
      <c r="D762">
        <v>1692</v>
      </c>
      <c r="E762">
        <v>1638</v>
      </c>
      <c r="F762">
        <v>1.0451770451770399</v>
      </c>
    </row>
    <row r="763" spans="1:6">
      <c r="A763" s="14">
        <v>42739</v>
      </c>
      <c r="B763">
        <v>1697</v>
      </c>
      <c r="C763">
        <v>1720</v>
      </c>
      <c r="D763">
        <v>1658</v>
      </c>
      <c r="E763">
        <v>1694</v>
      </c>
      <c r="F763">
        <v>1.01534828807556</v>
      </c>
    </row>
    <row r="764" spans="1:6">
      <c r="A764" s="14">
        <v>42734</v>
      </c>
      <c r="B764">
        <v>1663</v>
      </c>
      <c r="C764">
        <v>1682</v>
      </c>
      <c r="D764">
        <v>1624</v>
      </c>
      <c r="E764">
        <v>1654</v>
      </c>
      <c r="F764">
        <v>1.01692865779927</v>
      </c>
    </row>
    <row r="765" spans="1:6">
      <c r="A765" s="14">
        <v>42733</v>
      </c>
      <c r="B765">
        <v>1693</v>
      </c>
      <c r="C765">
        <v>1675</v>
      </c>
      <c r="D765">
        <v>1696</v>
      </c>
      <c r="E765">
        <v>1638</v>
      </c>
      <c r="F765">
        <v>1.0225885225885201</v>
      </c>
    </row>
    <row r="766" spans="1:6">
      <c r="A766" s="14">
        <v>42732</v>
      </c>
      <c r="B766">
        <v>1672</v>
      </c>
      <c r="C766">
        <v>1698</v>
      </c>
      <c r="D766">
        <v>1690</v>
      </c>
      <c r="E766">
        <v>1720</v>
      </c>
      <c r="F766">
        <v>0.98720930232558102</v>
      </c>
    </row>
    <row r="767" spans="1:6">
      <c r="A767" s="14">
        <v>42731</v>
      </c>
      <c r="B767">
        <v>1682</v>
      </c>
      <c r="C767">
        <v>1668</v>
      </c>
      <c r="D767">
        <v>1692</v>
      </c>
      <c r="E767">
        <v>1690</v>
      </c>
      <c r="F767">
        <v>0.98698224852071004</v>
      </c>
    </row>
    <row r="768" spans="1:6">
      <c r="A768" s="14">
        <v>42730</v>
      </c>
      <c r="B768">
        <v>1679</v>
      </c>
      <c r="C768">
        <v>1686</v>
      </c>
      <c r="D768">
        <v>1668</v>
      </c>
      <c r="E768">
        <v>1672</v>
      </c>
      <c r="F768">
        <v>1.0083732057416199</v>
      </c>
    </row>
    <row r="769" spans="1:6">
      <c r="A769" s="14">
        <v>42726</v>
      </c>
      <c r="B769">
        <v>1689</v>
      </c>
      <c r="C769">
        <v>1686</v>
      </c>
      <c r="D769">
        <v>1662</v>
      </c>
      <c r="E769">
        <v>1674</v>
      </c>
      <c r="F769">
        <v>1.0071684587813601</v>
      </c>
    </row>
    <row r="770" spans="1:6">
      <c r="A770" s="14">
        <v>42725</v>
      </c>
      <c r="B770">
        <v>1711</v>
      </c>
      <c r="C770">
        <v>1692</v>
      </c>
      <c r="D770">
        <v>1718</v>
      </c>
      <c r="E770">
        <v>1670</v>
      </c>
      <c r="F770">
        <v>1.01317365269461</v>
      </c>
    </row>
    <row r="771" spans="1:6">
      <c r="A771" s="14">
        <v>42724</v>
      </c>
      <c r="B771">
        <v>1701</v>
      </c>
      <c r="C771">
        <v>1718</v>
      </c>
      <c r="D771">
        <v>1694</v>
      </c>
      <c r="E771">
        <v>1718</v>
      </c>
      <c r="F771">
        <v>1</v>
      </c>
    </row>
    <row r="772" spans="1:6">
      <c r="A772" s="14">
        <v>42723</v>
      </c>
      <c r="B772">
        <v>1702</v>
      </c>
      <c r="C772">
        <v>1702</v>
      </c>
      <c r="D772">
        <v>1720</v>
      </c>
      <c r="E772">
        <v>1710</v>
      </c>
      <c r="F772">
        <v>0.99532163742690005</v>
      </c>
    </row>
    <row r="773" spans="1:6">
      <c r="A773" s="14">
        <v>42720</v>
      </c>
      <c r="B773">
        <v>1735</v>
      </c>
      <c r="C773">
        <v>1714</v>
      </c>
      <c r="D773">
        <v>1716</v>
      </c>
      <c r="E773">
        <v>1726</v>
      </c>
      <c r="F773">
        <v>0.99304750869061398</v>
      </c>
    </row>
    <row r="774" spans="1:6">
      <c r="A774" s="14">
        <v>42719</v>
      </c>
      <c r="B774">
        <v>1720</v>
      </c>
      <c r="C774">
        <v>1712</v>
      </c>
      <c r="D774">
        <v>1718</v>
      </c>
      <c r="E774">
        <v>1696</v>
      </c>
      <c r="F774">
        <v>1.0094339622641499</v>
      </c>
    </row>
    <row r="775" spans="1:6">
      <c r="A775" s="14">
        <v>42718</v>
      </c>
      <c r="B775">
        <v>1735</v>
      </c>
      <c r="C775">
        <v>1716</v>
      </c>
      <c r="D775">
        <v>1712</v>
      </c>
      <c r="E775">
        <v>1718</v>
      </c>
      <c r="F775">
        <v>0.9988358556461</v>
      </c>
    </row>
    <row r="776" spans="1:6">
      <c r="A776" s="14">
        <v>42717</v>
      </c>
      <c r="B776">
        <v>1711</v>
      </c>
      <c r="C776">
        <v>1736</v>
      </c>
      <c r="D776">
        <v>1702</v>
      </c>
      <c r="E776">
        <v>1712</v>
      </c>
      <c r="F776">
        <v>1.0140186915887801</v>
      </c>
    </row>
    <row r="777" spans="1:6">
      <c r="A777" s="14">
        <v>42716</v>
      </c>
      <c r="B777">
        <v>1718</v>
      </c>
      <c r="C777">
        <v>1700</v>
      </c>
      <c r="D777">
        <v>1758</v>
      </c>
      <c r="E777">
        <v>1732</v>
      </c>
      <c r="F777">
        <v>0.98152424942263194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3"/>
    <col min="4" max="4" width="9.875" customWidth="1"/>
    <col min="19" max="19" width="15" customWidth="1"/>
    <col min="22" max="22" width="11.25" customWidth="1"/>
  </cols>
  <sheetData>
    <row r="1" spans="1:34">
      <c r="B1" s="107" t="s">
        <v>306</v>
      </c>
      <c r="C1" s="107" t="s">
        <v>34</v>
      </c>
      <c r="D1" s="107" t="s">
        <v>35</v>
      </c>
      <c r="E1" s="107" t="s">
        <v>36</v>
      </c>
      <c r="F1" s="107" t="s">
        <v>37</v>
      </c>
      <c r="G1" s="107" t="s">
        <v>38</v>
      </c>
      <c r="H1" s="107" t="s">
        <v>39</v>
      </c>
      <c r="I1" s="107" t="s">
        <v>40</v>
      </c>
      <c r="J1" s="107" t="s">
        <v>25</v>
      </c>
      <c r="K1" s="107" t="s">
        <v>41</v>
      </c>
      <c r="L1" s="107" t="s">
        <v>42</v>
      </c>
      <c r="M1" s="107" t="s">
        <v>43</v>
      </c>
      <c r="N1" s="107" t="s">
        <v>44</v>
      </c>
      <c r="O1" s="107" t="s">
        <v>45</v>
      </c>
      <c r="P1" s="107" t="s">
        <v>46</v>
      </c>
      <c r="Q1" s="107" t="s">
        <v>47</v>
      </c>
      <c r="R1" s="107" t="s">
        <v>48</v>
      </c>
      <c r="S1" s="107" t="s">
        <v>49</v>
      </c>
      <c r="T1" s="107" t="s">
        <v>74</v>
      </c>
      <c r="U1" s="107" t="s">
        <v>50</v>
      </c>
      <c r="V1" s="107" t="s">
        <v>51</v>
      </c>
      <c r="W1" s="107" t="s">
        <v>52</v>
      </c>
      <c r="X1" s="107" t="s">
        <v>53</v>
      </c>
      <c r="Y1" s="107" t="s">
        <v>54</v>
      </c>
      <c r="Z1" s="107" t="s">
        <v>55</v>
      </c>
      <c r="AA1" s="107" t="s">
        <v>56</v>
      </c>
      <c r="AB1" s="107" t="s">
        <v>57</v>
      </c>
      <c r="AC1" s="107" t="s">
        <v>58</v>
      </c>
      <c r="AD1" s="107" t="s">
        <v>59</v>
      </c>
      <c r="AE1" s="107" t="s">
        <v>60</v>
      </c>
      <c r="AF1" s="107" t="s">
        <v>75</v>
      </c>
      <c r="AG1" s="107" t="s">
        <v>76</v>
      </c>
      <c r="AH1" s="107" t="s">
        <v>77</v>
      </c>
    </row>
    <row r="2" spans="1:34">
      <c r="A2" s="103">
        <v>66</v>
      </c>
      <c r="B2" s="107">
        <v>7189</v>
      </c>
      <c r="C2" s="107" t="s">
        <v>81</v>
      </c>
      <c r="D2" s="107" t="s">
        <v>82</v>
      </c>
      <c r="E2" s="107">
        <v>873</v>
      </c>
      <c r="F2" s="107">
        <v>879</v>
      </c>
      <c r="G2" s="107">
        <v>1200</v>
      </c>
      <c r="H2" s="107" t="s">
        <v>63</v>
      </c>
      <c r="I2" s="107">
        <v>7278</v>
      </c>
      <c r="J2" s="107" t="s">
        <v>83</v>
      </c>
      <c r="K2" s="107" t="s">
        <v>84</v>
      </c>
      <c r="L2" s="107">
        <v>2565</v>
      </c>
      <c r="M2" s="107">
        <v>2544</v>
      </c>
      <c r="N2" s="107">
        <v>400</v>
      </c>
      <c r="O2" s="107" t="s">
        <v>61</v>
      </c>
      <c r="P2" s="107">
        <v>0.90649433967197801</v>
      </c>
      <c r="Q2" s="107">
        <v>0.93335982613907598</v>
      </c>
      <c r="R2" s="15">
        <v>0.30184546737770201</v>
      </c>
      <c r="S2" s="107">
        <v>2.0616745308715101E-2</v>
      </c>
      <c r="T2" s="107">
        <v>3.0530686822954699E-2</v>
      </c>
      <c r="U2" s="107">
        <v>3.0530686822954699E-2</v>
      </c>
      <c r="V2" s="107">
        <v>0.1</v>
      </c>
      <c r="W2" s="107">
        <v>3.66</v>
      </c>
      <c r="X2" s="107">
        <v>709033</v>
      </c>
      <c r="Y2" s="107">
        <v>35452</v>
      </c>
      <c r="Z2" s="107">
        <v>1.81</v>
      </c>
      <c r="AA2" s="107">
        <v>20</v>
      </c>
      <c r="AB2" s="107">
        <v>13</v>
      </c>
      <c r="AC2" s="107">
        <v>7</v>
      </c>
      <c r="AD2" s="107">
        <v>65</v>
      </c>
      <c r="AE2" s="107">
        <v>11</v>
      </c>
      <c r="AF2" s="107">
        <v>11</v>
      </c>
      <c r="AG2" s="107">
        <v>3</v>
      </c>
      <c r="AH2" s="107">
        <v>6</v>
      </c>
    </row>
    <row r="3" spans="1:34">
      <c r="A3" s="103">
        <v>215</v>
      </c>
      <c r="B3">
        <v>1973</v>
      </c>
      <c r="C3" s="107" t="s">
        <v>310</v>
      </c>
      <c r="D3" s="107" t="s">
        <v>79</v>
      </c>
      <c r="E3">
        <v>3620</v>
      </c>
      <c r="F3">
        <v>3570</v>
      </c>
      <c r="G3">
        <v>300</v>
      </c>
      <c r="H3" s="107" t="s">
        <v>63</v>
      </c>
      <c r="I3">
        <v>4062</v>
      </c>
      <c r="J3" s="107" t="s">
        <v>326</v>
      </c>
      <c r="K3" s="107" t="s">
        <v>87</v>
      </c>
      <c r="L3">
        <v>2625</v>
      </c>
      <c r="M3">
        <v>2608</v>
      </c>
      <c r="N3">
        <v>400</v>
      </c>
      <c r="O3" s="107" t="s">
        <v>61</v>
      </c>
      <c r="P3">
        <v>0.90474297717144803</v>
      </c>
      <c r="Q3">
        <v>0.902336152389278</v>
      </c>
      <c r="R3" s="15">
        <v>5.5662078267086502E-2</v>
      </c>
      <c r="S3" s="107">
        <v>2.7921996656350902E-2</v>
      </c>
      <c r="T3">
        <v>0.493426305828777</v>
      </c>
      <c r="U3">
        <v>0.493426305828777</v>
      </c>
      <c r="V3">
        <v>1.34</v>
      </c>
      <c r="W3">
        <v>2.6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3">
        <v>165</v>
      </c>
      <c r="B4">
        <v>3105</v>
      </c>
      <c r="C4" s="107" t="s">
        <v>90</v>
      </c>
      <c r="D4" s="107" t="s">
        <v>87</v>
      </c>
      <c r="E4">
        <v>1098</v>
      </c>
      <c r="F4">
        <v>1086</v>
      </c>
      <c r="G4">
        <v>800</v>
      </c>
      <c r="H4" s="107" t="s">
        <v>63</v>
      </c>
      <c r="I4">
        <v>6995</v>
      </c>
      <c r="J4" s="107" t="s">
        <v>91</v>
      </c>
      <c r="K4" s="107" t="s">
        <v>84</v>
      </c>
      <c r="L4">
        <v>2258</v>
      </c>
      <c r="M4">
        <v>2263</v>
      </c>
      <c r="N4">
        <v>400</v>
      </c>
      <c r="O4" s="107" t="s">
        <v>61</v>
      </c>
      <c r="P4">
        <v>0.927039141219416</v>
      </c>
      <c r="Q4">
        <v>0.91041302965174198</v>
      </c>
      <c r="R4">
        <v>0.21884057290769901</v>
      </c>
      <c r="S4">
        <v>0.14179378070035201</v>
      </c>
      <c r="T4">
        <v>1.3923639776616501</v>
      </c>
      <c r="U4">
        <v>1.3923639776616501</v>
      </c>
      <c r="V4">
        <v>3.6</v>
      </c>
      <c r="W4">
        <v>4.0199999999999996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3">
        <v>106</v>
      </c>
      <c r="B5">
        <v>4626</v>
      </c>
      <c r="C5" s="107" t="s">
        <v>948</v>
      </c>
      <c r="D5" s="107" t="s">
        <v>62</v>
      </c>
      <c r="E5">
        <v>4350</v>
      </c>
      <c r="F5">
        <v>4315</v>
      </c>
      <c r="G5">
        <v>200</v>
      </c>
      <c r="H5" s="107" t="s">
        <v>61</v>
      </c>
      <c r="I5">
        <v>6134</v>
      </c>
      <c r="J5" s="107" t="s">
        <v>949</v>
      </c>
      <c r="K5" s="107" t="s">
        <v>99</v>
      </c>
      <c r="L5">
        <v>2015</v>
      </c>
      <c r="M5">
        <v>2052</v>
      </c>
      <c r="N5">
        <v>400</v>
      </c>
      <c r="O5" s="107" t="s">
        <v>63</v>
      </c>
      <c r="P5">
        <v>0.93107572445847397</v>
      </c>
      <c r="Q5">
        <v>0.92271556027822099</v>
      </c>
      <c r="R5">
        <v>6.9162018300352707E-2</v>
      </c>
      <c r="S5">
        <v>0.17872469120161699</v>
      </c>
      <c r="T5">
        <v>-1.6578950447895799</v>
      </c>
      <c r="U5">
        <v>1.6578950447895799</v>
      </c>
      <c r="V5">
        <v>-5.75</v>
      </c>
      <c r="W5">
        <v>4.8899999999999997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3">
        <v>198</v>
      </c>
      <c r="B6">
        <v>1963</v>
      </c>
      <c r="C6" s="107" t="s">
        <v>130</v>
      </c>
      <c r="D6" s="107" t="s">
        <v>78</v>
      </c>
      <c r="E6">
        <v>1726</v>
      </c>
      <c r="F6">
        <v>1742</v>
      </c>
      <c r="G6">
        <v>600</v>
      </c>
      <c r="H6" s="107" t="s">
        <v>63</v>
      </c>
      <c r="I6">
        <v>7186</v>
      </c>
      <c r="J6" s="107" t="s">
        <v>1312</v>
      </c>
      <c r="K6" s="107" t="s">
        <v>82</v>
      </c>
      <c r="L6">
        <v>463</v>
      </c>
      <c r="M6">
        <v>461</v>
      </c>
      <c r="N6">
        <v>2300</v>
      </c>
      <c r="O6" s="107" t="s">
        <v>61</v>
      </c>
      <c r="P6">
        <v>0.90235924397258904</v>
      </c>
      <c r="Q6">
        <v>0.90553442236000303</v>
      </c>
      <c r="R6">
        <v>0.11208673806412001</v>
      </c>
      <c r="S6">
        <v>1.8536985468583199E-4</v>
      </c>
      <c r="T6">
        <v>1.6989674710753699</v>
      </c>
      <c r="U6">
        <v>1.6989674710753699</v>
      </c>
      <c r="V6">
        <v>6.25</v>
      </c>
      <c r="W6">
        <v>1.44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3">
        <v>40</v>
      </c>
      <c r="B7">
        <v>3635</v>
      </c>
      <c r="C7" s="107" t="s">
        <v>85</v>
      </c>
      <c r="D7" s="107" t="s">
        <v>79</v>
      </c>
      <c r="E7">
        <v>2727</v>
      </c>
      <c r="F7">
        <v>2709</v>
      </c>
      <c r="G7">
        <v>400</v>
      </c>
      <c r="H7" s="107" t="s">
        <v>63</v>
      </c>
      <c r="I7">
        <v>6845</v>
      </c>
      <c r="J7" s="107" t="s">
        <v>307</v>
      </c>
      <c r="K7" s="107" t="s">
        <v>87</v>
      </c>
      <c r="L7">
        <v>3260</v>
      </c>
      <c r="M7">
        <v>3205</v>
      </c>
      <c r="N7">
        <v>300</v>
      </c>
      <c r="O7" s="107" t="s">
        <v>61</v>
      </c>
      <c r="P7">
        <v>0.90971432567619903</v>
      </c>
      <c r="Q7">
        <v>0.94276442426871299</v>
      </c>
      <c r="R7">
        <v>0.15724100443713501</v>
      </c>
      <c r="S7">
        <v>0.14591572573814299</v>
      </c>
      <c r="T7">
        <v>1.92933119841597</v>
      </c>
      <c r="U7">
        <v>1.92933119841597</v>
      </c>
      <c r="V7">
        <v>4.1100000000000003</v>
      </c>
      <c r="W7">
        <v>12.7</v>
      </c>
      <c r="X7">
        <v>542091</v>
      </c>
      <c r="Y7">
        <v>31888</v>
      </c>
      <c r="Z7">
        <v>1.61</v>
      </c>
      <c r="AA7">
        <v>17</v>
      </c>
      <c r="AB7">
        <v>14</v>
      </c>
      <c r="AC7">
        <v>3</v>
      </c>
      <c r="AD7">
        <v>82.35</v>
      </c>
      <c r="AE7">
        <v>12</v>
      </c>
      <c r="AF7">
        <v>8</v>
      </c>
      <c r="AG7">
        <v>2</v>
      </c>
      <c r="AH7">
        <v>7</v>
      </c>
    </row>
    <row r="8" spans="1:34">
      <c r="A8" s="103">
        <v>52</v>
      </c>
      <c r="B8">
        <v>2914</v>
      </c>
      <c r="C8" s="107" t="s">
        <v>96</v>
      </c>
      <c r="D8" s="107" t="s">
        <v>97</v>
      </c>
      <c r="E8">
        <v>2518</v>
      </c>
      <c r="F8">
        <v>2501.5</v>
      </c>
      <c r="G8">
        <v>400</v>
      </c>
      <c r="H8" s="107" t="s">
        <v>61</v>
      </c>
      <c r="I8">
        <v>7189</v>
      </c>
      <c r="J8" s="107" t="s">
        <v>81</v>
      </c>
      <c r="K8" s="107" t="s">
        <v>82</v>
      </c>
      <c r="L8">
        <v>873</v>
      </c>
      <c r="M8">
        <v>879</v>
      </c>
      <c r="N8">
        <v>1100</v>
      </c>
      <c r="O8" s="107" t="s">
        <v>63</v>
      </c>
      <c r="P8">
        <v>0.91033945217374401</v>
      </c>
      <c r="Q8">
        <v>0.93928907246460602</v>
      </c>
      <c r="R8">
        <v>0.14137054949476199</v>
      </c>
      <c r="S8" s="15">
        <v>2.5503678770511899E-2</v>
      </c>
      <c r="T8">
        <v>-1.2312172121365901</v>
      </c>
      <c r="U8">
        <v>1.2312172121365901</v>
      </c>
      <c r="V8">
        <v>-8.1999999999999993</v>
      </c>
      <c r="W8">
        <v>3.37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03">
        <v>2</v>
      </c>
      <c r="B9">
        <v>3635</v>
      </c>
      <c r="C9" s="107" t="s">
        <v>85</v>
      </c>
      <c r="D9" s="107" t="s">
        <v>79</v>
      </c>
      <c r="E9">
        <v>2727</v>
      </c>
      <c r="F9">
        <v>2709</v>
      </c>
      <c r="G9">
        <v>400</v>
      </c>
      <c r="H9" s="107" t="s">
        <v>61</v>
      </c>
      <c r="I9">
        <v>6920</v>
      </c>
      <c r="J9" s="107" t="s">
        <v>86</v>
      </c>
      <c r="K9" s="107" t="s">
        <v>87</v>
      </c>
      <c r="L9">
        <v>9950</v>
      </c>
      <c r="M9">
        <v>9850</v>
      </c>
      <c r="N9">
        <v>100</v>
      </c>
      <c r="O9" s="107" t="s">
        <v>63</v>
      </c>
      <c r="P9">
        <v>0.93584069643476198</v>
      </c>
      <c r="Q9">
        <v>0.96795276599319702</v>
      </c>
      <c r="R9">
        <v>6.0964592358863298E-2</v>
      </c>
      <c r="S9" s="15">
        <v>7.9078946533334799E-4</v>
      </c>
      <c r="T9">
        <v>-1.4321381115162599</v>
      </c>
      <c r="U9">
        <v>1.4321381115162599</v>
      </c>
      <c r="V9">
        <v>-15.11</v>
      </c>
      <c r="W9">
        <v>10.01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03">
        <v>195</v>
      </c>
      <c r="B10">
        <v>5393</v>
      </c>
      <c r="C10" s="107" t="s">
        <v>333</v>
      </c>
      <c r="D10" s="107" t="s">
        <v>106</v>
      </c>
      <c r="E10">
        <v>2749</v>
      </c>
      <c r="F10">
        <v>2736</v>
      </c>
      <c r="G10">
        <v>400</v>
      </c>
      <c r="H10" s="107" t="s">
        <v>63</v>
      </c>
      <c r="I10">
        <v>8253</v>
      </c>
      <c r="J10" s="107" t="s">
        <v>1273</v>
      </c>
      <c r="K10" s="107" t="s">
        <v>299</v>
      </c>
      <c r="L10">
        <v>1901</v>
      </c>
      <c r="M10">
        <v>1908</v>
      </c>
      <c r="N10">
        <v>600</v>
      </c>
      <c r="O10" s="107" t="s">
        <v>61</v>
      </c>
      <c r="P10">
        <v>0.96666606319068904</v>
      </c>
      <c r="Q10">
        <v>0.905843612450553</v>
      </c>
      <c r="R10">
        <v>0.32190303743600701</v>
      </c>
      <c r="S10">
        <v>0.14765584771675799</v>
      </c>
      <c r="T10">
        <v>0.25714992603648801</v>
      </c>
      <c r="U10">
        <v>0.25714992603648801</v>
      </c>
      <c r="V10">
        <v>1.0900000000000001</v>
      </c>
      <c r="W10">
        <v>4.6100000000000003</v>
      </c>
      <c r="X10">
        <v>477201</v>
      </c>
      <c r="Y10">
        <v>28071</v>
      </c>
      <c r="Z10">
        <v>1.44</v>
      </c>
      <c r="AA10">
        <v>17</v>
      </c>
      <c r="AB10">
        <v>14</v>
      </c>
      <c r="AC10">
        <v>3</v>
      </c>
      <c r="AD10">
        <v>82.35</v>
      </c>
      <c r="AE10">
        <v>12</v>
      </c>
      <c r="AF10">
        <v>9</v>
      </c>
      <c r="AG10">
        <v>1</v>
      </c>
      <c r="AH10">
        <v>7</v>
      </c>
    </row>
    <row r="11" spans="1:34">
      <c r="A11" s="103">
        <v>84</v>
      </c>
      <c r="B11">
        <v>3635</v>
      </c>
      <c r="C11" s="107" t="s">
        <v>85</v>
      </c>
      <c r="D11" s="107" t="s">
        <v>79</v>
      </c>
      <c r="E11">
        <v>2727</v>
      </c>
      <c r="F11">
        <v>2709</v>
      </c>
      <c r="G11">
        <v>400</v>
      </c>
      <c r="H11" s="107" t="s">
        <v>61</v>
      </c>
      <c r="I11">
        <v>6755</v>
      </c>
      <c r="J11" s="107" t="s">
        <v>1274</v>
      </c>
      <c r="K11" s="107" t="s">
        <v>87</v>
      </c>
      <c r="L11">
        <v>2362</v>
      </c>
      <c r="M11">
        <v>2350</v>
      </c>
      <c r="N11">
        <v>500</v>
      </c>
      <c r="O11" s="107" t="s">
        <v>63</v>
      </c>
      <c r="P11">
        <v>0.94281807242892102</v>
      </c>
      <c r="Q11">
        <v>0.92842546784120294</v>
      </c>
      <c r="R11">
        <v>0.120904950835419</v>
      </c>
      <c r="S11">
        <v>0.100296155042886</v>
      </c>
      <c r="T11">
        <v>-2.6135903495003898</v>
      </c>
      <c r="U11">
        <v>2.6135903495003898</v>
      </c>
      <c r="V11">
        <v>-10.49</v>
      </c>
      <c r="W11">
        <v>8.43</v>
      </c>
      <c r="X11">
        <v>456031</v>
      </c>
      <c r="Y11">
        <v>26825</v>
      </c>
      <c r="Z11">
        <v>1.32</v>
      </c>
      <c r="AA11">
        <v>17</v>
      </c>
      <c r="AB11">
        <v>11</v>
      </c>
      <c r="AC11">
        <v>6</v>
      </c>
      <c r="AD11">
        <v>64.709999999999994</v>
      </c>
      <c r="AE11">
        <v>12</v>
      </c>
      <c r="AF11">
        <v>10</v>
      </c>
      <c r="AG11">
        <v>3</v>
      </c>
      <c r="AH11">
        <v>4</v>
      </c>
    </row>
    <row r="12" spans="1:34">
      <c r="A12" s="103">
        <v>18</v>
      </c>
      <c r="B12">
        <v>1928</v>
      </c>
      <c r="C12" s="107" t="s">
        <v>302</v>
      </c>
      <c r="D12" s="107" t="s">
        <v>78</v>
      </c>
      <c r="E12">
        <v>2401</v>
      </c>
      <c r="F12">
        <v>2369.5</v>
      </c>
      <c r="G12">
        <v>400</v>
      </c>
      <c r="H12" s="107" t="s">
        <v>61</v>
      </c>
      <c r="I12">
        <v>4062</v>
      </c>
      <c r="J12" s="107" t="s">
        <v>326</v>
      </c>
      <c r="K12" s="107" t="s">
        <v>87</v>
      </c>
      <c r="L12">
        <v>2625</v>
      </c>
      <c r="M12">
        <v>2608</v>
      </c>
      <c r="N12">
        <v>400</v>
      </c>
      <c r="O12" s="107" t="s">
        <v>63</v>
      </c>
      <c r="P12">
        <v>0.93394233263238302</v>
      </c>
      <c r="Q12">
        <v>0.95243154285142695</v>
      </c>
      <c r="R12">
        <v>2.9621396314578601E-2</v>
      </c>
      <c r="S12" s="15">
        <v>7.5486389724147604E-2</v>
      </c>
      <c r="T12">
        <v>-1.4895137414662101</v>
      </c>
      <c r="U12">
        <v>1.4895137414662101</v>
      </c>
      <c r="V12">
        <v>-4.22</v>
      </c>
      <c r="W12">
        <v>9.14</v>
      </c>
      <c r="X12">
        <v>454397</v>
      </c>
      <c r="Y12">
        <v>28400</v>
      </c>
      <c r="Z12">
        <v>1.52</v>
      </c>
      <c r="AA12">
        <v>16</v>
      </c>
      <c r="AB12">
        <v>13</v>
      </c>
      <c r="AC12">
        <v>3</v>
      </c>
      <c r="AD12">
        <v>81.25</v>
      </c>
      <c r="AE12">
        <v>11</v>
      </c>
      <c r="AF12">
        <v>9</v>
      </c>
      <c r="AG12">
        <v>2</v>
      </c>
      <c r="AH12">
        <v>5</v>
      </c>
    </row>
    <row r="13" spans="1:34">
      <c r="A13" s="103">
        <v>46</v>
      </c>
      <c r="B13">
        <v>1951</v>
      </c>
      <c r="C13" s="107" t="s">
        <v>1313</v>
      </c>
      <c r="D13" s="107" t="s">
        <v>78</v>
      </c>
      <c r="E13">
        <v>2911</v>
      </c>
      <c r="F13">
        <v>2859</v>
      </c>
      <c r="G13">
        <v>300</v>
      </c>
      <c r="H13" s="107" t="s">
        <v>61</v>
      </c>
      <c r="I13">
        <v>4042</v>
      </c>
      <c r="J13" s="107" t="s">
        <v>1314</v>
      </c>
      <c r="K13" s="107" t="s">
        <v>62</v>
      </c>
      <c r="L13">
        <v>1687</v>
      </c>
      <c r="M13">
        <v>1707</v>
      </c>
      <c r="N13">
        <v>500</v>
      </c>
      <c r="O13" s="107" t="s">
        <v>63</v>
      </c>
      <c r="P13">
        <v>0.90234379917297303</v>
      </c>
      <c r="Q13">
        <v>0.94005586292935805</v>
      </c>
      <c r="R13">
        <v>5.3677926905130603E-2</v>
      </c>
      <c r="S13" s="15">
        <v>2.5601143161935798E-5</v>
      </c>
      <c r="T13">
        <v>-2.01129245740049</v>
      </c>
      <c r="U13">
        <v>2.01129245740049</v>
      </c>
      <c r="V13">
        <v>-6.62</v>
      </c>
      <c r="W13">
        <v>0.49</v>
      </c>
      <c r="X13">
        <v>442222</v>
      </c>
      <c r="Y13">
        <v>24568</v>
      </c>
      <c r="Z13">
        <v>1.28</v>
      </c>
      <c r="AA13">
        <v>18</v>
      </c>
      <c r="AB13">
        <v>12</v>
      </c>
      <c r="AC13">
        <v>6</v>
      </c>
      <c r="AD13">
        <v>66.67</v>
      </c>
      <c r="AE13">
        <v>10</v>
      </c>
      <c r="AF13">
        <v>11</v>
      </c>
      <c r="AG13">
        <v>3</v>
      </c>
      <c r="AH13">
        <v>4</v>
      </c>
    </row>
    <row r="14" spans="1:34">
      <c r="A14" s="103">
        <v>76</v>
      </c>
      <c r="B14">
        <v>4204</v>
      </c>
      <c r="C14" s="107" t="s">
        <v>324</v>
      </c>
      <c r="D14" s="107" t="s">
        <v>62</v>
      </c>
      <c r="E14">
        <v>1941</v>
      </c>
      <c r="F14">
        <v>1926</v>
      </c>
      <c r="G14">
        <v>400</v>
      </c>
      <c r="H14" s="107" t="s">
        <v>61</v>
      </c>
      <c r="I14">
        <v>4626</v>
      </c>
      <c r="J14" s="107" t="s">
        <v>948</v>
      </c>
      <c r="K14" s="107" t="s">
        <v>62</v>
      </c>
      <c r="L14">
        <v>4350</v>
      </c>
      <c r="M14">
        <v>4315</v>
      </c>
      <c r="N14">
        <v>200</v>
      </c>
      <c r="O14" s="107" t="s">
        <v>63</v>
      </c>
      <c r="P14">
        <v>0.92543351581627997</v>
      </c>
      <c r="Q14">
        <v>0.930388591013526</v>
      </c>
      <c r="R14">
        <v>0.36912479146980498</v>
      </c>
      <c r="S14" s="15">
        <v>2.7766153780734899E-2</v>
      </c>
      <c r="T14">
        <v>-1.0641943554937801</v>
      </c>
      <c r="U14">
        <v>1.0641943554937801</v>
      </c>
      <c r="V14">
        <v>-3.9</v>
      </c>
      <c r="W14">
        <v>10.73</v>
      </c>
      <c r="X14">
        <v>440364</v>
      </c>
      <c r="Y14">
        <v>23177</v>
      </c>
      <c r="Z14">
        <v>1.21</v>
      </c>
      <c r="AA14">
        <v>19</v>
      </c>
      <c r="AB14">
        <v>13</v>
      </c>
      <c r="AC14">
        <v>6</v>
      </c>
      <c r="AD14">
        <v>68.42</v>
      </c>
      <c r="AE14">
        <v>15</v>
      </c>
      <c r="AF14">
        <v>9</v>
      </c>
      <c r="AG14">
        <v>1</v>
      </c>
      <c r="AH14">
        <v>9</v>
      </c>
    </row>
    <row r="15" spans="1:34">
      <c r="A15" s="103">
        <v>19</v>
      </c>
      <c r="B15">
        <v>5991</v>
      </c>
      <c r="C15" s="107" t="s">
        <v>115</v>
      </c>
      <c r="D15" s="107" t="s">
        <v>116</v>
      </c>
      <c r="E15">
        <v>1021</v>
      </c>
      <c r="F15">
        <v>1021</v>
      </c>
      <c r="G15">
        <v>1000</v>
      </c>
      <c r="H15" s="107" t="s">
        <v>63</v>
      </c>
      <c r="I15">
        <v>7278</v>
      </c>
      <c r="J15" s="107" t="s">
        <v>83</v>
      </c>
      <c r="K15" s="107" t="s">
        <v>84</v>
      </c>
      <c r="L15">
        <v>2565</v>
      </c>
      <c r="M15">
        <v>2544</v>
      </c>
      <c r="N15">
        <v>400</v>
      </c>
      <c r="O15" s="107" t="s">
        <v>61</v>
      </c>
      <c r="P15">
        <v>0.93360058586321304</v>
      </c>
      <c r="Q15">
        <v>0.95110416520535002</v>
      </c>
      <c r="R15" s="107">
        <v>0.16869255927370599</v>
      </c>
      <c r="S15" s="15">
        <v>6.5456899490841103E-3</v>
      </c>
      <c r="T15">
        <v>1.3278523391883701</v>
      </c>
      <c r="U15">
        <v>1.3278523391883701</v>
      </c>
      <c r="V15">
        <v>3.15</v>
      </c>
      <c r="W15">
        <v>0.33</v>
      </c>
      <c r="X15">
        <v>437615</v>
      </c>
      <c r="Y15">
        <v>24312</v>
      </c>
      <c r="Z15">
        <v>1.1399999999999999</v>
      </c>
      <c r="AA15">
        <v>18</v>
      </c>
      <c r="AB15">
        <v>13</v>
      </c>
      <c r="AC15">
        <v>5</v>
      </c>
      <c r="AD15">
        <v>72.22</v>
      </c>
      <c r="AE15">
        <v>13</v>
      </c>
      <c r="AF15">
        <v>8</v>
      </c>
      <c r="AG15">
        <v>1</v>
      </c>
      <c r="AH15">
        <v>9</v>
      </c>
    </row>
    <row r="16" spans="1:34">
      <c r="A16" s="103">
        <v>38</v>
      </c>
      <c r="B16">
        <v>1973</v>
      </c>
      <c r="C16" s="107" t="s">
        <v>310</v>
      </c>
      <c r="D16" s="107" t="s">
        <v>79</v>
      </c>
      <c r="E16">
        <v>3620</v>
      </c>
      <c r="F16">
        <v>3570</v>
      </c>
      <c r="G16">
        <v>300</v>
      </c>
      <c r="H16" s="107" t="s">
        <v>63</v>
      </c>
      <c r="I16">
        <v>3635</v>
      </c>
      <c r="J16" s="107" t="s">
        <v>85</v>
      </c>
      <c r="K16" s="107" t="s">
        <v>79</v>
      </c>
      <c r="L16">
        <v>2727</v>
      </c>
      <c r="M16">
        <v>2709</v>
      </c>
      <c r="N16">
        <v>400</v>
      </c>
      <c r="O16" s="107" t="s">
        <v>61</v>
      </c>
      <c r="P16">
        <v>0.94926438580290895</v>
      </c>
      <c r="Q16">
        <v>0.94317229182948503</v>
      </c>
      <c r="R16">
        <v>8.7949950181474296E-3</v>
      </c>
      <c r="S16" s="15">
        <v>2.33370920769637E-2</v>
      </c>
      <c r="T16">
        <v>0.34157573175174999</v>
      </c>
      <c r="U16">
        <v>0.34157573175174999</v>
      </c>
      <c r="V16">
        <v>0.99</v>
      </c>
      <c r="W16">
        <v>1.18</v>
      </c>
      <c r="X16">
        <v>416117</v>
      </c>
      <c r="Y16">
        <v>26007</v>
      </c>
      <c r="Z16">
        <v>1.37</v>
      </c>
      <c r="AA16">
        <v>16</v>
      </c>
      <c r="AB16">
        <v>12</v>
      </c>
      <c r="AC16">
        <v>4</v>
      </c>
      <c r="AD16">
        <v>75</v>
      </c>
      <c r="AE16">
        <v>13</v>
      </c>
      <c r="AF16">
        <v>8</v>
      </c>
      <c r="AG16">
        <v>1</v>
      </c>
      <c r="AH16">
        <v>7</v>
      </c>
    </row>
    <row r="17" spans="1:34">
      <c r="A17" s="103">
        <v>191</v>
      </c>
      <c r="B17">
        <v>3861</v>
      </c>
      <c r="C17" s="107" t="s">
        <v>65</v>
      </c>
      <c r="D17" s="107" t="s">
        <v>80</v>
      </c>
      <c r="E17">
        <v>647</v>
      </c>
      <c r="F17">
        <v>643</v>
      </c>
      <c r="G17">
        <v>1300</v>
      </c>
      <c r="H17" s="107" t="s">
        <v>63</v>
      </c>
      <c r="I17">
        <v>4183</v>
      </c>
      <c r="J17" s="107" t="s">
        <v>301</v>
      </c>
      <c r="K17" s="107" t="s">
        <v>62</v>
      </c>
      <c r="L17">
        <v>2790</v>
      </c>
      <c r="M17">
        <v>2776</v>
      </c>
      <c r="N17">
        <v>300</v>
      </c>
      <c r="O17" s="107" t="s">
        <v>61</v>
      </c>
      <c r="P17">
        <v>0.923806697971985</v>
      </c>
      <c r="Q17">
        <v>0.90630191803330995</v>
      </c>
      <c r="R17">
        <v>0.146394319217486</v>
      </c>
      <c r="S17" s="15">
        <v>0.14847157441981099</v>
      </c>
      <c r="T17">
        <v>1.03941556363798</v>
      </c>
      <c r="U17">
        <v>1.03941556363798</v>
      </c>
      <c r="V17">
        <v>4.47</v>
      </c>
      <c r="W17">
        <v>0.37</v>
      </c>
      <c r="X17">
        <v>408613</v>
      </c>
      <c r="Y17">
        <v>17766</v>
      </c>
      <c r="Z17">
        <v>0.95</v>
      </c>
      <c r="AA17">
        <v>23</v>
      </c>
      <c r="AB17">
        <v>15</v>
      </c>
      <c r="AC17">
        <v>8</v>
      </c>
      <c r="AD17">
        <v>65.22</v>
      </c>
      <c r="AE17">
        <v>13</v>
      </c>
      <c r="AF17">
        <v>10</v>
      </c>
      <c r="AG17">
        <v>4</v>
      </c>
      <c r="AH17">
        <v>9</v>
      </c>
    </row>
    <row r="18" spans="1:34">
      <c r="A18" s="103">
        <v>213</v>
      </c>
      <c r="B18">
        <v>8593</v>
      </c>
      <c r="C18" s="107" t="s">
        <v>311</v>
      </c>
      <c r="D18" s="107" t="s">
        <v>299</v>
      </c>
      <c r="E18">
        <v>716</v>
      </c>
      <c r="F18">
        <v>707</v>
      </c>
      <c r="G18">
        <v>1300</v>
      </c>
      <c r="H18" s="107" t="s">
        <v>63</v>
      </c>
      <c r="I18">
        <v>9437</v>
      </c>
      <c r="J18" s="107" t="s">
        <v>1028</v>
      </c>
      <c r="K18" s="107" t="s">
        <v>79</v>
      </c>
      <c r="L18">
        <v>3050</v>
      </c>
      <c r="M18">
        <v>3025</v>
      </c>
      <c r="N18">
        <v>300</v>
      </c>
      <c r="O18" s="107" t="s">
        <v>61</v>
      </c>
      <c r="P18">
        <v>0.900644159262458</v>
      </c>
      <c r="Q18">
        <v>0.90315723454073804</v>
      </c>
      <c r="R18" s="107">
        <v>5.4021931405491601E-2</v>
      </c>
      <c r="S18" s="15">
        <v>0.14841654413820299</v>
      </c>
      <c r="T18">
        <v>0.84863073688744795</v>
      </c>
      <c r="U18">
        <v>0.84863073688744795</v>
      </c>
      <c r="V18">
        <v>2.54</v>
      </c>
      <c r="W18">
        <v>1.28</v>
      </c>
      <c r="X18">
        <v>399560</v>
      </c>
      <c r="Y18">
        <v>33297</v>
      </c>
      <c r="Z18">
        <v>1.73</v>
      </c>
      <c r="AA18">
        <v>12</v>
      </c>
      <c r="AB18">
        <v>9</v>
      </c>
      <c r="AC18">
        <v>3</v>
      </c>
      <c r="AD18">
        <v>75</v>
      </c>
      <c r="AE18">
        <v>12</v>
      </c>
      <c r="AF18">
        <v>7</v>
      </c>
      <c r="AG18">
        <v>1</v>
      </c>
      <c r="AH18">
        <v>4</v>
      </c>
    </row>
    <row r="19" spans="1:34">
      <c r="A19" s="103">
        <v>162</v>
      </c>
      <c r="B19">
        <v>4182</v>
      </c>
      <c r="C19" s="107" t="s">
        <v>88</v>
      </c>
      <c r="D19" s="107" t="s">
        <v>62</v>
      </c>
      <c r="E19">
        <v>1728</v>
      </c>
      <c r="F19">
        <v>1730</v>
      </c>
      <c r="G19">
        <v>500</v>
      </c>
      <c r="H19" s="107" t="s">
        <v>63</v>
      </c>
      <c r="I19">
        <v>7259</v>
      </c>
      <c r="J19" s="107" t="s">
        <v>29</v>
      </c>
      <c r="K19" s="107" t="s">
        <v>84</v>
      </c>
      <c r="L19">
        <v>4260</v>
      </c>
      <c r="M19">
        <v>4265</v>
      </c>
      <c r="N19">
        <v>200</v>
      </c>
      <c r="O19" s="107" t="s">
        <v>61</v>
      </c>
      <c r="P19">
        <v>0.91840309650811403</v>
      </c>
      <c r="Q19">
        <v>0.91048500448358205</v>
      </c>
      <c r="R19" s="15">
        <v>0.28935424237667201</v>
      </c>
      <c r="S19">
        <v>3.48243638868918E-2</v>
      </c>
      <c r="T19">
        <v>0.231576838224644</v>
      </c>
      <c r="U19">
        <v>0.231576838224644</v>
      </c>
      <c r="V19">
        <v>0.85</v>
      </c>
      <c r="W19">
        <v>1.41</v>
      </c>
      <c r="X19">
        <v>398323</v>
      </c>
      <c r="Y19">
        <v>22129</v>
      </c>
      <c r="Z19">
        <v>1.2</v>
      </c>
      <c r="AA19">
        <v>18</v>
      </c>
      <c r="AB19">
        <v>13</v>
      </c>
      <c r="AC19">
        <v>5</v>
      </c>
      <c r="AD19">
        <v>72.22</v>
      </c>
      <c r="AE19">
        <v>12</v>
      </c>
      <c r="AF19">
        <v>9</v>
      </c>
      <c r="AG19">
        <v>2</v>
      </c>
      <c r="AH19">
        <v>7</v>
      </c>
    </row>
    <row r="20" spans="1:34">
      <c r="A20" s="103">
        <v>173</v>
      </c>
      <c r="B20">
        <v>6952</v>
      </c>
      <c r="C20" s="107" t="s">
        <v>957</v>
      </c>
      <c r="D20" s="107" t="s">
        <v>87</v>
      </c>
      <c r="E20">
        <v>2179</v>
      </c>
      <c r="F20">
        <v>2157</v>
      </c>
      <c r="G20">
        <v>400</v>
      </c>
      <c r="H20" s="107" t="s">
        <v>61</v>
      </c>
      <c r="I20">
        <v>7729</v>
      </c>
      <c r="J20" s="107" t="s">
        <v>1315</v>
      </c>
      <c r="K20" s="107" t="s">
        <v>93</v>
      </c>
      <c r="L20">
        <v>4285</v>
      </c>
      <c r="M20">
        <v>4185</v>
      </c>
      <c r="N20">
        <v>200</v>
      </c>
      <c r="O20" s="107" t="s">
        <v>63</v>
      </c>
      <c r="P20">
        <v>0.95068172394644901</v>
      </c>
      <c r="Q20">
        <v>0.90838374048180703</v>
      </c>
      <c r="R20">
        <v>4.9365483975600297E-2</v>
      </c>
      <c r="S20">
        <v>6.8555840011058397E-2</v>
      </c>
      <c r="T20">
        <v>-9.0016508311770396E-2</v>
      </c>
      <c r="U20">
        <v>9.0016508311770396E-2</v>
      </c>
      <c r="V20">
        <v>-0.3</v>
      </c>
      <c r="W20">
        <v>3.08</v>
      </c>
      <c r="X20">
        <v>385325</v>
      </c>
      <c r="Y20">
        <v>18349</v>
      </c>
      <c r="Z20">
        <v>0.8</v>
      </c>
      <c r="AA20">
        <v>21</v>
      </c>
      <c r="AB20">
        <v>12</v>
      </c>
      <c r="AC20">
        <v>9</v>
      </c>
      <c r="AD20">
        <v>57.14</v>
      </c>
      <c r="AE20">
        <v>11</v>
      </c>
      <c r="AF20">
        <v>11</v>
      </c>
      <c r="AG20">
        <v>6</v>
      </c>
      <c r="AH20">
        <v>4</v>
      </c>
    </row>
    <row r="21" spans="1:34">
      <c r="A21" s="103">
        <v>123</v>
      </c>
      <c r="B21">
        <v>1963</v>
      </c>
      <c r="C21" s="107" t="s">
        <v>130</v>
      </c>
      <c r="D21" s="107" t="s">
        <v>78</v>
      </c>
      <c r="E21">
        <v>1726</v>
      </c>
      <c r="F21">
        <v>1742</v>
      </c>
      <c r="G21">
        <v>600</v>
      </c>
      <c r="H21" s="107" t="s">
        <v>61</v>
      </c>
      <c r="I21">
        <v>5802</v>
      </c>
      <c r="J21" s="107" t="s">
        <v>131</v>
      </c>
      <c r="K21" s="107" t="s">
        <v>132</v>
      </c>
      <c r="L21">
        <v>1688.5</v>
      </c>
      <c r="M21">
        <v>1690.5</v>
      </c>
      <c r="N21">
        <v>600</v>
      </c>
      <c r="O21" s="107" t="s">
        <v>63</v>
      </c>
      <c r="P21">
        <v>0.90385651743169804</v>
      </c>
      <c r="Q21">
        <v>0.91805118270665798</v>
      </c>
      <c r="R21">
        <v>0.11894705890195</v>
      </c>
      <c r="S21" s="107">
        <v>1.01799053504821E-3</v>
      </c>
      <c r="T21">
        <v>-7.7545330292605699E-2</v>
      </c>
      <c r="U21">
        <v>7.7545330292605699E-2</v>
      </c>
      <c r="V21">
        <v>-0.24</v>
      </c>
      <c r="W21">
        <v>2.96</v>
      </c>
      <c r="X21">
        <v>383249</v>
      </c>
      <c r="Y21">
        <v>14740</v>
      </c>
      <c r="Z21">
        <v>0.74</v>
      </c>
      <c r="AA21">
        <v>26</v>
      </c>
      <c r="AB21">
        <v>16</v>
      </c>
      <c r="AC21">
        <v>10</v>
      </c>
      <c r="AD21">
        <v>61.54</v>
      </c>
      <c r="AE21">
        <v>13</v>
      </c>
      <c r="AF21">
        <v>13</v>
      </c>
      <c r="AG21">
        <v>6</v>
      </c>
      <c r="AH21">
        <v>7</v>
      </c>
    </row>
    <row r="22" spans="1:34">
      <c r="A22" s="103">
        <v>223</v>
      </c>
      <c r="B22">
        <v>1941</v>
      </c>
      <c r="C22" s="107" t="s">
        <v>1316</v>
      </c>
      <c r="D22" s="107" t="s">
        <v>78</v>
      </c>
      <c r="E22">
        <v>2644</v>
      </c>
      <c r="F22">
        <v>2623</v>
      </c>
      <c r="G22">
        <v>400</v>
      </c>
      <c r="H22" s="107" t="s">
        <v>61</v>
      </c>
      <c r="I22">
        <v>6287</v>
      </c>
      <c r="J22" s="107" t="s">
        <v>951</v>
      </c>
      <c r="K22" s="107" t="s">
        <v>99</v>
      </c>
      <c r="L22">
        <v>3455</v>
      </c>
      <c r="M22">
        <v>3455</v>
      </c>
      <c r="N22">
        <v>300</v>
      </c>
      <c r="O22" s="107" t="s">
        <v>63</v>
      </c>
      <c r="P22">
        <v>0.920106707845048</v>
      </c>
      <c r="Q22">
        <v>0.90087008502911003</v>
      </c>
      <c r="R22" s="15">
        <v>0.33223685851796098</v>
      </c>
      <c r="S22" s="15">
        <v>3.8303698863180902E-4</v>
      </c>
      <c r="T22">
        <v>-1.38599546467041</v>
      </c>
      <c r="U22">
        <v>1.38599546467041</v>
      </c>
      <c r="V22">
        <v>-6.11</v>
      </c>
      <c r="W22">
        <v>1.23</v>
      </c>
      <c r="X22">
        <v>380168</v>
      </c>
      <c r="Y22">
        <v>25345</v>
      </c>
      <c r="Z22">
        <v>1.27</v>
      </c>
      <c r="AA22">
        <v>15</v>
      </c>
      <c r="AB22">
        <v>10</v>
      </c>
      <c r="AC22">
        <v>5</v>
      </c>
      <c r="AD22">
        <v>66.67</v>
      </c>
      <c r="AE22">
        <v>14</v>
      </c>
      <c r="AF22">
        <v>6</v>
      </c>
      <c r="AG22">
        <v>2</v>
      </c>
      <c r="AH22">
        <v>7</v>
      </c>
    </row>
    <row r="23" spans="1:34">
      <c r="A23" s="103">
        <v>214</v>
      </c>
      <c r="B23">
        <v>1719</v>
      </c>
      <c r="C23" s="107" t="s">
        <v>1317</v>
      </c>
      <c r="D23" s="107" t="s">
        <v>78</v>
      </c>
      <c r="E23">
        <v>969</v>
      </c>
      <c r="F23">
        <v>954</v>
      </c>
      <c r="G23">
        <v>1100</v>
      </c>
      <c r="H23" s="107" t="s">
        <v>63</v>
      </c>
      <c r="I23">
        <v>1803</v>
      </c>
      <c r="J23" s="107" t="s">
        <v>1318</v>
      </c>
      <c r="K23" s="107" t="s">
        <v>78</v>
      </c>
      <c r="L23">
        <v>1134</v>
      </c>
      <c r="M23">
        <v>1126</v>
      </c>
      <c r="N23">
        <v>900</v>
      </c>
      <c r="O23" s="107" t="s">
        <v>61</v>
      </c>
      <c r="P23">
        <v>0.94103047879241197</v>
      </c>
      <c r="Q23">
        <v>0.90311170876125202</v>
      </c>
      <c r="R23" s="107">
        <v>8.85451032962206E-3</v>
      </c>
      <c r="S23">
        <v>6.8225693843072394E-2</v>
      </c>
      <c r="T23">
        <v>0.94649977484622905</v>
      </c>
      <c r="U23">
        <v>0.94649977484622905</v>
      </c>
      <c r="V23">
        <v>3.61</v>
      </c>
      <c r="W23">
        <v>3.55</v>
      </c>
      <c r="X23">
        <v>366456</v>
      </c>
      <c r="Y23">
        <v>16657</v>
      </c>
      <c r="Z23">
        <v>0.79</v>
      </c>
      <c r="AA23">
        <v>22</v>
      </c>
      <c r="AB23">
        <v>13</v>
      </c>
      <c r="AC23">
        <v>9</v>
      </c>
      <c r="AD23">
        <v>59.09</v>
      </c>
      <c r="AE23">
        <v>11</v>
      </c>
      <c r="AF23">
        <v>12</v>
      </c>
      <c r="AG23">
        <v>4</v>
      </c>
      <c r="AH23">
        <v>6</v>
      </c>
    </row>
    <row r="24" spans="1:34">
      <c r="A24" s="103">
        <v>116</v>
      </c>
      <c r="B24">
        <v>5991</v>
      </c>
      <c r="C24" s="107" t="s">
        <v>115</v>
      </c>
      <c r="D24" s="107" t="s">
        <v>116</v>
      </c>
      <c r="E24">
        <v>1021</v>
      </c>
      <c r="F24">
        <v>1021</v>
      </c>
      <c r="G24">
        <v>900</v>
      </c>
      <c r="H24" s="107" t="s">
        <v>63</v>
      </c>
      <c r="I24">
        <v>6923</v>
      </c>
      <c r="J24" s="107" t="s">
        <v>112</v>
      </c>
      <c r="K24" s="107" t="s">
        <v>87</v>
      </c>
      <c r="L24">
        <v>3155</v>
      </c>
      <c r="M24">
        <v>3175</v>
      </c>
      <c r="N24">
        <v>300</v>
      </c>
      <c r="O24" s="107" t="s">
        <v>61</v>
      </c>
      <c r="P24">
        <v>0.90129176806510303</v>
      </c>
      <c r="Q24">
        <v>0.92083024921038603</v>
      </c>
      <c r="R24" s="107">
        <v>0.235483091837764</v>
      </c>
      <c r="S24">
        <v>0.10454481242418</v>
      </c>
      <c r="T24">
        <v>1.4264617431779001</v>
      </c>
      <c r="U24">
        <v>1.4264617431779001</v>
      </c>
      <c r="V24">
        <v>6.36</v>
      </c>
      <c r="W24">
        <v>3.53</v>
      </c>
      <c r="X24">
        <v>365550</v>
      </c>
      <c r="Y24">
        <v>19239</v>
      </c>
      <c r="Z24">
        <v>0.98</v>
      </c>
      <c r="AA24">
        <v>19</v>
      </c>
      <c r="AB24">
        <v>13</v>
      </c>
      <c r="AC24">
        <v>6</v>
      </c>
      <c r="AD24">
        <v>68.42</v>
      </c>
      <c r="AE24">
        <v>14</v>
      </c>
      <c r="AF24">
        <v>8</v>
      </c>
      <c r="AG24">
        <v>2</v>
      </c>
      <c r="AH24">
        <v>9</v>
      </c>
    </row>
    <row r="25" spans="1:34">
      <c r="A25" s="103">
        <v>95</v>
      </c>
      <c r="B25">
        <v>1820</v>
      </c>
      <c r="C25" s="107" t="s">
        <v>122</v>
      </c>
      <c r="D25" s="107" t="s">
        <v>78</v>
      </c>
      <c r="E25">
        <v>2558</v>
      </c>
      <c r="F25">
        <v>2503</v>
      </c>
      <c r="G25">
        <v>400</v>
      </c>
      <c r="H25" s="107" t="s">
        <v>63</v>
      </c>
      <c r="I25">
        <v>7278</v>
      </c>
      <c r="J25" s="107" t="s">
        <v>83</v>
      </c>
      <c r="K25" s="107" t="s">
        <v>84</v>
      </c>
      <c r="L25">
        <v>2565</v>
      </c>
      <c r="M25">
        <v>2544</v>
      </c>
      <c r="N25">
        <v>400</v>
      </c>
      <c r="O25" s="107" t="s">
        <v>61</v>
      </c>
      <c r="P25">
        <v>0.93398790201096005</v>
      </c>
      <c r="Q25">
        <v>0.92618471131610003</v>
      </c>
      <c r="R25">
        <v>0.17808716941828201</v>
      </c>
      <c r="S25" s="107">
        <v>1.87698929505184E-2</v>
      </c>
      <c r="T25">
        <v>0.89094346773236499</v>
      </c>
      <c r="U25">
        <v>0.89094346773236499</v>
      </c>
      <c r="V25">
        <v>2.56</v>
      </c>
      <c r="W25">
        <v>1.61</v>
      </c>
      <c r="X25">
        <v>350930</v>
      </c>
      <c r="Y25">
        <v>25066</v>
      </c>
      <c r="Z25">
        <v>1.22</v>
      </c>
      <c r="AA25">
        <v>14</v>
      </c>
      <c r="AB25">
        <v>9</v>
      </c>
      <c r="AC25">
        <v>5</v>
      </c>
      <c r="AD25">
        <v>64.290000000000006</v>
      </c>
      <c r="AE25">
        <v>12</v>
      </c>
      <c r="AF25">
        <v>8</v>
      </c>
      <c r="AG25">
        <v>2</v>
      </c>
      <c r="AH25">
        <v>4</v>
      </c>
    </row>
    <row r="26" spans="1:34">
      <c r="A26" s="103">
        <v>96</v>
      </c>
      <c r="B26">
        <v>1963</v>
      </c>
      <c r="C26" s="107" t="s">
        <v>130</v>
      </c>
      <c r="D26" s="107" t="s">
        <v>78</v>
      </c>
      <c r="E26">
        <v>1726</v>
      </c>
      <c r="F26">
        <v>1742</v>
      </c>
      <c r="G26">
        <v>500</v>
      </c>
      <c r="H26" s="107" t="s">
        <v>63</v>
      </c>
      <c r="I26">
        <v>7272</v>
      </c>
      <c r="J26" s="107" t="s">
        <v>300</v>
      </c>
      <c r="K26" s="107" t="s">
        <v>84</v>
      </c>
      <c r="L26">
        <v>2312</v>
      </c>
      <c r="M26">
        <v>2350</v>
      </c>
      <c r="N26">
        <v>400</v>
      </c>
      <c r="O26" s="107" t="s">
        <v>61</v>
      </c>
      <c r="P26">
        <v>0.93572891816471004</v>
      </c>
      <c r="Q26">
        <v>0.92587084370181005</v>
      </c>
      <c r="R26" s="15">
        <v>0.289643588099808</v>
      </c>
      <c r="S26" s="15">
        <v>2.8027292474397201E-5</v>
      </c>
      <c r="T26">
        <v>0.85921270266671201</v>
      </c>
      <c r="U26">
        <v>0.85921270266671201</v>
      </c>
      <c r="V26">
        <v>2.06</v>
      </c>
      <c r="W26">
        <v>7.34</v>
      </c>
      <c r="X26">
        <v>348955</v>
      </c>
      <c r="Y26">
        <v>16617</v>
      </c>
      <c r="Z26">
        <v>0.82</v>
      </c>
      <c r="AA26">
        <v>21</v>
      </c>
      <c r="AB26">
        <v>14</v>
      </c>
      <c r="AC26">
        <v>7</v>
      </c>
      <c r="AD26">
        <v>66.67</v>
      </c>
      <c r="AE26">
        <v>10</v>
      </c>
      <c r="AF26">
        <v>12</v>
      </c>
      <c r="AG26">
        <v>5</v>
      </c>
      <c r="AH26">
        <v>4</v>
      </c>
    </row>
    <row r="27" spans="1:34">
      <c r="A27" s="103">
        <v>54</v>
      </c>
      <c r="B27">
        <v>4182</v>
      </c>
      <c r="C27" s="107" t="s">
        <v>88</v>
      </c>
      <c r="D27" s="107" t="s">
        <v>62</v>
      </c>
      <c r="E27">
        <v>1728</v>
      </c>
      <c r="F27">
        <v>1730</v>
      </c>
      <c r="G27">
        <v>600</v>
      </c>
      <c r="H27" s="107" t="s">
        <v>63</v>
      </c>
      <c r="I27">
        <v>7278</v>
      </c>
      <c r="J27" s="107" t="s">
        <v>83</v>
      </c>
      <c r="K27" s="107" t="s">
        <v>84</v>
      </c>
      <c r="L27">
        <v>2565</v>
      </c>
      <c r="M27">
        <v>2544</v>
      </c>
      <c r="N27">
        <v>400</v>
      </c>
      <c r="O27" s="107" t="s">
        <v>61</v>
      </c>
      <c r="P27">
        <v>0.93250792704943697</v>
      </c>
      <c r="Q27">
        <v>0.93776684264203702</v>
      </c>
      <c r="R27" s="107">
        <v>7.08650593562109E-3</v>
      </c>
      <c r="S27" s="15">
        <v>1.0331181766128201E-2</v>
      </c>
      <c r="T27">
        <v>0.60261673454375897</v>
      </c>
      <c r="U27">
        <v>0.60261673454375897</v>
      </c>
      <c r="V27">
        <v>1.7</v>
      </c>
      <c r="W27">
        <v>2</v>
      </c>
      <c r="X27">
        <v>344277</v>
      </c>
      <c r="Y27">
        <v>26483</v>
      </c>
      <c r="Z27">
        <v>1.33</v>
      </c>
      <c r="AA27">
        <v>13</v>
      </c>
      <c r="AB27">
        <v>8</v>
      </c>
      <c r="AC27">
        <v>5</v>
      </c>
      <c r="AD27">
        <v>61.54</v>
      </c>
      <c r="AE27">
        <v>10</v>
      </c>
      <c r="AF27">
        <v>7</v>
      </c>
      <c r="AG27">
        <v>3</v>
      </c>
      <c r="AH27">
        <v>3</v>
      </c>
    </row>
    <row r="28" spans="1:34">
      <c r="A28" s="103">
        <v>61</v>
      </c>
      <c r="B28">
        <v>1820</v>
      </c>
      <c r="C28" s="107" t="s">
        <v>122</v>
      </c>
      <c r="D28" s="107" t="s">
        <v>78</v>
      </c>
      <c r="E28">
        <v>2558</v>
      </c>
      <c r="F28">
        <v>2503</v>
      </c>
      <c r="G28">
        <v>400</v>
      </c>
      <c r="H28" s="107" t="s">
        <v>63</v>
      </c>
      <c r="I28">
        <v>7189</v>
      </c>
      <c r="J28" s="107" t="s">
        <v>81</v>
      </c>
      <c r="K28" s="107" t="s">
        <v>82</v>
      </c>
      <c r="L28">
        <v>873</v>
      </c>
      <c r="M28">
        <v>879</v>
      </c>
      <c r="N28">
        <v>1100</v>
      </c>
      <c r="O28" s="107" t="s">
        <v>61</v>
      </c>
      <c r="P28">
        <v>0.95004887483907896</v>
      </c>
      <c r="Q28">
        <v>0.93510667064985797</v>
      </c>
      <c r="R28">
        <v>0.304082524385479</v>
      </c>
      <c r="S28">
        <v>8.1259128877399403E-2</v>
      </c>
      <c r="T28">
        <v>0.77649254895956799</v>
      </c>
      <c r="U28">
        <v>0.77649254895956799</v>
      </c>
      <c r="V28">
        <v>2.4</v>
      </c>
      <c r="W28">
        <v>3.43</v>
      </c>
      <c r="X28">
        <v>341373</v>
      </c>
      <c r="Y28">
        <v>18965</v>
      </c>
      <c r="Z28">
        <v>0.99</v>
      </c>
      <c r="AA28">
        <v>18</v>
      </c>
      <c r="AB28">
        <v>11</v>
      </c>
      <c r="AC28">
        <v>7</v>
      </c>
      <c r="AD28">
        <v>61.11</v>
      </c>
      <c r="AE28">
        <v>14</v>
      </c>
      <c r="AF28">
        <v>8</v>
      </c>
      <c r="AG28">
        <v>1</v>
      </c>
      <c r="AH28">
        <v>9</v>
      </c>
    </row>
    <row r="29" spans="1:34">
      <c r="A29" s="103">
        <v>157</v>
      </c>
      <c r="B29">
        <v>5110</v>
      </c>
      <c r="C29" s="107" t="s">
        <v>128</v>
      </c>
      <c r="D29" s="107" t="s">
        <v>129</v>
      </c>
      <c r="E29">
        <v>1437</v>
      </c>
      <c r="F29">
        <v>1432</v>
      </c>
      <c r="G29">
        <v>700</v>
      </c>
      <c r="H29" s="107" t="s">
        <v>61</v>
      </c>
      <c r="I29">
        <v>6923</v>
      </c>
      <c r="J29" s="107" t="s">
        <v>112</v>
      </c>
      <c r="K29" s="107" t="s">
        <v>87</v>
      </c>
      <c r="L29">
        <v>3155</v>
      </c>
      <c r="M29">
        <v>3175</v>
      </c>
      <c r="N29">
        <v>300</v>
      </c>
      <c r="O29" s="107" t="s">
        <v>63</v>
      </c>
      <c r="P29">
        <v>0.90193163218440098</v>
      </c>
      <c r="Q29">
        <v>0.91100149195031299</v>
      </c>
      <c r="R29" s="15">
        <v>0.187357364026425</v>
      </c>
      <c r="S29" s="15">
        <v>6.3777773938357193E-2</v>
      </c>
      <c r="T29">
        <v>-0.89095261365036404</v>
      </c>
      <c r="U29">
        <v>0.89095261365036404</v>
      </c>
      <c r="V29">
        <v>-1.63</v>
      </c>
      <c r="W29">
        <v>5.24</v>
      </c>
      <c r="X29">
        <v>336458</v>
      </c>
      <c r="Y29">
        <v>16823</v>
      </c>
      <c r="Z29">
        <v>1.01</v>
      </c>
      <c r="AA29">
        <v>20</v>
      </c>
      <c r="AB29">
        <v>12</v>
      </c>
      <c r="AC29">
        <v>8</v>
      </c>
      <c r="AD29">
        <v>60</v>
      </c>
      <c r="AE29">
        <v>14</v>
      </c>
      <c r="AF29">
        <v>8</v>
      </c>
      <c r="AG29">
        <v>0</v>
      </c>
      <c r="AH29">
        <v>12</v>
      </c>
    </row>
    <row r="30" spans="1:34">
      <c r="A30" s="103">
        <v>140</v>
      </c>
      <c r="B30">
        <v>6371</v>
      </c>
      <c r="C30" s="107" t="s">
        <v>108</v>
      </c>
      <c r="D30" s="107" t="s">
        <v>99</v>
      </c>
      <c r="E30">
        <v>3995</v>
      </c>
      <c r="F30">
        <v>4000</v>
      </c>
      <c r="G30">
        <v>200</v>
      </c>
      <c r="H30" s="107" t="s">
        <v>61</v>
      </c>
      <c r="I30">
        <v>7259</v>
      </c>
      <c r="J30" s="107" t="s">
        <v>29</v>
      </c>
      <c r="K30" s="107" t="s">
        <v>84</v>
      </c>
      <c r="L30">
        <v>4260</v>
      </c>
      <c r="M30">
        <v>4265</v>
      </c>
      <c r="N30">
        <v>200</v>
      </c>
      <c r="O30" s="107" t="s">
        <v>63</v>
      </c>
      <c r="P30">
        <v>0.95779072790284003</v>
      </c>
      <c r="Q30">
        <v>0.91488184569321696</v>
      </c>
      <c r="R30">
        <v>7.1499400043290495E-4</v>
      </c>
      <c r="S30" s="15">
        <v>1.03477280293658E-2</v>
      </c>
      <c r="T30">
        <v>-0.416007112484097</v>
      </c>
      <c r="U30">
        <v>0.416007112484097</v>
      </c>
      <c r="V30">
        <v>-1.95</v>
      </c>
      <c r="W30">
        <v>6.21</v>
      </c>
      <c r="X30">
        <v>326064</v>
      </c>
      <c r="Y30">
        <v>36229</v>
      </c>
      <c r="Z30">
        <v>2.0699999999999998</v>
      </c>
      <c r="AA30">
        <v>9</v>
      </c>
      <c r="AB30">
        <v>7</v>
      </c>
      <c r="AC30">
        <v>2</v>
      </c>
      <c r="AD30">
        <v>77.78</v>
      </c>
      <c r="AE30">
        <v>11</v>
      </c>
      <c r="AF30">
        <v>6</v>
      </c>
      <c r="AG30">
        <v>0</v>
      </c>
      <c r="AH30">
        <v>3</v>
      </c>
    </row>
    <row r="31" spans="1:34">
      <c r="A31" s="103">
        <v>175</v>
      </c>
      <c r="B31">
        <v>4182</v>
      </c>
      <c r="C31" s="107" t="s">
        <v>88</v>
      </c>
      <c r="D31" s="107" t="s">
        <v>62</v>
      </c>
      <c r="E31">
        <v>1728</v>
      </c>
      <c r="F31">
        <v>1730</v>
      </c>
      <c r="G31">
        <v>600</v>
      </c>
      <c r="H31" s="107" t="s">
        <v>63</v>
      </c>
      <c r="I31">
        <v>4208</v>
      </c>
      <c r="J31" s="107" t="s">
        <v>98</v>
      </c>
      <c r="K31" s="107" t="s">
        <v>62</v>
      </c>
      <c r="L31">
        <v>2459</v>
      </c>
      <c r="M31">
        <v>2479</v>
      </c>
      <c r="N31">
        <v>400</v>
      </c>
      <c r="O31" s="107" t="s">
        <v>61</v>
      </c>
      <c r="P31">
        <v>0.91995786256957901</v>
      </c>
      <c r="Q31">
        <v>0.90813641998696804</v>
      </c>
      <c r="R31">
        <v>3.4853957563098698E-2</v>
      </c>
      <c r="S31">
        <v>8.0894738499062299E-2</v>
      </c>
      <c r="T31">
        <v>0.84135186347943902</v>
      </c>
      <c r="U31">
        <v>0.84135186347943902</v>
      </c>
      <c r="V31">
        <v>3.8</v>
      </c>
      <c r="W31">
        <v>4.68</v>
      </c>
      <c r="X31">
        <v>323980</v>
      </c>
      <c r="Y31">
        <v>16199</v>
      </c>
      <c r="Z31">
        <v>0.85</v>
      </c>
      <c r="AA31">
        <v>20</v>
      </c>
      <c r="AB31">
        <v>14</v>
      </c>
      <c r="AC31">
        <v>6</v>
      </c>
      <c r="AD31">
        <v>70</v>
      </c>
      <c r="AE31">
        <v>13</v>
      </c>
      <c r="AF31">
        <v>8</v>
      </c>
      <c r="AG31">
        <v>2</v>
      </c>
      <c r="AH31">
        <v>10</v>
      </c>
    </row>
    <row r="32" spans="1:34">
      <c r="A32" s="103">
        <v>164</v>
      </c>
      <c r="B32">
        <v>4208</v>
      </c>
      <c r="C32" s="107" t="s">
        <v>98</v>
      </c>
      <c r="D32" s="107" t="s">
        <v>62</v>
      </c>
      <c r="E32">
        <v>2459</v>
      </c>
      <c r="F32">
        <v>2479</v>
      </c>
      <c r="G32">
        <v>400</v>
      </c>
      <c r="H32" s="107" t="s">
        <v>61</v>
      </c>
      <c r="I32">
        <v>7762</v>
      </c>
      <c r="J32" s="107" t="s">
        <v>107</v>
      </c>
      <c r="K32" s="107" t="s">
        <v>93</v>
      </c>
      <c r="L32">
        <v>625</v>
      </c>
      <c r="M32">
        <v>617</v>
      </c>
      <c r="N32">
        <v>1600</v>
      </c>
      <c r="O32" s="107" t="s">
        <v>63</v>
      </c>
      <c r="P32">
        <v>0.92725957750898602</v>
      </c>
      <c r="Q32">
        <v>0.91047119404661503</v>
      </c>
      <c r="R32">
        <v>5.7573577770112299E-3</v>
      </c>
      <c r="S32" s="107">
        <v>5.3812415039370901E-3</v>
      </c>
      <c r="T32">
        <v>-2.8493560262765401E-2</v>
      </c>
      <c r="U32">
        <v>2.8493560262765401E-2</v>
      </c>
      <c r="V32">
        <v>-7.0000000000000007E-2</v>
      </c>
      <c r="W32">
        <v>0.44</v>
      </c>
      <c r="X32">
        <v>318939</v>
      </c>
      <c r="Y32">
        <v>22781</v>
      </c>
      <c r="Z32">
        <v>1.17</v>
      </c>
      <c r="AA32">
        <v>14</v>
      </c>
      <c r="AB32">
        <v>10</v>
      </c>
      <c r="AC32">
        <v>4</v>
      </c>
      <c r="AD32">
        <v>71.430000000000007</v>
      </c>
      <c r="AE32">
        <v>13</v>
      </c>
      <c r="AF32">
        <v>5</v>
      </c>
      <c r="AG32">
        <v>1</v>
      </c>
      <c r="AH32">
        <v>8</v>
      </c>
    </row>
    <row r="33" spans="1:34">
      <c r="A33" s="103">
        <v>94</v>
      </c>
      <c r="B33">
        <v>5802</v>
      </c>
      <c r="C33" s="107" t="s">
        <v>131</v>
      </c>
      <c r="D33" s="107" t="s">
        <v>132</v>
      </c>
      <c r="E33">
        <v>1688.5</v>
      </c>
      <c r="F33">
        <v>1690.5</v>
      </c>
      <c r="G33">
        <v>500</v>
      </c>
      <c r="H33" s="107" t="s">
        <v>63</v>
      </c>
      <c r="I33">
        <v>6995</v>
      </c>
      <c r="J33" s="107" t="s">
        <v>91</v>
      </c>
      <c r="K33" s="107" t="s">
        <v>84</v>
      </c>
      <c r="L33">
        <v>2258</v>
      </c>
      <c r="M33">
        <v>2263</v>
      </c>
      <c r="N33">
        <v>400</v>
      </c>
      <c r="O33" s="107" t="s">
        <v>61</v>
      </c>
      <c r="P33">
        <v>0.95960367993335005</v>
      </c>
      <c r="Q33">
        <v>0.92620167540165899</v>
      </c>
      <c r="R33">
        <v>0.25121517742539801</v>
      </c>
      <c r="S33" s="107">
        <v>0.21512261622297399</v>
      </c>
      <c r="T33">
        <v>0.15078003401343501</v>
      </c>
      <c r="U33">
        <v>0.15078003401343501</v>
      </c>
      <c r="V33">
        <v>0.26</v>
      </c>
      <c r="W33">
        <v>6.62</v>
      </c>
      <c r="X33">
        <v>306631</v>
      </c>
      <c r="Y33">
        <v>18037</v>
      </c>
      <c r="Z33">
        <v>0.89</v>
      </c>
      <c r="AA33">
        <v>17</v>
      </c>
      <c r="AB33">
        <v>11</v>
      </c>
      <c r="AC33">
        <v>6</v>
      </c>
      <c r="AD33">
        <v>64.709999999999994</v>
      </c>
      <c r="AE33">
        <v>15</v>
      </c>
      <c r="AF33">
        <v>6</v>
      </c>
      <c r="AG33">
        <v>0</v>
      </c>
      <c r="AH33">
        <v>11</v>
      </c>
    </row>
    <row r="34" spans="1:34">
      <c r="A34" s="103">
        <v>41</v>
      </c>
      <c r="B34">
        <v>4182</v>
      </c>
      <c r="C34" s="107" t="s">
        <v>88</v>
      </c>
      <c r="D34" s="107" t="s">
        <v>62</v>
      </c>
      <c r="E34">
        <v>1728</v>
      </c>
      <c r="F34">
        <v>1730</v>
      </c>
      <c r="G34">
        <v>500</v>
      </c>
      <c r="H34" s="107" t="s">
        <v>63</v>
      </c>
      <c r="I34">
        <v>7272</v>
      </c>
      <c r="J34" s="107" t="s">
        <v>300</v>
      </c>
      <c r="K34" s="107" t="s">
        <v>84</v>
      </c>
      <c r="L34">
        <v>2312</v>
      </c>
      <c r="M34">
        <v>2350</v>
      </c>
      <c r="N34">
        <v>400</v>
      </c>
      <c r="O34" s="107" t="s">
        <v>61</v>
      </c>
      <c r="P34">
        <v>0.92196435253237097</v>
      </c>
      <c r="Q34">
        <v>0.94235454967792298</v>
      </c>
      <c r="R34" s="15">
        <v>2.2086996237417798E-2</v>
      </c>
      <c r="S34">
        <v>1.9023038597845399E-3</v>
      </c>
      <c r="T34">
        <v>0.27618588667055699</v>
      </c>
      <c r="U34">
        <v>0.27618588667055699</v>
      </c>
      <c r="V34">
        <v>0.71</v>
      </c>
      <c r="W34">
        <v>7.98</v>
      </c>
      <c r="X34">
        <v>303536</v>
      </c>
      <c r="Y34">
        <v>23349</v>
      </c>
      <c r="Z34">
        <v>1.1599999999999999</v>
      </c>
      <c r="AA34">
        <v>13</v>
      </c>
      <c r="AB34">
        <v>9</v>
      </c>
      <c r="AC34">
        <v>4</v>
      </c>
      <c r="AD34">
        <v>69.23</v>
      </c>
      <c r="AE34">
        <v>12</v>
      </c>
      <c r="AF34">
        <v>6</v>
      </c>
      <c r="AG34">
        <v>1</v>
      </c>
      <c r="AH34">
        <v>6</v>
      </c>
    </row>
    <row r="35" spans="1:34">
      <c r="A35" s="103">
        <v>113</v>
      </c>
      <c r="B35">
        <v>6988</v>
      </c>
      <c r="C35" s="107" t="s">
        <v>139</v>
      </c>
      <c r="D35" s="107" t="s">
        <v>62</v>
      </c>
      <c r="E35">
        <v>6350</v>
      </c>
      <c r="F35">
        <v>6410</v>
      </c>
      <c r="G35">
        <v>100</v>
      </c>
      <c r="H35" s="107" t="s">
        <v>61</v>
      </c>
      <c r="I35">
        <v>7272</v>
      </c>
      <c r="J35" s="107" t="s">
        <v>300</v>
      </c>
      <c r="K35" s="107" t="s">
        <v>84</v>
      </c>
      <c r="L35">
        <v>2312</v>
      </c>
      <c r="M35">
        <v>2350</v>
      </c>
      <c r="N35">
        <v>300</v>
      </c>
      <c r="O35" s="107" t="s">
        <v>63</v>
      </c>
      <c r="P35">
        <v>0.94027526310829401</v>
      </c>
      <c r="Q35">
        <v>0.921520957165615</v>
      </c>
      <c r="R35" s="107">
        <v>0.15547107925411599</v>
      </c>
      <c r="S35" s="15">
        <v>0.24405506562072901</v>
      </c>
      <c r="T35">
        <v>-0.14958225730293201</v>
      </c>
      <c r="U35">
        <v>0.14958225730293201</v>
      </c>
      <c r="V35">
        <v>-0.46</v>
      </c>
      <c r="W35">
        <v>9.98</v>
      </c>
      <c r="X35">
        <v>300982</v>
      </c>
      <c r="Y35">
        <v>25082</v>
      </c>
      <c r="Z35">
        <v>1.21</v>
      </c>
      <c r="AA35">
        <v>12</v>
      </c>
      <c r="AB35">
        <v>7</v>
      </c>
      <c r="AC35">
        <v>5</v>
      </c>
      <c r="AD35">
        <v>58.33</v>
      </c>
      <c r="AE35">
        <v>12</v>
      </c>
      <c r="AF35">
        <v>6</v>
      </c>
      <c r="AG35">
        <v>3</v>
      </c>
      <c r="AH35">
        <v>3</v>
      </c>
    </row>
    <row r="36" spans="1:34">
      <c r="A36" s="103">
        <v>186</v>
      </c>
      <c r="B36">
        <v>6406</v>
      </c>
      <c r="C36" s="107" t="s">
        <v>1319</v>
      </c>
      <c r="D36" s="107" t="s">
        <v>99</v>
      </c>
      <c r="E36">
        <v>1804</v>
      </c>
      <c r="F36">
        <v>1790</v>
      </c>
      <c r="G36">
        <v>500</v>
      </c>
      <c r="H36" s="107" t="s">
        <v>61</v>
      </c>
      <c r="I36">
        <v>6807</v>
      </c>
      <c r="J36" s="107" t="s">
        <v>335</v>
      </c>
      <c r="K36" s="107" t="s">
        <v>87</v>
      </c>
      <c r="L36">
        <v>2296</v>
      </c>
      <c r="M36">
        <v>2272</v>
      </c>
      <c r="N36">
        <v>400</v>
      </c>
      <c r="O36" s="107" t="s">
        <v>63</v>
      </c>
      <c r="P36">
        <v>0.94631763639954203</v>
      </c>
      <c r="Q36">
        <v>0.90699920350222896</v>
      </c>
      <c r="R36">
        <v>0.13357701748557499</v>
      </c>
      <c r="S36">
        <v>9.6739391730591096E-2</v>
      </c>
      <c r="T36">
        <v>-1.09994698341802</v>
      </c>
      <c r="U36">
        <v>1.09994698341802</v>
      </c>
      <c r="V36">
        <v>-6.04</v>
      </c>
      <c r="W36">
        <v>1.52</v>
      </c>
      <c r="X36">
        <v>297032</v>
      </c>
      <c r="Y36">
        <v>12376</v>
      </c>
      <c r="Z36">
        <v>0.62</v>
      </c>
      <c r="AA36">
        <v>24</v>
      </c>
      <c r="AB36">
        <v>14</v>
      </c>
      <c r="AC36">
        <v>10</v>
      </c>
      <c r="AD36">
        <v>58.33</v>
      </c>
      <c r="AE36">
        <v>11</v>
      </c>
      <c r="AF36">
        <v>9</v>
      </c>
      <c r="AG36">
        <v>7</v>
      </c>
      <c r="AH36">
        <v>8</v>
      </c>
    </row>
    <row r="37" spans="1:34">
      <c r="A37" s="103">
        <v>6</v>
      </c>
      <c r="B37">
        <v>2413</v>
      </c>
      <c r="C37" s="107" t="s">
        <v>1271</v>
      </c>
      <c r="D37" s="107" t="s">
        <v>120</v>
      </c>
      <c r="E37">
        <v>3065</v>
      </c>
      <c r="F37">
        <v>3025</v>
      </c>
      <c r="G37">
        <v>200</v>
      </c>
      <c r="H37" s="107" t="s">
        <v>61</v>
      </c>
      <c r="I37">
        <v>4686</v>
      </c>
      <c r="J37" s="107" t="s">
        <v>1272</v>
      </c>
      <c r="K37" s="107" t="s">
        <v>79</v>
      </c>
      <c r="L37">
        <v>5910</v>
      </c>
      <c r="M37">
        <v>5910</v>
      </c>
      <c r="N37">
        <v>100</v>
      </c>
      <c r="O37" s="107" t="s">
        <v>63</v>
      </c>
      <c r="P37">
        <v>0.93802217613993299</v>
      </c>
      <c r="Q37">
        <v>0.96152139127361103</v>
      </c>
      <c r="R37">
        <v>0.110177275972137</v>
      </c>
      <c r="S37" s="15">
        <v>2.7126209298636999E-2</v>
      </c>
      <c r="T37">
        <v>-1.3650938221045199</v>
      </c>
      <c r="U37">
        <v>1.3650938221045199</v>
      </c>
      <c r="V37">
        <v>-14.24</v>
      </c>
      <c r="W37">
        <v>2.37</v>
      </c>
      <c r="X37">
        <v>295619</v>
      </c>
      <c r="Y37">
        <v>16423</v>
      </c>
      <c r="Z37">
        <v>0.89</v>
      </c>
      <c r="AA37">
        <v>18</v>
      </c>
      <c r="AB37">
        <v>11</v>
      </c>
      <c r="AC37">
        <v>7</v>
      </c>
      <c r="AD37">
        <v>61.11</v>
      </c>
      <c r="AE37">
        <v>10</v>
      </c>
      <c r="AF37">
        <v>10</v>
      </c>
      <c r="AG37">
        <v>5</v>
      </c>
      <c r="AH37">
        <v>3</v>
      </c>
    </row>
    <row r="38" spans="1:34">
      <c r="A38" s="103">
        <v>103</v>
      </c>
      <c r="B38">
        <v>6371</v>
      </c>
      <c r="C38" s="107" t="s">
        <v>108</v>
      </c>
      <c r="D38" s="107" t="s">
        <v>99</v>
      </c>
      <c r="E38">
        <v>3995</v>
      </c>
      <c r="F38">
        <v>4000</v>
      </c>
      <c r="G38">
        <v>200</v>
      </c>
      <c r="H38" s="107" t="s">
        <v>63</v>
      </c>
      <c r="I38">
        <v>7762</v>
      </c>
      <c r="J38" s="107" t="s">
        <v>107</v>
      </c>
      <c r="K38" s="107" t="s">
        <v>93</v>
      </c>
      <c r="L38">
        <v>625</v>
      </c>
      <c r="M38">
        <v>617</v>
      </c>
      <c r="N38">
        <v>1300</v>
      </c>
      <c r="O38" s="107" t="s">
        <v>61</v>
      </c>
      <c r="P38">
        <v>0.96003717530117905</v>
      </c>
      <c r="Q38">
        <v>0.92353821335005004</v>
      </c>
      <c r="R38">
        <v>7.97477102058625E-3</v>
      </c>
      <c r="S38" s="15">
        <v>0.20115113248451499</v>
      </c>
      <c r="T38">
        <v>0.79279837134508402</v>
      </c>
      <c r="U38">
        <v>0.79279837134508402</v>
      </c>
      <c r="V38">
        <v>1.19</v>
      </c>
      <c r="W38">
        <v>0.26</v>
      </c>
      <c r="X38">
        <v>295597</v>
      </c>
      <c r="Y38">
        <v>14780</v>
      </c>
      <c r="Z38">
        <v>0.81</v>
      </c>
      <c r="AA38">
        <v>20</v>
      </c>
      <c r="AB38">
        <v>14</v>
      </c>
      <c r="AC38">
        <v>6</v>
      </c>
      <c r="AD38">
        <v>70</v>
      </c>
      <c r="AE38">
        <v>13</v>
      </c>
      <c r="AF38">
        <v>7</v>
      </c>
      <c r="AG38">
        <v>4</v>
      </c>
      <c r="AH38">
        <v>9</v>
      </c>
    </row>
    <row r="39" spans="1:34">
      <c r="A39" s="103">
        <v>206</v>
      </c>
      <c r="B39">
        <v>8425</v>
      </c>
      <c r="C39" s="107" t="s">
        <v>319</v>
      </c>
      <c r="D39" s="107" t="s">
        <v>299</v>
      </c>
      <c r="E39">
        <v>3355</v>
      </c>
      <c r="F39">
        <v>3350</v>
      </c>
      <c r="G39">
        <v>300</v>
      </c>
      <c r="H39" s="107" t="s">
        <v>61</v>
      </c>
      <c r="I39">
        <v>9934</v>
      </c>
      <c r="J39" s="107" t="s">
        <v>950</v>
      </c>
      <c r="K39" s="107" t="s">
        <v>101</v>
      </c>
      <c r="L39">
        <v>2850</v>
      </c>
      <c r="M39">
        <v>2830</v>
      </c>
      <c r="N39">
        <v>400</v>
      </c>
      <c r="O39" s="107" t="s">
        <v>63</v>
      </c>
      <c r="P39">
        <v>0.92428191533375803</v>
      </c>
      <c r="Q39">
        <v>0.90429782954164595</v>
      </c>
      <c r="R39">
        <v>4.6973469638085101E-4</v>
      </c>
      <c r="S39" s="15">
        <v>3.2077644439673397E-2</v>
      </c>
      <c r="T39">
        <v>-0.78772197192815396</v>
      </c>
      <c r="U39">
        <v>0.78772197192815396</v>
      </c>
      <c r="V39">
        <v>-2.4700000000000002</v>
      </c>
      <c r="W39">
        <v>12.64</v>
      </c>
      <c r="X39">
        <v>290684</v>
      </c>
      <c r="Y39">
        <v>16149</v>
      </c>
      <c r="Z39">
        <v>0.84</v>
      </c>
      <c r="AA39">
        <v>18</v>
      </c>
      <c r="AB39">
        <v>15</v>
      </c>
      <c r="AC39">
        <v>3</v>
      </c>
      <c r="AD39">
        <v>83.33</v>
      </c>
      <c r="AE39">
        <v>13</v>
      </c>
      <c r="AF39">
        <v>6</v>
      </c>
      <c r="AG39">
        <v>2</v>
      </c>
      <c r="AH39">
        <v>10</v>
      </c>
    </row>
    <row r="40" spans="1:34">
      <c r="A40" s="103">
        <v>10</v>
      </c>
      <c r="B40">
        <v>5991</v>
      </c>
      <c r="C40" s="107" t="s">
        <v>115</v>
      </c>
      <c r="D40" s="107" t="s">
        <v>116</v>
      </c>
      <c r="E40">
        <v>1021</v>
      </c>
      <c r="F40">
        <v>1021</v>
      </c>
      <c r="G40">
        <v>800</v>
      </c>
      <c r="H40" s="107" t="s">
        <v>63</v>
      </c>
      <c r="I40">
        <v>6371</v>
      </c>
      <c r="J40" s="107" t="s">
        <v>108</v>
      </c>
      <c r="K40" s="107" t="s">
        <v>99</v>
      </c>
      <c r="L40">
        <v>3995</v>
      </c>
      <c r="M40">
        <v>4000</v>
      </c>
      <c r="N40">
        <v>200</v>
      </c>
      <c r="O40" s="107" t="s">
        <v>61</v>
      </c>
      <c r="P40">
        <v>0.94966173834464196</v>
      </c>
      <c r="Q40">
        <v>0.95638449228217504</v>
      </c>
      <c r="R40">
        <v>0.306781590797569</v>
      </c>
      <c r="S40" s="107">
        <v>9.0359498689985098E-4</v>
      </c>
      <c r="T40">
        <v>1.3364071876858901</v>
      </c>
      <c r="U40">
        <v>1.3364071876858901</v>
      </c>
      <c r="V40">
        <v>4.08</v>
      </c>
      <c r="W40">
        <v>2.1</v>
      </c>
      <c r="X40">
        <v>286657</v>
      </c>
      <c r="Y40">
        <v>16862</v>
      </c>
      <c r="Z40">
        <v>0.8</v>
      </c>
      <c r="AA40">
        <v>17</v>
      </c>
      <c r="AB40">
        <v>10</v>
      </c>
      <c r="AC40">
        <v>7</v>
      </c>
      <c r="AD40">
        <v>58.82</v>
      </c>
      <c r="AE40">
        <v>13</v>
      </c>
      <c r="AF40">
        <v>7</v>
      </c>
      <c r="AG40">
        <v>1</v>
      </c>
      <c r="AH40">
        <v>9</v>
      </c>
    </row>
    <row r="41" spans="1:34">
      <c r="A41" s="103">
        <v>65</v>
      </c>
      <c r="B41">
        <v>5393</v>
      </c>
      <c r="C41" s="107" t="s">
        <v>333</v>
      </c>
      <c r="D41" s="107" t="s">
        <v>106</v>
      </c>
      <c r="E41">
        <v>2749</v>
      </c>
      <c r="F41">
        <v>2736</v>
      </c>
      <c r="G41">
        <v>300</v>
      </c>
      <c r="H41" s="107" t="s">
        <v>63</v>
      </c>
      <c r="I41">
        <v>5947</v>
      </c>
      <c r="J41" s="107" t="s">
        <v>325</v>
      </c>
      <c r="K41" s="107" t="s">
        <v>116</v>
      </c>
      <c r="L41">
        <v>8580</v>
      </c>
      <c r="M41">
        <v>8530</v>
      </c>
      <c r="N41">
        <v>100</v>
      </c>
      <c r="O41" s="107" t="s">
        <v>61</v>
      </c>
      <c r="P41">
        <v>0.95680139628442096</v>
      </c>
      <c r="Q41">
        <v>0.93418137812961699</v>
      </c>
      <c r="R41">
        <v>5.8384712514652298E-2</v>
      </c>
      <c r="S41">
        <v>3.6693971299574302E-2</v>
      </c>
      <c r="T41">
        <v>1.9214330448213599</v>
      </c>
      <c r="U41">
        <v>1.9214330448213599</v>
      </c>
      <c r="V41">
        <v>12.76</v>
      </c>
      <c r="W41">
        <v>3.77</v>
      </c>
      <c r="X41">
        <v>284943</v>
      </c>
      <c r="Y41">
        <v>23745</v>
      </c>
      <c r="Z41">
        <v>1.3</v>
      </c>
      <c r="AA41">
        <v>12</v>
      </c>
      <c r="AB41">
        <v>8</v>
      </c>
      <c r="AC41">
        <v>4</v>
      </c>
      <c r="AD41">
        <v>66.67</v>
      </c>
      <c r="AE41">
        <v>11</v>
      </c>
      <c r="AF41">
        <v>6</v>
      </c>
      <c r="AG41">
        <v>3</v>
      </c>
      <c r="AH41">
        <v>3</v>
      </c>
    </row>
    <row r="42" spans="1:34">
      <c r="A42" s="103">
        <v>39</v>
      </c>
      <c r="B42">
        <v>6752</v>
      </c>
      <c r="C42" s="107" t="s">
        <v>105</v>
      </c>
      <c r="D42" s="107" t="s">
        <v>87</v>
      </c>
      <c r="E42">
        <v>1059</v>
      </c>
      <c r="F42">
        <v>1058</v>
      </c>
      <c r="G42">
        <v>1000</v>
      </c>
      <c r="H42" s="107" t="s">
        <v>63</v>
      </c>
      <c r="I42">
        <v>7278</v>
      </c>
      <c r="J42" s="107" t="s">
        <v>83</v>
      </c>
      <c r="K42" s="107" t="s">
        <v>84</v>
      </c>
      <c r="L42">
        <v>2565</v>
      </c>
      <c r="M42">
        <v>2544</v>
      </c>
      <c r="N42">
        <v>400</v>
      </c>
      <c r="O42" s="107" t="s">
        <v>61</v>
      </c>
      <c r="P42">
        <v>0.92870768782800694</v>
      </c>
      <c r="Q42">
        <v>0.94307206627621298</v>
      </c>
      <c r="R42">
        <v>1.2015286909465E-2</v>
      </c>
      <c r="S42" s="107">
        <v>5.1372987993479895E-4</v>
      </c>
      <c r="T42">
        <v>0.37158432724639701</v>
      </c>
      <c r="U42">
        <v>0.37158432724639701</v>
      </c>
      <c r="V42">
        <v>0.92</v>
      </c>
      <c r="W42">
        <v>3.97</v>
      </c>
      <c r="X42">
        <v>283523</v>
      </c>
      <c r="Y42">
        <v>14922</v>
      </c>
      <c r="Z42">
        <v>0.75</v>
      </c>
      <c r="AA42">
        <v>19</v>
      </c>
      <c r="AB42">
        <v>11</v>
      </c>
      <c r="AC42">
        <v>8</v>
      </c>
      <c r="AD42">
        <v>57.89</v>
      </c>
      <c r="AE42">
        <v>11</v>
      </c>
      <c r="AF42">
        <v>8</v>
      </c>
      <c r="AG42">
        <v>2</v>
      </c>
      <c r="AH42">
        <v>9</v>
      </c>
    </row>
    <row r="43" spans="1:34">
      <c r="A43" s="103">
        <v>78</v>
      </c>
      <c r="B43">
        <v>6588</v>
      </c>
      <c r="C43" s="107" t="s">
        <v>955</v>
      </c>
      <c r="D43" s="107" t="s">
        <v>87</v>
      </c>
      <c r="E43">
        <v>4625</v>
      </c>
      <c r="F43">
        <v>4530</v>
      </c>
      <c r="G43">
        <v>200</v>
      </c>
      <c r="H43" s="107" t="s">
        <v>63</v>
      </c>
      <c r="I43">
        <v>8425</v>
      </c>
      <c r="J43" s="107" t="s">
        <v>319</v>
      </c>
      <c r="K43" s="107" t="s">
        <v>299</v>
      </c>
      <c r="L43">
        <v>3355</v>
      </c>
      <c r="M43">
        <v>3350</v>
      </c>
      <c r="N43">
        <v>300</v>
      </c>
      <c r="O43" s="107" t="s">
        <v>61</v>
      </c>
      <c r="P43">
        <v>0.93347720892629904</v>
      </c>
      <c r="Q43">
        <v>0.93018070759094496</v>
      </c>
      <c r="R43">
        <v>5.2017023632843697E-2</v>
      </c>
      <c r="S43">
        <v>4.4901020445880901E-2</v>
      </c>
      <c r="T43">
        <v>1.1383326098516899</v>
      </c>
      <c r="U43">
        <v>1.1383326098516899</v>
      </c>
      <c r="V43">
        <v>9.01</v>
      </c>
      <c r="W43">
        <v>10.93</v>
      </c>
      <c r="X43">
        <v>276730</v>
      </c>
      <c r="Y43">
        <v>21287</v>
      </c>
      <c r="Z43">
        <v>1.08</v>
      </c>
      <c r="AA43">
        <v>13</v>
      </c>
      <c r="AB43">
        <v>9</v>
      </c>
      <c r="AC43">
        <v>4</v>
      </c>
      <c r="AD43">
        <v>69.23</v>
      </c>
      <c r="AE43">
        <v>13</v>
      </c>
      <c r="AF43">
        <v>5</v>
      </c>
      <c r="AG43">
        <v>1</v>
      </c>
      <c r="AH43">
        <v>7</v>
      </c>
    </row>
    <row r="44" spans="1:34">
      <c r="A44" s="103">
        <v>201</v>
      </c>
      <c r="B44">
        <v>1973</v>
      </c>
      <c r="C44" s="107" t="s">
        <v>310</v>
      </c>
      <c r="D44" s="107" t="s">
        <v>79</v>
      </c>
      <c r="E44">
        <v>3620</v>
      </c>
      <c r="F44">
        <v>3570</v>
      </c>
      <c r="G44">
        <v>300</v>
      </c>
      <c r="H44" s="107" t="s">
        <v>63</v>
      </c>
      <c r="I44">
        <v>3231</v>
      </c>
      <c r="J44" s="107" t="s">
        <v>963</v>
      </c>
      <c r="K44" s="107" t="s">
        <v>114</v>
      </c>
      <c r="L44">
        <v>2659</v>
      </c>
      <c r="M44">
        <v>2627</v>
      </c>
      <c r="N44">
        <v>400</v>
      </c>
      <c r="O44" s="107" t="s">
        <v>61</v>
      </c>
      <c r="P44">
        <v>0.91759860500991597</v>
      </c>
      <c r="Q44">
        <v>0.90520334569766003</v>
      </c>
      <c r="R44" s="15">
        <v>0.184636184564583</v>
      </c>
      <c r="S44">
        <v>5.3222642720263197E-2</v>
      </c>
      <c r="T44">
        <v>1.67957630875973</v>
      </c>
      <c r="U44">
        <v>1.67957630875973</v>
      </c>
      <c r="V44">
        <v>6.13</v>
      </c>
      <c r="W44">
        <v>1.89</v>
      </c>
      <c r="X44">
        <v>275277</v>
      </c>
      <c r="Y44">
        <v>16193</v>
      </c>
      <c r="Z44">
        <v>0.82</v>
      </c>
      <c r="AA44">
        <v>17</v>
      </c>
      <c r="AB44">
        <v>10</v>
      </c>
      <c r="AC44">
        <v>7</v>
      </c>
      <c r="AD44">
        <v>58.82</v>
      </c>
      <c r="AE44">
        <v>14</v>
      </c>
      <c r="AF44">
        <v>5</v>
      </c>
      <c r="AG44">
        <v>2</v>
      </c>
      <c r="AH44">
        <v>10</v>
      </c>
    </row>
    <row r="45" spans="1:34">
      <c r="A45" s="103">
        <v>93</v>
      </c>
      <c r="B45">
        <v>6287</v>
      </c>
      <c r="C45" s="107" t="s">
        <v>951</v>
      </c>
      <c r="D45" s="107" t="s">
        <v>99</v>
      </c>
      <c r="E45">
        <v>3455</v>
      </c>
      <c r="F45">
        <v>3455</v>
      </c>
      <c r="G45">
        <v>300</v>
      </c>
      <c r="H45" s="107" t="s">
        <v>63</v>
      </c>
      <c r="I45">
        <v>6465</v>
      </c>
      <c r="J45" s="107" t="s">
        <v>952</v>
      </c>
      <c r="K45" s="107" t="s">
        <v>99</v>
      </c>
      <c r="L45">
        <v>10040</v>
      </c>
      <c r="M45">
        <v>9960</v>
      </c>
      <c r="N45">
        <v>100</v>
      </c>
      <c r="O45" s="107" t="s">
        <v>61</v>
      </c>
      <c r="P45">
        <v>0.95839027400003196</v>
      </c>
      <c r="Q45">
        <v>0.92638083226585799</v>
      </c>
      <c r="R45" s="107">
        <v>1.9937685430918301E-2</v>
      </c>
      <c r="S45" s="15">
        <v>0.14925812310036299</v>
      </c>
      <c r="T45">
        <v>0.34644789183804298</v>
      </c>
      <c r="U45">
        <v>0.34644789183804298</v>
      </c>
      <c r="V45">
        <v>0.64</v>
      </c>
      <c r="W45">
        <v>4.07</v>
      </c>
      <c r="X45">
        <v>272271</v>
      </c>
      <c r="Y45">
        <v>22689</v>
      </c>
      <c r="Z45">
        <v>1.55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5</v>
      </c>
      <c r="AG45">
        <v>3</v>
      </c>
      <c r="AH45">
        <v>4</v>
      </c>
    </row>
    <row r="46" spans="1:34">
      <c r="A46" s="103">
        <v>13</v>
      </c>
      <c r="B46">
        <v>3635</v>
      </c>
      <c r="C46" s="107" t="s">
        <v>85</v>
      </c>
      <c r="D46" s="107" t="s">
        <v>79</v>
      </c>
      <c r="E46">
        <v>2727</v>
      </c>
      <c r="F46">
        <v>2709</v>
      </c>
      <c r="G46">
        <v>400</v>
      </c>
      <c r="H46" s="107" t="s">
        <v>63</v>
      </c>
      <c r="I46">
        <v>4062</v>
      </c>
      <c r="J46" s="107" t="s">
        <v>326</v>
      </c>
      <c r="K46" s="107" t="s">
        <v>87</v>
      </c>
      <c r="L46">
        <v>2625</v>
      </c>
      <c r="M46">
        <v>2608</v>
      </c>
      <c r="N46">
        <v>400</v>
      </c>
      <c r="O46" s="107" t="s">
        <v>61</v>
      </c>
      <c r="P46">
        <v>0.91799820424218403</v>
      </c>
      <c r="Q46">
        <v>0.95452778308485897</v>
      </c>
      <c r="R46">
        <v>4.89417169505749E-2</v>
      </c>
      <c r="S46" s="15">
        <v>0.19500449292804101</v>
      </c>
      <c r="T46">
        <v>0.108937119384171</v>
      </c>
      <c r="U46">
        <v>0.108937119384171</v>
      </c>
      <c r="V46">
        <v>0.31</v>
      </c>
      <c r="W46">
        <v>3.73</v>
      </c>
      <c r="X46">
        <v>272145</v>
      </c>
      <c r="Y46">
        <v>20934</v>
      </c>
      <c r="Z46">
        <v>1.08</v>
      </c>
      <c r="AA46">
        <v>13</v>
      </c>
      <c r="AB46">
        <v>8</v>
      </c>
      <c r="AC46">
        <v>5</v>
      </c>
      <c r="AD46">
        <v>61.54</v>
      </c>
      <c r="AE46">
        <v>12</v>
      </c>
      <c r="AF46">
        <v>6</v>
      </c>
      <c r="AG46">
        <v>2</v>
      </c>
      <c r="AH46">
        <v>5</v>
      </c>
    </row>
    <row r="47" spans="1:34">
      <c r="A47" s="103">
        <v>11</v>
      </c>
      <c r="B47">
        <v>3105</v>
      </c>
      <c r="C47" s="107" t="s">
        <v>90</v>
      </c>
      <c r="D47" s="107" t="s">
        <v>87</v>
      </c>
      <c r="E47">
        <v>1098</v>
      </c>
      <c r="F47">
        <v>1086</v>
      </c>
      <c r="G47">
        <v>800</v>
      </c>
      <c r="H47" s="107" t="s">
        <v>63</v>
      </c>
      <c r="I47">
        <v>7282</v>
      </c>
      <c r="J47" s="107" t="s">
        <v>953</v>
      </c>
      <c r="K47" s="107" t="s">
        <v>84</v>
      </c>
      <c r="L47">
        <v>2801</v>
      </c>
      <c r="M47">
        <v>2798</v>
      </c>
      <c r="N47">
        <v>300</v>
      </c>
      <c r="O47" s="107" t="s">
        <v>61</v>
      </c>
      <c r="P47">
        <v>0.94670610029206304</v>
      </c>
      <c r="Q47">
        <v>0.95571605416884398</v>
      </c>
      <c r="R47" s="15">
        <v>0.36518140101486801</v>
      </c>
      <c r="S47" s="15">
        <v>1.9369729587050102E-2</v>
      </c>
      <c r="T47">
        <v>2.1865095765343399E-3</v>
      </c>
      <c r="U47">
        <v>2.1865095765343399E-3</v>
      </c>
      <c r="V47">
        <v>0.01</v>
      </c>
      <c r="W47">
        <v>3.5</v>
      </c>
      <c r="X47">
        <v>268452</v>
      </c>
      <c r="Y47">
        <v>11672</v>
      </c>
      <c r="Z47">
        <v>0.57999999999999996</v>
      </c>
      <c r="AA47">
        <v>23</v>
      </c>
      <c r="AB47">
        <v>14</v>
      </c>
      <c r="AC47">
        <v>9</v>
      </c>
      <c r="AD47">
        <v>60.87</v>
      </c>
      <c r="AE47">
        <v>11</v>
      </c>
      <c r="AF47">
        <v>10</v>
      </c>
      <c r="AG47">
        <v>7</v>
      </c>
      <c r="AH47">
        <v>6</v>
      </c>
    </row>
    <row r="48" spans="1:34">
      <c r="A48" s="103">
        <v>21</v>
      </c>
      <c r="B48">
        <v>6457</v>
      </c>
      <c r="C48" s="107" t="s">
        <v>314</v>
      </c>
      <c r="D48" s="107" t="s">
        <v>99</v>
      </c>
      <c r="E48">
        <v>3360</v>
      </c>
      <c r="F48">
        <v>3360</v>
      </c>
      <c r="G48">
        <v>300</v>
      </c>
      <c r="H48" s="107" t="s">
        <v>61</v>
      </c>
      <c r="I48">
        <v>8593</v>
      </c>
      <c r="J48" s="107" t="s">
        <v>311</v>
      </c>
      <c r="K48" s="107" t="s">
        <v>299</v>
      </c>
      <c r="L48">
        <v>716</v>
      </c>
      <c r="M48">
        <v>707</v>
      </c>
      <c r="N48">
        <v>1400</v>
      </c>
      <c r="O48" s="107" t="s">
        <v>63</v>
      </c>
      <c r="P48">
        <v>0.93370623451410295</v>
      </c>
      <c r="Q48">
        <v>0.94959808097551102</v>
      </c>
      <c r="R48">
        <v>7.0977496259766798E-3</v>
      </c>
      <c r="S48" s="15">
        <v>3.17267177213318E-3</v>
      </c>
      <c r="T48">
        <v>-0.48942181912451099</v>
      </c>
      <c r="U48">
        <v>0.48942181912451099</v>
      </c>
      <c r="V48">
        <v>-1.1200000000000001</v>
      </c>
      <c r="W48">
        <v>1.81</v>
      </c>
      <c r="X48">
        <v>267124</v>
      </c>
      <c r="Y48">
        <v>14840</v>
      </c>
      <c r="Z48">
        <v>0.88</v>
      </c>
      <c r="AA48">
        <v>18</v>
      </c>
      <c r="AB48">
        <v>11</v>
      </c>
      <c r="AC48">
        <v>7</v>
      </c>
      <c r="AD48">
        <v>61.11</v>
      </c>
      <c r="AE48">
        <v>12</v>
      </c>
      <c r="AF48">
        <v>8</v>
      </c>
      <c r="AG48">
        <v>3</v>
      </c>
      <c r="AH48">
        <v>7</v>
      </c>
    </row>
    <row r="49" spans="1:34">
      <c r="A49" s="103">
        <v>112</v>
      </c>
      <c r="B49">
        <v>6474</v>
      </c>
      <c r="C49" s="107" t="s">
        <v>315</v>
      </c>
      <c r="D49" s="107" t="s">
        <v>99</v>
      </c>
      <c r="E49">
        <v>5050</v>
      </c>
      <c r="F49">
        <v>5110</v>
      </c>
      <c r="G49">
        <v>200</v>
      </c>
      <c r="H49" s="107" t="s">
        <v>61</v>
      </c>
      <c r="I49">
        <v>6503</v>
      </c>
      <c r="J49" s="107" t="s">
        <v>316</v>
      </c>
      <c r="K49" s="107" t="s">
        <v>87</v>
      </c>
      <c r="L49">
        <v>1557.5</v>
      </c>
      <c r="M49">
        <v>1558</v>
      </c>
      <c r="N49">
        <v>700</v>
      </c>
      <c r="O49" s="107" t="s">
        <v>63</v>
      </c>
      <c r="P49">
        <v>0.91584699229033795</v>
      </c>
      <c r="Q49">
        <v>0.921541742885719</v>
      </c>
      <c r="R49">
        <v>3.5303984624834597E-2</v>
      </c>
      <c r="S49" s="15">
        <v>2.46227302170468E-2</v>
      </c>
      <c r="T49">
        <v>-0.49496896734943702</v>
      </c>
      <c r="U49">
        <v>0.49496896734943702</v>
      </c>
      <c r="V49">
        <v>-0.92</v>
      </c>
      <c r="W49">
        <v>6.71</v>
      </c>
      <c r="X49">
        <v>266206</v>
      </c>
      <c r="Y49">
        <v>20477</v>
      </c>
      <c r="Z49">
        <v>1.38</v>
      </c>
      <c r="AA49">
        <v>13</v>
      </c>
      <c r="AB49">
        <v>10</v>
      </c>
      <c r="AC49">
        <v>3</v>
      </c>
      <c r="AD49">
        <v>76.92</v>
      </c>
      <c r="AE49">
        <v>11</v>
      </c>
      <c r="AF49">
        <v>8</v>
      </c>
      <c r="AG49">
        <v>1</v>
      </c>
      <c r="AH49">
        <v>4</v>
      </c>
    </row>
    <row r="50" spans="1:34">
      <c r="A50" s="103">
        <v>36</v>
      </c>
      <c r="B50">
        <v>6807</v>
      </c>
      <c r="C50" s="107" t="s">
        <v>335</v>
      </c>
      <c r="D50" s="107" t="s">
        <v>87</v>
      </c>
      <c r="E50">
        <v>2296</v>
      </c>
      <c r="F50">
        <v>2272</v>
      </c>
      <c r="G50">
        <v>400</v>
      </c>
      <c r="H50" s="107" t="s">
        <v>63</v>
      </c>
      <c r="I50">
        <v>7274</v>
      </c>
      <c r="J50" s="107" t="s">
        <v>336</v>
      </c>
      <c r="K50" s="107" t="s">
        <v>84</v>
      </c>
      <c r="L50">
        <v>2278</v>
      </c>
      <c r="M50">
        <v>2283</v>
      </c>
      <c r="N50">
        <v>400</v>
      </c>
      <c r="O50" s="107" t="s">
        <v>61</v>
      </c>
      <c r="P50">
        <v>0.96993108713833298</v>
      </c>
      <c r="Q50">
        <v>0.94360320113593499</v>
      </c>
      <c r="R50">
        <v>1.5638484000562201E-2</v>
      </c>
      <c r="S50">
        <v>7.5043250033511796E-2</v>
      </c>
      <c r="T50">
        <v>0.10213862975935301</v>
      </c>
      <c r="U50">
        <v>0.10213862975935301</v>
      </c>
      <c r="V50">
        <v>0.55000000000000004</v>
      </c>
      <c r="W50">
        <v>0.48</v>
      </c>
      <c r="X50">
        <v>261307</v>
      </c>
      <c r="Y50">
        <v>13753</v>
      </c>
      <c r="Z50">
        <v>0.61</v>
      </c>
      <c r="AA50">
        <v>19</v>
      </c>
      <c r="AB50">
        <v>12</v>
      </c>
      <c r="AC50">
        <v>7</v>
      </c>
      <c r="AD50">
        <v>63.16</v>
      </c>
      <c r="AE50">
        <v>11</v>
      </c>
      <c r="AF50">
        <v>10</v>
      </c>
      <c r="AG50">
        <v>4</v>
      </c>
      <c r="AH50">
        <v>5</v>
      </c>
    </row>
    <row r="51" spans="1:34">
      <c r="A51" s="103">
        <v>119</v>
      </c>
      <c r="B51">
        <v>1963</v>
      </c>
      <c r="C51" s="107" t="s">
        <v>130</v>
      </c>
      <c r="D51" s="107" t="s">
        <v>78</v>
      </c>
      <c r="E51">
        <v>1726</v>
      </c>
      <c r="F51">
        <v>1742</v>
      </c>
      <c r="G51">
        <v>600</v>
      </c>
      <c r="H51" s="107" t="s">
        <v>63</v>
      </c>
      <c r="I51">
        <v>7267</v>
      </c>
      <c r="J51" s="107" t="s">
        <v>118</v>
      </c>
      <c r="K51" s="107" t="s">
        <v>84</v>
      </c>
      <c r="L51">
        <v>3178</v>
      </c>
      <c r="M51">
        <v>3221</v>
      </c>
      <c r="N51">
        <v>300</v>
      </c>
      <c r="O51" s="107" t="s">
        <v>61</v>
      </c>
      <c r="P51">
        <v>0.928482571450989</v>
      </c>
      <c r="Q51">
        <v>0.91927038167211395</v>
      </c>
      <c r="R51">
        <v>2.6444463308221301E-2</v>
      </c>
      <c r="S51" s="15">
        <v>1.6753849069834701E-4</v>
      </c>
      <c r="T51">
        <v>1.30904409029314</v>
      </c>
      <c r="U51">
        <v>1.30904409029314</v>
      </c>
      <c r="V51">
        <v>4.8899999999999997</v>
      </c>
      <c r="W51">
        <v>8.17</v>
      </c>
      <c r="X51">
        <v>259201</v>
      </c>
      <c r="Y51">
        <v>12960</v>
      </c>
      <c r="Z51">
        <v>0.65</v>
      </c>
      <c r="AA51">
        <v>20</v>
      </c>
      <c r="AB51">
        <v>13</v>
      </c>
      <c r="AC51">
        <v>7</v>
      </c>
      <c r="AD51">
        <v>65</v>
      </c>
      <c r="AE51">
        <v>10</v>
      </c>
      <c r="AF51">
        <v>10</v>
      </c>
      <c r="AG51">
        <v>5</v>
      </c>
      <c r="AH51">
        <v>5</v>
      </c>
    </row>
    <row r="52" spans="1:34">
      <c r="A52" s="103">
        <v>59</v>
      </c>
      <c r="B52">
        <v>6457</v>
      </c>
      <c r="C52" s="107" t="s">
        <v>314</v>
      </c>
      <c r="D52" s="107" t="s">
        <v>99</v>
      </c>
      <c r="E52">
        <v>3360</v>
      </c>
      <c r="F52">
        <v>3360</v>
      </c>
      <c r="G52">
        <v>300</v>
      </c>
      <c r="H52" s="107" t="s">
        <v>61</v>
      </c>
      <c r="I52">
        <v>6925</v>
      </c>
      <c r="J52" s="107" t="s">
        <v>313</v>
      </c>
      <c r="K52" s="107" t="s">
        <v>87</v>
      </c>
      <c r="L52">
        <v>1655</v>
      </c>
      <c r="M52">
        <v>1673</v>
      </c>
      <c r="N52">
        <v>600</v>
      </c>
      <c r="O52" s="107" t="s">
        <v>63</v>
      </c>
      <c r="P52">
        <v>0.91304574694694696</v>
      </c>
      <c r="Q52">
        <v>0.93574547928340401</v>
      </c>
      <c r="R52">
        <v>3.19945360053863E-2</v>
      </c>
      <c r="S52" s="15">
        <v>4.2390800448691701E-3</v>
      </c>
      <c r="T52">
        <v>-0.25584823830384701</v>
      </c>
      <c r="U52">
        <v>0.25584823830384701</v>
      </c>
      <c r="V52">
        <v>-0.56999999999999995</v>
      </c>
      <c r="W52">
        <v>0.42</v>
      </c>
      <c r="X52">
        <v>257915</v>
      </c>
      <c r="Y52">
        <v>17194</v>
      </c>
      <c r="Z52">
        <v>1.01</v>
      </c>
      <c r="AA52">
        <v>15</v>
      </c>
      <c r="AB52">
        <v>10</v>
      </c>
      <c r="AC52">
        <v>5</v>
      </c>
      <c r="AD52">
        <v>66.67</v>
      </c>
      <c r="AE52">
        <v>11</v>
      </c>
      <c r="AF52">
        <v>7</v>
      </c>
      <c r="AG52">
        <v>4</v>
      </c>
      <c r="AH52">
        <v>4</v>
      </c>
    </row>
    <row r="53" spans="1:34">
      <c r="A53" s="103">
        <v>49</v>
      </c>
      <c r="B53">
        <v>4061</v>
      </c>
      <c r="C53" s="107" t="s">
        <v>123</v>
      </c>
      <c r="D53" s="107" t="s">
        <v>62</v>
      </c>
      <c r="E53">
        <v>3420</v>
      </c>
      <c r="F53">
        <v>3380</v>
      </c>
      <c r="G53">
        <v>300</v>
      </c>
      <c r="H53" s="107" t="s">
        <v>61</v>
      </c>
      <c r="I53">
        <v>4401</v>
      </c>
      <c r="J53" s="107" t="s">
        <v>317</v>
      </c>
      <c r="K53" s="107" t="s">
        <v>62</v>
      </c>
      <c r="L53">
        <v>1727</v>
      </c>
      <c r="M53">
        <v>1694</v>
      </c>
      <c r="N53">
        <v>600</v>
      </c>
      <c r="O53" s="107" t="s">
        <v>63</v>
      </c>
      <c r="P53">
        <v>0.94324134616820299</v>
      </c>
      <c r="Q53">
        <v>0.93988630901334502</v>
      </c>
      <c r="R53" s="107">
        <v>4.9506029294289003E-3</v>
      </c>
      <c r="S53" s="15">
        <v>1.64880068172292E-6</v>
      </c>
      <c r="T53">
        <v>-0.95826841332776003</v>
      </c>
      <c r="U53">
        <v>0.95826841332776003</v>
      </c>
      <c r="V53">
        <v>-4.33</v>
      </c>
      <c r="W53">
        <v>0.24</v>
      </c>
      <c r="X53">
        <v>256424</v>
      </c>
      <c r="Y53">
        <v>17095</v>
      </c>
      <c r="Z53">
        <v>0.97</v>
      </c>
      <c r="AA53">
        <v>15</v>
      </c>
      <c r="AB53">
        <v>9</v>
      </c>
      <c r="AC53">
        <v>6</v>
      </c>
      <c r="AD53">
        <v>60</v>
      </c>
      <c r="AE53">
        <v>12</v>
      </c>
      <c r="AF53">
        <v>7</v>
      </c>
      <c r="AG53">
        <v>1</v>
      </c>
      <c r="AH53">
        <v>7</v>
      </c>
    </row>
    <row r="54" spans="1:34">
      <c r="A54" s="103">
        <v>90</v>
      </c>
      <c r="B54">
        <v>6807</v>
      </c>
      <c r="C54" s="107" t="s">
        <v>335</v>
      </c>
      <c r="D54" s="107" t="s">
        <v>87</v>
      </c>
      <c r="E54">
        <v>2296</v>
      </c>
      <c r="F54">
        <v>2272</v>
      </c>
      <c r="G54">
        <v>300</v>
      </c>
      <c r="H54" s="107" t="s">
        <v>63</v>
      </c>
      <c r="I54">
        <v>9706</v>
      </c>
      <c r="J54" s="107" t="s">
        <v>337</v>
      </c>
      <c r="K54" s="107" t="s">
        <v>114</v>
      </c>
      <c r="L54">
        <v>6000</v>
      </c>
      <c r="M54">
        <v>6020</v>
      </c>
      <c r="N54">
        <v>100</v>
      </c>
      <c r="O54" s="107" t="s">
        <v>61</v>
      </c>
      <c r="P54">
        <v>0.908929564476467</v>
      </c>
      <c r="Q54">
        <v>0.92694318837930501</v>
      </c>
      <c r="R54" s="107">
        <v>8.0729436287221595E-2</v>
      </c>
      <c r="S54" s="15">
        <v>2.7210533272599601E-2</v>
      </c>
      <c r="T54">
        <v>0.886444443644272</v>
      </c>
      <c r="U54">
        <v>0.886444443644272</v>
      </c>
      <c r="V54">
        <v>5.63</v>
      </c>
      <c r="W54">
        <v>13.22</v>
      </c>
      <c r="X54">
        <v>252142</v>
      </c>
      <c r="Y54">
        <v>14008</v>
      </c>
      <c r="Z54">
        <v>0.88</v>
      </c>
      <c r="AA54">
        <v>18</v>
      </c>
      <c r="AB54">
        <v>11</v>
      </c>
      <c r="AC54">
        <v>7</v>
      </c>
      <c r="AD54">
        <v>61.11</v>
      </c>
      <c r="AE54">
        <v>10</v>
      </c>
      <c r="AF54">
        <v>9</v>
      </c>
      <c r="AG54">
        <v>5</v>
      </c>
      <c r="AH54">
        <v>4</v>
      </c>
    </row>
    <row r="55" spans="1:34">
      <c r="A55" s="103">
        <v>107</v>
      </c>
      <c r="B55">
        <v>6702</v>
      </c>
      <c r="C55" s="107" t="s">
        <v>332</v>
      </c>
      <c r="D55" s="107" t="s">
        <v>87</v>
      </c>
      <c r="E55">
        <v>10200</v>
      </c>
      <c r="F55">
        <v>10055</v>
      </c>
      <c r="G55">
        <v>100</v>
      </c>
      <c r="H55" s="107" t="s">
        <v>61</v>
      </c>
      <c r="I55">
        <v>8425</v>
      </c>
      <c r="J55" s="107" t="s">
        <v>319</v>
      </c>
      <c r="K55" s="107" t="s">
        <v>299</v>
      </c>
      <c r="L55">
        <v>3355</v>
      </c>
      <c r="M55">
        <v>3350</v>
      </c>
      <c r="N55">
        <v>300</v>
      </c>
      <c r="O55" s="107" t="s">
        <v>63</v>
      </c>
      <c r="P55">
        <v>0.91410530945725099</v>
      </c>
      <c r="Q55">
        <v>0.92264583301925696</v>
      </c>
      <c r="R55" s="107">
        <v>9.1668056360318401E-3</v>
      </c>
      <c r="S55">
        <v>5.75833859343804E-3</v>
      </c>
      <c r="T55">
        <v>-0.16046992226319301</v>
      </c>
      <c r="U55">
        <v>0.16046992226319301</v>
      </c>
      <c r="V55">
        <v>-0.54</v>
      </c>
      <c r="W55">
        <v>0.05</v>
      </c>
      <c r="X55">
        <v>243048</v>
      </c>
      <c r="Y55">
        <v>17361</v>
      </c>
      <c r="Z55">
        <v>1.17</v>
      </c>
      <c r="AA55">
        <v>14</v>
      </c>
      <c r="AB55">
        <v>10</v>
      </c>
      <c r="AC55">
        <v>4</v>
      </c>
      <c r="AD55">
        <v>71.430000000000007</v>
      </c>
      <c r="AE55">
        <v>13</v>
      </c>
      <c r="AF55">
        <v>8</v>
      </c>
      <c r="AG55">
        <v>1</v>
      </c>
      <c r="AH55">
        <v>5</v>
      </c>
    </row>
    <row r="56" spans="1:34">
      <c r="A56" s="103">
        <v>181</v>
      </c>
      <c r="B56">
        <v>1820</v>
      </c>
      <c r="C56" s="107" t="s">
        <v>122</v>
      </c>
      <c r="D56" s="107" t="s">
        <v>78</v>
      </c>
      <c r="E56">
        <v>2558</v>
      </c>
      <c r="F56">
        <v>2503</v>
      </c>
      <c r="G56">
        <v>400</v>
      </c>
      <c r="H56" s="107" t="s">
        <v>63</v>
      </c>
      <c r="I56">
        <v>6752</v>
      </c>
      <c r="J56" s="107" t="s">
        <v>105</v>
      </c>
      <c r="K56" s="107" t="s">
        <v>87</v>
      </c>
      <c r="L56">
        <v>1059</v>
      </c>
      <c r="M56">
        <v>1058</v>
      </c>
      <c r="N56">
        <v>900</v>
      </c>
      <c r="O56" s="107" t="s">
        <v>61</v>
      </c>
      <c r="P56">
        <v>0.941862938452523</v>
      </c>
      <c r="Q56">
        <v>0.90743965429374795</v>
      </c>
      <c r="R56" s="15">
        <v>0.227882171006383</v>
      </c>
      <c r="S56">
        <v>1.8283613484367401E-2</v>
      </c>
      <c r="T56">
        <v>0.48694970484911199</v>
      </c>
      <c r="U56">
        <v>0.48694970484911199</v>
      </c>
      <c r="V56">
        <v>1.61</v>
      </c>
      <c r="W56">
        <v>4.8899999999999997</v>
      </c>
      <c r="X56">
        <v>241478</v>
      </c>
      <c r="Y56">
        <v>15092</v>
      </c>
      <c r="Z56">
        <v>0.73</v>
      </c>
      <c r="AA56">
        <v>16</v>
      </c>
      <c r="AB56">
        <v>11</v>
      </c>
      <c r="AC56">
        <v>5</v>
      </c>
      <c r="AD56">
        <v>68.75</v>
      </c>
      <c r="AE56">
        <v>13</v>
      </c>
      <c r="AF56">
        <v>7</v>
      </c>
      <c r="AG56">
        <v>3</v>
      </c>
      <c r="AH56">
        <v>6</v>
      </c>
    </row>
    <row r="57" spans="1:34">
      <c r="A57" s="103">
        <v>189</v>
      </c>
      <c r="B57">
        <v>4202</v>
      </c>
      <c r="C57" s="107" t="s">
        <v>89</v>
      </c>
      <c r="D57" s="107" t="s">
        <v>62</v>
      </c>
      <c r="E57">
        <v>1079</v>
      </c>
      <c r="F57">
        <v>1079</v>
      </c>
      <c r="G57">
        <v>900</v>
      </c>
      <c r="H57" s="107" t="s">
        <v>61</v>
      </c>
      <c r="I57">
        <v>7278</v>
      </c>
      <c r="J57" s="107" t="s">
        <v>83</v>
      </c>
      <c r="K57" s="107" t="s">
        <v>84</v>
      </c>
      <c r="L57">
        <v>2565</v>
      </c>
      <c r="M57">
        <v>2544</v>
      </c>
      <c r="N57">
        <v>400</v>
      </c>
      <c r="O57" s="107" t="s">
        <v>63</v>
      </c>
      <c r="P57">
        <v>0.91457754957373705</v>
      </c>
      <c r="Q57">
        <v>0.90666189223066396</v>
      </c>
      <c r="R57">
        <v>0.149391440506009</v>
      </c>
      <c r="S57" s="15">
        <v>3.5304295704679203E-2</v>
      </c>
      <c r="T57">
        <v>-0.43165191990197099</v>
      </c>
      <c r="U57">
        <v>0.43165191990197099</v>
      </c>
      <c r="V57">
        <v>-1.49</v>
      </c>
      <c r="W57">
        <v>4.57</v>
      </c>
      <c r="X57">
        <v>234049</v>
      </c>
      <c r="Y57">
        <v>11702</v>
      </c>
      <c r="Z57">
        <v>0.56999999999999995</v>
      </c>
      <c r="AA57">
        <v>20</v>
      </c>
      <c r="AB57">
        <v>12</v>
      </c>
      <c r="AC57">
        <v>8</v>
      </c>
      <c r="AD57">
        <v>60</v>
      </c>
      <c r="AE57">
        <v>12</v>
      </c>
      <c r="AF57">
        <v>7</v>
      </c>
      <c r="AG57">
        <v>5</v>
      </c>
      <c r="AH57">
        <v>8</v>
      </c>
    </row>
    <row r="58" spans="1:34">
      <c r="A58" s="103">
        <v>145</v>
      </c>
      <c r="B58">
        <v>5333</v>
      </c>
      <c r="C58" s="107" t="s">
        <v>334</v>
      </c>
      <c r="D58" s="107" t="s">
        <v>106</v>
      </c>
      <c r="E58">
        <v>1915</v>
      </c>
      <c r="F58">
        <v>1919</v>
      </c>
      <c r="G58">
        <v>400</v>
      </c>
      <c r="H58" s="107" t="s">
        <v>61</v>
      </c>
      <c r="I58">
        <v>7282</v>
      </c>
      <c r="J58" s="107" t="s">
        <v>953</v>
      </c>
      <c r="K58" s="107" t="s">
        <v>84</v>
      </c>
      <c r="L58">
        <v>2801</v>
      </c>
      <c r="M58">
        <v>2798</v>
      </c>
      <c r="N58">
        <v>300</v>
      </c>
      <c r="O58" s="107" t="s">
        <v>63</v>
      </c>
      <c r="P58">
        <v>0.97875818403436599</v>
      </c>
      <c r="Q58">
        <v>0.91423871479129004</v>
      </c>
      <c r="R58">
        <v>3.35284653089887E-3</v>
      </c>
      <c r="S58" s="15">
        <v>0.110749503861618</v>
      </c>
      <c r="T58">
        <v>-1.8000472187142</v>
      </c>
      <c r="U58">
        <v>1.8000472187142</v>
      </c>
      <c r="V58">
        <v>-3.52</v>
      </c>
      <c r="W58">
        <v>8.5500000000000007</v>
      </c>
      <c r="X58">
        <v>231982</v>
      </c>
      <c r="Y58">
        <v>12888</v>
      </c>
      <c r="Z58">
        <v>0.65</v>
      </c>
      <c r="AA58">
        <v>18</v>
      </c>
      <c r="AB58">
        <v>10</v>
      </c>
      <c r="AC58">
        <v>8</v>
      </c>
      <c r="AD58">
        <v>55.56</v>
      </c>
      <c r="AE58">
        <v>13</v>
      </c>
      <c r="AF58">
        <v>6</v>
      </c>
      <c r="AG58">
        <v>2</v>
      </c>
      <c r="AH58">
        <v>10</v>
      </c>
    </row>
    <row r="59" spans="1:34">
      <c r="A59" s="103">
        <v>193</v>
      </c>
      <c r="B59">
        <v>1973</v>
      </c>
      <c r="C59" s="107" t="s">
        <v>310</v>
      </c>
      <c r="D59" s="107" t="s">
        <v>79</v>
      </c>
      <c r="E59">
        <v>3620</v>
      </c>
      <c r="F59">
        <v>3570</v>
      </c>
      <c r="G59">
        <v>300</v>
      </c>
      <c r="H59" s="107" t="s">
        <v>61</v>
      </c>
      <c r="I59">
        <v>6755</v>
      </c>
      <c r="J59" s="107" t="s">
        <v>1274</v>
      </c>
      <c r="K59" s="107" t="s">
        <v>87</v>
      </c>
      <c r="L59">
        <v>2362</v>
      </c>
      <c r="M59">
        <v>2350</v>
      </c>
      <c r="N59">
        <v>500</v>
      </c>
      <c r="O59" s="107" t="s">
        <v>63</v>
      </c>
      <c r="P59">
        <v>0.91393995789595395</v>
      </c>
      <c r="Q59">
        <v>0.906155234422791</v>
      </c>
      <c r="R59">
        <v>0.26051795047728199</v>
      </c>
      <c r="S59" s="15">
        <v>0.20804292480378</v>
      </c>
      <c r="T59">
        <v>-2.4210970258863198</v>
      </c>
      <c r="U59">
        <v>2.4210970258863198</v>
      </c>
      <c r="V59">
        <v>-9.35</v>
      </c>
      <c r="W59">
        <v>9.7100000000000009</v>
      </c>
      <c r="X59">
        <v>228786</v>
      </c>
      <c r="Y59">
        <v>12041</v>
      </c>
      <c r="Z59">
        <v>0.71</v>
      </c>
      <c r="AA59">
        <v>19</v>
      </c>
      <c r="AB59">
        <v>13</v>
      </c>
      <c r="AC59">
        <v>6</v>
      </c>
      <c r="AD59">
        <v>68.42</v>
      </c>
      <c r="AE59">
        <v>12</v>
      </c>
      <c r="AF59">
        <v>9</v>
      </c>
      <c r="AG59">
        <v>5</v>
      </c>
      <c r="AH59">
        <v>5</v>
      </c>
    </row>
    <row r="60" spans="1:34">
      <c r="A60" s="103">
        <v>48</v>
      </c>
      <c r="B60">
        <v>4819</v>
      </c>
      <c r="C60" s="107" t="s">
        <v>1320</v>
      </c>
      <c r="D60" s="107" t="s">
        <v>79</v>
      </c>
      <c r="E60">
        <v>4440</v>
      </c>
      <c r="F60">
        <v>4440</v>
      </c>
      <c r="G60">
        <v>200</v>
      </c>
      <c r="H60" s="107" t="s">
        <v>63</v>
      </c>
      <c r="I60">
        <v>6098</v>
      </c>
      <c r="J60" s="107" t="s">
        <v>339</v>
      </c>
      <c r="K60" s="107" t="s">
        <v>120</v>
      </c>
      <c r="L60">
        <v>4053</v>
      </c>
      <c r="M60">
        <v>4103</v>
      </c>
      <c r="N60">
        <v>200</v>
      </c>
      <c r="O60" s="107" t="s">
        <v>61</v>
      </c>
      <c r="P60">
        <v>0.926953550998734</v>
      </c>
      <c r="Q60">
        <v>0.93996735633917095</v>
      </c>
      <c r="R60" s="15">
        <v>9.3745161348809003E-2</v>
      </c>
      <c r="S60" s="15">
        <v>2.35989442909003E-3</v>
      </c>
      <c r="T60">
        <v>1.4839401036906601</v>
      </c>
      <c r="U60">
        <v>1.4839401036906601</v>
      </c>
      <c r="V60">
        <v>5.61</v>
      </c>
      <c r="W60">
        <v>7.59</v>
      </c>
      <c r="X60">
        <v>225867</v>
      </c>
      <c r="Y60">
        <v>15058</v>
      </c>
      <c r="Z60">
        <v>0.81</v>
      </c>
      <c r="AA60">
        <v>15</v>
      </c>
      <c r="AB60">
        <v>9</v>
      </c>
      <c r="AC60">
        <v>6</v>
      </c>
      <c r="AD60">
        <v>60</v>
      </c>
      <c r="AE60">
        <v>10</v>
      </c>
      <c r="AF60">
        <v>7</v>
      </c>
      <c r="AG60">
        <v>3</v>
      </c>
      <c r="AH60">
        <v>5</v>
      </c>
    </row>
    <row r="61" spans="1:34">
      <c r="A61" s="103">
        <v>147</v>
      </c>
      <c r="B61">
        <v>6588</v>
      </c>
      <c r="C61" s="107" t="s">
        <v>955</v>
      </c>
      <c r="D61" s="107" t="s">
        <v>87</v>
      </c>
      <c r="E61">
        <v>4625</v>
      </c>
      <c r="F61">
        <v>4530</v>
      </c>
      <c r="G61">
        <v>200</v>
      </c>
      <c r="H61" s="107" t="s">
        <v>63</v>
      </c>
      <c r="I61">
        <v>8593</v>
      </c>
      <c r="J61" s="107" t="s">
        <v>311</v>
      </c>
      <c r="K61" s="107" t="s">
        <v>299</v>
      </c>
      <c r="L61">
        <v>716</v>
      </c>
      <c r="M61">
        <v>707</v>
      </c>
      <c r="N61">
        <v>1300</v>
      </c>
      <c r="O61" s="107" t="s">
        <v>61</v>
      </c>
      <c r="P61">
        <v>0.92386496234458004</v>
      </c>
      <c r="Q61">
        <v>0.914194418273239</v>
      </c>
      <c r="R61">
        <v>0.38400369981298299</v>
      </c>
      <c r="S61">
        <v>3.8609350176170301E-2</v>
      </c>
      <c r="T61">
        <v>1.4681080181716599</v>
      </c>
      <c r="U61">
        <v>1.4681080181716599</v>
      </c>
      <c r="V61">
        <v>11.39</v>
      </c>
      <c r="W61">
        <v>1.45</v>
      </c>
      <c r="X61">
        <v>224829</v>
      </c>
      <c r="Y61">
        <v>14989</v>
      </c>
      <c r="Z61">
        <v>0.69</v>
      </c>
      <c r="AA61">
        <v>15</v>
      </c>
      <c r="AB61">
        <v>10</v>
      </c>
      <c r="AC61">
        <v>5</v>
      </c>
      <c r="AD61">
        <v>66.67</v>
      </c>
      <c r="AE61">
        <v>13</v>
      </c>
      <c r="AF61">
        <v>5</v>
      </c>
      <c r="AG61">
        <v>4</v>
      </c>
      <c r="AH61">
        <v>6</v>
      </c>
    </row>
    <row r="62" spans="1:34">
      <c r="A62" s="103">
        <v>33</v>
      </c>
      <c r="B62">
        <v>4519</v>
      </c>
      <c r="C62" s="107" t="s">
        <v>954</v>
      </c>
      <c r="D62" s="107" t="s">
        <v>136</v>
      </c>
      <c r="E62">
        <v>10025</v>
      </c>
      <c r="F62">
        <v>10040</v>
      </c>
      <c r="G62">
        <v>100</v>
      </c>
      <c r="H62" s="107" t="s">
        <v>61</v>
      </c>
      <c r="I62">
        <v>6588</v>
      </c>
      <c r="J62" s="107" t="s">
        <v>955</v>
      </c>
      <c r="K62" s="107" t="s">
        <v>87</v>
      </c>
      <c r="L62">
        <v>4625</v>
      </c>
      <c r="M62">
        <v>4530</v>
      </c>
      <c r="N62">
        <v>200</v>
      </c>
      <c r="O62" s="107" t="s">
        <v>63</v>
      </c>
      <c r="P62">
        <v>0.95473208338778603</v>
      </c>
      <c r="Q62">
        <v>0.94416751071711402</v>
      </c>
      <c r="R62" s="15">
        <v>8.0250260733610704E-2</v>
      </c>
      <c r="S62">
        <v>1.5408728326377401E-2</v>
      </c>
      <c r="T62">
        <v>-0.81361483348605801</v>
      </c>
      <c r="U62">
        <v>0.81361483348605801</v>
      </c>
      <c r="V62">
        <v>-5.0999999999999996</v>
      </c>
      <c r="W62">
        <v>9.76</v>
      </c>
      <c r="X62">
        <v>222279</v>
      </c>
      <c r="Y62">
        <v>13892</v>
      </c>
      <c r="Z62">
        <v>0.92</v>
      </c>
      <c r="AA62">
        <v>16</v>
      </c>
      <c r="AB62">
        <v>10</v>
      </c>
      <c r="AC62">
        <v>6</v>
      </c>
      <c r="AD62">
        <v>62.5</v>
      </c>
      <c r="AE62">
        <v>11</v>
      </c>
      <c r="AF62">
        <v>7</v>
      </c>
      <c r="AG62">
        <v>4</v>
      </c>
      <c r="AH62">
        <v>5</v>
      </c>
    </row>
    <row r="63" spans="1:34">
      <c r="A63" s="103">
        <v>171</v>
      </c>
      <c r="B63">
        <v>2175</v>
      </c>
      <c r="C63" s="107" t="s">
        <v>327</v>
      </c>
      <c r="D63" s="107" t="s">
        <v>120</v>
      </c>
      <c r="E63">
        <v>3035</v>
      </c>
      <c r="F63">
        <v>3000</v>
      </c>
      <c r="G63">
        <v>200</v>
      </c>
      <c r="H63" s="107" t="s">
        <v>61</v>
      </c>
      <c r="I63">
        <v>4686</v>
      </c>
      <c r="J63" s="107" t="s">
        <v>1272</v>
      </c>
      <c r="K63" s="107" t="s">
        <v>79</v>
      </c>
      <c r="L63">
        <v>5910</v>
      </c>
      <c r="M63">
        <v>5910</v>
      </c>
      <c r="N63">
        <v>100</v>
      </c>
      <c r="O63" s="107" t="s">
        <v>63</v>
      </c>
      <c r="P63">
        <v>0.92968430173959904</v>
      </c>
      <c r="Q63">
        <v>0.90886006830101895</v>
      </c>
      <c r="R63" s="15">
        <v>4.62440958811049E-4</v>
      </c>
      <c r="S63">
        <v>0.27650297434229798</v>
      </c>
      <c r="T63">
        <v>-1.46443896992059</v>
      </c>
      <c r="U63">
        <v>1.46443896992059</v>
      </c>
      <c r="V63">
        <v>-19.16</v>
      </c>
      <c r="W63">
        <v>1.52</v>
      </c>
      <c r="X63">
        <v>219732</v>
      </c>
      <c r="Y63">
        <v>14649</v>
      </c>
      <c r="Z63">
        <v>0.71</v>
      </c>
      <c r="AA63">
        <v>15</v>
      </c>
      <c r="AB63">
        <v>10</v>
      </c>
      <c r="AC63">
        <v>5</v>
      </c>
      <c r="AD63">
        <v>66.67</v>
      </c>
      <c r="AE63">
        <v>9</v>
      </c>
      <c r="AF63">
        <v>8</v>
      </c>
      <c r="AG63">
        <v>5</v>
      </c>
      <c r="AH63">
        <v>2</v>
      </c>
    </row>
    <row r="64" spans="1:34">
      <c r="A64" s="103">
        <v>51</v>
      </c>
      <c r="B64">
        <v>3635</v>
      </c>
      <c r="C64" s="107" t="s">
        <v>85</v>
      </c>
      <c r="D64" s="107" t="s">
        <v>79</v>
      </c>
      <c r="E64">
        <v>2727</v>
      </c>
      <c r="F64">
        <v>2709</v>
      </c>
      <c r="G64">
        <v>400</v>
      </c>
      <c r="H64" s="107" t="s">
        <v>63</v>
      </c>
      <c r="I64">
        <v>8593</v>
      </c>
      <c r="J64" s="107" t="s">
        <v>311</v>
      </c>
      <c r="K64" s="107" t="s">
        <v>299</v>
      </c>
      <c r="L64">
        <v>716</v>
      </c>
      <c r="M64">
        <v>707</v>
      </c>
      <c r="N64">
        <v>1500</v>
      </c>
      <c r="O64" s="107" t="s">
        <v>61</v>
      </c>
      <c r="P64">
        <v>0.91948062944831499</v>
      </c>
      <c r="Q64">
        <v>0.93949601971791896</v>
      </c>
      <c r="R64" s="15">
        <v>0.18107891844110999</v>
      </c>
      <c r="S64" s="107">
        <v>6.8024295986000996E-3</v>
      </c>
      <c r="T64">
        <v>1.4607777795316601</v>
      </c>
      <c r="U64">
        <v>1.4607777795316601</v>
      </c>
      <c r="V64">
        <v>3.75</v>
      </c>
      <c r="W64">
        <v>2.13</v>
      </c>
      <c r="X64">
        <v>218633</v>
      </c>
      <c r="Y64">
        <v>12861</v>
      </c>
      <c r="Z64">
        <v>0.62</v>
      </c>
      <c r="AA64">
        <v>17</v>
      </c>
      <c r="AB64">
        <v>10</v>
      </c>
      <c r="AC64">
        <v>7</v>
      </c>
      <c r="AD64">
        <v>58.82</v>
      </c>
      <c r="AE64">
        <v>12</v>
      </c>
      <c r="AF64">
        <v>7</v>
      </c>
      <c r="AG64">
        <v>4</v>
      </c>
      <c r="AH64">
        <v>6</v>
      </c>
    </row>
    <row r="65" spans="1:34">
      <c r="A65" s="103">
        <v>102</v>
      </c>
      <c r="B65">
        <v>3105</v>
      </c>
      <c r="C65" s="107" t="s">
        <v>90</v>
      </c>
      <c r="D65" s="107" t="s">
        <v>87</v>
      </c>
      <c r="E65">
        <v>1098</v>
      </c>
      <c r="F65">
        <v>1086</v>
      </c>
      <c r="G65">
        <v>1000</v>
      </c>
      <c r="H65" s="107" t="s">
        <v>63</v>
      </c>
      <c r="I65">
        <v>6770</v>
      </c>
      <c r="J65" s="107" t="s">
        <v>26</v>
      </c>
      <c r="K65" s="107" t="s">
        <v>87</v>
      </c>
      <c r="L65">
        <v>2628</v>
      </c>
      <c r="M65">
        <v>2609</v>
      </c>
      <c r="N65">
        <v>400</v>
      </c>
      <c r="O65" s="107" t="s">
        <v>61</v>
      </c>
      <c r="P65">
        <v>0.95755469848588304</v>
      </c>
      <c r="Q65">
        <v>0.92384834006152805</v>
      </c>
      <c r="R65">
        <v>0.26184540574334098</v>
      </c>
      <c r="S65">
        <v>6.5807838323523105E-2</v>
      </c>
      <c r="T65">
        <v>0.23595003328695699</v>
      </c>
      <c r="U65">
        <v>0.23595003328695699</v>
      </c>
      <c r="V65">
        <v>0.79</v>
      </c>
      <c r="W65">
        <v>4.0599999999999996</v>
      </c>
      <c r="X65">
        <v>211945</v>
      </c>
      <c r="Y65">
        <v>10093</v>
      </c>
      <c r="Z65">
        <v>0.54</v>
      </c>
      <c r="AA65">
        <v>21</v>
      </c>
      <c r="AB65">
        <v>12</v>
      </c>
      <c r="AC65">
        <v>9</v>
      </c>
      <c r="AD65">
        <v>57.14</v>
      </c>
      <c r="AE65">
        <v>9</v>
      </c>
      <c r="AF65">
        <v>11</v>
      </c>
      <c r="AG65">
        <v>7</v>
      </c>
      <c r="AH65">
        <v>3</v>
      </c>
    </row>
    <row r="66" spans="1:34">
      <c r="A66" s="103">
        <v>224</v>
      </c>
      <c r="B66">
        <v>4849</v>
      </c>
      <c r="C66" s="107" t="s">
        <v>1321</v>
      </c>
      <c r="D66" s="107" t="s">
        <v>120</v>
      </c>
      <c r="E66">
        <v>5290</v>
      </c>
      <c r="F66">
        <v>5260</v>
      </c>
      <c r="G66">
        <v>200</v>
      </c>
      <c r="H66" s="107" t="s">
        <v>63</v>
      </c>
      <c r="I66">
        <v>9433</v>
      </c>
      <c r="J66" s="107" t="s">
        <v>1322</v>
      </c>
      <c r="K66" s="107" t="s">
        <v>79</v>
      </c>
      <c r="L66">
        <v>3225</v>
      </c>
      <c r="M66">
        <v>3218</v>
      </c>
      <c r="N66">
        <v>300</v>
      </c>
      <c r="O66" s="107" t="s">
        <v>61</v>
      </c>
      <c r="P66">
        <v>0.920592068052692</v>
      </c>
      <c r="Q66">
        <v>0.90079757506445601</v>
      </c>
      <c r="R66">
        <v>6.4192515319781998E-2</v>
      </c>
      <c r="S66">
        <v>0.16773151234044101</v>
      </c>
      <c r="T66">
        <v>1.1952684520207799</v>
      </c>
      <c r="U66">
        <v>1.1952684520207799</v>
      </c>
      <c r="V66">
        <v>8.43</v>
      </c>
      <c r="W66">
        <v>8.23</v>
      </c>
      <c r="X66">
        <v>211635</v>
      </c>
      <c r="Y66">
        <v>10582</v>
      </c>
      <c r="Z66">
        <v>0.62</v>
      </c>
      <c r="AA66">
        <v>20</v>
      </c>
      <c r="AB66">
        <v>10</v>
      </c>
      <c r="AC66">
        <v>10</v>
      </c>
      <c r="AD66">
        <v>50</v>
      </c>
      <c r="AE66">
        <v>10</v>
      </c>
      <c r="AF66">
        <v>7</v>
      </c>
      <c r="AG66">
        <v>7</v>
      </c>
      <c r="AH66">
        <v>6</v>
      </c>
    </row>
    <row r="67" spans="1:34">
      <c r="A67" s="103">
        <v>101</v>
      </c>
      <c r="B67">
        <v>5333</v>
      </c>
      <c r="C67" s="107" t="s">
        <v>334</v>
      </c>
      <c r="D67" s="107" t="s">
        <v>106</v>
      </c>
      <c r="E67">
        <v>1915</v>
      </c>
      <c r="F67">
        <v>1919</v>
      </c>
      <c r="G67">
        <v>500</v>
      </c>
      <c r="H67" s="107" t="s">
        <v>63</v>
      </c>
      <c r="I67">
        <v>6995</v>
      </c>
      <c r="J67" s="107" t="s">
        <v>91</v>
      </c>
      <c r="K67" s="107" t="s">
        <v>84</v>
      </c>
      <c r="L67">
        <v>2258</v>
      </c>
      <c r="M67">
        <v>2263</v>
      </c>
      <c r="N67">
        <v>400</v>
      </c>
      <c r="O67" s="107" t="s">
        <v>61</v>
      </c>
      <c r="P67">
        <v>0.97281509293809099</v>
      </c>
      <c r="Q67">
        <v>0.92443278737533996</v>
      </c>
      <c r="R67">
        <v>1.9513607690698001E-2</v>
      </c>
      <c r="S67">
        <v>5.7335486410735097E-2</v>
      </c>
      <c r="T67">
        <v>8.3489482516754296E-2</v>
      </c>
      <c r="U67">
        <v>8.3489482516754296E-2</v>
      </c>
      <c r="V67">
        <v>0.19</v>
      </c>
      <c r="W67">
        <v>6</v>
      </c>
      <c r="X67">
        <v>207740</v>
      </c>
      <c r="Y67">
        <v>11541</v>
      </c>
      <c r="Z67">
        <v>0.59</v>
      </c>
      <c r="AA67">
        <v>18</v>
      </c>
      <c r="AB67">
        <v>12</v>
      </c>
      <c r="AC67">
        <v>6</v>
      </c>
      <c r="AD67">
        <v>66.67</v>
      </c>
      <c r="AE67">
        <v>15</v>
      </c>
      <c r="AF67">
        <v>4</v>
      </c>
      <c r="AG67">
        <v>2</v>
      </c>
      <c r="AH67">
        <v>12</v>
      </c>
    </row>
    <row r="68" spans="1:34">
      <c r="A68" s="103">
        <v>163</v>
      </c>
      <c r="B68">
        <v>4183</v>
      </c>
      <c r="C68" s="107" t="s">
        <v>301</v>
      </c>
      <c r="D68" s="107" t="s">
        <v>62</v>
      </c>
      <c r="E68">
        <v>2790</v>
      </c>
      <c r="F68">
        <v>2776</v>
      </c>
      <c r="G68">
        <v>300</v>
      </c>
      <c r="H68" s="107" t="s">
        <v>61</v>
      </c>
      <c r="I68">
        <v>4208</v>
      </c>
      <c r="J68" s="107" t="s">
        <v>98</v>
      </c>
      <c r="K68" s="107" t="s">
        <v>62</v>
      </c>
      <c r="L68">
        <v>2459</v>
      </c>
      <c r="M68">
        <v>2479</v>
      </c>
      <c r="N68">
        <v>300</v>
      </c>
      <c r="O68" s="107" t="s">
        <v>63</v>
      </c>
      <c r="P68">
        <v>0.93281125502254503</v>
      </c>
      <c r="Q68">
        <v>0.91047413521996701</v>
      </c>
      <c r="R68">
        <v>1.9851833213696699E-2</v>
      </c>
      <c r="S68">
        <v>0.109916247214598</v>
      </c>
      <c r="T68">
        <v>-0.27847957536314999</v>
      </c>
      <c r="U68">
        <v>0.27847957536314999</v>
      </c>
      <c r="V68">
        <v>-0.41</v>
      </c>
      <c r="W68">
        <v>10.7</v>
      </c>
      <c r="X68">
        <v>207621</v>
      </c>
      <c r="Y68">
        <v>20762</v>
      </c>
      <c r="Z68">
        <v>1.0900000000000001</v>
      </c>
      <c r="AA68">
        <v>10</v>
      </c>
      <c r="AB68">
        <v>9</v>
      </c>
      <c r="AC68">
        <v>1</v>
      </c>
      <c r="AD68">
        <v>90</v>
      </c>
      <c r="AE68">
        <v>14</v>
      </c>
      <c r="AF68">
        <v>3</v>
      </c>
      <c r="AG68">
        <v>0</v>
      </c>
      <c r="AH68">
        <v>7</v>
      </c>
    </row>
    <row r="69" spans="1:34">
      <c r="A69" s="103">
        <v>127</v>
      </c>
      <c r="B69">
        <v>5333</v>
      </c>
      <c r="C69" s="107" t="s">
        <v>334</v>
      </c>
      <c r="D69" s="107" t="s">
        <v>106</v>
      </c>
      <c r="E69">
        <v>1915</v>
      </c>
      <c r="F69">
        <v>1919</v>
      </c>
      <c r="G69">
        <v>500</v>
      </c>
      <c r="H69" s="107" t="s">
        <v>63</v>
      </c>
      <c r="I69">
        <v>9810</v>
      </c>
      <c r="J69" s="107" t="s">
        <v>127</v>
      </c>
      <c r="K69" s="107" t="s">
        <v>101</v>
      </c>
      <c r="L69">
        <v>5290</v>
      </c>
      <c r="M69">
        <v>5230</v>
      </c>
      <c r="N69">
        <v>200</v>
      </c>
      <c r="O69" s="107" t="s">
        <v>61</v>
      </c>
      <c r="P69">
        <v>0.95173640989805997</v>
      </c>
      <c r="Q69">
        <v>0.91760594132802298</v>
      </c>
      <c r="R69" s="107">
        <v>0.32005021996130101</v>
      </c>
      <c r="S69" s="107">
        <v>6.9945332545420499E-2</v>
      </c>
      <c r="T69">
        <v>0.56047326295669997</v>
      </c>
      <c r="U69">
        <v>0.56047326295669997</v>
      </c>
      <c r="V69">
        <v>1.41</v>
      </c>
      <c r="W69">
        <v>8.27</v>
      </c>
      <c r="X69">
        <v>206989</v>
      </c>
      <c r="Y69">
        <v>12937</v>
      </c>
      <c r="Z69">
        <v>0.97</v>
      </c>
      <c r="AA69">
        <v>16</v>
      </c>
      <c r="AB69">
        <v>13</v>
      </c>
      <c r="AC69">
        <v>3</v>
      </c>
      <c r="AD69">
        <v>81.25</v>
      </c>
      <c r="AE69">
        <v>14</v>
      </c>
      <c r="AF69">
        <v>5</v>
      </c>
      <c r="AG69">
        <v>2</v>
      </c>
      <c r="AH69">
        <v>9</v>
      </c>
    </row>
    <row r="70" spans="1:34">
      <c r="A70" s="103">
        <v>3</v>
      </c>
      <c r="B70">
        <v>6988</v>
      </c>
      <c r="C70" s="107" t="s">
        <v>139</v>
      </c>
      <c r="D70" s="107" t="s">
        <v>62</v>
      </c>
      <c r="E70">
        <v>6350</v>
      </c>
      <c r="F70">
        <v>6410</v>
      </c>
      <c r="G70">
        <v>100</v>
      </c>
      <c r="H70" s="107" t="s">
        <v>61</v>
      </c>
      <c r="I70">
        <v>7282</v>
      </c>
      <c r="J70" s="107" t="s">
        <v>953</v>
      </c>
      <c r="K70" s="107" t="s">
        <v>84</v>
      </c>
      <c r="L70">
        <v>2801</v>
      </c>
      <c r="M70">
        <v>2798</v>
      </c>
      <c r="N70">
        <v>200</v>
      </c>
      <c r="O70" s="107" t="s">
        <v>63</v>
      </c>
      <c r="P70">
        <v>0.945328598275751</v>
      </c>
      <c r="Q70">
        <v>0.96395416518811605</v>
      </c>
      <c r="R70" s="107">
        <v>0.100461843901423</v>
      </c>
      <c r="S70" s="15">
        <v>2.29710329866799E-5</v>
      </c>
      <c r="T70">
        <v>-1.9606001734935301</v>
      </c>
      <c r="U70">
        <v>1.9606001734935301</v>
      </c>
      <c r="V70">
        <v>-6.33</v>
      </c>
      <c r="W70">
        <v>12.7</v>
      </c>
      <c r="X70">
        <v>206961</v>
      </c>
      <c r="Y70">
        <v>14783</v>
      </c>
      <c r="Z70">
        <v>0.78</v>
      </c>
      <c r="AA70">
        <v>14</v>
      </c>
      <c r="AB70">
        <v>10</v>
      </c>
      <c r="AC70">
        <v>4</v>
      </c>
      <c r="AD70">
        <v>71.430000000000007</v>
      </c>
      <c r="AE70">
        <v>10</v>
      </c>
      <c r="AF70">
        <v>9</v>
      </c>
      <c r="AG70">
        <v>3</v>
      </c>
      <c r="AH70">
        <v>2</v>
      </c>
    </row>
    <row r="71" spans="1:34">
      <c r="A71" s="103">
        <v>73</v>
      </c>
      <c r="B71">
        <v>3291</v>
      </c>
      <c r="C71" s="107" t="s">
        <v>113</v>
      </c>
      <c r="D71" s="107" t="s">
        <v>114</v>
      </c>
      <c r="E71">
        <v>1943</v>
      </c>
      <c r="F71">
        <v>1921</v>
      </c>
      <c r="G71">
        <v>500</v>
      </c>
      <c r="H71" s="107" t="s">
        <v>61</v>
      </c>
      <c r="I71">
        <v>8086</v>
      </c>
      <c r="J71" s="107" t="s">
        <v>1323</v>
      </c>
      <c r="K71" s="107" t="s">
        <v>93</v>
      </c>
      <c r="L71">
        <v>1321</v>
      </c>
      <c r="M71">
        <v>1325</v>
      </c>
      <c r="N71">
        <v>700</v>
      </c>
      <c r="O71" s="107" t="s">
        <v>63</v>
      </c>
      <c r="P71">
        <v>0.90649192192507</v>
      </c>
      <c r="Q71">
        <v>0.931200537022014</v>
      </c>
      <c r="R71">
        <v>4.61202323882756E-3</v>
      </c>
      <c r="S71" s="15">
        <v>6.7224843620904296E-3</v>
      </c>
      <c r="T71">
        <v>-0.207955939227631</v>
      </c>
      <c r="U71">
        <v>0.207955939227631</v>
      </c>
      <c r="V71">
        <v>-0.4</v>
      </c>
      <c r="W71">
        <v>3.44</v>
      </c>
      <c r="X71">
        <v>204433</v>
      </c>
      <c r="Y71">
        <v>17036</v>
      </c>
      <c r="Z71">
        <v>0.89</v>
      </c>
      <c r="AA71">
        <v>12</v>
      </c>
      <c r="AB71">
        <v>8</v>
      </c>
      <c r="AC71">
        <v>4</v>
      </c>
      <c r="AD71">
        <v>66.67</v>
      </c>
      <c r="AE71">
        <v>10</v>
      </c>
      <c r="AF71">
        <v>6</v>
      </c>
      <c r="AG71">
        <v>3</v>
      </c>
      <c r="AH71">
        <v>3</v>
      </c>
    </row>
    <row r="72" spans="1:34">
      <c r="A72" s="103">
        <v>88</v>
      </c>
      <c r="B72">
        <v>5802</v>
      </c>
      <c r="C72" s="107" t="s">
        <v>131</v>
      </c>
      <c r="D72" s="107" t="s">
        <v>132</v>
      </c>
      <c r="E72">
        <v>1688.5</v>
      </c>
      <c r="F72">
        <v>1690.5</v>
      </c>
      <c r="G72">
        <v>500</v>
      </c>
      <c r="H72" s="107" t="s">
        <v>61</v>
      </c>
      <c r="I72">
        <v>7282</v>
      </c>
      <c r="J72" s="107" t="s">
        <v>953</v>
      </c>
      <c r="K72" s="107" t="s">
        <v>84</v>
      </c>
      <c r="L72">
        <v>2801</v>
      </c>
      <c r="M72">
        <v>2798</v>
      </c>
      <c r="N72">
        <v>300</v>
      </c>
      <c r="O72" s="107" t="s">
        <v>63</v>
      </c>
      <c r="P72">
        <v>0.96296055794608804</v>
      </c>
      <c r="Q72">
        <v>0.92730054088716196</v>
      </c>
      <c r="R72">
        <v>7.7952192192978803E-2</v>
      </c>
      <c r="S72" s="15">
        <v>0.19543322044470701</v>
      </c>
      <c r="T72">
        <v>-1.41369937532218</v>
      </c>
      <c r="U72">
        <v>1.41369937532218</v>
      </c>
      <c r="V72">
        <v>-3.47</v>
      </c>
      <c r="W72">
        <v>0.7</v>
      </c>
      <c r="X72">
        <v>204036</v>
      </c>
      <c r="Y72">
        <v>12752</v>
      </c>
      <c r="Z72">
        <v>0.61</v>
      </c>
      <c r="AA72">
        <v>16</v>
      </c>
      <c r="AB72">
        <v>11</v>
      </c>
      <c r="AC72">
        <v>5</v>
      </c>
      <c r="AD72">
        <v>68.75</v>
      </c>
      <c r="AE72">
        <v>14</v>
      </c>
      <c r="AF72">
        <v>5</v>
      </c>
      <c r="AG72">
        <v>2</v>
      </c>
      <c r="AH72">
        <v>9</v>
      </c>
    </row>
    <row r="73" spans="1:34">
      <c r="A73" s="103">
        <v>208</v>
      </c>
      <c r="B73">
        <v>6752</v>
      </c>
      <c r="C73" s="107" t="s">
        <v>105</v>
      </c>
      <c r="D73" s="107" t="s">
        <v>87</v>
      </c>
      <c r="E73">
        <v>1059</v>
      </c>
      <c r="F73">
        <v>1058</v>
      </c>
      <c r="G73">
        <v>1000</v>
      </c>
      <c r="H73" s="107" t="s">
        <v>61</v>
      </c>
      <c r="I73">
        <v>7205</v>
      </c>
      <c r="J73" s="107" t="s">
        <v>117</v>
      </c>
      <c r="K73" s="107" t="s">
        <v>84</v>
      </c>
      <c r="L73">
        <v>1175</v>
      </c>
      <c r="M73">
        <v>1181</v>
      </c>
      <c r="N73">
        <v>900</v>
      </c>
      <c r="O73" s="107" t="s">
        <v>63</v>
      </c>
      <c r="P73">
        <v>0.94858565356340196</v>
      </c>
      <c r="Q73">
        <v>0.90418875934947796</v>
      </c>
      <c r="R73">
        <v>0.14776639393947899</v>
      </c>
      <c r="S73">
        <v>2.7312222507179601E-2</v>
      </c>
      <c r="T73">
        <v>-1.9787012042360099</v>
      </c>
      <c r="U73">
        <v>1.9787012042360099</v>
      </c>
      <c r="V73">
        <v>-6.73</v>
      </c>
      <c r="W73">
        <v>0.46</v>
      </c>
      <c r="X73">
        <v>203652</v>
      </c>
      <c r="Y73">
        <v>14547</v>
      </c>
      <c r="Z73">
        <v>0.68</v>
      </c>
      <c r="AA73">
        <v>14</v>
      </c>
      <c r="AB73">
        <v>9</v>
      </c>
      <c r="AC73">
        <v>5</v>
      </c>
      <c r="AD73">
        <v>64.290000000000006</v>
      </c>
      <c r="AE73">
        <v>14</v>
      </c>
      <c r="AF73">
        <v>5</v>
      </c>
      <c r="AG73">
        <v>1</v>
      </c>
      <c r="AH73">
        <v>8</v>
      </c>
    </row>
    <row r="74" spans="1:34">
      <c r="A74" s="103">
        <v>87</v>
      </c>
      <c r="B74">
        <v>4182</v>
      </c>
      <c r="C74" s="107" t="s">
        <v>88</v>
      </c>
      <c r="D74" s="107" t="s">
        <v>62</v>
      </c>
      <c r="E74">
        <v>1728</v>
      </c>
      <c r="F74">
        <v>1730</v>
      </c>
      <c r="G74">
        <v>600</v>
      </c>
      <c r="H74" s="107" t="s">
        <v>61</v>
      </c>
      <c r="I74">
        <v>5802</v>
      </c>
      <c r="J74" s="107" t="s">
        <v>131</v>
      </c>
      <c r="K74" s="107" t="s">
        <v>132</v>
      </c>
      <c r="L74">
        <v>1688.5</v>
      </c>
      <c r="M74">
        <v>1690.5</v>
      </c>
      <c r="N74">
        <v>600</v>
      </c>
      <c r="O74" s="107" t="s">
        <v>63</v>
      </c>
      <c r="P74">
        <v>0.96652055344474797</v>
      </c>
      <c r="Q74">
        <v>0.92790988167491395</v>
      </c>
      <c r="R74">
        <v>0.226924850573262</v>
      </c>
      <c r="S74" s="15">
        <v>8.3946599580543596E-2</v>
      </c>
      <c r="T74">
        <v>-0.73605102733937799</v>
      </c>
      <c r="U74">
        <v>0.73605102733937799</v>
      </c>
      <c r="V74">
        <v>-1.59</v>
      </c>
      <c r="W74">
        <v>2.2799999999999998</v>
      </c>
      <c r="X74">
        <v>202282</v>
      </c>
      <c r="Y74">
        <v>11238</v>
      </c>
      <c r="Z74">
        <v>0.67</v>
      </c>
      <c r="AA74">
        <v>18</v>
      </c>
      <c r="AB74">
        <v>11</v>
      </c>
      <c r="AC74">
        <v>7</v>
      </c>
      <c r="AD74">
        <v>61.11</v>
      </c>
      <c r="AE74">
        <v>13</v>
      </c>
      <c r="AF74">
        <v>7</v>
      </c>
      <c r="AG74">
        <v>4</v>
      </c>
      <c r="AH74">
        <v>7</v>
      </c>
    </row>
    <row r="75" spans="1:34">
      <c r="A75" s="103">
        <v>141</v>
      </c>
      <c r="B75">
        <v>1802</v>
      </c>
      <c r="C75" s="107" t="s">
        <v>1324</v>
      </c>
      <c r="D75" s="107" t="s">
        <v>78</v>
      </c>
      <c r="E75">
        <v>1280</v>
      </c>
      <c r="F75">
        <v>1257</v>
      </c>
      <c r="G75">
        <v>900</v>
      </c>
      <c r="H75" s="107" t="s">
        <v>61</v>
      </c>
      <c r="I75">
        <v>5393</v>
      </c>
      <c r="J75" s="107" t="s">
        <v>333</v>
      </c>
      <c r="K75" s="107" t="s">
        <v>106</v>
      </c>
      <c r="L75">
        <v>2749</v>
      </c>
      <c r="M75">
        <v>2736</v>
      </c>
      <c r="N75">
        <v>400</v>
      </c>
      <c r="O75" s="107" t="s">
        <v>63</v>
      </c>
      <c r="P75">
        <v>0.92613452869733204</v>
      </c>
      <c r="Q75">
        <v>0.91483218393102295</v>
      </c>
      <c r="R75">
        <v>0.27071101538944398</v>
      </c>
      <c r="S75" s="107">
        <v>1.0377964653044899E-2</v>
      </c>
      <c r="T75">
        <v>-1.1758914961268701</v>
      </c>
      <c r="U75">
        <v>1.1758914961268701</v>
      </c>
      <c r="V75">
        <v>-11.85</v>
      </c>
      <c r="W75">
        <v>3.37</v>
      </c>
      <c r="X75">
        <v>200007</v>
      </c>
      <c r="Y75">
        <v>10527</v>
      </c>
      <c r="Z75">
        <v>0.49</v>
      </c>
      <c r="AA75">
        <v>19</v>
      </c>
      <c r="AB75">
        <v>12</v>
      </c>
      <c r="AC75">
        <v>7</v>
      </c>
      <c r="AD75">
        <v>63.16</v>
      </c>
      <c r="AE75">
        <v>12</v>
      </c>
      <c r="AF75">
        <v>9</v>
      </c>
      <c r="AG75">
        <v>5</v>
      </c>
      <c r="AH75">
        <v>5</v>
      </c>
    </row>
    <row r="76" spans="1:34">
      <c r="A76" s="103">
        <v>188</v>
      </c>
      <c r="B76">
        <v>6471</v>
      </c>
      <c r="C76" s="107" t="s">
        <v>138</v>
      </c>
      <c r="D76" s="107" t="s">
        <v>99</v>
      </c>
      <c r="E76">
        <v>1090</v>
      </c>
      <c r="F76">
        <v>1088</v>
      </c>
      <c r="G76">
        <v>800</v>
      </c>
      <c r="H76" s="107" t="s">
        <v>61</v>
      </c>
      <c r="I76">
        <v>7259</v>
      </c>
      <c r="J76" s="107" t="s">
        <v>29</v>
      </c>
      <c r="K76" s="107" t="s">
        <v>84</v>
      </c>
      <c r="L76">
        <v>4260</v>
      </c>
      <c r="M76">
        <v>4265</v>
      </c>
      <c r="N76">
        <v>200</v>
      </c>
      <c r="O76" s="107" t="s">
        <v>63</v>
      </c>
      <c r="P76">
        <v>0.93910542097426097</v>
      </c>
      <c r="Q76">
        <v>0.90690326244113395</v>
      </c>
      <c r="R76">
        <v>3.0976500475223299E-4</v>
      </c>
      <c r="S76">
        <v>1.24712549253982E-2</v>
      </c>
      <c r="T76">
        <v>-0.75796679308682002</v>
      </c>
      <c r="U76">
        <v>0.75796679308682002</v>
      </c>
      <c r="V76">
        <v>-3.05</v>
      </c>
      <c r="W76">
        <v>2.04</v>
      </c>
      <c r="X76">
        <v>199833</v>
      </c>
      <c r="Y76">
        <v>9516</v>
      </c>
      <c r="Z76">
        <v>0.62</v>
      </c>
      <c r="AA76">
        <v>21</v>
      </c>
      <c r="AB76">
        <v>14</v>
      </c>
      <c r="AC76">
        <v>7</v>
      </c>
      <c r="AD76">
        <v>66.67</v>
      </c>
      <c r="AE76">
        <v>12</v>
      </c>
      <c r="AF76">
        <v>8</v>
      </c>
      <c r="AG76">
        <v>4</v>
      </c>
      <c r="AH76">
        <v>9</v>
      </c>
    </row>
    <row r="77" spans="1:34">
      <c r="A77" s="103">
        <v>7</v>
      </c>
      <c r="B77">
        <v>4182</v>
      </c>
      <c r="C77" s="107" t="s">
        <v>88</v>
      </c>
      <c r="D77" s="107" t="s">
        <v>62</v>
      </c>
      <c r="E77">
        <v>1728</v>
      </c>
      <c r="F77">
        <v>1730</v>
      </c>
      <c r="G77">
        <v>600</v>
      </c>
      <c r="H77" s="107" t="s">
        <v>61</v>
      </c>
      <c r="I77">
        <v>5991</v>
      </c>
      <c r="J77" s="107" t="s">
        <v>115</v>
      </c>
      <c r="K77" s="107" t="s">
        <v>116</v>
      </c>
      <c r="L77">
        <v>1021</v>
      </c>
      <c r="M77">
        <v>1021</v>
      </c>
      <c r="N77">
        <v>1000</v>
      </c>
      <c r="O77" s="107" t="s">
        <v>63</v>
      </c>
      <c r="P77">
        <v>0.96938045776937698</v>
      </c>
      <c r="Q77">
        <v>0.95923286177314204</v>
      </c>
      <c r="R77">
        <v>4.8080751975348598E-2</v>
      </c>
      <c r="S77" s="15">
        <v>0.183393778587018</v>
      </c>
      <c r="T77">
        <v>-0.70656768412009996</v>
      </c>
      <c r="U77">
        <v>0.70656768412009996</v>
      </c>
      <c r="V77">
        <v>-1.51</v>
      </c>
      <c r="W77">
        <v>1.64</v>
      </c>
      <c r="X77">
        <v>196981</v>
      </c>
      <c r="Y77">
        <v>10367</v>
      </c>
      <c r="Z77">
        <v>0.49</v>
      </c>
      <c r="AA77">
        <v>19</v>
      </c>
      <c r="AB77">
        <v>11</v>
      </c>
      <c r="AC77">
        <v>8</v>
      </c>
      <c r="AD77">
        <v>57.89</v>
      </c>
      <c r="AE77">
        <v>12</v>
      </c>
      <c r="AF77">
        <v>7</v>
      </c>
      <c r="AG77">
        <v>3</v>
      </c>
      <c r="AH77">
        <v>9</v>
      </c>
    </row>
    <row r="78" spans="1:34">
      <c r="A78" s="103">
        <v>25</v>
      </c>
      <c r="B78">
        <v>7181</v>
      </c>
      <c r="C78" s="107" t="s">
        <v>137</v>
      </c>
      <c r="D78" s="107" t="s">
        <v>110</v>
      </c>
      <c r="E78">
        <v>2005</v>
      </c>
      <c r="F78">
        <v>1990</v>
      </c>
      <c r="G78">
        <v>500</v>
      </c>
      <c r="H78" s="107" t="s">
        <v>63</v>
      </c>
      <c r="I78">
        <v>9956</v>
      </c>
      <c r="J78" s="107" t="s">
        <v>318</v>
      </c>
      <c r="K78" s="107" t="s">
        <v>95</v>
      </c>
      <c r="L78">
        <v>2096</v>
      </c>
      <c r="M78">
        <v>2070</v>
      </c>
      <c r="N78">
        <v>500</v>
      </c>
      <c r="O78" s="107" t="s">
        <v>61</v>
      </c>
      <c r="P78">
        <v>0.93082151940243996</v>
      </c>
      <c r="Q78">
        <v>0.94713563227489395</v>
      </c>
      <c r="R78">
        <v>7.0854084149129604E-3</v>
      </c>
      <c r="S78" s="15">
        <v>0.13302352595310801</v>
      </c>
      <c r="T78">
        <v>2.2624826861349598</v>
      </c>
      <c r="U78">
        <v>2.2624826861349598</v>
      </c>
      <c r="V78">
        <v>6.19</v>
      </c>
      <c r="W78">
        <v>3.86</v>
      </c>
      <c r="X78">
        <v>196402</v>
      </c>
      <c r="Y78">
        <v>15108</v>
      </c>
      <c r="Z78">
        <v>0.7</v>
      </c>
      <c r="AA78">
        <v>13</v>
      </c>
      <c r="AB78">
        <v>9</v>
      </c>
      <c r="AC78">
        <v>4</v>
      </c>
      <c r="AD78">
        <v>69.23</v>
      </c>
      <c r="AE78">
        <v>14</v>
      </c>
      <c r="AF78">
        <v>3</v>
      </c>
      <c r="AG78">
        <v>1</v>
      </c>
      <c r="AH78">
        <v>9</v>
      </c>
    </row>
    <row r="79" spans="1:34">
      <c r="A79" s="103">
        <v>34</v>
      </c>
      <c r="B79">
        <v>2379</v>
      </c>
      <c r="C79" s="107" t="s">
        <v>1027</v>
      </c>
      <c r="D79" s="107" t="s">
        <v>120</v>
      </c>
      <c r="E79">
        <v>3210</v>
      </c>
      <c r="F79">
        <v>3175</v>
      </c>
      <c r="G79">
        <v>300</v>
      </c>
      <c r="H79" s="107" t="s">
        <v>63</v>
      </c>
      <c r="I79">
        <v>9437</v>
      </c>
      <c r="J79" s="107" t="s">
        <v>1028</v>
      </c>
      <c r="K79" s="107" t="s">
        <v>79</v>
      </c>
      <c r="L79">
        <v>3050</v>
      </c>
      <c r="M79">
        <v>3025</v>
      </c>
      <c r="N79">
        <v>300</v>
      </c>
      <c r="O79" s="107" t="s">
        <v>61</v>
      </c>
      <c r="P79">
        <v>0.90149516510570105</v>
      </c>
      <c r="Q79">
        <v>0.94414676424467903</v>
      </c>
      <c r="R79" s="107">
        <v>2.3279108497009701E-2</v>
      </c>
      <c r="S79">
        <v>1.7037838338569498E-2</v>
      </c>
      <c r="T79">
        <v>1.2072937976873099</v>
      </c>
      <c r="U79">
        <v>1.2072937976873099</v>
      </c>
      <c r="V79">
        <v>7.12</v>
      </c>
      <c r="W79">
        <v>4.72</v>
      </c>
      <c r="X79">
        <v>196308</v>
      </c>
      <c r="Y79">
        <v>9348</v>
      </c>
      <c r="Z79">
        <v>0.5</v>
      </c>
      <c r="AA79">
        <v>21</v>
      </c>
      <c r="AB79">
        <v>11</v>
      </c>
      <c r="AC79">
        <v>10</v>
      </c>
      <c r="AD79">
        <v>52.38</v>
      </c>
      <c r="AE79">
        <v>10</v>
      </c>
      <c r="AF79">
        <v>8</v>
      </c>
      <c r="AG79">
        <v>6</v>
      </c>
      <c r="AH79">
        <v>7</v>
      </c>
    </row>
    <row r="80" spans="1:34">
      <c r="A80" s="103">
        <v>176</v>
      </c>
      <c r="B80">
        <v>6479</v>
      </c>
      <c r="C80" s="107" t="s">
        <v>1325</v>
      </c>
      <c r="D80" s="107" t="s">
        <v>87</v>
      </c>
      <c r="E80">
        <v>2330</v>
      </c>
      <c r="F80">
        <v>2326</v>
      </c>
      <c r="G80">
        <v>400</v>
      </c>
      <c r="H80" s="107" t="s">
        <v>61</v>
      </c>
      <c r="I80">
        <v>7729</v>
      </c>
      <c r="J80" s="107" t="s">
        <v>1315</v>
      </c>
      <c r="K80" s="107" t="s">
        <v>93</v>
      </c>
      <c r="L80">
        <v>4285</v>
      </c>
      <c r="M80">
        <v>4185</v>
      </c>
      <c r="N80">
        <v>200</v>
      </c>
      <c r="O80" s="107" t="s">
        <v>63</v>
      </c>
      <c r="P80">
        <v>0.91976884255304903</v>
      </c>
      <c r="Q80">
        <v>0.90807580107793695</v>
      </c>
      <c r="R80">
        <v>0.181965406134596</v>
      </c>
      <c r="S80" s="15">
        <v>0.30951518142857998</v>
      </c>
      <c r="T80">
        <v>-0.46686024664603698</v>
      </c>
      <c r="U80">
        <v>0.46686024664603698</v>
      </c>
      <c r="V80">
        <v>-1.56</v>
      </c>
      <c r="W80">
        <v>11.16</v>
      </c>
      <c r="X80">
        <v>194083</v>
      </c>
      <c r="Y80">
        <v>9704</v>
      </c>
      <c r="Z80">
        <v>0.52</v>
      </c>
      <c r="AA80">
        <v>20</v>
      </c>
      <c r="AB80">
        <v>13</v>
      </c>
      <c r="AC80">
        <v>7</v>
      </c>
      <c r="AD80">
        <v>65</v>
      </c>
      <c r="AE80">
        <v>12</v>
      </c>
      <c r="AF80">
        <v>8</v>
      </c>
      <c r="AG80">
        <v>4</v>
      </c>
      <c r="AH80">
        <v>8</v>
      </c>
    </row>
    <row r="81" spans="1:34">
      <c r="A81" s="103">
        <v>159</v>
      </c>
      <c r="B81">
        <v>4613</v>
      </c>
      <c r="C81" s="107" t="s">
        <v>320</v>
      </c>
      <c r="D81" s="107" t="s">
        <v>62</v>
      </c>
      <c r="E81">
        <v>2822</v>
      </c>
      <c r="F81">
        <v>2757</v>
      </c>
      <c r="G81">
        <v>400</v>
      </c>
      <c r="H81" s="107" t="s">
        <v>61</v>
      </c>
      <c r="I81">
        <v>6920</v>
      </c>
      <c r="J81" s="107" t="s">
        <v>86</v>
      </c>
      <c r="K81" s="107" t="s">
        <v>87</v>
      </c>
      <c r="L81">
        <v>9950</v>
      </c>
      <c r="M81">
        <v>9850</v>
      </c>
      <c r="N81">
        <v>100</v>
      </c>
      <c r="O81" s="107" t="s">
        <v>63</v>
      </c>
      <c r="P81">
        <v>0.90425674058299998</v>
      </c>
      <c r="Q81">
        <v>0.91085577226696401</v>
      </c>
      <c r="R81" s="107">
        <v>0.106920352528558</v>
      </c>
      <c r="S81" s="15">
        <v>0.21322250277267699</v>
      </c>
      <c r="T81">
        <v>-1.9926368775893999</v>
      </c>
      <c r="U81">
        <v>1.9926368775893999</v>
      </c>
      <c r="V81">
        <v>-19.559999999999999</v>
      </c>
      <c r="W81">
        <v>11.96</v>
      </c>
      <c r="X81">
        <v>191647</v>
      </c>
      <c r="Y81">
        <v>10087</v>
      </c>
      <c r="Z81">
        <v>0.54</v>
      </c>
      <c r="AA81">
        <v>19</v>
      </c>
      <c r="AB81">
        <v>10</v>
      </c>
      <c r="AC81">
        <v>9</v>
      </c>
      <c r="AD81">
        <v>52.63</v>
      </c>
      <c r="AE81">
        <v>10</v>
      </c>
      <c r="AF81">
        <v>9</v>
      </c>
      <c r="AG81">
        <v>8</v>
      </c>
      <c r="AH81">
        <v>2</v>
      </c>
    </row>
    <row r="82" spans="1:34">
      <c r="A82" s="103">
        <v>47</v>
      </c>
      <c r="B82">
        <v>6588</v>
      </c>
      <c r="C82" s="107" t="s">
        <v>955</v>
      </c>
      <c r="D82" s="107" t="s">
        <v>87</v>
      </c>
      <c r="E82">
        <v>4625</v>
      </c>
      <c r="F82">
        <v>4530</v>
      </c>
      <c r="G82">
        <v>200</v>
      </c>
      <c r="H82" s="107" t="s">
        <v>63</v>
      </c>
      <c r="I82">
        <v>6702</v>
      </c>
      <c r="J82" s="107" t="s">
        <v>332</v>
      </c>
      <c r="K82" s="107" t="s">
        <v>87</v>
      </c>
      <c r="L82">
        <v>10200</v>
      </c>
      <c r="M82">
        <v>10055</v>
      </c>
      <c r="N82">
        <v>100</v>
      </c>
      <c r="O82" s="107" t="s">
        <v>61</v>
      </c>
      <c r="P82">
        <v>0.93682849950167801</v>
      </c>
      <c r="Q82">
        <v>0.94002093416678101</v>
      </c>
      <c r="R82">
        <v>0.13985335110279201</v>
      </c>
      <c r="S82" s="15">
        <v>1.91035532056862E-2</v>
      </c>
      <c r="T82" s="15">
        <v>1.36505958785894</v>
      </c>
      <c r="U82" s="15">
        <v>1.36505958785894</v>
      </c>
      <c r="V82">
        <v>9.52</v>
      </c>
      <c r="W82">
        <v>9.9</v>
      </c>
      <c r="X82">
        <v>187415</v>
      </c>
      <c r="Y82">
        <v>18742</v>
      </c>
      <c r="Z82">
        <v>1.0900000000000001</v>
      </c>
      <c r="AA82">
        <v>10</v>
      </c>
      <c r="AB82">
        <v>6</v>
      </c>
      <c r="AC82">
        <v>4</v>
      </c>
      <c r="AD82">
        <v>60</v>
      </c>
      <c r="AE82">
        <v>12</v>
      </c>
      <c r="AF82">
        <v>4</v>
      </c>
      <c r="AG82">
        <v>1</v>
      </c>
      <c r="AH82">
        <v>5</v>
      </c>
    </row>
    <row r="83" spans="1:34">
      <c r="A83" s="103">
        <v>217</v>
      </c>
      <c r="B83">
        <v>8002</v>
      </c>
      <c r="C83" s="107" t="s">
        <v>31</v>
      </c>
      <c r="D83" s="107" t="s">
        <v>101</v>
      </c>
      <c r="E83">
        <v>834.9</v>
      </c>
      <c r="F83">
        <v>837.7</v>
      </c>
      <c r="G83">
        <v>800</v>
      </c>
      <c r="H83" s="107" t="s">
        <v>63</v>
      </c>
      <c r="I83">
        <v>9062</v>
      </c>
      <c r="J83" s="107" t="s">
        <v>956</v>
      </c>
      <c r="K83" s="107" t="s">
        <v>119</v>
      </c>
      <c r="L83">
        <v>6520</v>
      </c>
      <c r="M83">
        <v>6630</v>
      </c>
      <c r="N83">
        <v>100</v>
      </c>
      <c r="O83" s="107" t="s">
        <v>61</v>
      </c>
      <c r="P83">
        <v>0.93624943497243396</v>
      </c>
      <c r="Q83">
        <v>0.90229576554270496</v>
      </c>
      <c r="R83" s="15">
        <v>5.80417759651152E-2</v>
      </c>
      <c r="S83">
        <v>7.1324248437913795E-2</v>
      </c>
      <c r="T83">
        <v>0.29483066935667401</v>
      </c>
      <c r="U83">
        <v>0.29483066935667401</v>
      </c>
      <c r="V83">
        <v>1.24</v>
      </c>
      <c r="W83">
        <v>1.08</v>
      </c>
      <c r="X83">
        <v>187241</v>
      </c>
      <c r="Y83">
        <v>9362</v>
      </c>
      <c r="Z83">
        <v>0.65</v>
      </c>
      <c r="AA83">
        <v>20</v>
      </c>
      <c r="AB83">
        <v>12</v>
      </c>
      <c r="AC83">
        <v>8</v>
      </c>
      <c r="AD83">
        <v>60</v>
      </c>
      <c r="AE83">
        <v>12</v>
      </c>
      <c r="AF83">
        <v>8</v>
      </c>
      <c r="AG83">
        <v>5</v>
      </c>
      <c r="AH83">
        <v>7</v>
      </c>
    </row>
    <row r="84" spans="1:34">
      <c r="A84" s="103">
        <v>24</v>
      </c>
      <c r="B84">
        <v>7203</v>
      </c>
      <c r="C84" s="107" t="s">
        <v>329</v>
      </c>
      <c r="D84" s="107" t="s">
        <v>84</v>
      </c>
      <c r="E84">
        <v>7778</v>
      </c>
      <c r="F84">
        <v>7811</v>
      </c>
      <c r="G84">
        <v>100</v>
      </c>
      <c r="H84" s="107" t="s">
        <v>61</v>
      </c>
      <c r="I84">
        <v>8593</v>
      </c>
      <c r="J84" s="107" t="s">
        <v>311</v>
      </c>
      <c r="K84" s="107" t="s">
        <v>299</v>
      </c>
      <c r="L84">
        <v>716</v>
      </c>
      <c r="M84">
        <v>707</v>
      </c>
      <c r="N84">
        <v>1100</v>
      </c>
      <c r="O84" s="107" t="s">
        <v>63</v>
      </c>
      <c r="P84">
        <v>0.90653489139381505</v>
      </c>
      <c r="Q84">
        <v>0.94739826785955406</v>
      </c>
      <c r="R84">
        <v>0.14815361233094199</v>
      </c>
      <c r="S84" s="107">
        <v>4.80520032084135E-4</v>
      </c>
      <c r="T84">
        <v>-0.81594657137151005</v>
      </c>
      <c r="U84">
        <v>0.81594657137151005</v>
      </c>
      <c r="V84">
        <v>-2.78</v>
      </c>
      <c r="W84">
        <v>0.44</v>
      </c>
      <c r="X84">
        <v>184460</v>
      </c>
      <c r="Y84">
        <v>13176</v>
      </c>
      <c r="Z84">
        <v>0.95</v>
      </c>
      <c r="AA84">
        <v>14</v>
      </c>
      <c r="AB84">
        <v>10</v>
      </c>
      <c r="AC84">
        <v>4</v>
      </c>
      <c r="AD84">
        <v>71.430000000000007</v>
      </c>
      <c r="AE84">
        <v>14</v>
      </c>
      <c r="AF84">
        <v>5</v>
      </c>
      <c r="AG84">
        <v>1</v>
      </c>
      <c r="AH84">
        <v>8</v>
      </c>
    </row>
    <row r="85" spans="1:34">
      <c r="A85" s="103">
        <v>212</v>
      </c>
      <c r="B85">
        <v>4208</v>
      </c>
      <c r="C85" s="107" t="s">
        <v>98</v>
      </c>
      <c r="D85" s="107" t="s">
        <v>62</v>
      </c>
      <c r="E85">
        <v>2459</v>
      </c>
      <c r="F85">
        <v>2479</v>
      </c>
      <c r="G85">
        <v>400</v>
      </c>
      <c r="H85" s="107" t="s">
        <v>61</v>
      </c>
      <c r="I85">
        <v>6472</v>
      </c>
      <c r="J85" s="107" t="s">
        <v>134</v>
      </c>
      <c r="K85" s="107" t="s">
        <v>99</v>
      </c>
      <c r="L85">
        <v>364</v>
      </c>
      <c r="M85">
        <v>363</v>
      </c>
      <c r="N85">
        <v>2700</v>
      </c>
      <c r="O85" s="107" t="s">
        <v>63</v>
      </c>
      <c r="P85">
        <v>0.90967282423920404</v>
      </c>
      <c r="Q85">
        <v>0.90317307641619704</v>
      </c>
      <c r="R85">
        <v>3.4035872146672601E-3</v>
      </c>
      <c r="S85" s="15">
        <v>7.4578344922244993E-2</v>
      </c>
      <c r="T85">
        <v>-0.54756138328587101</v>
      </c>
      <c r="U85">
        <v>0.54756138328587101</v>
      </c>
      <c r="V85">
        <v>-1.32</v>
      </c>
      <c r="W85">
        <v>1.1599999999999999</v>
      </c>
      <c r="X85">
        <v>180416</v>
      </c>
      <c r="Y85">
        <v>9021</v>
      </c>
      <c r="Z85">
        <v>0.48</v>
      </c>
      <c r="AA85">
        <v>20</v>
      </c>
      <c r="AB85">
        <v>13</v>
      </c>
      <c r="AC85">
        <v>7</v>
      </c>
      <c r="AD85">
        <v>65</v>
      </c>
      <c r="AE85">
        <v>13</v>
      </c>
      <c r="AF85">
        <v>7</v>
      </c>
      <c r="AG85">
        <v>5</v>
      </c>
      <c r="AH85">
        <v>8</v>
      </c>
    </row>
    <row r="86" spans="1:34">
      <c r="A86" s="103">
        <v>151</v>
      </c>
      <c r="B86">
        <v>7167</v>
      </c>
      <c r="C86" s="107" t="s">
        <v>100</v>
      </c>
      <c r="D86" s="107" t="s">
        <v>82</v>
      </c>
      <c r="E86">
        <v>283</v>
      </c>
      <c r="F86">
        <v>284</v>
      </c>
      <c r="G86">
        <v>3700</v>
      </c>
      <c r="H86" s="107" t="s">
        <v>61</v>
      </c>
      <c r="I86">
        <v>7189</v>
      </c>
      <c r="J86" s="107" t="s">
        <v>81</v>
      </c>
      <c r="K86" s="107" t="s">
        <v>82</v>
      </c>
      <c r="L86">
        <v>873</v>
      </c>
      <c r="M86">
        <v>879</v>
      </c>
      <c r="N86">
        <v>1200</v>
      </c>
      <c r="O86" s="107" t="s">
        <v>63</v>
      </c>
      <c r="P86">
        <v>0.91599917307783696</v>
      </c>
      <c r="Q86">
        <v>0.91294481801410998</v>
      </c>
      <c r="R86">
        <v>0.147018743119535</v>
      </c>
      <c r="S86" s="15">
        <v>0.11331666029969201</v>
      </c>
      <c r="T86">
        <v>-1.6105188430442801</v>
      </c>
      <c r="U86">
        <v>1.6105188430442801</v>
      </c>
      <c r="V86">
        <v>-7.09</v>
      </c>
      <c r="W86">
        <v>0.38</v>
      </c>
      <c r="X86">
        <v>179261</v>
      </c>
      <c r="Y86">
        <v>9435</v>
      </c>
      <c r="Z86">
        <v>0.45</v>
      </c>
      <c r="AA86">
        <v>19</v>
      </c>
      <c r="AB86">
        <v>11</v>
      </c>
      <c r="AC86">
        <v>8</v>
      </c>
      <c r="AD86">
        <v>57.89</v>
      </c>
      <c r="AE86">
        <v>15</v>
      </c>
      <c r="AF86">
        <v>6</v>
      </c>
      <c r="AG86">
        <v>2</v>
      </c>
      <c r="AH86">
        <v>11</v>
      </c>
    </row>
    <row r="87" spans="1:34">
      <c r="A87" s="103">
        <v>35</v>
      </c>
      <c r="B87">
        <v>3635</v>
      </c>
      <c r="C87" s="107" t="s">
        <v>85</v>
      </c>
      <c r="D87" s="107" t="s">
        <v>79</v>
      </c>
      <c r="E87">
        <v>2727</v>
      </c>
      <c r="F87">
        <v>2709</v>
      </c>
      <c r="G87">
        <v>400</v>
      </c>
      <c r="H87" s="107" t="s">
        <v>61</v>
      </c>
      <c r="I87">
        <v>4519</v>
      </c>
      <c r="J87" s="107" t="s">
        <v>954</v>
      </c>
      <c r="K87" s="107" t="s">
        <v>136</v>
      </c>
      <c r="L87">
        <v>10025</v>
      </c>
      <c r="M87">
        <v>10040</v>
      </c>
      <c r="N87">
        <v>100</v>
      </c>
      <c r="O87" s="107" t="s">
        <v>63</v>
      </c>
      <c r="P87">
        <v>0.97143650797715697</v>
      </c>
      <c r="Q87">
        <v>0.94410996830820904</v>
      </c>
      <c r="R87">
        <v>7.4876461459152401E-4</v>
      </c>
      <c r="S87">
        <v>4.7185897601880501E-2</v>
      </c>
      <c r="T87">
        <v>-1.1517420902084501</v>
      </c>
      <c r="U87">
        <v>1.1517420902084501</v>
      </c>
      <c r="V87">
        <v>-3.95</v>
      </c>
      <c r="W87">
        <v>7.93</v>
      </c>
      <c r="X87">
        <v>177510</v>
      </c>
      <c r="Y87">
        <v>12679</v>
      </c>
      <c r="Z87">
        <v>1.08</v>
      </c>
      <c r="AA87">
        <v>14</v>
      </c>
      <c r="AB87">
        <v>8</v>
      </c>
      <c r="AC87">
        <v>6</v>
      </c>
      <c r="AD87">
        <v>57.14</v>
      </c>
      <c r="AE87">
        <v>11</v>
      </c>
      <c r="AF87">
        <v>8</v>
      </c>
      <c r="AG87">
        <v>2</v>
      </c>
      <c r="AH87">
        <v>4</v>
      </c>
    </row>
    <row r="88" spans="1:34">
      <c r="A88" s="103">
        <v>5</v>
      </c>
      <c r="B88">
        <v>8425</v>
      </c>
      <c r="C88" s="107" t="s">
        <v>319</v>
      </c>
      <c r="D88" s="107" t="s">
        <v>299</v>
      </c>
      <c r="E88">
        <v>3355</v>
      </c>
      <c r="F88">
        <v>3350</v>
      </c>
      <c r="G88">
        <v>300</v>
      </c>
      <c r="H88" s="107" t="s">
        <v>63</v>
      </c>
      <c r="I88">
        <v>8593</v>
      </c>
      <c r="J88" s="107" t="s">
        <v>311</v>
      </c>
      <c r="K88" s="107" t="s">
        <v>299</v>
      </c>
      <c r="L88">
        <v>716</v>
      </c>
      <c r="M88">
        <v>707</v>
      </c>
      <c r="N88">
        <v>1400</v>
      </c>
      <c r="O88" s="107" t="s">
        <v>61</v>
      </c>
      <c r="P88">
        <v>0.92172596983839505</v>
      </c>
      <c r="Q88">
        <v>0.96223915778106905</v>
      </c>
      <c r="R88">
        <v>1.92885612884586E-2</v>
      </c>
      <c r="S88" s="107">
        <v>1.43932930402008E-3</v>
      </c>
      <c r="T88">
        <v>1.65425407095361</v>
      </c>
      <c r="U88">
        <v>1.65425407095361</v>
      </c>
      <c r="V88">
        <v>2.61</v>
      </c>
      <c r="W88">
        <v>1.51</v>
      </c>
      <c r="X88">
        <v>175709</v>
      </c>
      <c r="Y88">
        <v>12551</v>
      </c>
      <c r="Z88">
        <v>0.59</v>
      </c>
      <c r="AA88">
        <v>14</v>
      </c>
      <c r="AB88">
        <v>9</v>
      </c>
      <c r="AC88">
        <v>5</v>
      </c>
      <c r="AD88">
        <v>64.290000000000006</v>
      </c>
      <c r="AE88">
        <v>13</v>
      </c>
      <c r="AF88">
        <v>6</v>
      </c>
      <c r="AG88">
        <v>3</v>
      </c>
      <c r="AH88">
        <v>5</v>
      </c>
    </row>
    <row r="89" spans="1:34">
      <c r="A89" s="103">
        <v>50</v>
      </c>
      <c r="B89">
        <v>3635</v>
      </c>
      <c r="C89" s="107" t="s">
        <v>85</v>
      </c>
      <c r="D89" s="107" t="s">
        <v>79</v>
      </c>
      <c r="E89">
        <v>2727</v>
      </c>
      <c r="F89">
        <v>2709</v>
      </c>
      <c r="G89">
        <v>300</v>
      </c>
      <c r="H89" s="107" t="s">
        <v>63</v>
      </c>
      <c r="I89">
        <v>4613</v>
      </c>
      <c r="J89" s="107" t="s">
        <v>320</v>
      </c>
      <c r="K89" s="107" t="s">
        <v>62</v>
      </c>
      <c r="L89">
        <v>2822</v>
      </c>
      <c r="M89">
        <v>2757</v>
      </c>
      <c r="N89">
        <v>300</v>
      </c>
      <c r="O89" s="107" t="s">
        <v>61</v>
      </c>
      <c r="P89">
        <v>0.91472845893690002</v>
      </c>
      <c r="Q89">
        <v>0.93953299157093795</v>
      </c>
      <c r="R89" s="15">
        <v>0.11679578375936001</v>
      </c>
      <c r="S89">
        <v>3.8613155301340497E-2</v>
      </c>
      <c r="T89">
        <v>1.2524615764951199</v>
      </c>
      <c r="U89">
        <v>1.2524615764951199</v>
      </c>
      <c r="V89">
        <v>3.75</v>
      </c>
      <c r="W89">
        <v>1.74</v>
      </c>
      <c r="X89">
        <v>175233</v>
      </c>
      <c r="Y89">
        <v>13479</v>
      </c>
      <c r="Z89">
        <v>0.8</v>
      </c>
      <c r="AA89">
        <v>13</v>
      </c>
      <c r="AB89">
        <v>9</v>
      </c>
      <c r="AC89">
        <v>4</v>
      </c>
      <c r="AD89">
        <v>69.23</v>
      </c>
      <c r="AE89">
        <v>13</v>
      </c>
      <c r="AF89">
        <v>5</v>
      </c>
      <c r="AG89">
        <v>2</v>
      </c>
      <c r="AH89">
        <v>6</v>
      </c>
    </row>
    <row r="90" spans="1:34">
      <c r="A90" s="103">
        <v>32</v>
      </c>
      <c r="B90">
        <v>5901</v>
      </c>
      <c r="C90" s="107" t="s">
        <v>322</v>
      </c>
      <c r="D90" s="107" t="s">
        <v>116</v>
      </c>
      <c r="E90">
        <v>1980</v>
      </c>
      <c r="F90">
        <v>2017</v>
      </c>
      <c r="G90">
        <v>500</v>
      </c>
      <c r="H90" s="107" t="s">
        <v>63</v>
      </c>
      <c r="I90">
        <v>8377</v>
      </c>
      <c r="J90" s="107" t="s">
        <v>94</v>
      </c>
      <c r="K90" s="107" t="s">
        <v>82</v>
      </c>
      <c r="L90">
        <v>1164</v>
      </c>
      <c r="M90">
        <v>1172</v>
      </c>
      <c r="N90">
        <v>900</v>
      </c>
      <c r="O90" s="107" t="s">
        <v>61</v>
      </c>
      <c r="P90">
        <v>0.94477244277551098</v>
      </c>
      <c r="Q90">
        <v>0.944580523394842</v>
      </c>
      <c r="R90">
        <v>6.1078155702976901E-4</v>
      </c>
      <c r="S90" s="15">
        <v>2.4077877316653301E-3</v>
      </c>
      <c r="T90">
        <v>1.2221666172925401</v>
      </c>
      <c r="U90">
        <v>1.2221666172925401</v>
      </c>
      <c r="V90">
        <v>3.58</v>
      </c>
      <c r="W90">
        <v>4.59</v>
      </c>
      <c r="X90">
        <v>160862</v>
      </c>
      <c r="Y90">
        <v>7312</v>
      </c>
      <c r="Z90">
        <v>0.31</v>
      </c>
      <c r="AA90">
        <v>22</v>
      </c>
      <c r="AB90">
        <v>14</v>
      </c>
      <c r="AC90">
        <v>8</v>
      </c>
      <c r="AD90">
        <v>63.64</v>
      </c>
      <c r="AE90">
        <v>14</v>
      </c>
      <c r="AF90">
        <v>9</v>
      </c>
      <c r="AG90">
        <v>6</v>
      </c>
      <c r="AH90">
        <v>7</v>
      </c>
    </row>
    <row r="91" spans="1:34">
      <c r="A91" s="103">
        <v>12</v>
      </c>
      <c r="B91">
        <v>2175</v>
      </c>
      <c r="C91" s="107" t="s">
        <v>327</v>
      </c>
      <c r="D91" s="107" t="s">
        <v>120</v>
      </c>
      <c r="E91">
        <v>3035</v>
      </c>
      <c r="F91">
        <v>3000</v>
      </c>
      <c r="G91">
        <v>400</v>
      </c>
      <c r="H91" s="107" t="s">
        <v>63</v>
      </c>
      <c r="I91">
        <v>9759</v>
      </c>
      <c r="J91" s="107" t="s">
        <v>1026</v>
      </c>
      <c r="K91" s="107" t="s">
        <v>79</v>
      </c>
      <c r="L91">
        <v>3625</v>
      </c>
      <c r="M91">
        <v>3555</v>
      </c>
      <c r="N91">
        <v>300</v>
      </c>
      <c r="O91" s="107" t="s">
        <v>61</v>
      </c>
      <c r="P91">
        <v>0.90258128604912602</v>
      </c>
      <c r="Q91">
        <v>0.95491308068966096</v>
      </c>
      <c r="R91" s="15">
        <v>0.20785785429404099</v>
      </c>
      <c r="S91">
        <v>1.60322651674131E-3</v>
      </c>
      <c r="T91">
        <v>0.38678942052497201</v>
      </c>
      <c r="U91">
        <v>0.38678942052497201</v>
      </c>
      <c r="V91">
        <v>1.43</v>
      </c>
      <c r="W91">
        <v>12.52</v>
      </c>
      <c r="X91">
        <v>158528</v>
      </c>
      <c r="Y91">
        <v>14412</v>
      </c>
      <c r="Z91">
        <v>0.81</v>
      </c>
      <c r="AA91">
        <v>11</v>
      </c>
      <c r="AB91">
        <v>7</v>
      </c>
      <c r="AC91">
        <v>4</v>
      </c>
      <c r="AD91">
        <v>63.64</v>
      </c>
      <c r="AE91">
        <v>11</v>
      </c>
      <c r="AF91">
        <v>6</v>
      </c>
      <c r="AG91">
        <v>3</v>
      </c>
      <c r="AH91">
        <v>2</v>
      </c>
    </row>
    <row r="92" spans="1:34">
      <c r="A92" s="103">
        <v>178</v>
      </c>
      <c r="B92">
        <v>1820</v>
      </c>
      <c r="C92" s="107" t="s">
        <v>122</v>
      </c>
      <c r="D92" s="107" t="s">
        <v>78</v>
      </c>
      <c r="E92">
        <v>2558</v>
      </c>
      <c r="F92">
        <v>2503</v>
      </c>
      <c r="G92">
        <v>400</v>
      </c>
      <c r="H92" s="107" t="s">
        <v>63</v>
      </c>
      <c r="I92">
        <v>9072</v>
      </c>
      <c r="J92" s="107" t="s">
        <v>126</v>
      </c>
      <c r="K92" s="107" t="s">
        <v>119</v>
      </c>
      <c r="L92">
        <v>2740</v>
      </c>
      <c r="M92">
        <v>2739</v>
      </c>
      <c r="N92">
        <v>400</v>
      </c>
      <c r="O92" s="107" t="s">
        <v>61</v>
      </c>
      <c r="P92">
        <v>0.94731572548382703</v>
      </c>
      <c r="Q92">
        <v>0.90764255899559598</v>
      </c>
      <c r="R92">
        <v>3.2245081335563003E-2</v>
      </c>
      <c r="S92">
        <v>2.4950906318282899E-3</v>
      </c>
      <c r="T92">
        <v>1.68528153361529</v>
      </c>
      <c r="U92">
        <v>1.68528153361529</v>
      </c>
      <c r="V92">
        <v>7.95</v>
      </c>
      <c r="W92">
        <v>8.6199999999999992</v>
      </c>
      <c r="X92">
        <v>153180</v>
      </c>
      <c r="Y92">
        <v>11783</v>
      </c>
      <c r="Z92">
        <v>0.63</v>
      </c>
      <c r="AA92">
        <v>13</v>
      </c>
      <c r="AB92">
        <v>7</v>
      </c>
      <c r="AC92">
        <v>6</v>
      </c>
      <c r="AD92">
        <v>53.85</v>
      </c>
      <c r="AE92">
        <v>16</v>
      </c>
      <c r="AF92">
        <v>5</v>
      </c>
      <c r="AG92">
        <v>1</v>
      </c>
      <c r="AH92">
        <v>7</v>
      </c>
    </row>
    <row r="93" spans="1:34">
      <c r="A93" s="103">
        <v>209</v>
      </c>
      <c r="B93">
        <v>3101</v>
      </c>
      <c r="C93" s="107" t="s">
        <v>1326</v>
      </c>
      <c r="D93" s="107" t="s">
        <v>1327</v>
      </c>
      <c r="E93">
        <v>1673</v>
      </c>
      <c r="F93">
        <v>1644</v>
      </c>
      <c r="G93">
        <v>600</v>
      </c>
      <c r="H93" s="107" t="s">
        <v>61</v>
      </c>
      <c r="I93">
        <v>8410</v>
      </c>
      <c r="J93" s="107" t="s">
        <v>1328</v>
      </c>
      <c r="K93" s="107" t="s">
        <v>82</v>
      </c>
      <c r="L93">
        <v>350</v>
      </c>
      <c r="M93">
        <v>353</v>
      </c>
      <c r="N93">
        <v>2800</v>
      </c>
      <c r="O93" s="107" t="s">
        <v>63</v>
      </c>
      <c r="P93">
        <v>0.91892676964521303</v>
      </c>
      <c r="Q93">
        <v>0.90351326981173696</v>
      </c>
      <c r="R93" s="107">
        <v>7.7333979325191204E-2</v>
      </c>
      <c r="S93">
        <v>9.9616258005213697E-3</v>
      </c>
      <c r="T93">
        <v>-0.89612099376558696</v>
      </c>
      <c r="U93">
        <v>0.89612099376558696</v>
      </c>
      <c r="V93">
        <v>-2.44</v>
      </c>
      <c r="W93">
        <v>0.2</v>
      </c>
      <c r="X93">
        <v>152834</v>
      </c>
      <c r="Y93">
        <v>7642</v>
      </c>
      <c r="Z93">
        <v>0.4</v>
      </c>
      <c r="AA93">
        <v>20</v>
      </c>
      <c r="AB93">
        <v>13</v>
      </c>
      <c r="AC93">
        <v>7</v>
      </c>
      <c r="AD93">
        <v>65</v>
      </c>
      <c r="AE93">
        <v>13</v>
      </c>
      <c r="AF93">
        <v>9</v>
      </c>
      <c r="AG93">
        <v>4</v>
      </c>
      <c r="AH93">
        <v>7</v>
      </c>
    </row>
    <row r="94" spans="1:34">
      <c r="A94" s="103">
        <v>139</v>
      </c>
      <c r="B94">
        <v>6674</v>
      </c>
      <c r="C94" s="107" t="s">
        <v>330</v>
      </c>
      <c r="D94" s="107" t="s">
        <v>87</v>
      </c>
      <c r="E94">
        <v>2438</v>
      </c>
      <c r="F94">
        <v>2424</v>
      </c>
      <c r="G94">
        <v>400</v>
      </c>
      <c r="H94" s="107" t="s">
        <v>63</v>
      </c>
      <c r="I94">
        <v>6752</v>
      </c>
      <c r="J94" s="107" t="s">
        <v>105</v>
      </c>
      <c r="K94" s="107" t="s">
        <v>87</v>
      </c>
      <c r="L94">
        <v>1059</v>
      </c>
      <c r="M94">
        <v>1058</v>
      </c>
      <c r="N94">
        <v>900</v>
      </c>
      <c r="O94" s="107" t="s">
        <v>61</v>
      </c>
      <c r="P94">
        <v>0.95710688362420904</v>
      </c>
      <c r="Q94">
        <v>0.91494028556385498</v>
      </c>
      <c r="R94" s="15">
        <v>0.265532810088629</v>
      </c>
      <c r="S94" s="15">
        <v>0.26036570612481202</v>
      </c>
      <c r="T94">
        <v>1.8788712255973701</v>
      </c>
      <c r="U94">
        <v>1.8788712255973701</v>
      </c>
      <c r="V94">
        <v>5.59</v>
      </c>
      <c r="W94">
        <v>1.79</v>
      </c>
      <c r="X94">
        <v>150976</v>
      </c>
      <c r="Y94">
        <v>10065</v>
      </c>
      <c r="Z94">
        <v>0.62</v>
      </c>
      <c r="AA94">
        <v>15</v>
      </c>
      <c r="AB94">
        <v>9</v>
      </c>
      <c r="AC94">
        <v>6</v>
      </c>
      <c r="AD94">
        <v>60</v>
      </c>
      <c r="AE94">
        <v>13</v>
      </c>
      <c r="AF94">
        <v>5</v>
      </c>
      <c r="AG94">
        <v>2</v>
      </c>
      <c r="AH94">
        <v>8</v>
      </c>
    </row>
    <row r="95" spans="1:34">
      <c r="A95" s="103">
        <v>118</v>
      </c>
      <c r="B95">
        <v>2379</v>
      </c>
      <c r="C95" s="107" t="s">
        <v>1027</v>
      </c>
      <c r="D95" s="107" t="s">
        <v>120</v>
      </c>
      <c r="E95">
        <v>3210</v>
      </c>
      <c r="F95">
        <v>3175</v>
      </c>
      <c r="G95">
        <v>300</v>
      </c>
      <c r="H95" s="107" t="s">
        <v>63</v>
      </c>
      <c r="I95">
        <v>8593</v>
      </c>
      <c r="J95" s="107" t="s">
        <v>311</v>
      </c>
      <c r="K95" s="107" t="s">
        <v>299</v>
      </c>
      <c r="L95">
        <v>716</v>
      </c>
      <c r="M95">
        <v>707</v>
      </c>
      <c r="N95">
        <v>1300</v>
      </c>
      <c r="O95" s="107" t="s">
        <v>61</v>
      </c>
      <c r="P95">
        <v>0.92381767647051205</v>
      </c>
      <c r="Q95">
        <v>0.92014717145142999</v>
      </c>
      <c r="R95">
        <v>0.194021963887403</v>
      </c>
      <c r="S95" s="15">
        <v>5.4375979456829399E-2</v>
      </c>
      <c r="T95">
        <v>1.0409428018019</v>
      </c>
      <c r="U95">
        <v>1.0409428018019</v>
      </c>
      <c r="V95">
        <v>4.74</v>
      </c>
      <c r="W95">
        <v>3.51</v>
      </c>
      <c r="X95">
        <v>147299</v>
      </c>
      <c r="Y95">
        <v>6137</v>
      </c>
      <c r="Z95">
        <v>0.4</v>
      </c>
      <c r="AA95">
        <v>24</v>
      </c>
      <c r="AB95">
        <v>14</v>
      </c>
      <c r="AC95">
        <v>10</v>
      </c>
      <c r="AD95">
        <v>58.33</v>
      </c>
      <c r="AE95">
        <v>9</v>
      </c>
      <c r="AF95">
        <v>13</v>
      </c>
      <c r="AG95">
        <v>9</v>
      </c>
      <c r="AH95">
        <v>2</v>
      </c>
    </row>
    <row r="96" spans="1:34">
      <c r="A96" s="103">
        <v>138</v>
      </c>
      <c r="B96">
        <v>5802</v>
      </c>
      <c r="C96" s="107" t="s">
        <v>131</v>
      </c>
      <c r="D96" s="107" t="s">
        <v>132</v>
      </c>
      <c r="E96">
        <v>1688.5</v>
      </c>
      <c r="F96">
        <v>1690.5</v>
      </c>
      <c r="G96">
        <v>400</v>
      </c>
      <c r="H96" s="107" t="s">
        <v>63</v>
      </c>
      <c r="I96">
        <v>9062</v>
      </c>
      <c r="J96" s="107" t="s">
        <v>956</v>
      </c>
      <c r="K96" s="107" t="s">
        <v>119</v>
      </c>
      <c r="L96">
        <v>6520</v>
      </c>
      <c r="M96">
        <v>6630</v>
      </c>
      <c r="N96">
        <v>100</v>
      </c>
      <c r="O96" s="107" t="s">
        <v>61</v>
      </c>
      <c r="P96">
        <v>0.93945076051527698</v>
      </c>
      <c r="Q96">
        <v>0.91505918074835702</v>
      </c>
      <c r="R96">
        <v>3.1230289336309201E-2</v>
      </c>
      <c r="S96">
        <v>8.9385146018756995E-2</v>
      </c>
      <c r="T96">
        <v>1.76828166467265</v>
      </c>
      <c r="U96">
        <v>1.76828166467265</v>
      </c>
      <c r="V96">
        <v>5.95</v>
      </c>
      <c r="W96">
        <v>1.99</v>
      </c>
      <c r="X96">
        <v>146996</v>
      </c>
      <c r="Y96">
        <v>10500</v>
      </c>
      <c r="Z96">
        <v>0.62</v>
      </c>
      <c r="AA96">
        <v>14</v>
      </c>
      <c r="AB96">
        <v>8</v>
      </c>
      <c r="AC96">
        <v>6</v>
      </c>
      <c r="AD96">
        <v>57.14</v>
      </c>
      <c r="AE96">
        <v>13</v>
      </c>
      <c r="AF96">
        <v>5</v>
      </c>
      <c r="AG96">
        <v>3</v>
      </c>
      <c r="AH96">
        <v>6</v>
      </c>
    </row>
    <row r="97" spans="1:34">
      <c r="A97" s="103">
        <v>182</v>
      </c>
      <c r="B97">
        <v>1973</v>
      </c>
      <c r="C97" s="107" t="s">
        <v>310</v>
      </c>
      <c r="D97" s="107" t="s">
        <v>79</v>
      </c>
      <c r="E97">
        <v>3620</v>
      </c>
      <c r="F97">
        <v>3570</v>
      </c>
      <c r="G97">
        <v>300</v>
      </c>
      <c r="H97" s="107" t="s">
        <v>61</v>
      </c>
      <c r="I97">
        <v>6807</v>
      </c>
      <c r="J97" s="107" t="s">
        <v>335</v>
      </c>
      <c r="K97" s="107" t="s">
        <v>87</v>
      </c>
      <c r="L97">
        <v>2296</v>
      </c>
      <c r="M97">
        <v>2272</v>
      </c>
      <c r="N97">
        <v>500</v>
      </c>
      <c r="O97" s="107" t="s">
        <v>63</v>
      </c>
      <c r="P97">
        <v>0.96690960873683995</v>
      </c>
      <c r="Q97">
        <v>0.90743071288718402</v>
      </c>
      <c r="R97">
        <v>8.7435449416237696E-2</v>
      </c>
      <c r="S97" s="15">
        <v>0.106233023547534</v>
      </c>
      <c r="T97">
        <v>-1.3696456175307301</v>
      </c>
      <c r="U97">
        <v>1.3696456175307301</v>
      </c>
      <c r="V97">
        <v>-12.38</v>
      </c>
      <c r="W97">
        <v>6.07</v>
      </c>
      <c r="X97">
        <v>145871</v>
      </c>
      <c r="Y97">
        <v>7294</v>
      </c>
      <c r="Z97">
        <v>0.31</v>
      </c>
      <c r="AA97">
        <v>20</v>
      </c>
      <c r="AB97">
        <v>13</v>
      </c>
      <c r="AC97">
        <v>7</v>
      </c>
      <c r="AD97">
        <v>65</v>
      </c>
      <c r="AE97">
        <v>12</v>
      </c>
      <c r="AF97">
        <v>8</v>
      </c>
      <c r="AG97">
        <v>6</v>
      </c>
      <c r="AH97">
        <v>6</v>
      </c>
    </row>
    <row r="98" spans="1:34">
      <c r="A98" s="103">
        <v>27</v>
      </c>
      <c r="B98">
        <v>4182</v>
      </c>
      <c r="C98" s="107" t="s">
        <v>88</v>
      </c>
      <c r="D98" s="107" t="s">
        <v>62</v>
      </c>
      <c r="E98">
        <v>1728</v>
      </c>
      <c r="F98">
        <v>1730</v>
      </c>
      <c r="G98">
        <v>600</v>
      </c>
      <c r="H98" s="107" t="s">
        <v>63</v>
      </c>
      <c r="I98">
        <v>6752</v>
      </c>
      <c r="J98" s="107" t="s">
        <v>105</v>
      </c>
      <c r="K98" s="107" t="s">
        <v>87</v>
      </c>
      <c r="L98">
        <v>1059</v>
      </c>
      <c r="M98">
        <v>1058</v>
      </c>
      <c r="N98">
        <v>1000</v>
      </c>
      <c r="O98" s="107" t="s">
        <v>61</v>
      </c>
      <c r="P98">
        <v>0.94938319028803997</v>
      </c>
      <c r="Q98">
        <v>0.94573660716391195</v>
      </c>
      <c r="R98" s="15">
        <v>3.27894420467046E-2</v>
      </c>
      <c r="S98">
        <v>4.6112196483786901E-2</v>
      </c>
      <c r="T98">
        <v>0.229032445081612</v>
      </c>
      <c r="U98">
        <v>0.229032445081612</v>
      </c>
      <c r="V98">
        <v>0.74</v>
      </c>
      <c r="W98">
        <v>1.93</v>
      </c>
      <c r="X98">
        <v>145761</v>
      </c>
      <c r="Y98">
        <v>8098</v>
      </c>
      <c r="Z98">
        <v>0.37</v>
      </c>
      <c r="AA98">
        <v>18</v>
      </c>
      <c r="AB98">
        <v>12</v>
      </c>
      <c r="AC98">
        <v>6</v>
      </c>
      <c r="AD98">
        <v>66.67</v>
      </c>
      <c r="AE98">
        <v>13</v>
      </c>
      <c r="AF98">
        <v>7</v>
      </c>
      <c r="AG98">
        <v>4</v>
      </c>
      <c r="AH98">
        <v>7</v>
      </c>
    </row>
    <row r="99" spans="1:34">
      <c r="A99" s="103">
        <v>174</v>
      </c>
      <c r="B99">
        <v>1973</v>
      </c>
      <c r="C99" s="107" t="s">
        <v>310</v>
      </c>
      <c r="D99" s="107" t="s">
        <v>79</v>
      </c>
      <c r="E99">
        <v>3620</v>
      </c>
      <c r="F99">
        <v>3570</v>
      </c>
      <c r="G99">
        <v>300</v>
      </c>
      <c r="H99" s="107" t="s">
        <v>63</v>
      </c>
      <c r="I99">
        <v>6702</v>
      </c>
      <c r="J99" s="107" t="s">
        <v>332</v>
      </c>
      <c r="K99" s="107" t="s">
        <v>87</v>
      </c>
      <c r="L99">
        <v>10200</v>
      </c>
      <c r="M99">
        <v>10055</v>
      </c>
      <c r="N99">
        <v>100</v>
      </c>
      <c r="O99" s="107" t="s">
        <v>61</v>
      </c>
      <c r="P99">
        <v>0.95416338986896998</v>
      </c>
      <c r="Q99">
        <v>0.90835419691460895</v>
      </c>
      <c r="R99">
        <v>7.79896088227333E-2</v>
      </c>
      <c r="S99" s="107">
        <v>7.9881979954295398E-2</v>
      </c>
      <c r="T99">
        <v>1.0056869504431201</v>
      </c>
      <c r="U99">
        <v>1.0056869504431201</v>
      </c>
      <c r="V99">
        <v>2.64</v>
      </c>
      <c r="W99">
        <v>6.51</v>
      </c>
      <c r="X99">
        <v>145482</v>
      </c>
      <c r="Y99">
        <v>10392</v>
      </c>
      <c r="Z99">
        <v>0.72</v>
      </c>
      <c r="AA99">
        <v>14</v>
      </c>
      <c r="AB99">
        <v>9</v>
      </c>
      <c r="AC99">
        <v>5</v>
      </c>
      <c r="AD99">
        <v>64.290000000000006</v>
      </c>
      <c r="AE99">
        <v>14</v>
      </c>
      <c r="AF99">
        <v>5</v>
      </c>
      <c r="AG99">
        <v>1</v>
      </c>
      <c r="AH99">
        <v>8</v>
      </c>
    </row>
    <row r="100" spans="1:34">
      <c r="A100" s="103">
        <v>200</v>
      </c>
      <c r="B100">
        <v>1963</v>
      </c>
      <c r="C100" s="107" t="s">
        <v>130</v>
      </c>
      <c r="D100" s="107" t="s">
        <v>78</v>
      </c>
      <c r="E100">
        <v>1726</v>
      </c>
      <c r="F100">
        <v>1742</v>
      </c>
      <c r="G100">
        <v>600</v>
      </c>
      <c r="H100" s="107" t="s">
        <v>63</v>
      </c>
      <c r="I100">
        <v>8002</v>
      </c>
      <c r="J100" s="107" t="s">
        <v>31</v>
      </c>
      <c r="K100" s="107" t="s">
        <v>101</v>
      </c>
      <c r="L100">
        <v>834.9</v>
      </c>
      <c r="M100">
        <v>837.7</v>
      </c>
      <c r="N100">
        <v>1200</v>
      </c>
      <c r="O100" s="107" t="s">
        <v>61</v>
      </c>
      <c r="P100">
        <v>0.90724793788573699</v>
      </c>
      <c r="Q100">
        <v>0.90527604300498199</v>
      </c>
      <c r="R100">
        <v>0.27887673646073802</v>
      </c>
      <c r="S100">
        <v>1.78750277008899E-3</v>
      </c>
      <c r="T100">
        <v>1.0610732066295301</v>
      </c>
      <c r="U100">
        <v>1.0610732066295301</v>
      </c>
      <c r="V100">
        <v>4.47</v>
      </c>
      <c r="W100">
        <v>3.82</v>
      </c>
      <c r="X100">
        <v>144680</v>
      </c>
      <c r="Y100">
        <v>6576</v>
      </c>
      <c r="Z100">
        <v>0.32</v>
      </c>
      <c r="AA100">
        <v>22</v>
      </c>
      <c r="AB100">
        <v>14</v>
      </c>
      <c r="AC100">
        <v>8</v>
      </c>
      <c r="AD100">
        <v>63.64</v>
      </c>
      <c r="AE100">
        <v>13</v>
      </c>
      <c r="AF100">
        <v>8</v>
      </c>
      <c r="AG100">
        <v>6</v>
      </c>
      <c r="AH100">
        <v>8</v>
      </c>
    </row>
    <row r="101" spans="1:34">
      <c r="A101" s="103">
        <v>152</v>
      </c>
      <c r="B101">
        <v>3116</v>
      </c>
      <c r="C101" s="107" t="s">
        <v>125</v>
      </c>
      <c r="D101" s="107" t="s">
        <v>84</v>
      </c>
      <c r="E101">
        <v>1852</v>
      </c>
      <c r="F101">
        <v>1818</v>
      </c>
      <c r="G101">
        <v>400</v>
      </c>
      <c r="H101" s="107" t="s">
        <v>63</v>
      </c>
      <c r="I101">
        <v>6988</v>
      </c>
      <c r="J101" s="107" t="s">
        <v>139</v>
      </c>
      <c r="K101" s="107" t="s">
        <v>62</v>
      </c>
      <c r="L101">
        <v>6350</v>
      </c>
      <c r="M101">
        <v>6410</v>
      </c>
      <c r="N101">
        <v>100</v>
      </c>
      <c r="O101" s="107" t="s">
        <v>61</v>
      </c>
      <c r="P101">
        <v>0.909770153462088</v>
      </c>
      <c r="Q101">
        <v>0.91292258239856605</v>
      </c>
      <c r="R101">
        <v>0.397912699962227</v>
      </c>
      <c r="S101">
        <v>0.32771603078998901</v>
      </c>
      <c r="T101">
        <v>0.441871815781542</v>
      </c>
      <c r="U101">
        <v>0.441871815781542</v>
      </c>
      <c r="V101">
        <v>1.21</v>
      </c>
      <c r="W101">
        <v>13.45</v>
      </c>
      <c r="X101">
        <v>135364</v>
      </c>
      <c r="Y101">
        <v>13536</v>
      </c>
      <c r="Z101">
        <v>1.01</v>
      </c>
      <c r="AA101">
        <v>10</v>
      </c>
      <c r="AB101">
        <v>8</v>
      </c>
      <c r="AC101">
        <v>2</v>
      </c>
      <c r="AD101">
        <v>80</v>
      </c>
      <c r="AE101">
        <v>12</v>
      </c>
      <c r="AF101">
        <v>6</v>
      </c>
      <c r="AG101">
        <v>1</v>
      </c>
      <c r="AH101">
        <v>3</v>
      </c>
    </row>
    <row r="102" spans="1:34">
      <c r="A102" s="103">
        <v>69</v>
      </c>
      <c r="B102">
        <v>6952</v>
      </c>
      <c r="C102" s="107" t="s">
        <v>957</v>
      </c>
      <c r="D102" s="107" t="s">
        <v>87</v>
      </c>
      <c r="E102">
        <v>2179</v>
      </c>
      <c r="F102">
        <v>2157</v>
      </c>
      <c r="G102">
        <v>500</v>
      </c>
      <c r="H102" s="107" t="s">
        <v>63</v>
      </c>
      <c r="I102">
        <v>8604</v>
      </c>
      <c r="J102" s="107" t="s">
        <v>958</v>
      </c>
      <c r="K102" s="107" t="s">
        <v>959</v>
      </c>
      <c r="L102">
        <v>562.9</v>
      </c>
      <c r="M102">
        <v>557.6</v>
      </c>
      <c r="N102">
        <v>1900</v>
      </c>
      <c r="O102" s="107" t="s">
        <v>61</v>
      </c>
      <c r="P102">
        <v>0.96459485339001805</v>
      </c>
      <c r="Q102">
        <v>0.93207285099019299</v>
      </c>
      <c r="R102">
        <v>2.9799669115629399E-2</v>
      </c>
      <c r="S102" s="15">
        <v>0.110988128915029</v>
      </c>
      <c r="T102">
        <v>1.8481535884095099</v>
      </c>
      <c r="U102">
        <v>1.8481535884095099</v>
      </c>
      <c r="V102">
        <v>7.01</v>
      </c>
      <c r="W102">
        <v>1.77</v>
      </c>
      <c r="X102">
        <v>134282</v>
      </c>
      <c r="Y102">
        <v>7899</v>
      </c>
      <c r="Z102">
        <v>0.39</v>
      </c>
      <c r="AA102">
        <v>17</v>
      </c>
      <c r="AB102">
        <v>10</v>
      </c>
      <c r="AC102">
        <v>7</v>
      </c>
      <c r="AD102">
        <v>58.82</v>
      </c>
      <c r="AE102">
        <v>13</v>
      </c>
      <c r="AF102">
        <v>4</v>
      </c>
      <c r="AG102">
        <v>3</v>
      </c>
      <c r="AH102">
        <v>10</v>
      </c>
    </row>
    <row r="103" spans="1:34">
      <c r="A103" s="103">
        <v>43</v>
      </c>
      <c r="B103">
        <v>4634</v>
      </c>
      <c r="C103" s="107" t="s">
        <v>140</v>
      </c>
      <c r="D103" s="107" t="s">
        <v>62</v>
      </c>
      <c r="E103">
        <v>2765</v>
      </c>
      <c r="F103">
        <v>2734</v>
      </c>
      <c r="G103">
        <v>400</v>
      </c>
      <c r="H103" s="107" t="s">
        <v>61</v>
      </c>
      <c r="I103">
        <v>5471</v>
      </c>
      <c r="J103" s="107" t="s">
        <v>303</v>
      </c>
      <c r="K103" s="107" t="s">
        <v>92</v>
      </c>
      <c r="L103">
        <v>5010</v>
      </c>
      <c r="M103">
        <v>5010</v>
      </c>
      <c r="N103">
        <v>200</v>
      </c>
      <c r="O103" s="107" t="s">
        <v>63</v>
      </c>
      <c r="P103">
        <v>0.94483508718780695</v>
      </c>
      <c r="Q103">
        <v>0.94134103307240002</v>
      </c>
      <c r="R103" s="107">
        <v>0.253766789977798</v>
      </c>
      <c r="S103" s="107">
        <v>3.5820742389188402E-3</v>
      </c>
      <c r="T103">
        <v>-0.49022957342343798</v>
      </c>
      <c r="U103">
        <v>0.49022957342343798</v>
      </c>
      <c r="V103">
        <v>-1.5</v>
      </c>
      <c r="W103">
        <v>9.14</v>
      </c>
      <c r="X103">
        <v>134211</v>
      </c>
      <c r="Y103">
        <v>16776</v>
      </c>
      <c r="Z103">
        <v>0.97</v>
      </c>
      <c r="AA103">
        <v>8</v>
      </c>
      <c r="AB103">
        <v>6</v>
      </c>
      <c r="AC103">
        <v>2</v>
      </c>
      <c r="AD103">
        <v>75</v>
      </c>
      <c r="AE103">
        <v>15</v>
      </c>
      <c r="AF103">
        <v>2</v>
      </c>
      <c r="AG103">
        <v>1</v>
      </c>
      <c r="AH103">
        <v>5</v>
      </c>
    </row>
    <row r="104" spans="1:34">
      <c r="A104" s="103">
        <v>30</v>
      </c>
      <c r="B104">
        <v>3116</v>
      </c>
      <c r="C104" s="107" t="s">
        <v>125</v>
      </c>
      <c r="D104" s="107" t="s">
        <v>84</v>
      </c>
      <c r="E104">
        <v>1852</v>
      </c>
      <c r="F104">
        <v>1818</v>
      </c>
      <c r="G104">
        <v>600</v>
      </c>
      <c r="H104" s="107" t="s">
        <v>61</v>
      </c>
      <c r="I104">
        <v>5991</v>
      </c>
      <c r="J104" s="107" t="s">
        <v>115</v>
      </c>
      <c r="K104" s="107" t="s">
        <v>116</v>
      </c>
      <c r="L104">
        <v>1021</v>
      </c>
      <c r="M104">
        <v>1021</v>
      </c>
      <c r="N104">
        <v>1100</v>
      </c>
      <c r="O104" s="107" t="s">
        <v>63</v>
      </c>
      <c r="P104">
        <v>0.97510886975998501</v>
      </c>
      <c r="Q104">
        <v>0.94492429806577904</v>
      </c>
      <c r="R104">
        <v>0.34143517531082501</v>
      </c>
      <c r="S104" s="15">
        <v>0.11481756375603799</v>
      </c>
      <c r="T104">
        <v>-0.51648161380677804</v>
      </c>
      <c r="U104">
        <v>0.51648161380677804</v>
      </c>
      <c r="V104">
        <v>-1.41</v>
      </c>
      <c r="W104">
        <v>2.96</v>
      </c>
      <c r="X104">
        <v>130988</v>
      </c>
      <c r="Y104">
        <v>8187</v>
      </c>
      <c r="Z104">
        <v>0.46</v>
      </c>
      <c r="AA104">
        <v>16</v>
      </c>
      <c r="AB104">
        <v>10</v>
      </c>
      <c r="AC104">
        <v>6</v>
      </c>
      <c r="AD104">
        <v>62.5</v>
      </c>
      <c r="AE104">
        <v>10</v>
      </c>
      <c r="AF104">
        <v>7</v>
      </c>
      <c r="AG104">
        <v>4</v>
      </c>
      <c r="AH104">
        <v>5</v>
      </c>
    </row>
    <row r="105" spans="1:34">
      <c r="A105" s="103">
        <v>221</v>
      </c>
      <c r="B105">
        <v>6995</v>
      </c>
      <c r="C105" s="107" t="s">
        <v>91</v>
      </c>
      <c r="D105" s="107" t="s">
        <v>84</v>
      </c>
      <c r="E105">
        <v>2258</v>
      </c>
      <c r="F105">
        <v>2263</v>
      </c>
      <c r="G105">
        <v>500</v>
      </c>
      <c r="H105" s="107" t="s">
        <v>61</v>
      </c>
      <c r="I105">
        <v>7251</v>
      </c>
      <c r="J105" s="107" t="s">
        <v>960</v>
      </c>
      <c r="K105" s="107" t="s">
        <v>84</v>
      </c>
      <c r="L105">
        <v>2570</v>
      </c>
      <c r="M105">
        <v>2568</v>
      </c>
      <c r="N105">
        <v>400</v>
      </c>
      <c r="O105" s="107" t="s">
        <v>63</v>
      </c>
      <c r="P105">
        <v>0.94933063203300805</v>
      </c>
      <c r="Q105">
        <v>0.90142340303424695</v>
      </c>
      <c r="R105" s="107">
        <v>1.05490966570799E-2</v>
      </c>
      <c r="S105" s="107">
        <v>6.0366353686830201E-2</v>
      </c>
      <c r="T105">
        <v>-0.80912637429963996</v>
      </c>
      <c r="U105">
        <v>0.80912637429963996</v>
      </c>
      <c r="V105">
        <v>-13.94</v>
      </c>
      <c r="W105">
        <v>10.15</v>
      </c>
      <c r="X105">
        <v>130235</v>
      </c>
      <c r="Y105">
        <v>5920</v>
      </c>
      <c r="Z105">
        <v>0.36</v>
      </c>
      <c r="AA105">
        <v>22</v>
      </c>
      <c r="AB105">
        <v>13</v>
      </c>
      <c r="AC105">
        <v>9</v>
      </c>
      <c r="AD105">
        <v>59.09</v>
      </c>
      <c r="AE105">
        <v>13</v>
      </c>
      <c r="AF105">
        <v>8</v>
      </c>
      <c r="AG105">
        <v>5</v>
      </c>
      <c r="AH105">
        <v>9</v>
      </c>
    </row>
    <row r="106" spans="1:34">
      <c r="A106" s="103">
        <v>131</v>
      </c>
      <c r="B106">
        <v>3116</v>
      </c>
      <c r="C106" s="107" t="s">
        <v>125</v>
      </c>
      <c r="D106" s="107" t="s">
        <v>84</v>
      </c>
      <c r="E106">
        <v>1852</v>
      </c>
      <c r="F106">
        <v>1818</v>
      </c>
      <c r="G106">
        <v>400</v>
      </c>
      <c r="H106" s="107" t="s">
        <v>63</v>
      </c>
      <c r="I106">
        <v>6371</v>
      </c>
      <c r="J106" s="107" t="s">
        <v>108</v>
      </c>
      <c r="K106" s="107" t="s">
        <v>99</v>
      </c>
      <c r="L106">
        <v>3995</v>
      </c>
      <c r="M106">
        <v>4000</v>
      </c>
      <c r="N106">
        <v>200</v>
      </c>
      <c r="O106" s="107" t="s">
        <v>61</v>
      </c>
      <c r="P106">
        <v>0.92750940271810001</v>
      </c>
      <c r="Q106">
        <v>0.91678167914448705</v>
      </c>
      <c r="R106">
        <v>0.224774693907307</v>
      </c>
      <c r="S106" s="15">
        <v>3.0288281088030602E-3</v>
      </c>
      <c r="T106">
        <v>1.1890093221973801</v>
      </c>
      <c r="U106">
        <v>1.1890093221973801</v>
      </c>
      <c r="V106">
        <v>2.78</v>
      </c>
      <c r="W106">
        <v>9.1</v>
      </c>
      <c r="X106">
        <v>127732</v>
      </c>
      <c r="Y106">
        <v>7983</v>
      </c>
      <c r="Z106">
        <v>0.44</v>
      </c>
      <c r="AA106">
        <v>16</v>
      </c>
      <c r="AB106">
        <v>9</v>
      </c>
      <c r="AC106">
        <v>7</v>
      </c>
      <c r="AD106">
        <v>56.25</v>
      </c>
      <c r="AE106">
        <v>12</v>
      </c>
      <c r="AF106">
        <v>6</v>
      </c>
      <c r="AG106">
        <v>3</v>
      </c>
      <c r="AH106">
        <v>7</v>
      </c>
    </row>
    <row r="107" spans="1:34">
      <c r="A107" s="103">
        <v>180</v>
      </c>
      <c r="B107">
        <v>4208</v>
      </c>
      <c r="C107" s="107" t="s">
        <v>98</v>
      </c>
      <c r="D107" s="107" t="s">
        <v>62</v>
      </c>
      <c r="E107">
        <v>2459</v>
      </c>
      <c r="F107">
        <v>2479</v>
      </c>
      <c r="G107">
        <v>400</v>
      </c>
      <c r="H107" s="107" t="s">
        <v>63</v>
      </c>
      <c r="I107">
        <v>9072</v>
      </c>
      <c r="J107" s="107" t="s">
        <v>126</v>
      </c>
      <c r="K107" s="107" t="s">
        <v>119</v>
      </c>
      <c r="L107">
        <v>2740</v>
      </c>
      <c r="M107">
        <v>2739</v>
      </c>
      <c r="N107">
        <v>400</v>
      </c>
      <c r="O107" s="107" t="s">
        <v>61</v>
      </c>
      <c r="P107">
        <v>0.91603677114338999</v>
      </c>
      <c r="Q107">
        <v>0.90745035485137604</v>
      </c>
      <c r="R107" s="15">
        <v>7.3748034026137799E-4</v>
      </c>
      <c r="S107" s="107">
        <v>2.0632871186206901E-2</v>
      </c>
      <c r="T107">
        <v>2.0775331002730901</v>
      </c>
      <c r="U107">
        <v>2.0775331002730901</v>
      </c>
      <c r="V107">
        <v>3.47</v>
      </c>
      <c r="W107">
        <v>9.49</v>
      </c>
      <c r="X107">
        <v>126426</v>
      </c>
      <c r="Y107">
        <v>11493</v>
      </c>
      <c r="Z107">
        <v>0.65</v>
      </c>
      <c r="AA107">
        <v>11</v>
      </c>
      <c r="AB107">
        <v>7</v>
      </c>
      <c r="AC107">
        <v>4</v>
      </c>
      <c r="AD107">
        <v>63.64</v>
      </c>
      <c r="AE107">
        <v>14</v>
      </c>
      <c r="AF107">
        <v>5</v>
      </c>
      <c r="AG107">
        <v>1</v>
      </c>
      <c r="AH107">
        <v>5</v>
      </c>
    </row>
    <row r="108" spans="1:34">
      <c r="A108" s="103">
        <v>67</v>
      </c>
      <c r="B108">
        <v>3861</v>
      </c>
      <c r="C108" s="107" t="s">
        <v>65</v>
      </c>
      <c r="D108" s="107" t="s">
        <v>80</v>
      </c>
      <c r="E108">
        <v>647</v>
      </c>
      <c r="F108">
        <v>643</v>
      </c>
      <c r="G108">
        <v>1700</v>
      </c>
      <c r="H108" s="107" t="s">
        <v>61</v>
      </c>
      <c r="I108">
        <v>5703</v>
      </c>
      <c r="J108" s="107" t="s">
        <v>305</v>
      </c>
      <c r="K108" s="107" t="s">
        <v>132</v>
      </c>
      <c r="L108">
        <v>240</v>
      </c>
      <c r="M108">
        <v>241</v>
      </c>
      <c r="N108">
        <v>4500</v>
      </c>
      <c r="O108" s="107" t="s">
        <v>63</v>
      </c>
      <c r="P108">
        <v>0.97014213129090898</v>
      </c>
      <c r="Q108">
        <v>0.93292892170850406</v>
      </c>
      <c r="R108">
        <v>2.13211952492036E-2</v>
      </c>
      <c r="S108" s="107">
        <v>0.13256274780852501</v>
      </c>
      <c r="T108">
        <v>-2.33119173943966E-2</v>
      </c>
      <c r="U108">
        <v>2.33119173943966E-2</v>
      </c>
      <c r="V108">
        <v>-0.05</v>
      </c>
      <c r="W108">
        <v>0.79</v>
      </c>
      <c r="X108">
        <v>126217</v>
      </c>
      <c r="Y108">
        <v>5488</v>
      </c>
      <c r="Z108">
        <v>0.27</v>
      </c>
      <c r="AA108">
        <v>23</v>
      </c>
      <c r="AB108">
        <v>13</v>
      </c>
      <c r="AC108">
        <v>10</v>
      </c>
      <c r="AD108">
        <v>56.52</v>
      </c>
      <c r="AE108">
        <v>11</v>
      </c>
      <c r="AF108">
        <v>10</v>
      </c>
      <c r="AG108">
        <v>6</v>
      </c>
      <c r="AH108">
        <v>7</v>
      </c>
    </row>
    <row r="109" spans="1:34">
      <c r="A109" s="103">
        <v>120</v>
      </c>
      <c r="B109">
        <v>5471</v>
      </c>
      <c r="C109" s="107" t="s">
        <v>303</v>
      </c>
      <c r="D109" s="107" t="s">
        <v>92</v>
      </c>
      <c r="E109">
        <v>5010</v>
      </c>
      <c r="F109">
        <v>5010</v>
      </c>
      <c r="G109">
        <v>100</v>
      </c>
      <c r="H109" s="107" t="s">
        <v>61</v>
      </c>
      <c r="I109">
        <v>6988</v>
      </c>
      <c r="J109" s="107" t="s">
        <v>139</v>
      </c>
      <c r="K109" s="107" t="s">
        <v>62</v>
      </c>
      <c r="L109">
        <v>6350</v>
      </c>
      <c r="M109">
        <v>6410</v>
      </c>
      <c r="N109">
        <v>100</v>
      </c>
      <c r="O109" s="107" t="s">
        <v>63</v>
      </c>
      <c r="P109">
        <v>0.94427277078984695</v>
      </c>
      <c r="Q109">
        <v>0.91844909439266298</v>
      </c>
      <c r="R109">
        <v>1.8059641395050199E-2</v>
      </c>
      <c r="S109" s="15">
        <v>0.29659894262886499</v>
      </c>
      <c r="T109">
        <v>-1.47751137709681</v>
      </c>
      <c r="U109">
        <v>1.47751137709681</v>
      </c>
      <c r="V109">
        <v>-3.6</v>
      </c>
      <c r="W109">
        <v>21.84</v>
      </c>
      <c r="X109">
        <v>114186</v>
      </c>
      <c r="Y109">
        <v>114186</v>
      </c>
      <c r="Z109">
        <v>5.01</v>
      </c>
      <c r="AA109">
        <v>1</v>
      </c>
      <c r="AB109">
        <v>1</v>
      </c>
      <c r="AC109">
        <v>0</v>
      </c>
      <c r="AD109">
        <v>100</v>
      </c>
      <c r="AE109">
        <v>2</v>
      </c>
      <c r="AF109">
        <v>1</v>
      </c>
      <c r="AG109">
        <v>0</v>
      </c>
      <c r="AH109">
        <v>0</v>
      </c>
    </row>
    <row r="110" spans="1:34">
      <c r="A110" s="103">
        <v>115</v>
      </c>
      <c r="B110">
        <v>1820</v>
      </c>
      <c r="C110" s="107" t="s">
        <v>122</v>
      </c>
      <c r="D110" s="107" t="s">
        <v>78</v>
      </c>
      <c r="E110">
        <v>2558</v>
      </c>
      <c r="F110">
        <v>2503</v>
      </c>
      <c r="G110">
        <v>400</v>
      </c>
      <c r="H110" s="107" t="s">
        <v>61</v>
      </c>
      <c r="I110">
        <v>5991</v>
      </c>
      <c r="J110" s="107" t="s">
        <v>115</v>
      </c>
      <c r="K110" s="107" t="s">
        <v>116</v>
      </c>
      <c r="L110">
        <v>1021</v>
      </c>
      <c r="M110">
        <v>1021</v>
      </c>
      <c r="N110">
        <v>1000</v>
      </c>
      <c r="O110" s="107" t="s">
        <v>63</v>
      </c>
      <c r="P110">
        <v>0.97759128059960398</v>
      </c>
      <c r="Q110">
        <v>0.92121510530006301</v>
      </c>
      <c r="R110" s="15">
        <v>0.198568665477284</v>
      </c>
      <c r="S110">
        <v>1.0775195739358701E-2</v>
      </c>
      <c r="T110">
        <v>-0.24036978417082</v>
      </c>
      <c r="U110">
        <v>0.24036978417082</v>
      </c>
      <c r="V110">
        <v>-0.63</v>
      </c>
      <c r="W110">
        <v>1.98</v>
      </c>
      <c r="X110">
        <v>113865</v>
      </c>
      <c r="Y110">
        <v>6698</v>
      </c>
      <c r="Z110">
        <v>0.34</v>
      </c>
      <c r="AA110">
        <v>17</v>
      </c>
      <c r="AB110">
        <v>10</v>
      </c>
      <c r="AC110">
        <v>7</v>
      </c>
      <c r="AD110">
        <v>58.82</v>
      </c>
      <c r="AE110">
        <v>12</v>
      </c>
      <c r="AF110">
        <v>6</v>
      </c>
      <c r="AG110">
        <v>3</v>
      </c>
      <c r="AH110">
        <v>8</v>
      </c>
    </row>
    <row r="111" spans="1:34">
      <c r="A111" s="103">
        <v>148</v>
      </c>
      <c r="B111">
        <v>6755</v>
      </c>
      <c r="C111" s="107" t="s">
        <v>1274</v>
      </c>
      <c r="D111" s="107" t="s">
        <v>87</v>
      </c>
      <c r="E111">
        <v>2362</v>
      </c>
      <c r="F111">
        <v>2350</v>
      </c>
      <c r="G111">
        <v>300</v>
      </c>
      <c r="H111" s="107" t="s">
        <v>63</v>
      </c>
      <c r="I111">
        <v>8036</v>
      </c>
      <c r="J111" s="107" t="s">
        <v>321</v>
      </c>
      <c r="K111" s="107" t="s">
        <v>101</v>
      </c>
      <c r="L111">
        <v>7670</v>
      </c>
      <c r="M111">
        <v>7550</v>
      </c>
      <c r="N111">
        <v>100</v>
      </c>
      <c r="O111" s="107" t="s">
        <v>61</v>
      </c>
      <c r="P111">
        <v>0.95153744070484803</v>
      </c>
      <c r="Q111">
        <v>0.91408998290961496</v>
      </c>
      <c r="R111" s="107">
        <v>1.3720188205307E-2</v>
      </c>
      <c r="S111">
        <v>2.3752273457682001E-2</v>
      </c>
      <c r="T111">
        <v>1.8224079711819099</v>
      </c>
      <c r="U111">
        <v>1.8224079711819099</v>
      </c>
      <c r="V111">
        <v>6.3</v>
      </c>
      <c r="W111">
        <v>6.62</v>
      </c>
      <c r="X111">
        <v>111584</v>
      </c>
      <c r="Y111">
        <v>6974</v>
      </c>
      <c r="Z111">
        <v>0.27</v>
      </c>
      <c r="AA111">
        <v>16</v>
      </c>
      <c r="AB111">
        <v>9</v>
      </c>
      <c r="AC111">
        <v>7</v>
      </c>
      <c r="AD111">
        <v>56.25</v>
      </c>
      <c r="AE111">
        <v>10</v>
      </c>
      <c r="AF111">
        <v>7</v>
      </c>
      <c r="AG111">
        <v>4</v>
      </c>
      <c r="AH111">
        <v>5</v>
      </c>
    </row>
    <row r="112" spans="1:34">
      <c r="A112" s="103">
        <v>169</v>
      </c>
      <c r="B112">
        <v>5802</v>
      </c>
      <c r="C112" s="107" t="s">
        <v>131</v>
      </c>
      <c r="D112" s="107" t="s">
        <v>132</v>
      </c>
      <c r="E112">
        <v>1688.5</v>
      </c>
      <c r="F112">
        <v>1690.5</v>
      </c>
      <c r="G112">
        <v>600</v>
      </c>
      <c r="H112" s="107" t="s">
        <v>63</v>
      </c>
      <c r="I112">
        <v>9072</v>
      </c>
      <c r="J112" s="107" t="s">
        <v>126</v>
      </c>
      <c r="K112" s="107" t="s">
        <v>119</v>
      </c>
      <c r="L112">
        <v>2740</v>
      </c>
      <c r="M112">
        <v>2739</v>
      </c>
      <c r="N112">
        <v>400</v>
      </c>
      <c r="O112" s="107" t="s">
        <v>61</v>
      </c>
      <c r="P112">
        <v>0.92068969045399696</v>
      </c>
      <c r="Q112">
        <v>0.90932504911463896</v>
      </c>
      <c r="R112">
        <v>6.4858499566239694E-2</v>
      </c>
      <c r="S112">
        <v>2.9012766203050197E-4</v>
      </c>
      <c r="T112">
        <v>2.18042600144235</v>
      </c>
      <c r="U112">
        <v>2.18042600144235</v>
      </c>
      <c r="V112">
        <v>8.6</v>
      </c>
      <c r="W112">
        <v>7.42</v>
      </c>
      <c r="X112">
        <v>111309</v>
      </c>
      <c r="Y112">
        <v>5565</v>
      </c>
      <c r="Z112">
        <v>0.26</v>
      </c>
      <c r="AA112">
        <v>20</v>
      </c>
      <c r="AB112">
        <v>12</v>
      </c>
      <c r="AC112">
        <v>8</v>
      </c>
      <c r="AD112">
        <v>60</v>
      </c>
      <c r="AE112">
        <v>15</v>
      </c>
      <c r="AF112">
        <v>6</v>
      </c>
      <c r="AG112">
        <v>2</v>
      </c>
      <c r="AH112">
        <v>12</v>
      </c>
    </row>
    <row r="113" spans="1:34">
      <c r="A113" s="103">
        <v>0</v>
      </c>
      <c r="B113">
        <v>6702</v>
      </c>
      <c r="C113" s="107" t="s">
        <v>332</v>
      </c>
      <c r="D113" s="107" t="s">
        <v>87</v>
      </c>
      <c r="E113">
        <v>10200</v>
      </c>
      <c r="F113">
        <v>10055</v>
      </c>
      <c r="G113">
        <v>100</v>
      </c>
      <c r="H113" s="107" t="s">
        <v>61</v>
      </c>
      <c r="I113">
        <v>6920</v>
      </c>
      <c r="J113" s="107" t="s">
        <v>86</v>
      </c>
      <c r="K113" s="107" t="s">
        <v>87</v>
      </c>
      <c r="L113">
        <v>9950</v>
      </c>
      <c r="M113">
        <v>9850</v>
      </c>
      <c r="N113">
        <v>100</v>
      </c>
      <c r="O113" s="107" t="s">
        <v>63</v>
      </c>
      <c r="P113">
        <v>0.92153481935222303</v>
      </c>
      <c r="Q113">
        <v>0.97411489098737702</v>
      </c>
      <c r="R113">
        <v>0.139982042865754</v>
      </c>
      <c r="S113" s="15">
        <v>5.22457981594539E-5</v>
      </c>
      <c r="T113">
        <v>-1.62128491547219</v>
      </c>
      <c r="U113">
        <v>1.62128491547219</v>
      </c>
      <c r="V113">
        <v>-17.03</v>
      </c>
      <c r="W113">
        <v>2.04</v>
      </c>
      <c r="X113">
        <v>111057</v>
      </c>
      <c r="Y113">
        <v>11106</v>
      </c>
      <c r="Z113">
        <v>0.64</v>
      </c>
      <c r="AA113">
        <v>10</v>
      </c>
      <c r="AB113">
        <v>5</v>
      </c>
      <c r="AC113">
        <v>5</v>
      </c>
      <c r="AD113">
        <v>50</v>
      </c>
      <c r="AE113">
        <v>7</v>
      </c>
      <c r="AF113">
        <v>5</v>
      </c>
      <c r="AG113">
        <v>4</v>
      </c>
      <c r="AH113">
        <v>1</v>
      </c>
    </row>
    <row r="114" spans="1:34">
      <c r="A114" s="103">
        <v>26</v>
      </c>
      <c r="B114">
        <v>6925</v>
      </c>
      <c r="C114" s="107" t="s">
        <v>313</v>
      </c>
      <c r="D114" s="107" t="s">
        <v>87</v>
      </c>
      <c r="E114">
        <v>1655</v>
      </c>
      <c r="F114">
        <v>1673</v>
      </c>
      <c r="G114">
        <v>600</v>
      </c>
      <c r="H114" s="107" t="s">
        <v>61</v>
      </c>
      <c r="I114">
        <v>6951</v>
      </c>
      <c r="J114" s="107" t="s">
        <v>323</v>
      </c>
      <c r="K114" s="107" t="s">
        <v>87</v>
      </c>
      <c r="L114">
        <v>3155</v>
      </c>
      <c r="M114">
        <v>3180</v>
      </c>
      <c r="N114">
        <v>300</v>
      </c>
      <c r="O114" s="107" t="s">
        <v>63</v>
      </c>
      <c r="P114">
        <v>0.92292326067672203</v>
      </c>
      <c r="Q114">
        <v>0.94631842743528805</v>
      </c>
      <c r="R114">
        <v>0.218209619176474</v>
      </c>
      <c r="S114" s="15">
        <v>9.7918837239773099E-3</v>
      </c>
      <c r="T114">
        <v>-1.59849294075355</v>
      </c>
      <c r="U114">
        <v>1.59849294075355</v>
      </c>
      <c r="V114">
        <v>-8.1300000000000008</v>
      </c>
      <c r="W114">
        <v>5.22</v>
      </c>
      <c r="X114">
        <v>110041</v>
      </c>
      <c r="Y114">
        <v>6113</v>
      </c>
      <c r="Z114">
        <v>0.33</v>
      </c>
      <c r="AA114">
        <v>18</v>
      </c>
      <c r="AB114">
        <v>11</v>
      </c>
      <c r="AC114">
        <v>7</v>
      </c>
      <c r="AD114">
        <v>61.11</v>
      </c>
      <c r="AE114">
        <v>10</v>
      </c>
      <c r="AF114">
        <v>7</v>
      </c>
      <c r="AG114">
        <v>6</v>
      </c>
      <c r="AH114">
        <v>5</v>
      </c>
    </row>
    <row r="115" spans="1:34">
      <c r="A115" s="103">
        <v>109</v>
      </c>
      <c r="B115">
        <v>3003</v>
      </c>
      <c r="C115" s="107" t="s">
        <v>1329</v>
      </c>
      <c r="D115" s="107" t="s">
        <v>114</v>
      </c>
      <c r="E115">
        <v>1300</v>
      </c>
      <c r="F115">
        <v>1309</v>
      </c>
      <c r="G115">
        <v>800</v>
      </c>
      <c r="H115" s="107" t="s">
        <v>63</v>
      </c>
      <c r="I115">
        <v>8604</v>
      </c>
      <c r="J115" s="107" t="s">
        <v>958</v>
      </c>
      <c r="K115" s="107" t="s">
        <v>959</v>
      </c>
      <c r="L115">
        <v>562.9</v>
      </c>
      <c r="M115">
        <v>557.6</v>
      </c>
      <c r="N115">
        <v>1900</v>
      </c>
      <c r="O115" s="107" t="s">
        <v>61</v>
      </c>
      <c r="P115">
        <v>0.922541450169447</v>
      </c>
      <c r="Q115">
        <v>0.92195124898895597</v>
      </c>
      <c r="R115">
        <v>8.3691724999939501E-3</v>
      </c>
      <c r="S115">
        <v>3.8281781756607798E-2</v>
      </c>
      <c r="T115">
        <v>0.37547188705303502</v>
      </c>
      <c r="U115">
        <v>0.37547188705303502</v>
      </c>
      <c r="V115">
        <v>1.35</v>
      </c>
      <c r="W115">
        <v>1.17</v>
      </c>
      <c r="X115">
        <v>109255</v>
      </c>
      <c r="Y115">
        <v>6070</v>
      </c>
      <c r="Z115">
        <v>0.27</v>
      </c>
      <c r="AA115">
        <v>18</v>
      </c>
      <c r="AB115">
        <v>10</v>
      </c>
      <c r="AC115">
        <v>8</v>
      </c>
      <c r="AD115">
        <v>55.56</v>
      </c>
      <c r="AE115">
        <v>11</v>
      </c>
      <c r="AF115">
        <v>7</v>
      </c>
      <c r="AG115">
        <v>5</v>
      </c>
      <c r="AH115">
        <v>6</v>
      </c>
    </row>
    <row r="116" spans="1:34">
      <c r="A116" s="103">
        <v>108</v>
      </c>
      <c r="B116">
        <v>2175</v>
      </c>
      <c r="C116" s="107" t="s">
        <v>327</v>
      </c>
      <c r="D116" s="107" t="s">
        <v>120</v>
      </c>
      <c r="E116">
        <v>3035</v>
      </c>
      <c r="F116">
        <v>3000</v>
      </c>
      <c r="G116">
        <v>300</v>
      </c>
      <c r="H116" s="107" t="s">
        <v>61</v>
      </c>
      <c r="I116">
        <v>8036</v>
      </c>
      <c r="J116" s="107" t="s">
        <v>321</v>
      </c>
      <c r="K116" s="107" t="s">
        <v>101</v>
      </c>
      <c r="L116">
        <v>7670</v>
      </c>
      <c r="M116">
        <v>7550</v>
      </c>
      <c r="N116">
        <v>100</v>
      </c>
      <c r="O116" s="107" t="s">
        <v>63</v>
      </c>
      <c r="P116">
        <v>0.90320145957000997</v>
      </c>
      <c r="Q116">
        <v>0.92222692854178701</v>
      </c>
      <c r="R116">
        <v>3.0914661952868901E-3</v>
      </c>
      <c r="S116">
        <v>7.6606245963333694E-2</v>
      </c>
      <c r="T116">
        <v>-2.2828528301212501</v>
      </c>
      <c r="U116">
        <v>2.2828528301212501</v>
      </c>
      <c r="V116">
        <v>-6.09</v>
      </c>
      <c r="W116">
        <v>19.21</v>
      </c>
      <c r="X116">
        <v>107085</v>
      </c>
      <c r="Y116">
        <v>6299</v>
      </c>
      <c r="Z116">
        <v>0.39</v>
      </c>
      <c r="AA116">
        <v>17</v>
      </c>
      <c r="AB116">
        <v>9</v>
      </c>
      <c r="AC116">
        <v>8</v>
      </c>
      <c r="AD116">
        <v>52.94</v>
      </c>
      <c r="AE116">
        <v>11</v>
      </c>
      <c r="AF116">
        <v>8</v>
      </c>
      <c r="AG116">
        <v>6</v>
      </c>
      <c r="AH116">
        <v>3</v>
      </c>
    </row>
    <row r="117" spans="1:34">
      <c r="A117" s="103">
        <v>225</v>
      </c>
      <c r="B117">
        <v>6770</v>
      </c>
      <c r="C117" s="107" t="s">
        <v>26</v>
      </c>
      <c r="D117" s="107" t="s">
        <v>87</v>
      </c>
      <c r="E117">
        <v>2628</v>
      </c>
      <c r="F117">
        <v>2609</v>
      </c>
      <c r="G117">
        <v>400</v>
      </c>
      <c r="H117" s="107" t="s">
        <v>63</v>
      </c>
      <c r="I117">
        <v>7272</v>
      </c>
      <c r="J117" s="107" t="s">
        <v>300</v>
      </c>
      <c r="K117" s="107" t="s">
        <v>84</v>
      </c>
      <c r="L117">
        <v>2312</v>
      </c>
      <c r="M117">
        <v>2350</v>
      </c>
      <c r="N117">
        <v>400</v>
      </c>
      <c r="O117" s="107" t="s">
        <v>61</v>
      </c>
      <c r="P117">
        <v>0.91087632502045801</v>
      </c>
      <c r="Q117">
        <v>0.90079031319951497</v>
      </c>
      <c r="R117" s="15">
        <v>0.25261650090666798</v>
      </c>
      <c r="S117" s="15">
        <v>2.6333252932036099E-2</v>
      </c>
      <c r="T117">
        <v>1.3342514321619801</v>
      </c>
      <c r="U117">
        <v>1.3342514321619801</v>
      </c>
      <c r="V117">
        <v>4.7</v>
      </c>
      <c r="W117">
        <v>9.93</v>
      </c>
      <c r="X117">
        <v>106683</v>
      </c>
      <c r="Y117">
        <v>8206</v>
      </c>
      <c r="Z117">
        <v>0.37</v>
      </c>
      <c r="AA117">
        <v>13</v>
      </c>
      <c r="AB117">
        <v>7</v>
      </c>
      <c r="AC117">
        <v>6</v>
      </c>
      <c r="AD117">
        <v>53.85</v>
      </c>
      <c r="AE117">
        <v>12</v>
      </c>
      <c r="AF117">
        <v>5</v>
      </c>
      <c r="AG117">
        <v>4</v>
      </c>
      <c r="AH117">
        <v>4</v>
      </c>
    </row>
    <row r="118" spans="1:34">
      <c r="A118" s="103">
        <v>192</v>
      </c>
      <c r="B118">
        <v>7167</v>
      </c>
      <c r="C118" s="107" t="s">
        <v>100</v>
      </c>
      <c r="D118" s="107" t="s">
        <v>82</v>
      </c>
      <c r="E118">
        <v>283</v>
      </c>
      <c r="F118">
        <v>284</v>
      </c>
      <c r="G118">
        <v>3700</v>
      </c>
      <c r="H118" s="107" t="s">
        <v>61</v>
      </c>
      <c r="I118">
        <v>8377</v>
      </c>
      <c r="J118" s="107" t="s">
        <v>94</v>
      </c>
      <c r="K118" s="107" t="s">
        <v>82</v>
      </c>
      <c r="L118">
        <v>1164</v>
      </c>
      <c r="M118">
        <v>1172</v>
      </c>
      <c r="N118">
        <v>900</v>
      </c>
      <c r="O118" s="107" t="s">
        <v>63</v>
      </c>
      <c r="P118">
        <v>0.91237744352002104</v>
      </c>
      <c r="Q118">
        <v>0.90616084756202897</v>
      </c>
      <c r="R118">
        <v>4.9546691768469597E-2</v>
      </c>
      <c r="S118">
        <v>0.23117540046570301</v>
      </c>
      <c r="T118">
        <v>-2.4789826255028302</v>
      </c>
      <c r="U118">
        <v>2.4789826255028302</v>
      </c>
      <c r="V118">
        <v>-4.3499999999999996</v>
      </c>
      <c r="W118">
        <v>0.38</v>
      </c>
      <c r="X118">
        <v>96023</v>
      </c>
      <c r="Y118">
        <v>6001</v>
      </c>
      <c r="Z118">
        <v>0.25</v>
      </c>
      <c r="AA118">
        <v>16</v>
      </c>
      <c r="AB118">
        <v>11</v>
      </c>
      <c r="AC118">
        <v>5</v>
      </c>
      <c r="AD118">
        <v>68.75</v>
      </c>
      <c r="AE118">
        <v>16</v>
      </c>
      <c r="AF118">
        <v>2</v>
      </c>
      <c r="AG118">
        <v>1</v>
      </c>
      <c r="AH118">
        <v>13</v>
      </c>
    </row>
    <row r="119" spans="1:34">
      <c r="A119" s="103">
        <v>31</v>
      </c>
      <c r="B119">
        <v>4208</v>
      </c>
      <c r="C119" s="107" t="s">
        <v>98</v>
      </c>
      <c r="D119" s="107" t="s">
        <v>62</v>
      </c>
      <c r="E119">
        <v>2459</v>
      </c>
      <c r="F119">
        <v>2479</v>
      </c>
      <c r="G119">
        <v>300</v>
      </c>
      <c r="H119" s="107" t="s">
        <v>61</v>
      </c>
      <c r="I119">
        <v>6371</v>
      </c>
      <c r="J119" s="107" t="s">
        <v>108</v>
      </c>
      <c r="K119" s="107" t="s">
        <v>99</v>
      </c>
      <c r="L119">
        <v>3995</v>
      </c>
      <c r="M119">
        <v>4000</v>
      </c>
      <c r="N119">
        <v>200</v>
      </c>
      <c r="O119" s="107" t="s">
        <v>63</v>
      </c>
      <c r="P119">
        <v>0.95190154838862495</v>
      </c>
      <c r="Q119">
        <v>0.94484906438285099</v>
      </c>
      <c r="R119" s="15">
        <v>9.7520823544451508E-3</v>
      </c>
      <c r="S119">
        <v>4.71276221536802E-3</v>
      </c>
      <c r="T119">
        <v>-0.61329102764931698</v>
      </c>
      <c r="U119">
        <v>0.61329102764931698</v>
      </c>
      <c r="V119">
        <v>-1.28</v>
      </c>
      <c r="W119">
        <v>7.04</v>
      </c>
      <c r="X119">
        <v>93305</v>
      </c>
      <c r="Y119">
        <v>6220</v>
      </c>
      <c r="Z119">
        <v>0.28999999999999998</v>
      </c>
      <c r="AA119">
        <v>15</v>
      </c>
      <c r="AB119">
        <v>9</v>
      </c>
      <c r="AC119">
        <v>6</v>
      </c>
      <c r="AD119">
        <v>60</v>
      </c>
      <c r="AE119">
        <v>13</v>
      </c>
      <c r="AF119">
        <v>4</v>
      </c>
      <c r="AG119">
        <v>4</v>
      </c>
      <c r="AH119">
        <v>7</v>
      </c>
    </row>
    <row r="120" spans="1:34">
      <c r="A120" s="103">
        <v>130</v>
      </c>
      <c r="B120">
        <v>6770</v>
      </c>
      <c r="C120" s="107" t="s">
        <v>26</v>
      </c>
      <c r="D120" s="107" t="s">
        <v>87</v>
      </c>
      <c r="E120">
        <v>2628</v>
      </c>
      <c r="F120">
        <v>2609</v>
      </c>
      <c r="G120">
        <v>400</v>
      </c>
      <c r="H120" s="107" t="s">
        <v>63</v>
      </c>
      <c r="I120">
        <v>6995</v>
      </c>
      <c r="J120" s="107" t="s">
        <v>91</v>
      </c>
      <c r="K120" s="107" t="s">
        <v>84</v>
      </c>
      <c r="L120">
        <v>2258</v>
      </c>
      <c r="M120">
        <v>2263</v>
      </c>
      <c r="N120">
        <v>500</v>
      </c>
      <c r="O120" s="107" t="s">
        <v>61</v>
      </c>
      <c r="P120">
        <v>0.95782230606732699</v>
      </c>
      <c r="Q120">
        <v>0.91683104312427399</v>
      </c>
      <c r="R120">
        <v>0.30989295439380299</v>
      </c>
      <c r="S120" s="107">
        <v>0.26294911425888901</v>
      </c>
      <c r="T120">
        <v>0.93439142797695196</v>
      </c>
      <c r="U120">
        <v>0.93439142797695196</v>
      </c>
      <c r="V120">
        <v>2.77</v>
      </c>
      <c r="W120">
        <v>8.42</v>
      </c>
      <c r="X120">
        <v>90653</v>
      </c>
      <c r="Y120">
        <v>5333</v>
      </c>
      <c r="Z120">
        <v>0.23</v>
      </c>
      <c r="AA120">
        <v>17</v>
      </c>
      <c r="AB120">
        <v>9</v>
      </c>
      <c r="AC120">
        <v>8</v>
      </c>
      <c r="AD120">
        <v>52.94</v>
      </c>
      <c r="AE120">
        <v>12</v>
      </c>
      <c r="AF120">
        <v>6</v>
      </c>
      <c r="AG120">
        <v>4</v>
      </c>
      <c r="AH120">
        <v>7</v>
      </c>
    </row>
    <row r="121" spans="1:34">
      <c r="A121" s="103">
        <v>85</v>
      </c>
      <c r="B121">
        <v>4182</v>
      </c>
      <c r="C121" s="107" t="s">
        <v>88</v>
      </c>
      <c r="D121" s="107" t="s">
        <v>62</v>
      </c>
      <c r="E121">
        <v>1728</v>
      </c>
      <c r="F121">
        <v>1730</v>
      </c>
      <c r="G121">
        <v>500</v>
      </c>
      <c r="H121" s="107" t="s">
        <v>63</v>
      </c>
      <c r="I121">
        <v>6371</v>
      </c>
      <c r="J121" s="107" t="s">
        <v>108</v>
      </c>
      <c r="K121" s="107" t="s">
        <v>99</v>
      </c>
      <c r="L121">
        <v>3995</v>
      </c>
      <c r="M121">
        <v>4000</v>
      </c>
      <c r="N121">
        <v>200</v>
      </c>
      <c r="O121" s="107" t="s">
        <v>61</v>
      </c>
      <c r="P121">
        <v>0.94356230182638701</v>
      </c>
      <c r="Q121">
        <v>0.92824078389683295</v>
      </c>
      <c r="R121" s="15">
        <v>7.9522788860306101E-2</v>
      </c>
      <c r="S121" s="15">
        <v>2.4272953827587599E-2</v>
      </c>
      <c r="T121">
        <v>0.80158698889126601</v>
      </c>
      <c r="U121">
        <v>0.80158698889126601</v>
      </c>
      <c r="V121">
        <v>2.65</v>
      </c>
      <c r="W121">
        <v>8.1199999999999992</v>
      </c>
      <c r="X121">
        <v>88640</v>
      </c>
      <c r="Y121">
        <v>6818</v>
      </c>
      <c r="Z121">
        <v>0.47</v>
      </c>
      <c r="AA121">
        <v>13</v>
      </c>
      <c r="AB121">
        <v>8</v>
      </c>
      <c r="AC121">
        <v>5</v>
      </c>
      <c r="AD121">
        <v>61.54</v>
      </c>
      <c r="AE121">
        <v>12</v>
      </c>
      <c r="AF121">
        <v>4</v>
      </c>
      <c r="AG121">
        <v>2</v>
      </c>
      <c r="AH121">
        <v>7</v>
      </c>
    </row>
    <row r="122" spans="1:34">
      <c r="A122" s="103">
        <v>185</v>
      </c>
      <c r="B122">
        <v>9062</v>
      </c>
      <c r="C122" s="107" t="s">
        <v>956</v>
      </c>
      <c r="D122" s="107" t="s">
        <v>119</v>
      </c>
      <c r="E122">
        <v>6520</v>
      </c>
      <c r="F122">
        <v>6630</v>
      </c>
      <c r="G122">
        <v>100</v>
      </c>
      <c r="H122" s="107" t="s">
        <v>63</v>
      </c>
      <c r="I122">
        <v>9072</v>
      </c>
      <c r="J122" s="107" t="s">
        <v>126</v>
      </c>
      <c r="K122" s="107" t="s">
        <v>119</v>
      </c>
      <c r="L122">
        <v>2740</v>
      </c>
      <c r="M122">
        <v>2739</v>
      </c>
      <c r="N122">
        <v>200</v>
      </c>
      <c r="O122" s="107" t="s">
        <v>61</v>
      </c>
      <c r="P122">
        <v>0.94927290333677095</v>
      </c>
      <c r="Q122">
        <v>0.90705999803275295</v>
      </c>
      <c r="R122" s="107">
        <v>9.9094329724423794E-2</v>
      </c>
      <c r="S122">
        <v>3.5834050631883198E-2</v>
      </c>
      <c r="T122">
        <v>0.56056776397934505</v>
      </c>
      <c r="U122">
        <v>0.56056776397934505</v>
      </c>
      <c r="V122">
        <v>2.73</v>
      </c>
      <c r="W122">
        <v>17.38</v>
      </c>
      <c r="X122">
        <v>86554</v>
      </c>
      <c r="Y122">
        <v>14426</v>
      </c>
      <c r="Z122">
        <v>0.91</v>
      </c>
      <c r="AA122">
        <v>6</v>
      </c>
      <c r="AB122">
        <v>4</v>
      </c>
      <c r="AC122">
        <v>2</v>
      </c>
      <c r="AD122">
        <v>66.67</v>
      </c>
      <c r="AE122">
        <v>14</v>
      </c>
      <c r="AF122">
        <v>2</v>
      </c>
      <c r="AG122">
        <v>0</v>
      </c>
      <c r="AH122">
        <v>4</v>
      </c>
    </row>
    <row r="123" spans="1:34">
      <c r="A123" s="103">
        <v>77</v>
      </c>
      <c r="B123">
        <v>5802</v>
      </c>
      <c r="C123" s="107" t="s">
        <v>131</v>
      </c>
      <c r="D123" s="107" t="s">
        <v>132</v>
      </c>
      <c r="E123">
        <v>1688.5</v>
      </c>
      <c r="F123">
        <v>1690.5</v>
      </c>
      <c r="G123">
        <v>600</v>
      </c>
      <c r="H123" s="107" t="s">
        <v>63</v>
      </c>
      <c r="I123">
        <v>7267</v>
      </c>
      <c r="J123" s="107" t="s">
        <v>118</v>
      </c>
      <c r="K123" s="107" t="s">
        <v>84</v>
      </c>
      <c r="L123">
        <v>3178</v>
      </c>
      <c r="M123">
        <v>3221</v>
      </c>
      <c r="N123">
        <v>300</v>
      </c>
      <c r="O123" s="107" t="s">
        <v>61</v>
      </c>
      <c r="P123">
        <v>0.91349261823290695</v>
      </c>
      <c r="Q123">
        <v>0.93029861458505902</v>
      </c>
      <c r="R123" s="107">
        <v>0.24349082845720399</v>
      </c>
      <c r="S123">
        <v>4.2821542403420603E-3</v>
      </c>
      <c r="T123">
        <v>1.6003729641819699</v>
      </c>
      <c r="U123">
        <v>1.6003729641819699</v>
      </c>
      <c r="V123">
        <v>5.09</v>
      </c>
      <c r="W123">
        <v>4.97</v>
      </c>
      <c r="X123">
        <v>86548</v>
      </c>
      <c r="Y123">
        <v>5409</v>
      </c>
      <c r="Z123">
        <v>0.24</v>
      </c>
      <c r="AA123">
        <v>16</v>
      </c>
      <c r="AB123">
        <v>10</v>
      </c>
      <c r="AC123">
        <v>6</v>
      </c>
      <c r="AD123">
        <v>62.5</v>
      </c>
      <c r="AE123">
        <v>16</v>
      </c>
      <c r="AF123">
        <v>1</v>
      </c>
      <c r="AG123">
        <v>1</v>
      </c>
      <c r="AH123">
        <v>14</v>
      </c>
    </row>
    <row r="124" spans="1:34">
      <c r="A124" s="103">
        <v>146</v>
      </c>
      <c r="B124">
        <v>6301</v>
      </c>
      <c r="C124" s="107" t="s">
        <v>109</v>
      </c>
      <c r="D124" s="107" t="s">
        <v>99</v>
      </c>
      <c r="E124">
        <v>2755</v>
      </c>
      <c r="F124">
        <v>2740</v>
      </c>
      <c r="G124">
        <v>400</v>
      </c>
      <c r="H124" s="107" t="s">
        <v>61</v>
      </c>
      <c r="I124">
        <v>6472</v>
      </c>
      <c r="J124" s="107" t="s">
        <v>134</v>
      </c>
      <c r="K124" s="107" t="s">
        <v>99</v>
      </c>
      <c r="L124">
        <v>364</v>
      </c>
      <c r="M124">
        <v>363</v>
      </c>
      <c r="N124">
        <v>3000</v>
      </c>
      <c r="O124" s="107" t="s">
        <v>63</v>
      </c>
      <c r="P124">
        <v>0.90793442986858997</v>
      </c>
      <c r="Q124">
        <v>0.91422326342540305</v>
      </c>
      <c r="R124" s="15">
        <v>0.30556464091805502</v>
      </c>
      <c r="S124">
        <v>4.3927043095851097E-2</v>
      </c>
      <c r="T124">
        <v>-0.77887543331063502</v>
      </c>
      <c r="U124">
        <v>0.77887543331063502</v>
      </c>
      <c r="V124">
        <v>-1.97</v>
      </c>
      <c r="W124">
        <v>0.64</v>
      </c>
      <c r="X124">
        <v>85896</v>
      </c>
      <c r="Y124">
        <v>4295</v>
      </c>
      <c r="Z124">
        <v>0.12</v>
      </c>
      <c r="AA124">
        <v>20</v>
      </c>
      <c r="AB124">
        <v>10</v>
      </c>
      <c r="AC124">
        <v>10</v>
      </c>
      <c r="AD124">
        <v>50</v>
      </c>
      <c r="AE124">
        <v>11</v>
      </c>
      <c r="AF124">
        <v>8</v>
      </c>
      <c r="AG124">
        <v>7</v>
      </c>
      <c r="AH124">
        <v>5</v>
      </c>
    </row>
    <row r="125" spans="1:34">
      <c r="A125" s="103">
        <v>45</v>
      </c>
      <c r="B125">
        <v>5802</v>
      </c>
      <c r="C125" s="107" t="s">
        <v>131</v>
      </c>
      <c r="D125" s="107" t="s">
        <v>132</v>
      </c>
      <c r="E125">
        <v>1688.5</v>
      </c>
      <c r="F125">
        <v>1690.5</v>
      </c>
      <c r="G125">
        <v>600</v>
      </c>
      <c r="H125" s="107" t="s">
        <v>63</v>
      </c>
      <c r="I125">
        <v>9810</v>
      </c>
      <c r="J125" s="107" t="s">
        <v>127</v>
      </c>
      <c r="K125" s="107" t="s">
        <v>101</v>
      </c>
      <c r="L125">
        <v>5290</v>
      </c>
      <c r="M125">
        <v>5230</v>
      </c>
      <c r="N125">
        <v>200</v>
      </c>
      <c r="O125" s="107" t="s">
        <v>61</v>
      </c>
      <c r="P125">
        <v>0.94684645644738996</v>
      </c>
      <c r="Q125">
        <v>0.94034568038757904</v>
      </c>
      <c r="R125" s="15">
        <v>0.25405578312381599</v>
      </c>
      <c r="S125" s="15">
        <v>2.4760450463984798E-2</v>
      </c>
      <c r="T125">
        <v>0.61390121526433805</v>
      </c>
      <c r="U125">
        <v>0.61390121526433805</v>
      </c>
      <c r="V125">
        <v>1.48</v>
      </c>
      <c r="W125">
        <v>3.03</v>
      </c>
      <c r="X125">
        <v>84914</v>
      </c>
      <c r="Y125">
        <v>5661</v>
      </c>
      <c r="Z125">
        <v>0.45</v>
      </c>
      <c r="AA125">
        <v>15</v>
      </c>
      <c r="AB125">
        <v>10</v>
      </c>
      <c r="AC125">
        <v>5</v>
      </c>
      <c r="AD125">
        <v>66.67</v>
      </c>
      <c r="AE125">
        <v>14</v>
      </c>
      <c r="AF125">
        <v>3</v>
      </c>
      <c r="AG125">
        <v>2</v>
      </c>
      <c r="AH125">
        <v>10</v>
      </c>
    </row>
    <row r="126" spans="1:34">
      <c r="A126" s="103">
        <v>37</v>
      </c>
      <c r="B126">
        <v>6770</v>
      </c>
      <c r="C126" s="107" t="s">
        <v>26</v>
      </c>
      <c r="D126" s="107" t="s">
        <v>87</v>
      </c>
      <c r="E126">
        <v>2628</v>
      </c>
      <c r="F126">
        <v>2609</v>
      </c>
      <c r="G126">
        <v>200</v>
      </c>
      <c r="H126" s="107" t="s">
        <v>63</v>
      </c>
      <c r="I126">
        <v>6988</v>
      </c>
      <c r="J126" s="107" t="s">
        <v>139</v>
      </c>
      <c r="K126" s="107" t="s">
        <v>62</v>
      </c>
      <c r="L126">
        <v>6350</v>
      </c>
      <c r="M126">
        <v>6410</v>
      </c>
      <c r="N126">
        <v>100</v>
      </c>
      <c r="O126" s="107" t="s">
        <v>61</v>
      </c>
      <c r="P126">
        <v>0.92023249392038797</v>
      </c>
      <c r="Q126">
        <v>0.94358008685726802</v>
      </c>
      <c r="R126">
        <v>0.357581050397005</v>
      </c>
      <c r="S126" s="15">
        <v>6.1235261354430102E-2</v>
      </c>
      <c r="T126">
        <v>1.32588848531322</v>
      </c>
      <c r="U126">
        <v>1.32588848531322</v>
      </c>
      <c r="V126">
        <v>5.08</v>
      </c>
      <c r="W126">
        <v>18.600000000000001</v>
      </c>
      <c r="X126">
        <v>80018</v>
      </c>
      <c r="Y126">
        <v>5716</v>
      </c>
      <c r="Z126">
        <v>0.28999999999999998</v>
      </c>
      <c r="AA126">
        <v>14</v>
      </c>
      <c r="AB126">
        <v>8</v>
      </c>
      <c r="AC126">
        <v>6</v>
      </c>
      <c r="AD126">
        <v>57.14</v>
      </c>
      <c r="AE126">
        <v>12</v>
      </c>
      <c r="AF126">
        <v>7</v>
      </c>
      <c r="AG126">
        <v>3</v>
      </c>
      <c r="AH126">
        <v>4</v>
      </c>
    </row>
    <row r="127" spans="1:34">
      <c r="A127" s="103">
        <v>155</v>
      </c>
      <c r="B127">
        <v>8002</v>
      </c>
      <c r="C127" s="107" t="s">
        <v>31</v>
      </c>
      <c r="D127" s="107" t="s">
        <v>101</v>
      </c>
      <c r="E127">
        <v>834.9</v>
      </c>
      <c r="F127">
        <v>837.7</v>
      </c>
      <c r="G127">
        <v>1300</v>
      </c>
      <c r="H127" s="107" t="s">
        <v>63</v>
      </c>
      <c r="I127">
        <v>9072</v>
      </c>
      <c r="J127" s="107" t="s">
        <v>126</v>
      </c>
      <c r="K127" s="107" t="s">
        <v>119</v>
      </c>
      <c r="L127">
        <v>2740</v>
      </c>
      <c r="M127">
        <v>2739</v>
      </c>
      <c r="N127">
        <v>400</v>
      </c>
      <c r="O127" s="107" t="s">
        <v>61</v>
      </c>
      <c r="P127">
        <v>0.94190635641218001</v>
      </c>
      <c r="Q127">
        <v>0.91161883023030499</v>
      </c>
      <c r="R127">
        <v>0.126805220980795</v>
      </c>
      <c r="S127" s="107">
        <v>2.00728460502293E-3</v>
      </c>
      <c r="T127">
        <v>2.1590845038233999</v>
      </c>
      <c r="U127">
        <v>2.1590845038233999</v>
      </c>
      <c r="V127">
        <v>4.12</v>
      </c>
      <c r="W127">
        <v>0.6</v>
      </c>
      <c r="X127">
        <v>77791</v>
      </c>
      <c r="Y127">
        <v>4862</v>
      </c>
      <c r="Z127">
        <v>0.24</v>
      </c>
      <c r="AA127">
        <v>16</v>
      </c>
      <c r="AB127">
        <v>8</v>
      </c>
      <c r="AC127">
        <v>8</v>
      </c>
      <c r="AD127">
        <v>50</v>
      </c>
      <c r="AE127">
        <v>16</v>
      </c>
      <c r="AF127">
        <v>4</v>
      </c>
      <c r="AG127">
        <v>1</v>
      </c>
      <c r="AH127">
        <v>11</v>
      </c>
    </row>
    <row r="128" spans="1:34">
      <c r="A128" s="103">
        <v>126</v>
      </c>
      <c r="B128">
        <v>8604</v>
      </c>
      <c r="C128" s="107" t="s">
        <v>958</v>
      </c>
      <c r="D128" s="107" t="s">
        <v>959</v>
      </c>
      <c r="E128">
        <v>562.9</v>
      </c>
      <c r="F128">
        <v>557.6</v>
      </c>
      <c r="G128">
        <v>1400</v>
      </c>
      <c r="H128" s="107" t="s">
        <v>63</v>
      </c>
      <c r="I128">
        <v>9989</v>
      </c>
      <c r="J128" s="107" t="s">
        <v>1330</v>
      </c>
      <c r="K128" s="107" t="s">
        <v>95</v>
      </c>
      <c r="L128">
        <v>3985</v>
      </c>
      <c r="M128">
        <v>3945</v>
      </c>
      <c r="N128">
        <v>200</v>
      </c>
      <c r="O128" s="107" t="s">
        <v>61</v>
      </c>
      <c r="P128">
        <v>0.95225812453395298</v>
      </c>
      <c r="Q128">
        <v>0.91763117907824998</v>
      </c>
      <c r="R128">
        <v>6.9979352211816198E-2</v>
      </c>
      <c r="S128">
        <v>4.23882618928626E-2</v>
      </c>
      <c r="T128">
        <v>0.73358002370170705</v>
      </c>
      <c r="U128">
        <v>0.73358002370170705</v>
      </c>
      <c r="V128">
        <v>2.39</v>
      </c>
      <c r="W128">
        <v>1.06</v>
      </c>
      <c r="X128">
        <v>77595</v>
      </c>
      <c r="Y128">
        <v>5542</v>
      </c>
      <c r="Z128">
        <v>0.28000000000000003</v>
      </c>
      <c r="AA128">
        <v>14</v>
      </c>
      <c r="AB128">
        <v>7</v>
      </c>
      <c r="AC128">
        <v>7</v>
      </c>
      <c r="AD128">
        <v>50</v>
      </c>
      <c r="AE128">
        <v>13</v>
      </c>
      <c r="AF128">
        <v>5</v>
      </c>
      <c r="AG128">
        <v>4</v>
      </c>
      <c r="AH128">
        <v>5</v>
      </c>
    </row>
    <row r="129" spans="1:34">
      <c r="A129" s="103">
        <v>55</v>
      </c>
      <c r="B129">
        <v>4519</v>
      </c>
      <c r="C129" s="107" t="s">
        <v>954</v>
      </c>
      <c r="D129" s="107" t="s">
        <v>136</v>
      </c>
      <c r="E129">
        <v>10025</v>
      </c>
      <c r="F129">
        <v>10040</v>
      </c>
      <c r="G129">
        <v>100</v>
      </c>
      <c r="H129" s="107" t="s">
        <v>63</v>
      </c>
      <c r="I129">
        <v>6702</v>
      </c>
      <c r="J129" s="107" t="s">
        <v>332</v>
      </c>
      <c r="K129" s="107" t="s">
        <v>87</v>
      </c>
      <c r="L129">
        <v>10200</v>
      </c>
      <c r="M129">
        <v>10055</v>
      </c>
      <c r="N129">
        <v>100</v>
      </c>
      <c r="O129" s="107" t="s">
        <v>61</v>
      </c>
      <c r="P129">
        <v>0.96055253236196703</v>
      </c>
      <c r="Q129">
        <v>0.93657330409809303</v>
      </c>
      <c r="R129">
        <v>1.32121619392457E-2</v>
      </c>
      <c r="S129" s="107">
        <v>3.2944041718579301E-2</v>
      </c>
      <c r="T129">
        <v>1.8710183303322101</v>
      </c>
      <c r="U129">
        <v>1.8710183303322101</v>
      </c>
      <c r="V129">
        <v>5.31</v>
      </c>
      <c r="W129">
        <v>0.15</v>
      </c>
      <c r="X129">
        <v>75944</v>
      </c>
      <c r="Y129">
        <v>10849</v>
      </c>
      <c r="Z129">
        <v>0.79</v>
      </c>
      <c r="AA129">
        <v>7</v>
      </c>
      <c r="AB129">
        <v>4</v>
      </c>
      <c r="AC129">
        <v>3</v>
      </c>
      <c r="AD129">
        <v>57.14</v>
      </c>
      <c r="AE129">
        <v>12</v>
      </c>
      <c r="AF129">
        <v>3</v>
      </c>
      <c r="AG129">
        <v>1</v>
      </c>
      <c r="AH129">
        <v>3</v>
      </c>
    </row>
    <row r="130" spans="1:34">
      <c r="A130" s="103">
        <v>53</v>
      </c>
      <c r="B130">
        <v>1820</v>
      </c>
      <c r="C130" s="107" t="s">
        <v>122</v>
      </c>
      <c r="D130" s="107" t="s">
        <v>78</v>
      </c>
      <c r="E130">
        <v>2558</v>
      </c>
      <c r="F130">
        <v>2503</v>
      </c>
      <c r="G130">
        <v>400</v>
      </c>
      <c r="H130" s="107" t="s">
        <v>63</v>
      </c>
      <c r="I130">
        <v>4182</v>
      </c>
      <c r="J130" s="107" t="s">
        <v>88</v>
      </c>
      <c r="K130" s="107" t="s">
        <v>62</v>
      </c>
      <c r="L130">
        <v>1728</v>
      </c>
      <c r="M130">
        <v>1730</v>
      </c>
      <c r="N130">
        <v>600</v>
      </c>
      <c r="O130" s="107" t="s">
        <v>61</v>
      </c>
      <c r="P130">
        <v>0.95914510930146402</v>
      </c>
      <c r="Q130">
        <v>0.93928508277522205</v>
      </c>
      <c r="R130" s="15">
        <v>8.69521725832368E-2</v>
      </c>
      <c r="S130">
        <v>1.03250089820209E-2</v>
      </c>
      <c r="T130">
        <v>0.256610234037079</v>
      </c>
      <c r="U130">
        <v>0.256610234037079</v>
      </c>
      <c r="V130">
        <v>0.83</v>
      </c>
      <c r="W130">
        <v>3.68</v>
      </c>
      <c r="X130">
        <v>74834</v>
      </c>
      <c r="Y130">
        <v>6236</v>
      </c>
      <c r="Z130">
        <v>0.26</v>
      </c>
      <c r="AA130">
        <v>12</v>
      </c>
      <c r="AB130">
        <v>8</v>
      </c>
      <c r="AC130">
        <v>4</v>
      </c>
      <c r="AD130">
        <v>66.67</v>
      </c>
      <c r="AE130">
        <v>12</v>
      </c>
      <c r="AF130">
        <v>5</v>
      </c>
      <c r="AG130">
        <v>3</v>
      </c>
      <c r="AH130">
        <v>4</v>
      </c>
    </row>
    <row r="131" spans="1:34">
      <c r="A131" s="103">
        <v>172</v>
      </c>
      <c r="B131">
        <v>2379</v>
      </c>
      <c r="C131" s="107" t="s">
        <v>1027</v>
      </c>
      <c r="D131" s="107" t="s">
        <v>120</v>
      </c>
      <c r="E131">
        <v>3210</v>
      </c>
      <c r="F131">
        <v>3175</v>
      </c>
      <c r="G131">
        <v>300</v>
      </c>
      <c r="H131" s="107" t="s">
        <v>63</v>
      </c>
      <c r="I131">
        <v>6702</v>
      </c>
      <c r="J131" s="107" t="s">
        <v>332</v>
      </c>
      <c r="K131" s="107" t="s">
        <v>87</v>
      </c>
      <c r="L131">
        <v>10200</v>
      </c>
      <c r="M131">
        <v>10055</v>
      </c>
      <c r="N131">
        <v>100</v>
      </c>
      <c r="O131" s="107" t="s">
        <v>61</v>
      </c>
      <c r="P131">
        <v>0.90579488579941503</v>
      </c>
      <c r="Q131">
        <v>0.90872387531588295</v>
      </c>
      <c r="R131" s="15">
        <v>0.12482379716882</v>
      </c>
      <c r="S131" s="107">
        <v>0.16655223097708599</v>
      </c>
      <c r="T131">
        <v>0.64617138264204899</v>
      </c>
      <c r="U131">
        <v>0.64617138264204899</v>
      </c>
      <c r="V131">
        <v>2.66</v>
      </c>
      <c r="W131">
        <v>5.27</v>
      </c>
      <c r="X131">
        <v>73060</v>
      </c>
      <c r="Y131">
        <v>4059</v>
      </c>
      <c r="Z131">
        <v>0.23</v>
      </c>
      <c r="AA131">
        <v>18</v>
      </c>
      <c r="AB131">
        <v>10</v>
      </c>
      <c r="AC131">
        <v>8</v>
      </c>
      <c r="AD131">
        <v>55.56</v>
      </c>
      <c r="AE131">
        <v>10</v>
      </c>
      <c r="AF131">
        <v>8</v>
      </c>
      <c r="AG131">
        <v>6</v>
      </c>
      <c r="AH131">
        <v>4</v>
      </c>
    </row>
    <row r="132" spans="1:34">
      <c r="A132" s="103">
        <v>136</v>
      </c>
      <c r="B132">
        <v>3116</v>
      </c>
      <c r="C132" s="107" t="s">
        <v>125</v>
      </c>
      <c r="D132" s="107" t="s">
        <v>84</v>
      </c>
      <c r="E132">
        <v>1852</v>
      </c>
      <c r="F132">
        <v>1818</v>
      </c>
      <c r="G132">
        <v>600</v>
      </c>
      <c r="H132" s="107" t="s">
        <v>63</v>
      </c>
      <c r="I132">
        <v>8002</v>
      </c>
      <c r="J132" s="107" t="s">
        <v>31</v>
      </c>
      <c r="K132" s="107" t="s">
        <v>101</v>
      </c>
      <c r="L132">
        <v>834.9</v>
      </c>
      <c r="M132">
        <v>837.7</v>
      </c>
      <c r="N132">
        <v>1300</v>
      </c>
      <c r="O132" s="107" t="s">
        <v>61</v>
      </c>
      <c r="P132">
        <v>0.94399534236470095</v>
      </c>
      <c r="Q132">
        <v>0.91612211734083804</v>
      </c>
      <c r="R132">
        <v>2.7571039957661601E-2</v>
      </c>
      <c r="S132" s="15">
        <v>0.23586810926967899</v>
      </c>
      <c r="T132">
        <v>1.58326457904383</v>
      </c>
      <c r="U132">
        <v>1.58326457904383</v>
      </c>
      <c r="V132">
        <v>3.33</v>
      </c>
      <c r="W132">
        <v>0.16</v>
      </c>
      <c r="X132">
        <v>69702</v>
      </c>
      <c r="Y132">
        <v>5362</v>
      </c>
      <c r="Z132">
        <v>0.33</v>
      </c>
      <c r="AA132">
        <v>13</v>
      </c>
      <c r="AB132">
        <v>5</v>
      </c>
      <c r="AC132">
        <v>8</v>
      </c>
      <c r="AD132">
        <v>38.46</v>
      </c>
      <c r="AE132">
        <v>16</v>
      </c>
      <c r="AF132">
        <v>4</v>
      </c>
      <c r="AG132">
        <v>0</v>
      </c>
      <c r="AH132">
        <v>9</v>
      </c>
    </row>
    <row r="133" spans="1:34">
      <c r="A133" s="103">
        <v>220</v>
      </c>
      <c r="B133">
        <v>6995</v>
      </c>
      <c r="C133" s="107" t="s">
        <v>91</v>
      </c>
      <c r="D133" s="107" t="s">
        <v>84</v>
      </c>
      <c r="E133">
        <v>2258</v>
      </c>
      <c r="F133">
        <v>2263</v>
      </c>
      <c r="G133">
        <v>500</v>
      </c>
      <c r="H133" s="107" t="s">
        <v>63</v>
      </c>
      <c r="I133">
        <v>9810</v>
      </c>
      <c r="J133" s="107" t="s">
        <v>127</v>
      </c>
      <c r="K133" s="107" t="s">
        <v>101</v>
      </c>
      <c r="L133">
        <v>5290</v>
      </c>
      <c r="M133">
        <v>5230</v>
      </c>
      <c r="N133">
        <v>200</v>
      </c>
      <c r="O133" s="107" t="s">
        <v>61</v>
      </c>
      <c r="P133">
        <v>0.91368434218718697</v>
      </c>
      <c r="Q133">
        <v>0.90169564508583899</v>
      </c>
      <c r="R133">
        <v>7.3898654174172199E-2</v>
      </c>
      <c r="S133" s="107">
        <v>5.0379187587814997E-2</v>
      </c>
      <c r="T133">
        <v>0.39296185917709597</v>
      </c>
      <c r="U133">
        <v>0.39296185917709597</v>
      </c>
      <c r="V133">
        <v>1.19</v>
      </c>
      <c r="W133">
        <v>8.17</v>
      </c>
      <c r="X133">
        <v>68150</v>
      </c>
      <c r="Y133">
        <v>5242</v>
      </c>
      <c r="Z133">
        <v>0.48</v>
      </c>
      <c r="AA133">
        <v>13</v>
      </c>
      <c r="AB133">
        <v>8</v>
      </c>
      <c r="AC133">
        <v>5</v>
      </c>
      <c r="AD133">
        <v>61.54</v>
      </c>
      <c r="AE133">
        <v>11</v>
      </c>
      <c r="AF133">
        <v>5</v>
      </c>
      <c r="AG133">
        <v>4</v>
      </c>
      <c r="AH133">
        <v>4</v>
      </c>
    </row>
    <row r="134" spans="1:34">
      <c r="A134" s="103">
        <v>219</v>
      </c>
      <c r="B134">
        <v>4819</v>
      </c>
      <c r="C134" s="107" t="s">
        <v>1320</v>
      </c>
      <c r="D134" s="107" t="s">
        <v>79</v>
      </c>
      <c r="E134">
        <v>4440</v>
      </c>
      <c r="F134">
        <v>4440</v>
      </c>
      <c r="G134">
        <v>200</v>
      </c>
      <c r="H134" s="107" t="s">
        <v>63</v>
      </c>
      <c r="I134">
        <v>9746</v>
      </c>
      <c r="J134" s="107" t="s">
        <v>1298</v>
      </c>
      <c r="K134" s="107" t="s">
        <v>79</v>
      </c>
      <c r="L134">
        <v>5290</v>
      </c>
      <c r="M134">
        <v>5270</v>
      </c>
      <c r="N134">
        <v>200</v>
      </c>
      <c r="O134" s="107" t="s">
        <v>61</v>
      </c>
      <c r="P134">
        <v>0.90601618369998704</v>
      </c>
      <c r="Q134">
        <v>0.90177136136687797</v>
      </c>
      <c r="R134">
        <v>8.4694914280654607E-2</v>
      </c>
      <c r="S134">
        <v>5.1880280618974602E-3</v>
      </c>
      <c r="T134">
        <v>2.3754514760230698</v>
      </c>
      <c r="U134">
        <v>2.3754514760230698</v>
      </c>
      <c r="V134">
        <v>8.66</v>
      </c>
      <c r="W134">
        <v>15.75</v>
      </c>
      <c r="X134">
        <v>66372</v>
      </c>
      <c r="Y134">
        <v>5531</v>
      </c>
      <c r="Z134">
        <v>0.37</v>
      </c>
      <c r="AA134">
        <v>12</v>
      </c>
      <c r="AB134">
        <v>7</v>
      </c>
      <c r="AC134">
        <v>5</v>
      </c>
      <c r="AD134">
        <v>58.33</v>
      </c>
      <c r="AE134">
        <v>9</v>
      </c>
      <c r="AF134">
        <v>7</v>
      </c>
      <c r="AG134">
        <v>4</v>
      </c>
      <c r="AH134">
        <v>1</v>
      </c>
    </row>
    <row r="135" spans="1:34">
      <c r="A135" s="103">
        <v>80</v>
      </c>
      <c r="B135">
        <v>1973</v>
      </c>
      <c r="C135" s="107" t="s">
        <v>310</v>
      </c>
      <c r="D135" s="107" t="s">
        <v>79</v>
      </c>
      <c r="E135">
        <v>3620</v>
      </c>
      <c r="F135">
        <v>3570</v>
      </c>
      <c r="G135">
        <v>300</v>
      </c>
      <c r="H135" s="107" t="s">
        <v>61</v>
      </c>
      <c r="I135">
        <v>4519</v>
      </c>
      <c r="J135" s="107" t="s">
        <v>954</v>
      </c>
      <c r="K135" s="107" t="s">
        <v>136</v>
      </c>
      <c r="L135">
        <v>10025</v>
      </c>
      <c r="M135">
        <v>10040</v>
      </c>
      <c r="N135">
        <v>100</v>
      </c>
      <c r="O135" s="107" t="s">
        <v>63</v>
      </c>
      <c r="P135">
        <v>0.94705675395215305</v>
      </c>
      <c r="Q135">
        <v>0.92975673182586904</v>
      </c>
      <c r="R135" s="15">
        <v>4.8351720442794304E-3</v>
      </c>
      <c r="S135">
        <v>0.111915199203934</v>
      </c>
      <c r="T135">
        <v>-1.1814254114810601</v>
      </c>
      <c r="U135">
        <v>1.1814254114810601</v>
      </c>
      <c r="V135">
        <v>-2.85</v>
      </c>
      <c r="W135">
        <v>6.67</v>
      </c>
      <c r="X135">
        <v>61928</v>
      </c>
      <c r="Y135">
        <v>7741</v>
      </c>
      <c r="Z135">
        <v>0.22</v>
      </c>
      <c r="AA135">
        <v>8</v>
      </c>
      <c r="AB135">
        <v>5</v>
      </c>
      <c r="AC135">
        <v>3</v>
      </c>
      <c r="AD135">
        <v>62.5</v>
      </c>
      <c r="AE135">
        <v>12</v>
      </c>
      <c r="AF135">
        <v>3</v>
      </c>
      <c r="AG135">
        <v>3</v>
      </c>
      <c r="AH135">
        <v>2</v>
      </c>
    </row>
    <row r="136" spans="1:34">
      <c r="A136" s="103">
        <v>22</v>
      </c>
      <c r="B136">
        <v>6770</v>
      </c>
      <c r="C136" s="107" t="s">
        <v>26</v>
      </c>
      <c r="D136" s="107" t="s">
        <v>87</v>
      </c>
      <c r="E136">
        <v>2628</v>
      </c>
      <c r="F136">
        <v>2609</v>
      </c>
      <c r="G136">
        <v>300</v>
      </c>
      <c r="H136" s="107" t="s">
        <v>61</v>
      </c>
      <c r="I136">
        <v>7282</v>
      </c>
      <c r="J136" s="107" t="s">
        <v>953</v>
      </c>
      <c r="K136" s="107" t="s">
        <v>84</v>
      </c>
      <c r="L136">
        <v>2801</v>
      </c>
      <c r="M136">
        <v>2798</v>
      </c>
      <c r="N136">
        <v>300</v>
      </c>
      <c r="O136" s="107" t="s">
        <v>63</v>
      </c>
      <c r="P136">
        <v>0.96900356122426401</v>
      </c>
      <c r="Q136">
        <v>0.94829232431018595</v>
      </c>
      <c r="R136">
        <v>7.7682280655596098E-2</v>
      </c>
      <c r="S136" s="107">
        <v>2.2675474327785699E-2</v>
      </c>
      <c r="T136" s="107">
        <v>-0.34581968675298802</v>
      </c>
      <c r="U136" s="107">
        <v>0.34581968675298802</v>
      </c>
      <c r="V136">
        <v>-0.84</v>
      </c>
      <c r="W136">
        <v>6.75</v>
      </c>
      <c r="X136">
        <v>56663</v>
      </c>
      <c r="Y136">
        <v>3778</v>
      </c>
      <c r="Z136">
        <v>0.27</v>
      </c>
      <c r="AA136">
        <v>15</v>
      </c>
      <c r="AB136">
        <v>10</v>
      </c>
      <c r="AC136">
        <v>5</v>
      </c>
      <c r="AD136">
        <v>66.67</v>
      </c>
      <c r="AE136">
        <v>12</v>
      </c>
      <c r="AF136">
        <v>6</v>
      </c>
      <c r="AG136">
        <v>4</v>
      </c>
      <c r="AH136">
        <v>5</v>
      </c>
    </row>
    <row r="137" spans="1:34">
      <c r="A137" s="103">
        <v>177</v>
      </c>
      <c r="B137">
        <v>6301</v>
      </c>
      <c r="C137" s="107" t="s">
        <v>109</v>
      </c>
      <c r="D137" s="107" t="s">
        <v>99</v>
      </c>
      <c r="E137">
        <v>2755</v>
      </c>
      <c r="F137">
        <v>2740</v>
      </c>
      <c r="G137">
        <v>300</v>
      </c>
      <c r="H137" s="107" t="s">
        <v>61</v>
      </c>
      <c r="I137">
        <v>6371</v>
      </c>
      <c r="J137" s="107" t="s">
        <v>108</v>
      </c>
      <c r="K137" s="107" t="s">
        <v>99</v>
      </c>
      <c r="L137">
        <v>3995</v>
      </c>
      <c r="M137">
        <v>4000</v>
      </c>
      <c r="N137">
        <v>200</v>
      </c>
      <c r="O137" s="107" t="s">
        <v>63</v>
      </c>
      <c r="P137">
        <v>0.91997379336044904</v>
      </c>
      <c r="Q137">
        <v>0.907719683582349</v>
      </c>
      <c r="R137">
        <v>4.6378738788869301E-3</v>
      </c>
      <c r="S137" s="107">
        <v>3.9480440975258099E-3</v>
      </c>
      <c r="T137">
        <v>-0.81345760236375197</v>
      </c>
      <c r="U137">
        <v>0.81345760236375197</v>
      </c>
      <c r="V137">
        <v>-1.93</v>
      </c>
      <c r="W137">
        <v>2.75</v>
      </c>
      <c r="X137">
        <v>51301</v>
      </c>
      <c r="Y137">
        <v>3206</v>
      </c>
      <c r="Z137">
        <v>0.19</v>
      </c>
      <c r="AA137">
        <v>16</v>
      </c>
      <c r="AB137">
        <v>8</v>
      </c>
      <c r="AC137">
        <v>8</v>
      </c>
      <c r="AD137">
        <v>50</v>
      </c>
      <c r="AE137">
        <v>13</v>
      </c>
      <c r="AF137">
        <v>4</v>
      </c>
      <c r="AG137">
        <v>3</v>
      </c>
      <c r="AH137">
        <v>9</v>
      </c>
    </row>
    <row r="138" spans="1:34">
      <c r="A138" s="103">
        <v>142</v>
      </c>
      <c r="B138">
        <v>4182</v>
      </c>
      <c r="C138" s="107" t="s">
        <v>88</v>
      </c>
      <c r="D138" s="107" t="s">
        <v>62</v>
      </c>
      <c r="E138">
        <v>1728</v>
      </c>
      <c r="F138">
        <v>1730</v>
      </c>
      <c r="G138">
        <v>500</v>
      </c>
      <c r="H138" s="107" t="s">
        <v>63</v>
      </c>
      <c r="I138">
        <v>5463</v>
      </c>
      <c r="J138" s="107" t="s">
        <v>142</v>
      </c>
      <c r="K138" s="107" t="s">
        <v>92</v>
      </c>
      <c r="L138">
        <v>3120</v>
      </c>
      <c r="M138">
        <v>3135</v>
      </c>
      <c r="N138">
        <v>300</v>
      </c>
      <c r="O138" s="107" t="s">
        <v>61</v>
      </c>
      <c r="P138">
        <v>0.90546785101424199</v>
      </c>
      <c r="Q138">
        <v>0.91474022952423095</v>
      </c>
      <c r="R138">
        <v>0.130485485638836</v>
      </c>
      <c r="S138">
        <v>2.1067350919446198E-2</v>
      </c>
      <c r="T138">
        <v>1.8587712049848</v>
      </c>
      <c r="U138">
        <v>1.8587712049848</v>
      </c>
      <c r="V138">
        <v>6.23</v>
      </c>
      <c r="W138">
        <v>8.0299999999999994</v>
      </c>
      <c r="X138">
        <v>49018</v>
      </c>
      <c r="Y138">
        <v>2723</v>
      </c>
      <c r="Z138">
        <v>0.22</v>
      </c>
      <c r="AA138">
        <v>18</v>
      </c>
      <c r="AB138">
        <v>10</v>
      </c>
      <c r="AC138">
        <v>8</v>
      </c>
      <c r="AD138">
        <v>55.56</v>
      </c>
      <c r="AE138">
        <v>11</v>
      </c>
      <c r="AF138">
        <v>7</v>
      </c>
      <c r="AG138">
        <v>6</v>
      </c>
      <c r="AH138">
        <v>5</v>
      </c>
    </row>
    <row r="139" spans="1:34">
      <c r="A139" s="103">
        <v>226</v>
      </c>
      <c r="B139">
        <v>2602</v>
      </c>
      <c r="C139" s="107" t="s">
        <v>1331</v>
      </c>
      <c r="D139" s="107" t="s">
        <v>97</v>
      </c>
      <c r="E139">
        <v>3880</v>
      </c>
      <c r="F139">
        <v>3825</v>
      </c>
      <c r="G139">
        <v>200</v>
      </c>
      <c r="H139" s="107" t="s">
        <v>61</v>
      </c>
      <c r="I139">
        <v>7274</v>
      </c>
      <c r="J139" s="107" t="s">
        <v>336</v>
      </c>
      <c r="K139" s="107" t="s">
        <v>84</v>
      </c>
      <c r="L139">
        <v>2278</v>
      </c>
      <c r="M139">
        <v>2283</v>
      </c>
      <c r="N139">
        <v>300</v>
      </c>
      <c r="O139" s="107" t="s">
        <v>63</v>
      </c>
      <c r="P139">
        <v>0.94696946914651603</v>
      </c>
      <c r="Q139">
        <v>0.90078454478085901</v>
      </c>
      <c r="R139">
        <v>1.7844588240924799E-2</v>
      </c>
      <c r="S139">
        <v>9.6250336047574603E-2</v>
      </c>
      <c r="T139">
        <v>-1.30383276943557</v>
      </c>
      <c r="U139">
        <v>1.30383276943557</v>
      </c>
      <c r="V139">
        <v>-21.27</v>
      </c>
      <c r="W139">
        <v>10.47</v>
      </c>
      <c r="X139">
        <v>48417</v>
      </c>
      <c r="Y139">
        <v>2548</v>
      </c>
      <c r="Z139">
        <v>0.14000000000000001</v>
      </c>
      <c r="AA139">
        <v>19</v>
      </c>
      <c r="AB139">
        <v>10</v>
      </c>
      <c r="AC139">
        <v>9</v>
      </c>
      <c r="AD139">
        <v>52.63</v>
      </c>
      <c r="AE139">
        <v>8</v>
      </c>
      <c r="AF139">
        <v>10</v>
      </c>
      <c r="AG139">
        <v>8</v>
      </c>
      <c r="AH139">
        <v>1</v>
      </c>
    </row>
    <row r="140" spans="1:34">
      <c r="A140" s="103">
        <v>63</v>
      </c>
      <c r="B140">
        <v>6135</v>
      </c>
      <c r="C140" s="107" t="s">
        <v>308</v>
      </c>
      <c r="D140" s="107" t="s">
        <v>99</v>
      </c>
      <c r="E140">
        <v>5410</v>
      </c>
      <c r="F140">
        <v>5400</v>
      </c>
      <c r="G140">
        <v>100</v>
      </c>
      <c r="H140" s="107" t="s">
        <v>61</v>
      </c>
      <c r="I140">
        <v>6856</v>
      </c>
      <c r="J140" s="107" t="s">
        <v>331</v>
      </c>
      <c r="K140" s="107" t="s">
        <v>87</v>
      </c>
      <c r="L140">
        <v>7760</v>
      </c>
      <c r="M140">
        <v>7770</v>
      </c>
      <c r="N140">
        <v>100</v>
      </c>
      <c r="O140" s="107" t="s">
        <v>63</v>
      </c>
      <c r="P140">
        <v>0.94052863106904305</v>
      </c>
      <c r="Q140">
        <v>0.93495382117789405</v>
      </c>
      <c r="R140" s="15">
        <v>0.22506173578557601</v>
      </c>
      <c r="S140">
        <v>0.225581015510016</v>
      </c>
      <c r="T140">
        <v>-1.67321911431574</v>
      </c>
      <c r="U140">
        <v>1.67321911431574</v>
      </c>
      <c r="V140">
        <v>-6.63</v>
      </c>
      <c r="W140">
        <v>30.5</v>
      </c>
      <c r="X140">
        <v>46787</v>
      </c>
      <c r="Y140">
        <v>46787</v>
      </c>
      <c r="Z140">
        <v>3.43</v>
      </c>
      <c r="AA140">
        <v>1</v>
      </c>
      <c r="AB140">
        <v>1</v>
      </c>
      <c r="AC140">
        <v>0</v>
      </c>
      <c r="AD140">
        <v>100</v>
      </c>
      <c r="AE140">
        <v>6</v>
      </c>
      <c r="AF140">
        <v>1</v>
      </c>
      <c r="AG140">
        <v>0</v>
      </c>
      <c r="AH140">
        <v>0</v>
      </c>
    </row>
    <row r="141" spans="1:34">
      <c r="A141" s="103">
        <v>17</v>
      </c>
      <c r="B141">
        <v>6471</v>
      </c>
      <c r="C141" s="107" t="s">
        <v>138</v>
      </c>
      <c r="D141" s="107" t="s">
        <v>99</v>
      </c>
      <c r="E141">
        <v>1090</v>
      </c>
      <c r="F141">
        <v>1088</v>
      </c>
      <c r="G141">
        <v>900</v>
      </c>
      <c r="H141" s="107" t="s">
        <v>63</v>
      </c>
      <c r="I141">
        <v>6473</v>
      </c>
      <c r="J141" s="107" t="s">
        <v>133</v>
      </c>
      <c r="K141" s="107" t="s">
        <v>99</v>
      </c>
      <c r="L141">
        <v>1375</v>
      </c>
      <c r="M141">
        <v>1381</v>
      </c>
      <c r="N141">
        <v>700</v>
      </c>
      <c r="O141" s="107" t="s">
        <v>61</v>
      </c>
      <c r="P141">
        <v>0.94272725897062004</v>
      </c>
      <c r="Q141">
        <v>0.95291942596938495</v>
      </c>
      <c r="R141" s="15">
        <v>0.28598676493220199</v>
      </c>
      <c r="S141">
        <v>1.7120885673949801E-2</v>
      </c>
      <c r="T141">
        <v>1.9551449391454601</v>
      </c>
      <c r="U141">
        <v>1.9551449391454601</v>
      </c>
      <c r="V141">
        <v>3.89</v>
      </c>
      <c r="W141">
        <v>1.29</v>
      </c>
      <c r="X141">
        <v>43650</v>
      </c>
      <c r="Y141">
        <v>3358</v>
      </c>
      <c r="Z141">
        <v>0.16</v>
      </c>
      <c r="AA141">
        <v>13</v>
      </c>
      <c r="AB141">
        <v>8</v>
      </c>
      <c r="AC141">
        <v>5</v>
      </c>
      <c r="AD141">
        <v>61.54</v>
      </c>
      <c r="AE141">
        <v>16</v>
      </c>
      <c r="AF141">
        <v>1</v>
      </c>
      <c r="AG141">
        <v>1</v>
      </c>
      <c r="AH141">
        <v>11</v>
      </c>
    </row>
    <row r="142" spans="1:34">
      <c r="A142" s="103">
        <v>29</v>
      </c>
      <c r="B142">
        <v>9746</v>
      </c>
      <c r="C142" s="107" t="s">
        <v>1298</v>
      </c>
      <c r="D142" s="107" t="s">
        <v>79</v>
      </c>
      <c r="E142">
        <v>5290</v>
      </c>
      <c r="F142">
        <v>5270</v>
      </c>
      <c r="G142">
        <v>200</v>
      </c>
      <c r="H142" s="107" t="s">
        <v>63</v>
      </c>
      <c r="I142">
        <v>9759</v>
      </c>
      <c r="J142" s="107" t="s">
        <v>1026</v>
      </c>
      <c r="K142" s="107" t="s">
        <v>79</v>
      </c>
      <c r="L142">
        <v>3625</v>
      </c>
      <c r="M142">
        <v>3555</v>
      </c>
      <c r="N142">
        <v>300</v>
      </c>
      <c r="O142" s="107" t="s">
        <v>61</v>
      </c>
      <c r="P142">
        <v>0.91167257914014499</v>
      </c>
      <c r="Q142">
        <v>0.94543228844208205</v>
      </c>
      <c r="R142">
        <v>9.3041315389003204E-2</v>
      </c>
      <c r="S142" s="15">
        <v>8.17674369631133E-4</v>
      </c>
      <c r="T142">
        <v>1.2818290829202299</v>
      </c>
      <c r="U142">
        <v>1.2818290829202299</v>
      </c>
      <c r="V142">
        <v>3.25</v>
      </c>
      <c r="W142">
        <v>1.19</v>
      </c>
      <c r="X142">
        <v>40347</v>
      </c>
      <c r="Y142">
        <v>2882</v>
      </c>
      <c r="Z142">
        <v>0.18</v>
      </c>
      <c r="AA142">
        <v>14</v>
      </c>
      <c r="AB142">
        <v>8</v>
      </c>
      <c r="AC142">
        <v>6</v>
      </c>
      <c r="AD142">
        <v>57.14</v>
      </c>
      <c r="AE142">
        <v>14</v>
      </c>
      <c r="AF142">
        <v>5</v>
      </c>
      <c r="AG142">
        <v>2</v>
      </c>
      <c r="AH142">
        <v>7</v>
      </c>
    </row>
    <row r="143" spans="1:34">
      <c r="A143" s="103">
        <v>161</v>
      </c>
      <c r="B143">
        <v>5471</v>
      </c>
      <c r="C143" s="107" t="s">
        <v>303</v>
      </c>
      <c r="D143" s="107" t="s">
        <v>92</v>
      </c>
      <c r="E143">
        <v>5010</v>
      </c>
      <c r="F143">
        <v>5010</v>
      </c>
      <c r="G143">
        <v>200</v>
      </c>
      <c r="H143" s="107" t="s">
        <v>61</v>
      </c>
      <c r="I143">
        <v>7251</v>
      </c>
      <c r="J143" s="107" t="s">
        <v>960</v>
      </c>
      <c r="K143" s="107" t="s">
        <v>84</v>
      </c>
      <c r="L143">
        <v>2570</v>
      </c>
      <c r="M143">
        <v>2568</v>
      </c>
      <c r="N143">
        <v>400</v>
      </c>
      <c r="O143" s="107" t="s">
        <v>63</v>
      </c>
      <c r="P143">
        <v>0.92017102121489502</v>
      </c>
      <c r="Q143">
        <v>0.91071792672401797</v>
      </c>
      <c r="R143">
        <v>5.8003227744505302E-2</v>
      </c>
      <c r="S143">
        <v>3.6809594695417498E-3</v>
      </c>
      <c r="T143">
        <v>-1.1266120039886001</v>
      </c>
      <c r="U143">
        <v>1.1266120039886001</v>
      </c>
      <c r="V143">
        <v>-20.98</v>
      </c>
      <c r="W143">
        <v>2.5099999999999998</v>
      </c>
      <c r="X143">
        <v>35729</v>
      </c>
      <c r="Y143">
        <v>2233</v>
      </c>
      <c r="Z143">
        <v>0</v>
      </c>
      <c r="AA143">
        <v>16</v>
      </c>
      <c r="AB143">
        <v>10</v>
      </c>
      <c r="AC143">
        <v>6</v>
      </c>
      <c r="AD143">
        <v>62.5</v>
      </c>
      <c r="AE143">
        <v>14</v>
      </c>
      <c r="AF143">
        <v>4</v>
      </c>
      <c r="AG143">
        <v>3</v>
      </c>
      <c r="AH143">
        <v>9</v>
      </c>
    </row>
    <row r="144" spans="1:34">
      <c r="A144" s="103">
        <v>64</v>
      </c>
      <c r="B144">
        <v>5991</v>
      </c>
      <c r="C144" s="107" t="s">
        <v>115</v>
      </c>
      <c r="D144" s="107" t="s">
        <v>116</v>
      </c>
      <c r="E144">
        <v>1021</v>
      </c>
      <c r="F144">
        <v>1021</v>
      </c>
      <c r="G144">
        <v>1000</v>
      </c>
      <c r="H144" s="107" t="s">
        <v>63</v>
      </c>
      <c r="I144">
        <v>6752</v>
      </c>
      <c r="J144" s="107" t="s">
        <v>105</v>
      </c>
      <c r="K144" s="107" t="s">
        <v>87</v>
      </c>
      <c r="L144">
        <v>1059</v>
      </c>
      <c r="M144">
        <v>1058</v>
      </c>
      <c r="N144">
        <v>1000</v>
      </c>
      <c r="O144" s="107" t="s">
        <v>61</v>
      </c>
      <c r="P144">
        <v>0.966397508004329</v>
      </c>
      <c r="Q144">
        <v>0.93463636695701302</v>
      </c>
      <c r="R144">
        <v>3.7026776576019299E-2</v>
      </c>
      <c r="S144">
        <v>0.14541795366937399</v>
      </c>
      <c r="T144">
        <v>0.92648898412035396</v>
      </c>
      <c r="U144">
        <v>0.92648898412035396</v>
      </c>
      <c r="V144">
        <v>2.2200000000000002</v>
      </c>
      <c r="W144">
        <v>3.5</v>
      </c>
      <c r="X144">
        <v>34237</v>
      </c>
      <c r="Y144">
        <v>2014</v>
      </c>
      <c r="Z144">
        <v>0.09</v>
      </c>
      <c r="AA144">
        <v>17</v>
      </c>
      <c r="AB144">
        <v>9</v>
      </c>
      <c r="AC144">
        <v>8</v>
      </c>
      <c r="AD144">
        <v>52.94</v>
      </c>
      <c r="AE144">
        <v>12</v>
      </c>
      <c r="AF144">
        <v>7</v>
      </c>
      <c r="AG144">
        <v>6</v>
      </c>
      <c r="AH144">
        <v>4</v>
      </c>
    </row>
    <row r="145" spans="1:34">
      <c r="A145" s="103">
        <v>135</v>
      </c>
      <c r="B145">
        <v>5802</v>
      </c>
      <c r="C145" s="107" t="s">
        <v>131</v>
      </c>
      <c r="D145" s="107" t="s">
        <v>132</v>
      </c>
      <c r="E145">
        <v>1688.5</v>
      </c>
      <c r="F145">
        <v>1690.5</v>
      </c>
      <c r="G145">
        <v>600</v>
      </c>
      <c r="H145" s="107" t="s">
        <v>63</v>
      </c>
      <c r="I145">
        <v>7272</v>
      </c>
      <c r="J145" s="107" t="s">
        <v>300</v>
      </c>
      <c r="K145" s="107" t="s">
        <v>84</v>
      </c>
      <c r="L145">
        <v>2312</v>
      </c>
      <c r="M145">
        <v>2350</v>
      </c>
      <c r="N145">
        <v>400</v>
      </c>
      <c r="O145" s="107" t="s">
        <v>61</v>
      </c>
      <c r="P145">
        <v>0.918131968909909</v>
      </c>
      <c r="Q145">
        <v>0.91635614594737802</v>
      </c>
      <c r="R145" s="107">
        <v>0.19520214471820099</v>
      </c>
      <c r="S145">
        <v>1.14019143575478E-2</v>
      </c>
      <c r="T145">
        <v>0.81734968961992505</v>
      </c>
      <c r="U145">
        <v>0.81734968961992505</v>
      </c>
      <c r="V145">
        <v>2.2400000000000002</v>
      </c>
      <c r="W145">
        <v>7.9</v>
      </c>
      <c r="X145">
        <v>32314</v>
      </c>
      <c r="Y145">
        <v>1795</v>
      </c>
      <c r="Z145">
        <v>0.03</v>
      </c>
      <c r="AA145">
        <v>18</v>
      </c>
      <c r="AB145">
        <v>9</v>
      </c>
      <c r="AC145">
        <v>9</v>
      </c>
      <c r="AD145">
        <v>50</v>
      </c>
      <c r="AE145">
        <v>15</v>
      </c>
      <c r="AF145">
        <v>4</v>
      </c>
      <c r="AG145">
        <v>2</v>
      </c>
      <c r="AH145">
        <v>12</v>
      </c>
    </row>
    <row r="146" spans="1:34">
      <c r="A146" s="103">
        <v>44</v>
      </c>
      <c r="B146">
        <v>7453</v>
      </c>
      <c r="C146" s="107" t="s">
        <v>104</v>
      </c>
      <c r="D146" s="107" t="s">
        <v>95</v>
      </c>
      <c r="E146">
        <v>2559</v>
      </c>
      <c r="F146">
        <v>2543</v>
      </c>
      <c r="G146">
        <v>400</v>
      </c>
      <c r="H146" s="107" t="s">
        <v>63</v>
      </c>
      <c r="I146">
        <v>8267</v>
      </c>
      <c r="J146" s="107" t="s">
        <v>304</v>
      </c>
      <c r="K146" s="107" t="s">
        <v>95</v>
      </c>
      <c r="L146">
        <v>2260</v>
      </c>
      <c r="M146">
        <v>2250</v>
      </c>
      <c r="N146">
        <v>500</v>
      </c>
      <c r="O146" s="107" t="s">
        <v>61</v>
      </c>
      <c r="P146">
        <v>0.924931222363232</v>
      </c>
      <c r="Q146">
        <v>0.94047629508960295</v>
      </c>
      <c r="R146">
        <v>4.7012425516962497E-2</v>
      </c>
      <c r="S146">
        <v>2.69097547429721E-3</v>
      </c>
      <c r="T146">
        <v>1.34800723656643</v>
      </c>
      <c r="U146">
        <v>1.34800723656643</v>
      </c>
      <c r="V146">
        <v>6.57</v>
      </c>
      <c r="W146">
        <v>10.6</v>
      </c>
      <c r="X146">
        <v>32083</v>
      </c>
      <c r="Y146">
        <v>1689</v>
      </c>
      <c r="Z146">
        <v>0.15</v>
      </c>
      <c r="AA146">
        <v>19</v>
      </c>
      <c r="AB146">
        <v>9</v>
      </c>
      <c r="AC146">
        <v>10</v>
      </c>
      <c r="AD146">
        <v>47.37</v>
      </c>
      <c r="AE146">
        <v>12</v>
      </c>
      <c r="AF146">
        <v>6</v>
      </c>
      <c r="AG146">
        <v>3</v>
      </c>
      <c r="AH146">
        <v>10</v>
      </c>
    </row>
    <row r="147" spans="1:34">
      <c r="A147" s="103">
        <v>8</v>
      </c>
      <c r="B147">
        <v>3635</v>
      </c>
      <c r="C147" s="107" t="s">
        <v>85</v>
      </c>
      <c r="D147" s="107" t="s">
        <v>79</v>
      </c>
      <c r="E147">
        <v>2727</v>
      </c>
      <c r="F147">
        <v>2709</v>
      </c>
      <c r="G147">
        <v>400</v>
      </c>
      <c r="H147" s="107" t="s">
        <v>63</v>
      </c>
      <c r="I147">
        <v>6702</v>
      </c>
      <c r="J147" s="107" t="s">
        <v>332</v>
      </c>
      <c r="K147" s="107" t="s">
        <v>87</v>
      </c>
      <c r="L147">
        <v>10200</v>
      </c>
      <c r="M147">
        <v>10055</v>
      </c>
      <c r="N147">
        <v>100</v>
      </c>
      <c r="O147" s="107" t="s">
        <v>61</v>
      </c>
      <c r="P147">
        <v>0.95451224326531503</v>
      </c>
      <c r="Q147">
        <v>0.95891174523413303</v>
      </c>
      <c r="R147">
        <v>0.31289493722591799</v>
      </c>
      <c r="S147" s="15">
        <v>3.1537384503600899E-2</v>
      </c>
      <c r="T147">
        <v>0.88134120706053998</v>
      </c>
      <c r="U147">
        <v>0.88134120706053998</v>
      </c>
      <c r="V147">
        <v>1.64</v>
      </c>
      <c r="W147">
        <v>7.77</v>
      </c>
      <c r="X147">
        <v>31031</v>
      </c>
      <c r="Y147">
        <v>2586</v>
      </c>
      <c r="Z147">
        <v>0.16</v>
      </c>
      <c r="AA147">
        <v>12</v>
      </c>
      <c r="AB147">
        <v>7</v>
      </c>
      <c r="AC147">
        <v>5</v>
      </c>
      <c r="AD147">
        <v>58.33</v>
      </c>
      <c r="AE147">
        <v>13</v>
      </c>
      <c r="AF147">
        <v>6</v>
      </c>
      <c r="AG147">
        <v>1</v>
      </c>
      <c r="AH147">
        <v>5</v>
      </c>
    </row>
    <row r="148" spans="1:34">
      <c r="A148" s="103">
        <v>121</v>
      </c>
      <c r="B148">
        <v>6702</v>
      </c>
      <c r="C148" s="107" t="s">
        <v>332</v>
      </c>
      <c r="D148" s="107" t="s">
        <v>87</v>
      </c>
      <c r="E148">
        <v>10200</v>
      </c>
      <c r="F148">
        <v>10055</v>
      </c>
      <c r="G148">
        <v>100</v>
      </c>
      <c r="H148" s="107" t="s">
        <v>61</v>
      </c>
      <c r="I148">
        <v>6755</v>
      </c>
      <c r="J148" s="107" t="s">
        <v>1274</v>
      </c>
      <c r="K148" s="107" t="s">
        <v>87</v>
      </c>
      <c r="L148">
        <v>2362</v>
      </c>
      <c r="M148">
        <v>2350</v>
      </c>
      <c r="N148">
        <v>400</v>
      </c>
      <c r="O148" s="107" t="s">
        <v>63</v>
      </c>
      <c r="P148">
        <v>0.91856394254349505</v>
      </c>
      <c r="Q148">
        <v>0.91824877563793195</v>
      </c>
      <c r="R148">
        <v>2.69666148847174E-2</v>
      </c>
      <c r="S148" s="15">
        <v>2.50447757778944E-2</v>
      </c>
      <c r="T148">
        <v>-3.1525525678291602</v>
      </c>
      <c r="U148">
        <v>3.1525525678291602</v>
      </c>
      <c r="V148">
        <v>-12.35</v>
      </c>
      <c r="W148">
        <v>6.51</v>
      </c>
      <c r="X148">
        <v>29303</v>
      </c>
      <c r="Y148">
        <v>1831</v>
      </c>
      <c r="Z148">
        <v>0.1</v>
      </c>
      <c r="AA148">
        <v>16</v>
      </c>
      <c r="AB148">
        <v>7</v>
      </c>
      <c r="AC148">
        <v>9</v>
      </c>
      <c r="AD148">
        <v>43.75</v>
      </c>
      <c r="AE148">
        <v>13</v>
      </c>
      <c r="AF148">
        <v>5</v>
      </c>
      <c r="AG148">
        <v>5</v>
      </c>
      <c r="AH148">
        <v>6</v>
      </c>
    </row>
    <row r="149" spans="1:34">
      <c r="A149" s="103">
        <v>70</v>
      </c>
      <c r="B149">
        <v>6588</v>
      </c>
      <c r="C149" s="107" t="s">
        <v>955</v>
      </c>
      <c r="D149" s="107" t="s">
        <v>87</v>
      </c>
      <c r="E149">
        <v>4625</v>
      </c>
      <c r="F149">
        <v>4530</v>
      </c>
      <c r="G149">
        <v>100</v>
      </c>
      <c r="H149" s="107" t="s">
        <v>63</v>
      </c>
      <c r="I149">
        <v>9706</v>
      </c>
      <c r="J149" s="107" t="s">
        <v>337</v>
      </c>
      <c r="K149" s="107" t="s">
        <v>114</v>
      </c>
      <c r="L149">
        <v>6000</v>
      </c>
      <c r="M149">
        <v>6020</v>
      </c>
      <c r="N149">
        <v>100</v>
      </c>
      <c r="O149" s="107" t="s">
        <v>61</v>
      </c>
      <c r="P149">
        <v>0.97197631505201998</v>
      </c>
      <c r="Q149">
        <v>0.93172548151716705</v>
      </c>
      <c r="R149">
        <v>7.2797691856133599E-3</v>
      </c>
      <c r="S149">
        <v>6.1282676321059597E-2</v>
      </c>
      <c r="T149">
        <v>0.49261177339893802</v>
      </c>
      <c r="U149">
        <v>0.49261177339893802</v>
      </c>
      <c r="V149">
        <v>2.14</v>
      </c>
      <c r="W149">
        <v>24.75</v>
      </c>
      <c r="X149">
        <v>26767</v>
      </c>
      <c r="Y149">
        <v>2059</v>
      </c>
      <c r="Z149">
        <v>0.15</v>
      </c>
      <c r="AA149">
        <v>13</v>
      </c>
      <c r="AB149">
        <v>8</v>
      </c>
      <c r="AC149">
        <v>5</v>
      </c>
      <c r="AD149">
        <v>61.54</v>
      </c>
      <c r="AE149">
        <v>11</v>
      </c>
      <c r="AF149">
        <v>5</v>
      </c>
      <c r="AG149">
        <v>4</v>
      </c>
      <c r="AH149">
        <v>4</v>
      </c>
    </row>
    <row r="150" spans="1:34">
      <c r="A150" s="103">
        <v>81</v>
      </c>
      <c r="B150">
        <v>4519</v>
      </c>
      <c r="C150" s="107" t="s">
        <v>954</v>
      </c>
      <c r="D150" s="107" t="s">
        <v>136</v>
      </c>
      <c r="E150">
        <v>10025</v>
      </c>
      <c r="F150">
        <v>10040</v>
      </c>
      <c r="G150">
        <v>100</v>
      </c>
      <c r="H150" s="107" t="s">
        <v>63</v>
      </c>
      <c r="I150">
        <v>8425</v>
      </c>
      <c r="J150" s="107" t="s">
        <v>319</v>
      </c>
      <c r="K150" s="107" t="s">
        <v>299</v>
      </c>
      <c r="L150">
        <v>3355</v>
      </c>
      <c r="M150">
        <v>3350</v>
      </c>
      <c r="N150">
        <v>300</v>
      </c>
      <c r="O150" s="107" t="s">
        <v>61</v>
      </c>
      <c r="P150">
        <v>0.93738743825965698</v>
      </c>
      <c r="Q150">
        <v>0.929599691854048</v>
      </c>
      <c r="R150">
        <v>2.4400361172414699E-2</v>
      </c>
      <c r="S150">
        <v>2.1061250552854401E-2</v>
      </c>
      <c r="T150">
        <v>1.2083560150647401</v>
      </c>
      <c r="U150">
        <v>1.2083560150647401</v>
      </c>
      <c r="V150">
        <v>4.8099999999999996</v>
      </c>
      <c r="W150">
        <v>0.1</v>
      </c>
      <c r="X150">
        <v>25042</v>
      </c>
      <c r="Y150">
        <v>1926</v>
      </c>
      <c r="Z150">
        <v>0.5</v>
      </c>
      <c r="AA150">
        <v>13</v>
      </c>
      <c r="AB150">
        <v>8</v>
      </c>
      <c r="AC150">
        <v>5</v>
      </c>
      <c r="AD150">
        <v>61.54</v>
      </c>
      <c r="AE150">
        <v>14</v>
      </c>
      <c r="AF150">
        <v>6</v>
      </c>
      <c r="AG150">
        <v>3</v>
      </c>
      <c r="AH150">
        <v>4</v>
      </c>
    </row>
    <row r="151" spans="1:34">
      <c r="A151" s="103">
        <v>74</v>
      </c>
      <c r="B151">
        <v>6988</v>
      </c>
      <c r="C151" s="107" t="s">
        <v>139</v>
      </c>
      <c r="D151" s="107" t="s">
        <v>62</v>
      </c>
      <c r="E151">
        <v>6350</v>
      </c>
      <c r="F151">
        <v>6410</v>
      </c>
      <c r="G151">
        <v>100</v>
      </c>
      <c r="H151" s="107" t="s">
        <v>61</v>
      </c>
      <c r="I151">
        <v>6995</v>
      </c>
      <c r="J151" s="107" t="s">
        <v>91</v>
      </c>
      <c r="K151" s="107" t="s">
        <v>84</v>
      </c>
      <c r="L151">
        <v>2258</v>
      </c>
      <c r="M151">
        <v>2263</v>
      </c>
      <c r="N151">
        <v>300</v>
      </c>
      <c r="O151" s="107" t="s">
        <v>63</v>
      </c>
      <c r="P151">
        <v>0.94384256358750096</v>
      </c>
      <c r="Q151">
        <v>0.93109007032402502</v>
      </c>
      <c r="R151">
        <v>0.15981911480701899</v>
      </c>
      <c r="S151">
        <v>4.8006567422051297E-2</v>
      </c>
      <c r="T151">
        <v>-1.00212324050803</v>
      </c>
      <c r="U151">
        <v>1.00212324050803</v>
      </c>
      <c r="V151">
        <v>-2.4900000000000002</v>
      </c>
      <c r="W151">
        <v>5.91</v>
      </c>
      <c r="X151">
        <v>22867</v>
      </c>
      <c r="Y151">
        <v>2287</v>
      </c>
      <c r="Z151">
        <v>0.11</v>
      </c>
      <c r="AA151">
        <v>10</v>
      </c>
      <c r="AB151">
        <v>7</v>
      </c>
      <c r="AC151">
        <v>3</v>
      </c>
      <c r="AD151">
        <v>70</v>
      </c>
      <c r="AE151">
        <v>13</v>
      </c>
      <c r="AF151">
        <v>2</v>
      </c>
      <c r="AG151">
        <v>2</v>
      </c>
      <c r="AH151">
        <v>6</v>
      </c>
    </row>
    <row r="152" spans="1:34">
      <c r="A152" s="103">
        <v>196</v>
      </c>
      <c r="B152">
        <v>8425</v>
      </c>
      <c r="C152" s="107" t="s">
        <v>319</v>
      </c>
      <c r="D152" s="107" t="s">
        <v>299</v>
      </c>
      <c r="E152">
        <v>3355</v>
      </c>
      <c r="F152">
        <v>3350</v>
      </c>
      <c r="G152">
        <v>200</v>
      </c>
      <c r="H152" s="107" t="s">
        <v>61</v>
      </c>
      <c r="I152">
        <v>9706</v>
      </c>
      <c r="J152" s="107" t="s">
        <v>337</v>
      </c>
      <c r="K152" s="107" t="s">
        <v>114</v>
      </c>
      <c r="L152">
        <v>6000</v>
      </c>
      <c r="M152">
        <v>6020</v>
      </c>
      <c r="N152">
        <v>100</v>
      </c>
      <c r="O152" s="107" t="s">
        <v>63</v>
      </c>
      <c r="P152">
        <v>0.90083740808309198</v>
      </c>
      <c r="Q152">
        <v>0.90582253681924796</v>
      </c>
      <c r="R152" s="15">
        <v>0.29321352638605402</v>
      </c>
      <c r="S152" s="15">
        <v>8.3842455643544797E-2</v>
      </c>
      <c r="T152">
        <v>-1.31755154277192</v>
      </c>
      <c r="U152">
        <v>1.31755154277192</v>
      </c>
      <c r="V152">
        <v>-8.0299999999999994</v>
      </c>
      <c r="W152">
        <v>11.3</v>
      </c>
      <c r="X152">
        <v>18162</v>
      </c>
      <c r="Y152">
        <v>1397</v>
      </c>
      <c r="Z152">
        <v>0.04</v>
      </c>
      <c r="AA152">
        <v>13</v>
      </c>
      <c r="AB152">
        <v>7</v>
      </c>
      <c r="AC152">
        <v>6</v>
      </c>
      <c r="AD152">
        <v>53.85</v>
      </c>
      <c r="AE152">
        <v>13</v>
      </c>
      <c r="AF152">
        <v>5</v>
      </c>
      <c r="AG152">
        <v>4</v>
      </c>
      <c r="AH152">
        <v>4</v>
      </c>
    </row>
    <row r="153" spans="1:34">
      <c r="A153" s="103">
        <v>203</v>
      </c>
      <c r="B153">
        <v>7259</v>
      </c>
      <c r="C153" s="107" t="s">
        <v>29</v>
      </c>
      <c r="D153" s="107" t="s">
        <v>84</v>
      </c>
      <c r="E153">
        <v>4260</v>
      </c>
      <c r="F153">
        <v>4265</v>
      </c>
      <c r="G153">
        <v>200</v>
      </c>
      <c r="H153" s="107" t="s">
        <v>63</v>
      </c>
      <c r="I153">
        <v>8316</v>
      </c>
      <c r="J153" s="107" t="s">
        <v>1275</v>
      </c>
      <c r="K153" s="107" t="s">
        <v>82</v>
      </c>
      <c r="L153">
        <v>4029</v>
      </c>
      <c r="M153">
        <v>4056</v>
      </c>
      <c r="N153">
        <v>200</v>
      </c>
      <c r="O153" s="107" t="s">
        <v>61</v>
      </c>
      <c r="P153">
        <v>0.912052058935097</v>
      </c>
      <c r="Q153">
        <v>0.90491017430976095</v>
      </c>
      <c r="R153" s="107">
        <v>0.216114935868844</v>
      </c>
      <c r="S153" s="15">
        <v>4.7372051285209998E-3</v>
      </c>
      <c r="T153">
        <v>0.93506317872290401</v>
      </c>
      <c r="U153">
        <v>0.93506317872290401</v>
      </c>
      <c r="V153">
        <v>5.89</v>
      </c>
      <c r="W153">
        <v>4.9000000000000004</v>
      </c>
      <c r="X153">
        <v>16481</v>
      </c>
      <c r="Y153">
        <v>2747</v>
      </c>
      <c r="Z153">
        <v>0.23</v>
      </c>
      <c r="AA153">
        <v>6</v>
      </c>
      <c r="AB153">
        <v>3</v>
      </c>
      <c r="AC153">
        <v>3</v>
      </c>
      <c r="AD153">
        <v>50</v>
      </c>
      <c r="AE153">
        <v>12</v>
      </c>
      <c r="AF153">
        <v>3</v>
      </c>
      <c r="AG153">
        <v>1</v>
      </c>
      <c r="AH153">
        <v>2</v>
      </c>
    </row>
    <row r="154" spans="1:34">
      <c r="A154" s="103">
        <v>158</v>
      </c>
      <c r="B154">
        <v>5991</v>
      </c>
      <c r="C154" s="107" t="s">
        <v>115</v>
      </c>
      <c r="D154" s="107" t="s">
        <v>116</v>
      </c>
      <c r="E154">
        <v>1021</v>
      </c>
      <c r="F154">
        <v>1021</v>
      </c>
      <c r="G154">
        <v>900</v>
      </c>
      <c r="H154" s="107" t="s">
        <v>63</v>
      </c>
      <c r="I154">
        <v>7327</v>
      </c>
      <c r="J154" s="107" t="s">
        <v>141</v>
      </c>
      <c r="K154" s="107" t="s">
        <v>82</v>
      </c>
      <c r="L154">
        <v>3095</v>
      </c>
      <c r="M154">
        <v>3140</v>
      </c>
      <c r="N154">
        <v>300</v>
      </c>
      <c r="O154" s="107" t="s">
        <v>61</v>
      </c>
      <c r="P154">
        <v>0.96260724293773603</v>
      </c>
      <c r="Q154">
        <v>0.91097438339078296</v>
      </c>
      <c r="R154">
        <v>1.3055140497727699E-3</v>
      </c>
      <c r="S154" s="15">
        <v>5.5807798171897002E-2</v>
      </c>
      <c r="T154">
        <v>0.65887405228746498</v>
      </c>
      <c r="U154">
        <v>0.65887405228746498</v>
      </c>
      <c r="V154">
        <v>2.2599999999999998</v>
      </c>
      <c r="W154">
        <v>2.4500000000000002</v>
      </c>
      <c r="X154">
        <v>15458</v>
      </c>
      <c r="Y154">
        <v>5153</v>
      </c>
      <c r="Z154">
        <v>0.2</v>
      </c>
      <c r="AA154">
        <v>3</v>
      </c>
      <c r="AB154">
        <v>2</v>
      </c>
      <c r="AC154">
        <v>1</v>
      </c>
      <c r="AD154">
        <v>66.67</v>
      </c>
      <c r="AE154">
        <v>16</v>
      </c>
      <c r="AF154">
        <v>0</v>
      </c>
      <c r="AG154">
        <v>0</v>
      </c>
      <c r="AH154">
        <v>3</v>
      </c>
    </row>
    <row r="155" spans="1:34">
      <c r="A155" s="103">
        <v>128</v>
      </c>
      <c r="B155">
        <v>4204</v>
      </c>
      <c r="C155" s="107" t="s">
        <v>324</v>
      </c>
      <c r="D155" s="107" t="s">
        <v>62</v>
      </c>
      <c r="E155">
        <v>1941</v>
      </c>
      <c r="F155">
        <v>1926</v>
      </c>
      <c r="G155">
        <v>600</v>
      </c>
      <c r="H155" s="107" t="s">
        <v>61</v>
      </c>
      <c r="I155">
        <v>5393</v>
      </c>
      <c r="J155" s="107" t="s">
        <v>333</v>
      </c>
      <c r="K155" s="107" t="s">
        <v>106</v>
      </c>
      <c r="L155">
        <v>2749</v>
      </c>
      <c r="M155">
        <v>2736</v>
      </c>
      <c r="N155">
        <v>400</v>
      </c>
      <c r="O155" s="107" t="s">
        <v>63</v>
      </c>
      <c r="P155">
        <v>0.94124635243265697</v>
      </c>
      <c r="Q155">
        <v>0.91710072873819704</v>
      </c>
      <c r="R155">
        <v>0.187867168250095</v>
      </c>
      <c r="S155">
        <v>1.59156197701656E-2</v>
      </c>
      <c r="T155">
        <v>-1.66643453938918</v>
      </c>
      <c r="U155">
        <v>1.66643453938918</v>
      </c>
      <c r="V155">
        <v>-17.07</v>
      </c>
      <c r="W155">
        <v>5.59</v>
      </c>
      <c r="X155">
        <v>13258</v>
      </c>
      <c r="Y155">
        <v>698</v>
      </c>
      <c r="Z155">
        <v>0.02</v>
      </c>
      <c r="AA155">
        <v>19</v>
      </c>
      <c r="AB155">
        <v>8</v>
      </c>
      <c r="AC155">
        <v>11</v>
      </c>
      <c r="AD155">
        <v>42.11</v>
      </c>
      <c r="AE155">
        <v>13</v>
      </c>
      <c r="AF155">
        <v>6</v>
      </c>
      <c r="AG155">
        <v>4</v>
      </c>
      <c r="AH155">
        <v>9</v>
      </c>
    </row>
    <row r="156" spans="1:34">
      <c r="A156" s="103">
        <v>144</v>
      </c>
      <c r="B156">
        <v>3291</v>
      </c>
      <c r="C156" s="107" t="s">
        <v>113</v>
      </c>
      <c r="D156" s="107" t="s">
        <v>114</v>
      </c>
      <c r="E156">
        <v>1943</v>
      </c>
      <c r="F156">
        <v>1921</v>
      </c>
      <c r="G156">
        <v>500</v>
      </c>
      <c r="H156" s="107" t="s">
        <v>61</v>
      </c>
      <c r="I156">
        <v>8601</v>
      </c>
      <c r="J156" s="107" t="s">
        <v>27</v>
      </c>
      <c r="K156" s="107" t="s">
        <v>959</v>
      </c>
      <c r="L156">
        <v>556.79999999999995</v>
      </c>
      <c r="M156">
        <v>551.29999999999995</v>
      </c>
      <c r="N156">
        <v>1700</v>
      </c>
      <c r="O156" s="107" t="s">
        <v>63</v>
      </c>
      <c r="P156">
        <v>0.95871955540839904</v>
      </c>
      <c r="Q156">
        <v>0.91459547866055901</v>
      </c>
      <c r="R156">
        <v>1.01520791458365E-4</v>
      </c>
      <c r="S156" s="15">
        <v>0.21119479080687301</v>
      </c>
      <c r="T156">
        <v>-1.5087618559689799</v>
      </c>
      <c r="U156">
        <v>1.5087618559689799</v>
      </c>
      <c r="V156">
        <v>-2.23</v>
      </c>
      <c r="W156">
        <v>2.42</v>
      </c>
      <c r="X156">
        <v>12422</v>
      </c>
      <c r="Y156">
        <v>731</v>
      </c>
      <c r="Z156">
        <v>0.05</v>
      </c>
      <c r="AA156">
        <v>17</v>
      </c>
      <c r="AB156">
        <v>10</v>
      </c>
      <c r="AC156">
        <v>7</v>
      </c>
      <c r="AD156">
        <v>58.82</v>
      </c>
      <c r="AE156">
        <v>15</v>
      </c>
      <c r="AF156">
        <v>3</v>
      </c>
      <c r="AG156">
        <v>1</v>
      </c>
      <c r="AH156">
        <v>13</v>
      </c>
    </row>
    <row r="157" spans="1:34">
      <c r="A157" s="103">
        <v>89</v>
      </c>
      <c r="B157">
        <v>5991</v>
      </c>
      <c r="C157" s="107" t="s">
        <v>115</v>
      </c>
      <c r="D157" s="107" t="s">
        <v>116</v>
      </c>
      <c r="E157">
        <v>1021</v>
      </c>
      <c r="F157">
        <v>1021</v>
      </c>
      <c r="G157">
        <v>1000</v>
      </c>
      <c r="H157" s="107" t="s">
        <v>63</v>
      </c>
      <c r="I157">
        <v>8002</v>
      </c>
      <c r="J157" s="107" t="s">
        <v>31</v>
      </c>
      <c r="K157" s="107" t="s">
        <v>101</v>
      </c>
      <c r="L157">
        <v>834.9</v>
      </c>
      <c r="M157">
        <v>837.7</v>
      </c>
      <c r="N157">
        <v>1200</v>
      </c>
      <c r="O157" s="107" t="s">
        <v>61</v>
      </c>
      <c r="P157">
        <v>0.96543541879859396</v>
      </c>
      <c r="Q157">
        <v>0.927222474303532</v>
      </c>
      <c r="R157" s="107">
        <v>0.30252261135299602</v>
      </c>
      <c r="S157">
        <v>2.3864863283444698E-2</v>
      </c>
      <c r="T157">
        <v>1.4177446439668699</v>
      </c>
      <c r="U157">
        <v>1.4177446439668699</v>
      </c>
      <c r="V157">
        <v>4.6100000000000003</v>
      </c>
      <c r="W157">
        <v>1.54</v>
      </c>
      <c r="X157">
        <v>10934</v>
      </c>
      <c r="Y157">
        <v>643</v>
      </c>
      <c r="Z157">
        <v>0.05</v>
      </c>
      <c r="AA157">
        <v>17</v>
      </c>
      <c r="AB157">
        <v>8</v>
      </c>
      <c r="AC157">
        <v>9</v>
      </c>
      <c r="AD157">
        <v>47.06</v>
      </c>
      <c r="AE157">
        <v>14</v>
      </c>
      <c r="AF157">
        <v>5</v>
      </c>
      <c r="AG157">
        <v>3</v>
      </c>
      <c r="AH157">
        <v>9</v>
      </c>
    </row>
    <row r="158" spans="1:34">
      <c r="A158" s="103">
        <v>111</v>
      </c>
      <c r="B158">
        <v>6755</v>
      </c>
      <c r="C158" s="107" t="s">
        <v>1274</v>
      </c>
      <c r="D158" s="107" t="s">
        <v>87</v>
      </c>
      <c r="E158">
        <v>2362</v>
      </c>
      <c r="F158">
        <v>2350</v>
      </c>
      <c r="G158">
        <v>400</v>
      </c>
      <c r="H158" s="107" t="s">
        <v>63</v>
      </c>
      <c r="I158">
        <v>9934</v>
      </c>
      <c r="J158" s="107" t="s">
        <v>950</v>
      </c>
      <c r="K158" s="107" t="s">
        <v>101</v>
      </c>
      <c r="L158">
        <v>2850</v>
      </c>
      <c r="M158">
        <v>2830</v>
      </c>
      <c r="N158">
        <v>300</v>
      </c>
      <c r="O158" s="107" t="s">
        <v>61</v>
      </c>
      <c r="P158">
        <v>0.95163591519959201</v>
      </c>
      <c r="Q158">
        <v>0.92172391638649498</v>
      </c>
      <c r="R158" s="15">
        <v>1.64124693509669E-3</v>
      </c>
      <c r="S158" s="15">
        <v>1.19465041394132E-3</v>
      </c>
      <c r="T158">
        <v>1.97069546350646</v>
      </c>
      <c r="U158">
        <v>1.97069546350646</v>
      </c>
      <c r="V158">
        <v>8.25</v>
      </c>
      <c r="W158">
        <v>10.72</v>
      </c>
      <c r="X158">
        <v>6683</v>
      </c>
      <c r="Y158">
        <v>446</v>
      </c>
      <c r="Z158">
        <v>0.03</v>
      </c>
      <c r="AA158">
        <v>15</v>
      </c>
      <c r="AB158">
        <v>7</v>
      </c>
      <c r="AC158">
        <v>8</v>
      </c>
      <c r="AD158">
        <v>46.67</v>
      </c>
      <c r="AE158">
        <v>14</v>
      </c>
      <c r="AF158">
        <v>4</v>
      </c>
      <c r="AG158">
        <v>2</v>
      </c>
      <c r="AH158">
        <v>9</v>
      </c>
    </row>
    <row r="159" spans="1:34">
      <c r="A159" s="103">
        <v>143</v>
      </c>
      <c r="B159">
        <v>6448</v>
      </c>
      <c r="C159" s="107" t="s">
        <v>961</v>
      </c>
      <c r="D159" s="107" t="s">
        <v>87</v>
      </c>
      <c r="E159">
        <v>2335</v>
      </c>
      <c r="F159">
        <v>2339</v>
      </c>
      <c r="G159">
        <v>400</v>
      </c>
      <c r="H159" s="107" t="s">
        <v>63</v>
      </c>
      <c r="I159">
        <v>6965</v>
      </c>
      <c r="J159" s="107" t="s">
        <v>962</v>
      </c>
      <c r="K159" s="107" t="s">
        <v>87</v>
      </c>
      <c r="L159">
        <v>4610</v>
      </c>
      <c r="M159">
        <v>4630</v>
      </c>
      <c r="N159">
        <v>200</v>
      </c>
      <c r="O159" s="107" t="s">
        <v>61</v>
      </c>
      <c r="P159">
        <v>0.94852201642225797</v>
      </c>
      <c r="Q159">
        <v>0.91461224259606999</v>
      </c>
      <c r="R159">
        <v>1.9452833097183202E-2</v>
      </c>
      <c r="S159">
        <v>2.2771853327597701E-2</v>
      </c>
      <c r="T159">
        <v>0.97396323801768103</v>
      </c>
      <c r="U159">
        <v>0.97396323801768103</v>
      </c>
      <c r="V159">
        <v>2.19</v>
      </c>
      <c r="W159">
        <v>1.04</v>
      </c>
      <c r="X159">
        <v>5132</v>
      </c>
      <c r="Y159">
        <v>321</v>
      </c>
      <c r="Z159">
        <v>0.05</v>
      </c>
      <c r="AA159">
        <v>16</v>
      </c>
      <c r="AB159">
        <v>9</v>
      </c>
      <c r="AC159">
        <v>7</v>
      </c>
      <c r="AD159">
        <v>56.25</v>
      </c>
      <c r="AE159">
        <v>13</v>
      </c>
      <c r="AF159">
        <v>4</v>
      </c>
      <c r="AG159">
        <v>4</v>
      </c>
      <c r="AH159">
        <v>8</v>
      </c>
    </row>
    <row r="160" spans="1:34">
      <c r="A160" s="103">
        <v>71</v>
      </c>
      <c r="B160">
        <v>5233</v>
      </c>
      <c r="C160" s="107" t="s">
        <v>143</v>
      </c>
      <c r="D160" s="107" t="s">
        <v>106</v>
      </c>
      <c r="E160">
        <v>3410</v>
      </c>
      <c r="F160">
        <v>3355</v>
      </c>
      <c r="G160">
        <v>300</v>
      </c>
      <c r="H160" s="107" t="s">
        <v>61</v>
      </c>
      <c r="I160">
        <v>7327</v>
      </c>
      <c r="J160" s="107" t="s">
        <v>141</v>
      </c>
      <c r="K160" s="107" t="s">
        <v>82</v>
      </c>
      <c r="L160">
        <v>3095</v>
      </c>
      <c r="M160">
        <v>3140</v>
      </c>
      <c r="N160">
        <v>300</v>
      </c>
      <c r="O160" s="107" t="s">
        <v>63</v>
      </c>
      <c r="P160">
        <v>0.91189941913605899</v>
      </c>
      <c r="Q160">
        <v>0.93150767200176698</v>
      </c>
      <c r="R160">
        <v>0.207471288514087</v>
      </c>
      <c r="S160" s="15">
        <v>3.8814123378952698E-3</v>
      </c>
      <c r="T160">
        <v>-1.1106769692313201</v>
      </c>
      <c r="U160">
        <v>1.1106769692313201</v>
      </c>
      <c r="V160">
        <v>-2.8</v>
      </c>
      <c r="W160">
        <v>6.41</v>
      </c>
      <c r="X160">
        <v>4195</v>
      </c>
      <c r="Y160">
        <v>2098</v>
      </c>
      <c r="Z160">
        <v>-0.01</v>
      </c>
      <c r="AA160">
        <v>2</v>
      </c>
      <c r="AB160">
        <v>1</v>
      </c>
      <c r="AC160">
        <v>1</v>
      </c>
      <c r="AD160">
        <v>50</v>
      </c>
      <c r="AE160">
        <v>10</v>
      </c>
      <c r="AF160">
        <v>1</v>
      </c>
      <c r="AG160">
        <v>1</v>
      </c>
      <c r="AH160">
        <v>0</v>
      </c>
    </row>
    <row r="161" spans="1:34">
      <c r="A161" s="103">
        <v>117</v>
      </c>
      <c r="B161">
        <v>1928</v>
      </c>
      <c r="C161" s="107" t="s">
        <v>302</v>
      </c>
      <c r="D161" s="107" t="s">
        <v>78</v>
      </c>
      <c r="E161">
        <v>2401</v>
      </c>
      <c r="F161">
        <v>2369.5</v>
      </c>
      <c r="G161">
        <v>400</v>
      </c>
      <c r="H161" s="107" t="s">
        <v>63</v>
      </c>
      <c r="I161">
        <v>4996</v>
      </c>
      <c r="J161" s="107" t="s">
        <v>328</v>
      </c>
      <c r="K161" s="107" t="s">
        <v>62</v>
      </c>
      <c r="L161">
        <v>1015</v>
      </c>
      <c r="M161">
        <v>1035</v>
      </c>
      <c r="N161">
        <v>900</v>
      </c>
      <c r="O161" s="107" t="s">
        <v>61</v>
      </c>
      <c r="P161">
        <v>0.90537778367468802</v>
      </c>
      <c r="Q161">
        <v>0.92043563279155505</v>
      </c>
      <c r="R161">
        <v>4.3285086976500402E-2</v>
      </c>
      <c r="S161">
        <v>0.16309351623347099</v>
      </c>
      <c r="T161">
        <v>0.32192454461505798</v>
      </c>
      <c r="U161">
        <v>0.32192454461505798</v>
      </c>
      <c r="V161">
        <v>1.36</v>
      </c>
      <c r="W161">
        <v>1.72</v>
      </c>
      <c r="X161">
        <v>3393</v>
      </c>
      <c r="Y161">
        <v>242</v>
      </c>
      <c r="Z161">
        <v>-0.03</v>
      </c>
      <c r="AA161">
        <v>14</v>
      </c>
      <c r="AB161">
        <v>8</v>
      </c>
      <c r="AC161">
        <v>6</v>
      </c>
      <c r="AD161">
        <v>57.14</v>
      </c>
      <c r="AE161">
        <v>12</v>
      </c>
      <c r="AF161">
        <v>6</v>
      </c>
      <c r="AG161">
        <v>3</v>
      </c>
      <c r="AH161">
        <v>5</v>
      </c>
    </row>
    <row r="162" spans="1:34">
      <c r="A162" s="103">
        <v>216</v>
      </c>
      <c r="B162">
        <v>5802</v>
      </c>
      <c r="C162" s="107" t="s">
        <v>131</v>
      </c>
      <c r="D162" s="107" t="s">
        <v>132</v>
      </c>
      <c r="E162">
        <v>1688.5</v>
      </c>
      <c r="F162">
        <v>1690.5</v>
      </c>
      <c r="G162">
        <v>600</v>
      </c>
      <c r="H162" s="107" t="s">
        <v>61</v>
      </c>
      <c r="I162">
        <v>6770</v>
      </c>
      <c r="J162" s="107" t="s">
        <v>26</v>
      </c>
      <c r="K162" s="107" t="s">
        <v>87</v>
      </c>
      <c r="L162">
        <v>2628</v>
      </c>
      <c r="M162">
        <v>2609</v>
      </c>
      <c r="N162">
        <v>400</v>
      </c>
      <c r="O162" s="107" t="s">
        <v>63</v>
      </c>
      <c r="P162">
        <v>0.96459999920539796</v>
      </c>
      <c r="Q162">
        <v>0.90231646715319802</v>
      </c>
      <c r="R162" s="15">
        <v>6.5021183699934898E-2</v>
      </c>
      <c r="S162">
        <v>0.176999469943103</v>
      </c>
      <c r="T162">
        <v>-0.88751884647367296</v>
      </c>
      <c r="U162">
        <v>0.88751884647367296</v>
      </c>
      <c r="V162">
        <v>-2.65</v>
      </c>
      <c r="W162">
        <v>2.81</v>
      </c>
      <c r="X162">
        <v>2858</v>
      </c>
      <c r="Y162">
        <v>179</v>
      </c>
      <c r="Z162">
        <v>0.09</v>
      </c>
      <c r="AA162">
        <v>16</v>
      </c>
      <c r="AB162">
        <v>7</v>
      </c>
      <c r="AC162">
        <v>9</v>
      </c>
      <c r="AD162">
        <v>43.75</v>
      </c>
      <c r="AE162">
        <v>14</v>
      </c>
      <c r="AF162">
        <v>5</v>
      </c>
      <c r="AG162">
        <v>4</v>
      </c>
      <c r="AH162">
        <v>7</v>
      </c>
    </row>
    <row r="163" spans="1:34">
      <c r="A163" s="103">
        <v>15</v>
      </c>
      <c r="B163">
        <v>3110</v>
      </c>
      <c r="C163" s="107" t="s">
        <v>1305</v>
      </c>
      <c r="D163" s="107" t="s">
        <v>106</v>
      </c>
      <c r="E163">
        <v>4260</v>
      </c>
      <c r="F163">
        <v>4220</v>
      </c>
      <c r="G163">
        <v>200</v>
      </c>
      <c r="H163" s="107" t="s">
        <v>63</v>
      </c>
      <c r="I163">
        <v>6702</v>
      </c>
      <c r="J163" s="107" t="s">
        <v>332</v>
      </c>
      <c r="K163" s="107" t="s">
        <v>87</v>
      </c>
      <c r="L163">
        <v>10200</v>
      </c>
      <c r="M163">
        <v>10055</v>
      </c>
      <c r="N163">
        <v>100</v>
      </c>
      <c r="O163" s="107" t="s">
        <v>61</v>
      </c>
      <c r="P163">
        <v>0.90195011552031201</v>
      </c>
      <c r="Q163">
        <v>0.95385138657406798</v>
      </c>
      <c r="R163">
        <v>0.113201435557001</v>
      </c>
      <c r="S163" s="15">
        <v>4.8857081169658596E-3</v>
      </c>
      <c r="T163">
        <v>2.0057968172499598</v>
      </c>
      <c r="U163">
        <v>2.0057968172499598</v>
      </c>
      <c r="V163">
        <v>11.11</v>
      </c>
      <c r="W163">
        <v>16.059999999999999</v>
      </c>
      <c r="X163">
        <v>2720</v>
      </c>
      <c r="Y163">
        <v>194</v>
      </c>
      <c r="Z163">
        <v>0.14000000000000001</v>
      </c>
      <c r="AA163">
        <v>14</v>
      </c>
      <c r="AB163">
        <v>6</v>
      </c>
      <c r="AC163">
        <v>8</v>
      </c>
      <c r="AD163">
        <v>42.86</v>
      </c>
      <c r="AE163">
        <v>9</v>
      </c>
      <c r="AF163">
        <v>5</v>
      </c>
      <c r="AG163">
        <v>6</v>
      </c>
      <c r="AH163">
        <v>3</v>
      </c>
    </row>
    <row r="164" spans="1:34">
      <c r="A164" s="103">
        <v>179</v>
      </c>
      <c r="B164">
        <v>4183</v>
      </c>
      <c r="C164" s="107" t="s">
        <v>301</v>
      </c>
      <c r="D164" s="107" t="s">
        <v>62</v>
      </c>
      <c r="E164">
        <v>2790</v>
      </c>
      <c r="F164">
        <v>2776</v>
      </c>
      <c r="G164">
        <v>300</v>
      </c>
      <c r="H164" s="107" t="s">
        <v>61</v>
      </c>
      <c r="I164">
        <v>7762</v>
      </c>
      <c r="J164" s="107" t="s">
        <v>107</v>
      </c>
      <c r="K164" s="107" t="s">
        <v>93</v>
      </c>
      <c r="L164">
        <v>625</v>
      </c>
      <c r="M164">
        <v>617</v>
      </c>
      <c r="N164">
        <v>1300</v>
      </c>
      <c r="O164" s="107" t="s">
        <v>63</v>
      </c>
      <c r="P164">
        <v>0.90757372066313502</v>
      </c>
      <c r="Q164">
        <v>0.90752354842489502</v>
      </c>
      <c r="R164">
        <v>0.146121878889548</v>
      </c>
      <c r="S164">
        <v>6.2677871653095598E-3</v>
      </c>
      <c r="T164">
        <v>-0.195187556849649</v>
      </c>
      <c r="U164">
        <v>0.195187556849649</v>
      </c>
      <c r="V164">
        <v>-0.46</v>
      </c>
      <c r="W164">
        <v>3.69</v>
      </c>
      <c r="X164">
        <v>760</v>
      </c>
      <c r="Y164">
        <v>54</v>
      </c>
      <c r="Z164">
        <v>-0.05</v>
      </c>
      <c r="AA164">
        <v>14</v>
      </c>
      <c r="AB164">
        <v>8</v>
      </c>
      <c r="AC164">
        <v>6</v>
      </c>
      <c r="AD164">
        <v>57.14</v>
      </c>
      <c r="AE164">
        <v>15</v>
      </c>
      <c r="AF164">
        <v>3</v>
      </c>
      <c r="AG164">
        <v>4</v>
      </c>
      <c r="AH164">
        <v>7</v>
      </c>
    </row>
    <row r="165" spans="1:34">
      <c r="A165" s="103">
        <v>132</v>
      </c>
      <c r="B165">
        <v>2175</v>
      </c>
      <c r="C165" s="107" t="s">
        <v>327</v>
      </c>
      <c r="D165" s="107" t="s">
        <v>120</v>
      </c>
      <c r="E165">
        <v>3035</v>
      </c>
      <c r="F165">
        <v>3000</v>
      </c>
      <c r="G165">
        <v>300</v>
      </c>
      <c r="H165" s="107" t="s">
        <v>61</v>
      </c>
      <c r="I165">
        <v>6098</v>
      </c>
      <c r="J165" s="107" t="s">
        <v>339</v>
      </c>
      <c r="K165" s="107" t="s">
        <v>120</v>
      </c>
      <c r="L165">
        <v>4053</v>
      </c>
      <c r="M165">
        <v>4103</v>
      </c>
      <c r="N165">
        <v>200</v>
      </c>
      <c r="O165" s="107" t="s">
        <v>63</v>
      </c>
      <c r="P165">
        <v>0.95094601854650895</v>
      </c>
      <c r="Q165">
        <v>0.91669950178884896</v>
      </c>
      <c r="R165" s="15">
        <v>7.1789131479088396E-7</v>
      </c>
      <c r="S165">
        <v>4.6072710511244001E-2</v>
      </c>
      <c r="T165">
        <v>-1.59515283610203</v>
      </c>
      <c r="U165">
        <v>1.59515283610203</v>
      </c>
      <c r="V165">
        <v>-5.29</v>
      </c>
      <c r="W165">
        <v>9.68</v>
      </c>
      <c r="X165">
        <v>-1755</v>
      </c>
      <c r="Y165">
        <v>-103</v>
      </c>
      <c r="Z165">
        <v>0.05</v>
      </c>
      <c r="AA165">
        <v>17</v>
      </c>
      <c r="AB165">
        <v>9</v>
      </c>
      <c r="AC165">
        <v>8</v>
      </c>
      <c r="AD165">
        <v>52.94</v>
      </c>
      <c r="AE165">
        <v>10</v>
      </c>
      <c r="AF165">
        <v>8</v>
      </c>
      <c r="AG165">
        <v>5</v>
      </c>
      <c r="AH165">
        <v>4</v>
      </c>
    </row>
    <row r="166" spans="1:34">
      <c r="A166" s="103">
        <v>122</v>
      </c>
      <c r="B166">
        <v>4208</v>
      </c>
      <c r="C166" s="107" t="s">
        <v>98</v>
      </c>
      <c r="D166" s="107" t="s">
        <v>62</v>
      </c>
      <c r="E166">
        <v>2459</v>
      </c>
      <c r="F166">
        <v>2479</v>
      </c>
      <c r="G166">
        <v>400</v>
      </c>
      <c r="H166" s="107" t="s">
        <v>61</v>
      </c>
      <c r="I166">
        <v>5991</v>
      </c>
      <c r="J166" s="107" t="s">
        <v>115</v>
      </c>
      <c r="K166" s="107" t="s">
        <v>116</v>
      </c>
      <c r="L166">
        <v>1021</v>
      </c>
      <c r="M166">
        <v>1021</v>
      </c>
      <c r="N166">
        <v>1000</v>
      </c>
      <c r="O166" s="107" t="s">
        <v>63</v>
      </c>
      <c r="P166">
        <v>0.90986916982509003</v>
      </c>
      <c r="Q166">
        <v>0.91808182654296</v>
      </c>
      <c r="R166" s="15">
        <v>0.24824439720911901</v>
      </c>
      <c r="S166">
        <v>2.6973982347470001E-2</v>
      </c>
      <c r="T166">
        <v>-1.1766165517988401</v>
      </c>
      <c r="U166">
        <v>1.1766165517988401</v>
      </c>
      <c r="V166">
        <v>-5.72</v>
      </c>
      <c r="W166">
        <v>2.96</v>
      </c>
      <c r="X166">
        <v>-2779</v>
      </c>
      <c r="Y166">
        <v>-174</v>
      </c>
      <c r="Z166">
        <v>-0.06</v>
      </c>
      <c r="AA166">
        <v>16</v>
      </c>
      <c r="AB166">
        <v>8</v>
      </c>
      <c r="AC166">
        <v>8</v>
      </c>
      <c r="AD166">
        <v>50</v>
      </c>
      <c r="AE166">
        <v>12</v>
      </c>
      <c r="AF166">
        <v>6</v>
      </c>
      <c r="AG166">
        <v>4</v>
      </c>
      <c r="AH166">
        <v>6</v>
      </c>
    </row>
    <row r="167" spans="1:34">
      <c r="A167" s="103">
        <v>199</v>
      </c>
      <c r="B167">
        <v>8306</v>
      </c>
      <c r="C167" s="107" t="s">
        <v>144</v>
      </c>
      <c r="D167" s="107" t="s">
        <v>82</v>
      </c>
      <c r="E167">
        <v>590</v>
      </c>
      <c r="F167">
        <v>595.70000000000005</v>
      </c>
      <c r="G167">
        <v>1800</v>
      </c>
      <c r="H167" s="107" t="s">
        <v>63</v>
      </c>
      <c r="I167">
        <v>8411</v>
      </c>
      <c r="J167" s="107" t="s">
        <v>121</v>
      </c>
      <c r="K167" s="107" t="s">
        <v>82</v>
      </c>
      <c r="L167">
        <v>169.2</v>
      </c>
      <c r="M167">
        <v>170.7</v>
      </c>
      <c r="N167">
        <v>6300</v>
      </c>
      <c r="O167" s="107" t="s">
        <v>61</v>
      </c>
      <c r="P167">
        <v>0.93360688554522098</v>
      </c>
      <c r="Q167">
        <v>0.905401997467561</v>
      </c>
      <c r="R167">
        <v>0.14212168881260201</v>
      </c>
      <c r="S167">
        <v>0.15342205585340299</v>
      </c>
      <c r="T167">
        <v>2.17366951874402</v>
      </c>
      <c r="U167">
        <v>2.17366951874402</v>
      </c>
      <c r="V167">
        <v>3.69</v>
      </c>
      <c r="W167">
        <v>0.28999999999999998</v>
      </c>
      <c r="X167">
        <v>-2779</v>
      </c>
      <c r="Y167">
        <v>-154</v>
      </c>
      <c r="Z167">
        <v>0</v>
      </c>
      <c r="AA167">
        <v>18</v>
      </c>
      <c r="AB167">
        <v>8</v>
      </c>
      <c r="AC167">
        <v>10</v>
      </c>
      <c r="AD167">
        <v>44.44</v>
      </c>
      <c r="AE167">
        <v>17</v>
      </c>
      <c r="AF167">
        <v>2</v>
      </c>
      <c r="AG167">
        <v>0</v>
      </c>
      <c r="AH167">
        <v>16</v>
      </c>
    </row>
    <row r="168" spans="1:34">
      <c r="A168" s="103">
        <v>98</v>
      </c>
      <c r="B168">
        <v>4183</v>
      </c>
      <c r="C168" s="107" t="s">
        <v>301</v>
      </c>
      <c r="D168" s="107" t="s">
        <v>62</v>
      </c>
      <c r="E168">
        <v>2790</v>
      </c>
      <c r="F168">
        <v>2776</v>
      </c>
      <c r="G168">
        <v>300</v>
      </c>
      <c r="H168" s="107" t="s">
        <v>63</v>
      </c>
      <c r="I168">
        <v>6301</v>
      </c>
      <c r="J168" s="107" t="s">
        <v>109</v>
      </c>
      <c r="K168" s="107" t="s">
        <v>99</v>
      </c>
      <c r="L168">
        <v>2755</v>
      </c>
      <c r="M168">
        <v>2740</v>
      </c>
      <c r="N168">
        <v>300</v>
      </c>
      <c r="O168" s="107" t="s">
        <v>61</v>
      </c>
      <c r="P168">
        <v>0.90720543908860096</v>
      </c>
      <c r="Q168">
        <v>0.92527651423038604</v>
      </c>
      <c r="R168">
        <v>0.224397984386596</v>
      </c>
      <c r="S168">
        <v>1.2714438587966899E-3</v>
      </c>
      <c r="T168">
        <v>0.13766102255542001</v>
      </c>
      <c r="U168">
        <v>0.13766102255542001</v>
      </c>
      <c r="V168">
        <v>0.23</v>
      </c>
      <c r="W168">
        <v>1.3</v>
      </c>
      <c r="X168">
        <v>-3844</v>
      </c>
      <c r="Y168">
        <v>-384</v>
      </c>
      <c r="Z168">
        <v>0.04</v>
      </c>
      <c r="AA168">
        <v>10</v>
      </c>
      <c r="AB168">
        <v>6</v>
      </c>
      <c r="AC168">
        <v>4</v>
      </c>
      <c r="AD168">
        <v>60</v>
      </c>
      <c r="AE168">
        <v>15</v>
      </c>
      <c r="AF168">
        <v>1</v>
      </c>
      <c r="AG168">
        <v>1</v>
      </c>
      <c r="AH168">
        <v>8</v>
      </c>
    </row>
    <row r="169" spans="1:34">
      <c r="A169" s="103">
        <v>1</v>
      </c>
      <c r="B169">
        <v>6995</v>
      </c>
      <c r="C169" s="107" t="s">
        <v>91</v>
      </c>
      <c r="D169" s="107" t="s">
        <v>84</v>
      </c>
      <c r="E169">
        <v>2258</v>
      </c>
      <c r="F169">
        <v>2263</v>
      </c>
      <c r="G169">
        <v>400</v>
      </c>
      <c r="H169" s="107" t="s">
        <v>61</v>
      </c>
      <c r="I169">
        <v>7282</v>
      </c>
      <c r="J169" s="107" t="s">
        <v>953</v>
      </c>
      <c r="K169" s="107" t="s">
        <v>84</v>
      </c>
      <c r="L169">
        <v>2801</v>
      </c>
      <c r="M169">
        <v>2798</v>
      </c>
      <c r="N169">
        <v>300</v>
      </c>
      <c r="O169" s="107" t="s">
        <v>63</v>
      </c>
      <c r="P169">
        <v>0.988967158538401</v>
      </c>
      <c r="Q169">
        <v>0.97297079020128996</v>
      </c>
      <c r="R169">
        <v>1.45801376255496E-2</v>
      </c>
      <c r="S169">
        <v>3.426867181601E-3</v>
      </c>
      <c r="T169">
        <v>-1.72617065127487</v>
      </c>
      <c r="U169">
        <v>1.72617065127487</v>
      </c>
      <c r="V169">
        <v>-3.75</v>
      </c>
      <c r="W169">
        <v>7.84</v>
      </c>
      <c r="X169">
        <v>-4300</v>
      </c>
      <c r="Y169">
        <v>-287</v>
      </c>
      <c r="Z169">
        <v>-0.08</v>
      </c>
      <c r="AA169">
        <v>15</v>
      </c>
      <c r="AB169">
        <v>7</v>
      </c>
      <c r="AC169">
        <v>8</v>
      </c>
      <c r="AD169">
        <v>46.67</v>
      </c>
      <c r="AE169">
        <v>13</v>
      </c>
      <c r="AF169">
        <v>3</v>
      </c>
      <c r="AG169">
        <v>2</v>
      </c>
      <c r="AH169">
        <v>10</v>
      </c>
    </row>
    <row r="170" spans="1:34">
      <c r="A170" s="103">
        <v>60</v>
      </c>
      <c r="B170">
        <v>6752</v>
      </c>
      <c r="C170" s="107" t="s">
        <v>105</v>
      </c>
      <c r="D170" s="107" t="s">
        <v>87</v>
      </c>
      <c r="E170">
        <v>1059</v>
      </c>
      <c r="F170">
        <v>1058</v>
      </c>
      <c r="G170">
        <v>1000</v>
      </c>
      <c r="H170" s="107" t="s">
        <v>63</v>
      </c>
      <c r="I170">
        <v>8002</v>
      </c>
      <c r="J170" s="107" t="s">
        <v>31</v>
      </c>
      <c r="K170" s="107" t="s">
        <v>101</v>
      </c>
      <c r="L170">
        <v>834.9</v>
      </c>
      <c r="M170">
        <v>837.7</v>
      </c>
      <c r="N170">
        <v>1300</v>
      </c>
      <c r="O170" s="107" t="s">
        <v>61</v>
      </c>
      <c r="P170">
        <v>0.92282856801825996</v>
      </c>
      <c r="Q170">
        <v>0.935661011994394</v>
      </c>
      <c r="R170" s="15">
        <v>7.7300557089176603E-2</v>
      </c>
      <c r="S170">
        <v>1.36231448760256E-3</v>
      </c>
      <c r="T170">
        <v>0.94819425784302902</v>
      </c>
      <c r="U170">
        <v>0.94819425784302902</v>
      </c>
      <c r="V170">
        <v>2.44</v>
      </c>
      <c r="W170">
        <v>2.93</v>
      </c>
      <c r="X170">
        <v>-4844</v>
      </c>
      <c r="Y170">
        <v>-231</v>
      </c>
      <c r="Z170">
        <v>-0.02</v>
      </c>
      <c r="AA170">
        <v>21</v>
      </c>
      <c r="AB170">
        <v>11</v>
      </c>
      <c r="AC170">
        <v>10</v>
      </c>
      <c r="AD170">
        <v>52.38</v>
      </c>
      <c r="AE170">
        <v>15</v>
      </c>
      <c r="AF170">
        <v>5</v>
      </c>
      <c r="AG170">
        <v>4</v>
      </c>
      <c r="AH170">
        <v>12</v>
      </c>
    </row>
    <row r="171" spans="1:34">
      <c r="A171" s="103">
        <v>99</v>
      </c>
      <c r="B171">
        <v>3003</v>
      </c>
      <c r="C171" s="107" t="s">
        <v>1329</v>
      </c>
      <c r="D171" s="107" t="s">
        <v>114</v>
      </c>
      <c r="E171">
        <v>1300</v>
      </c>
      <c r="F171">
        <v>1309</v>
      </c>
      <c r="G171">
        <v>800</v>
      </c>
      <c r="H171" s="107" t="s">
        <v>61</v>
      </c>
      <c r="I171">
        <v>6952</v>
      </c>
      <c r="J171" s="107" t="s">
        <v>957</v>
      </c>
      <c r="K171" s="107" t="s">
        <v>87</v>
      </c>
      <c r="L171">
        <v>2179</v>
      </c>
      <c r="M171">
        <v>2157</v>
      </c>
      <c r="N171">
        <v>500</v>
      </c>
      <c r="O171" s="107" t="s">
        <v>63</v>
      </c>
      <c r="P171">
        <v>0.90205885164382904</v>
      </c>
      <c r="Q171">
        <v>0.92445985004595199</v>
      </c>
      <c r="R171">
        <v>0.120536644925559</v>
      </c>
      <c r="S171">
        <v>0.17000415172258099</v>
      </c>
      <c r="T171">
        <v>-0.95785248831894998</v>
      </c>
      <c r="U171">
        <v>0.95785248831894998</v>
      </c>
      <c r="V171">
        <v>-6.31</v>
      </c>
      <c r="W171">
        <v>2.9</v>
      </c>
      <c r="X171">
        <v>-10221</v>
      </c>
      <c r="Y171">
        <v>-568</v>
      </c>
      <c r="Z171">
        <v>-0.03</v>
      </c>
      <c r="AA171">
        <v>18</v>
      </c>
      <c r="AB171">
        <v>9</v>
      </c>
      <c r="AC171">
        <v>9</v>
      </c>
      <c r="AD171">
        <v>50</v>
      </c>
      <c r="AE171">
        <v>13</v>
      </c>
      <c r="AF171">
        <v>5</v>
      </c>
      <c r="AG171">
        <v>4</v>
      </c>
      <c r="AH171">
        <v>9</v>
      </c>
    </row>
    <row r="172" spans="1:34">
      <c r="A172" s="103">
        <v>79</v>
      </c>
      <c r="B172">
        <v>5333</v>
      </c>
      <c r="C172" s="107" t="s">
        <v>334</v>
      </c>
      <c r="D172" s="107" t="s">
        <v>106</v>
      </c>
      <c r="E172">
        <v>1915</v>
      </c>
      <c r="F172">
        <v>1919</v>
      </c>
      <c r="G172">
        <v>600</v>
      </c>
      <c r="H172" s="107" t="s">
        <v>61</v>
      </c>
      <c r="I172">
        <v>5393</v>
      </c>
      <c r="J172" s="107" t="s">
        <v>333</v>
      </c>
      <c r="K172" s="107" t="s">
        <v>106</v>
      </c>
      <c r="L172">
        <v>2749</v>
      </c>
      <c r="M172">
        <v>2736</v>
      </c>
      <c r="N172">
        <v>400</v>
      </c>
      <c r="O172" s="107" t="s">
        <v>63</v>
      </c>
      <c r="P172">
        <v>0.96024002413640697</v>
      </c>
      <c r="Q172">
        <v>0.929971580279223</v>
      </c>
      <c r="R172">
        <v>0.38305583728096199</v>
      </c>
      <c r="S172">
        <v>1.3384379003533E-3</v>
      </c>
      <c r="T172">
        <v>-1.3087925402304501</v>
      </c>
      <c r="U172">
        <v>1.3087925402304501</v>
      </c>
      <c r="V172">
        <v>-9.24</v>
      </c>
      <c r="W172">
        <v>5.21</v>
      </c>
      <c r="X172">
        <v>-11690</v>
      </c>
      <c r="Y172">
        <v>-584</v>
      </c>
      <c r="Z172">
        <v>-0.01</v>
      </c>
      <c r="AA172">
        <v>20</v>
      </c>
      <c r="AB172">
        <v>12</v>
      </c>
      <c r="AC172">
        <v>8</v>
      </c>
      <c r="AD172">
        <v>60</v>
      </c>
      <c r="AE172">
        <v>11</v>
      </c>
      <c r="AF172">
        <v>7</v>
      </c>
      <c r="AG172">
        <v>8</v>
      </c>
      <c r="AH172">
        <v>5</v>
      </c>
    </row>
    <row r="173" spans="1:34">
      <c r="A173" s="103">
        <v>137</v>
      </c>
      <c r="B173">
        <v>4686</v>
      </c>
      <c r="C173" s="107" t="s">
        <v>1272</v>
      </c>
      <c r="D173" s="107" t="s">
        <v>79</v>
      </c>
      <c r="E173">
        <v>5910</v>
      </c>
      <c r="F173">
        <v>5910</v>
      </c>
      <c r="G173">
        <v>100</v>
      </c>
      <c r="H173" s="107" t="s">
        <v>63</v>
      </c>
      <c r="I173">
        <v>6845</v>
      </c>
      <c r="J173" s="107" t="s">
        <v>307</v>
      </c>
      <c r="K173" s="107" t="s">
        <v>87</v>
      </c>
      <c r="L173">
        <v>3260</v>
      </c>
      <c r="M173">
        <v>3205</v>
      </c>
      <c r="N173">
        <v>200</v>
      </c>
      <c r="O173" s="107" t="s">
        <v>61</v>
      </c>
      <c r="P173">
        <v>0.92978656960539696</v>
      </c>
      <c r="Q173">
        <v>0.91525021805850904</v>
      </c>
      <c r="R173">
        <v>0.22982851064818199</v>
      </c>
      <c r="S173">
        <v>0.17228223435276399</v>
      </c>
      <c r="T173">
        <v>1.61469548050137</v>
      </c>
      <c r="U173">
        <v>1.61469548050137</v>
      </c>
      <c r="V173">
        <v>16.37</v>
      </c>
      <c r="W173">
        <v>8.4600000000000009</v>
      </c>
      <c r="X173">
        <v>-13536</v>
      </c>
      <c r="Y173">
        <v>-712</v>
      </c>
      <c r="Z173">
        <v>-0.09</v>
      </c>
      <c r="AA173">
        <v>19</v>
      </c>
      <c r="AB173">
        <v>11</v>
      </c>
      <c r="AC173">
        <v>8</v>
      </c>
      <c r="AD173">
        <v>57.89</v>
      </c>
      <c r="AE173">
        <v>10</v>
      </c>
      <c r="AF173">
        <v>10</v>
      </c>
      <c r="AG173">
        <v>8</v>
      </c>
      <c r="AH173">
        <v>1</v>
      </c>
    </row>
    <row r="174" spans="1:34">
      <c r="A174" s="103">
        <v>23</v>
      </c>
      <c r="B174">
        <v>1928</v>
      </c>
      <c r="C174" s="107" t="s">
        <v>302</v>
      </c>
      <c r="D174" s="107" t="s">
        <v>78</v>
      </c>
      <c r="E174">
        <v>2401</v>
      </c>
      <c r="F174">
        <v>2369.5</v>
      </c>
      <c r="G174">
        <v>300</v>
      </c>
      <c r="H174" s="107" t="s">
        <v>61</v>
      </c>
      <c r="I174">
        <v>4613</v>
      </c>
      <c r="J174" s="107" t="s">
        <v>320</v>
      </c>
      <c r="K174" s="107" t="s">
        <v>62</v>
      </c>
      <c r="L174">
        <v>2822</v>
      </c>
      <c r="M174">
        <v>2757</v>
      </c>
      <c r="N174">
        <v>300</v>
      </c>
      <c r="O174" s="107" t="s">
        <v>63</v>
      </c>
      <c r="P174">
        <v>0.93171175265827599</v>
      </c>
      <c r="Q174">
        <v>0.94825535256203397</v>
      </c>
      <c r="R174">
        <v>0.16326228990227501</v>
      </c>
      <c r="S174" s="15">
        <v>0.104033039712068</v>
      </c>
      <c r="T174">
        <v>-0.32703931108946399</v>
      </c>
      <c r="U174">
        <v>0.32703931108946399</v>
      </c>
      <c r="V174">
        <v>-0.59</v>
      </c>
      <c r="W174">
        <v>14.06</v>
      </c>
      <c r="X174">
        <v>-16022</v>
      </c>
      <c r="Y174">
        <v>-1232</v>
      </c>
      <c r="Z174">
        <v>-0.04</v>
      </c>
      <c r="AA174">
        <v>13</v>
      </c>
      <c r="AB174">
        <v>7</v>
      </c>
      <c r="AC174">
        <v>6</v>
      </c>
      <c r="AD174">
        <v>53.85</v>
      </c>
      <c r="AE174">
        <v>13</v>
      </c>
      <c r="AF174">
        <v>5</v>
      </c>
      <c r="AG174">
        <v>3</v>
      </c>
      <c r="AH174">
        <v>5</v>
      </c>
    </row>
    <row r="175" spans="1:34">
      <c r="A175" s="103">
        <v>68</v>
      </c>
      <c r="B175">
        <v>6457</v>
      </c>
      <c r="C175" s="107" t="s">
        <v>314</v>
      </c>
      <c r="D175" s="107" t="s">
        <v>99</v>
      </c>
      <c r="E175">
        <v>3360</v>
      </c>
      <c r="F175">
        <v>3360</v>
      </c>
      <c r="G175">
        <v>300</v>
      </c>
      <c r="H175" s="107" t="s">
        <v>61</v>
      </c>
      <c r="I175">
        <v>6845</v>
      </c>
      <c r="J175" s="107" t="s">
        <v>307</v>
      </c>
      <c r="K175" s="107" t="s">
        <v>87</v>
      </c>
      <c r="L175">
        <v>3260</v>
      </c>
      <c r="M175">
        <v>3205</v>
      </c>
      <c r="N175">
        <v>300</v>
      </c>
      <c r="O175" s="107" t="s">
        <v>63</v>
      </c>
      <c r="P175">
        <v>0.94186229625280904</v>
      </c>
      <c r="Q175">
        <v>0.93232628633839199</v>
      </c>
      <c r="R175">
        <v>1.2149897697835799E-2</v>
      </c>
      <c r="S175" s="15">
        <v>0.184262930042142</v>
      </c>
      <c r="T175">
        <v>-0.49192632174296302</v>
      </c>
      <c r="U175">
        <v>0.49192632174296302</v>
      </c>
      <c r="V175">
        <v>-0.73</v>
      </c>
      <c r="W175">
        <v>4.6100000000000003</v>
      </c>
      <c r="X175">
        <v>-22683</v>
      </c>
      <c r="Y175">
        <v>-2062</v>
      </c>
      <c r="Z175">
        <v>-0.06</v>
      </c>
      <c r="AA175">
        <v>11</v>
      </c>
      <c r="AB175">
        <v>6</v>
      </c>
      <c r="AC175">
        <v>5</v>
      </c>
      <c r="AD175">
        <v>54.55</v>
      </c>
      <c r="AE175">
        <v>15</v>
      </c>
      <c r="AF175">
        <v>2</v>
      </c>
      <c r="AG175">
        <v>1</v>
      </c>
      <c r="AH175">
        <v>8</v>
      </c>
    </row>
    <row r="176" spans="1:34">
      <c r="A176" s="103">
        <v>83</v>
      </c>
      <c r="B176">
        <v>4519</v>
      </c>
      <c r="C176" s="107" t="s">
        <v>954</v>
      </c>
      <c r="D176" s="107" t="s">
        <v>136</v>
      </c>
      <c r="E176">
        <v>10025</v>
      </c>
      <c r="F176">
        <v>10040</v>
      </c>
      <c r="G176">
        <v>100</v>
      </c>
      <c r="H176" s="107" t="s">
        <v>61</v>
      </c>
      <c r="I176">
        <v>6920</v>
      </c>
      <c r="J176" s="107" t="s">
        <v>86</v>
      </c>
      <c r="K176" s="107" t="s">
        <v>87</v>
      </c>
      <c r="L176">
        <v>9950</v>
      </c>
      <c r="M176">
        <v>9850</v>
      </c>
      <c r="N176">
        <v>100</v>
      </c>
      <c r="O176" s="107" t="s">
        <v>63</v>
      </c>
      <c r="P176">
        <v>0.919561218008484</v>
      </c>
      <c r="Q176">
        <v>0.92878444501343804</v>
      </c>
      <c r="R176">
        <v>0.109342027975006</v>
      </c>
      <c r="S176">
        <v>4.1762566580515199E-2</v>
      </c>
      <c r="T176">
        <v>-1.34398610151596</v>
      </c>
      <c r="U176">
        <v>1.34398610151596</v>
      </c>
      <c r="V176">
        <v>-10.61</v>
      </c>
      <c r="W176">
        <v>1.89</v>
      </c>
      <c r="X176">
        <v>-24389</v>
      </c>
      <c r="Y176">
        <v>-2217</v>
      </c>
      <c r="Z176">
        <v>-0.19</v>
      </c>
      <c r="AA176">
        <v>11</v>
      </c>
      <c r="AB176">
        <v>6</v>
      </c>
      <c r="AC176">
        <v>5</v>
      </c>
      <c r="AD176">
        <v>54.55</v>
      </c>
      <c r="AE176">
        <v>8</v>
      </c>
      <c r="AF176">
        <v>6</v>
      </c>
      <c r="AG176">
        <v>5</v>
      </c>
      <c r="AH176">
        <v>0</v>
      </c>
    </row>
    <row r="177" spans="1:34">
      <c r="A177" s="103">
        <v>167</v>
      </c>
      <c r="B177">
        <v>6371</v>
      </c>
      <c r="C177" s="107" t="s">
        <v>108</v>
      </c>
      <c r="D177" s="107" t="s">
        <v>99</v>
      </c>
      <c r="E177">
        <v>3995</v>
      </c>
      <c r="F177">
        <v>4000</v>
      </c>
      <c r="G177">
        <v>200</v>
      </c>
      <c r="H177" s="107" t="s">
        <v>61</v>
      </c>
      <c r="I177">
        <v>7272</v>
      </c>
      <c r="J177" s="107" t="s">
        <v>300</v>
      </c>
      <c r="K177" s="107" t="s">
        <v>84</v>
      </c>
      <c r="L177">
        <v>2312</v>
      </c>
      <c r="M177">
        <v>2350</v>
      </c>
      <c r="N177">
        <v>300</v>
      </c>
      <c r="O177" s="107" t="s">
        <v>63</v>
      </c>
      <c r="P177">
        <v>0.900203622354383</v>
      </c>
      <c r="Q177">
        <v>0.90996166141916202</v>
      </c>
      <c r="R177">
        <v>0.29554159981091799</v>
      </c>
      <c r="S177">
        <v>5.0309551818654196E-3</v>
      </c>
      <c r="T177">
        <v>-0.57272370504644099</v>
      </c>
      <c r="U177">
        <v>0.57272370504644099</v>
      </c>
      <c r="V177">
        <v>-2.08</v>
      </c>
      <c r="W177">
        <v>11.88</v>
      </c>
      <c r="X177">
        <v>-28954</v>
      </c>
      <c r="Y177">
        <v>-2632</v>
      </c>
      <c r="Z177">
        <v>-0.13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3</v>
      </c>
      <c r="AH177">
        <v>5</v>
      </c>
    </row>
    <row r="178" spans="1:34">
      <c r="A178" s="103">
        <v>110</v>
      </c>
      <c r="B178">
        <v>2127</v>
      </c>
      <c r="C178" s="107" t="s">
        <v>1332</v>
      </c>
      <c r="D178" s="107" t="s">
        <v>120</v>
      </c>
      <c r="E178">
        <v>3775</v>
      </c>
      <c r="F178">
        <v>3715</v>
      </c>
      <c r="G178">
        <v>200</v>
      </c>
      <c r="H178" s="107" t="s">
        <v>63</v>
      </c>
      <c r="I178">
        <v>6028</v>
      </c>
      <c r="J178" s="107" t="s">
        <v>1333</v>
      </c>
      <c r="K178" s="107" t="s">
        <v>120</v>
      </c>
      <c r="L178">
        <v>7570</v>
      </c>
      <c r="M178">
        <v>7560</v>
      </c>
      <c r="N178">
        <v>100</v>
      </c>
      <c r="O178" s="107" t="s">
        <v>61</v>
      </c>
      <c r="P178">
        <v>0.92865734242674103</v>
      </c>
      <c r="Q178">
        <v>0.92184600921361703</v>
      </c>
      <c r="R178">
        <v>0.18228030572337001</v>
      </c>
      <c r="S178">
        <v>9.39813855415585E-4</v>
      </c>
      <c r="T178">
        <v>0.414486860611262</v>
      </c>
      <c r="U178">
        <v>0.414486860611262</v>
      </c>
      <c r="V178">
        <v>1.67</v>
      </c>
      <c r="W178">
        <v>1.72</v>
      </c>
      <c r="X178">
        <v>-29288</v>
      </c>
      <c r="Y178">
        <v>-2441</v>
      </c>
      <c r="Z178">
        <v>0.06</v>
      </c>
      <c r="AA178">
        <v>12</v>
      </c>
      <c r="AB178">
        <v>6</v>
      </c>
      <c r="AC178">
        <v>6</v>
      </c>
      <c r="AD178">
        <v>50</v>
      </c>
      <c r="AE178">
        <v>13</v>
      </c>
      <c r="AF178">
        <v>4</v>
      </c>
      <c r="AG178">
        <v>3</v>
      </c>
      <c r="AH178">
        <v>5</v>
      </c>
    </row>
    <row r="179" spans="1:34">
      <c r="A179" s="103">
        <v>125</v>
      </c>
      <c r="B179">
        <v>2914</v>
      </c>
      <c r="C179" s="107" t="s">
        <v>96</v>
      </c>
      <c r="D179" s="107" t="s">
        <v>97</v>
      </c>
      <c r="E179">
        <v>2518</v>
      </c>
      <c r="F179">
        <v>2501.5</v>
      </c>
      <c r="G179">
        <v>300</v>
      </c>
      <c r="H179" s="107" t="s">
        <v>61</v>
      </c>
      <c r="I179">
        <v>4507</v>
      </c>
      <c r="J179" s="107" t="s">
        <v>1029</v>
      </c>
      <c r="K179" s="107" t="s">
        <v>136</v>
      </c>
      <c r="L179">
        <v>6480</v>
      </c>
      <c r="M179">
        <v>6518</v>
      </c>
      <c r="N179">
        <v>100</v>
      </c>
      <c r="O179" s="107" t="s">
        <v>63</v>
      </c>
      <c r="P179">
        <v>0.90462911842143601</v>
      </c>
      <c r="Q179">
        <v>0.91801096898811296</v>
      </c>
      <c r="R179">
        <v>2.9835998660964501E-2</v>
      </c>
      <c r="S179">
        <v>1.61470184641689E-3</v>
      </c>
      <c r="T179">
        <v>-1.20313862841848</v>
      </c>
      <c r="U179">
        <v>1.20313862841848</v>
      </c>
      <c r="V179">
        <v>-2.08</v>
      </c>
      <c r="W179">
        <v>15.14</v>
      </c>
      <c r="X179">
        <v>-30523</v>
      </c>
      <c r="Y179">
        <v>-5087</v>
      </c>
      <c r="Z179">
        <v>-0.76</v>
      </c>
      <c r="AA179">
        <v>6</v>
      </c>
      <c r="AB179">
        <v>3</v>
      </c>
      <c r="AC179">
        <v>3</v>
      </c>
      <c r="AD179">
        <v>50</v>
      </c>
      <c r="AE179">
        <v>11</v>
      </c>
      <c r="AF179">
        <v>2</v>
      </c>
      <c r="AG179">
        <v>3</v>
      </c>
      <c r="AH179">
        <v>1</v>
      </c>
    </row>
    <row r="180" spans="1:34">
      <c r="A180" s="103">
        <v>9</v>
      </c>
      <c r="B180">
        <v>6471</v>
      </c>
      <c r="C180" s="107" t="s">
        <v>138</v>
      </c>
      <c r="D180" s="107" t="s">
        <v>99</v>
      </c>
      <c r="E180">
        <v>1090</v>
      </c>
      <c r="F180">
        <v>1088</v>
      </c>
      <c r="G180">
        <v>1000</v>
      </c>
      <c r="H180" s="107" t="s">
        <v>61</v>
      </c>
      <c r="I180">
        <v>6472</v>
      </c>
      <c r="J180" s="107" t="s">
        <v>134</v>
      </c>
      <c r="K180" s="107" t="s">
        <v>99</v>
      </c>
      <c r="L180">
        <v>364</v>
      </c>
      <c r="M180">
        <v>363</v>
      </c>
      <c r="N180">
        <v>3000</v>
      </c>
      <c r="O180" s="107" t="s">
        <v>63</v>
      </c>
      <c r="P180">
        <v>0.92548366053251796</v>
      </c>
      <c r="Q180">
        <v>0.95799315295337995</v>
      </c>
      <c r="R180">
        <v>0.28901122105444599</v>
      </c>
      <c r="S180">
        <v>0.10520207936184101</v>
      </c>
      <c r="T180">
        <v>-0.50498303047725901</v>
      </c>
      <c r="U180">
        <v>0.50498303047725901</v>
      </c>
      <c r="V180">
        <v>-1.17</v>
      </c>
      <c r="W180">
        <v>0.09</v>
      </c>
      <c r="X180">
        <v>-34069</v>
      </c>
      <c r="Y180">
        <v>-1893</v>
      </c>
      <c r="Z180">
        <v>-0.11</v>
      </c>
      <c r="AA180">
        <v>18</v>
      </c>
      <c r="AB180">
        <v>9</v>
      </c>
      <c r="AC180">
        <v>9</v>
      </c>
      <c r="AD180">
        <v>50</v>
      </c>
      <c r="AE180">
        <v>16</v>
      </c>
      <c r="AF180">
        <v>2</v>
      </c>
      <c r="AG180">
        <v>3</v>
      </c>
      <c r="AH180">
        <v>13</v>
      </c>
    </row>
    <row r="181" spans="1:34">
      <c r="A181" s="103">
        <v>194</v>
      </c>
      <c r="B181">
        <v>7282</v>
      </c>
      <c r="C181" s="107" t="s">
        <v>953</v>
      </c>
      <c r="D181" s="107" t="s">
        <v>84</v>
      </c>
      <c r="E181">
        <v>2801</v>
      </c>
      <c r="F181">
        <v>2798</v>
      </c>
      <c r="G181">
        <v>400</v>
      </c>
      <c r="H181" s="107" t="s">
        <v>63</v>
      </c>
      <c r="I181">
        <v>9810</v>
      </c>
      <c r="J181" s="107" t="s">
        <v>127</v>
      </c>
      <c r="K181" s="107" t="s">
        <v>101</v>
      </c>
      <c r="L181">
        <v>5290</v>
      </c>
      <c r="M181">
        <v>5230</v>
      </c>
      <c r="N181">
        <v>200</v>
      </c>
      <c r="O181" s="107" t="s">
        <v>61</v>
      </c>
      <c r="P181">
        <v>0.93598432009102495</v>
      </c>
      <c r="Q181">
        <v>0.90613469604921004</v>
      </c>
      <c r="R181">
        <v>8.8992546334097797E-2</v>
      </c>
      <c r="S181" s="15">
        <v>7.8691833770867498E-2</v>
      </c>
      <c r="T181">
        <v>1.4374878309555199</v>
      </c>
      <c r="U181">
        <v>1.4374878309555199</v>
      </c>
      <c r="V181">
        <v>4.7300000000000004</v>
      </c>
      <c r="W181">
        <v>7</v>
      </c>
      <c r="X181">
        <v>-34366</v>
      </c>
      <c r="Y181">
        <v>-2022</v>
      </c>
      <c r="Z181">
        <v>-0.2</v>
      </c>
      <c r="AA181">
        <v>17</v>
      </c>
      <c r="AB181">
        <v>9</v>
      </c>
      <c r="AC181">
        <v>8</v>
      </c>
      <c r="AD181">
        <v>52.94</v>
      </c>
      <c r="AE181">
        <v>12</v>
      </c>
      <c r="AF181">
        <v>5</v>
      </c>
      <c r="AG181">
        <v>6</v>
      </c>
      <c r="AH181">
        <v>6</v>
      </c>
    </row>
    <row r="182" spans="1:34">
      <c r="A182" s="103">
        <v>160</v>
      </c>
      <c r="B182">
        <v>3635</v>
      </c>
      <c r="C182" s="107" t="s">
        <v>85</v>
      </c>
      <c r="D182" s="107" t="s">
        <v>79</v>
      </c>
      <c r="E182">
        <v>2727</v>
      </c>
      <c r="F182">
        <v>2709</v>
      </c>
      <c r="G182">
        <v>400</v>
      </c>
      <c r="H182" s="107" t="s">
        <v>61</v>
      </c>
      <c r="I182">
        <v>6951</v>
      </c>
      <c r="J182" s="107" t="s">
        <v>323</v>
      </c>
      <c r="K182" s="107" t="s">
        <v>87</v>
      </c>
      <c r="L182">
        <v>3155</v>
      </c>
      <c r="M182">
        <v>3180</v>
      </c>
      <c r="N182">
        <v>300</v>
      </c>
      <c r="O182" s="107" t="s">
        <v>63</v>
      </c>
      <c r="P182">
        <v>0.92607053817594998</v>
      </c>
      <c r="Q182">
        <v>0.91076606483415301</v>
      </c>
      <c r="R182" s="15">
        <v>0.14687386113124601</v>
      </c>
      <c r="S182">
        <v>0.17559040196865999</v>
      </c>
      <c r="T182">
        <v>-0.79625939620523201</v>
      </c>
      <c r="U182">
        <v>0.79625939620523201</v>
      </c>
      <c r="V182">
        <v>-3.45</v>
      </c>
      <c r="W182">
        <v>13.58</v>
      </c>
      <c r="X182">
        <v>-35613</v>
      </c>
      <c r="Y182">
        <v>-2544</v>
      </c>
      <c r="Z182">
        <v>-0.08</v>
      </c>
      <c r="AA182">
        <v>14</v>
      </c>
      <c r="AB182">
        <v>6</v>
      </c>
      <c r="AC182">
        <v>8</v>
      </c>
      <c r="AD182">
        <v>42.86</v>
      </c>
      <c r="AE182">
        <v>11</v>
      </c>
      <c r="AF182">
        <v>4</v>
      </c>
      <c r="AG182">
        <v>5</v>
      </c>
      <c r="AH182">
        <v>5</v>
      </c>
    </row>
    <row r="183" spans="1:34">
      <c r="A183" s="103">
        <v>205</v>
      </c>
      <c r="B183">
        <v>1973</v>
      </c>
      <c r="C183" s="107" t="s">
        <v>310</v>
      </c>
      <c r="D183" s="107" t="s">
        <v>79</v>
      </c>
      <c r="E183">
        <v>3620</v>
      </c>
      <c r="F183">
        <v>3570</v>
      </c>
      <c r="G183">
        <v>200</v>
      </c>
      <c r="H183" s="107" t="s">
        <v>61</v>
      </c>
      <c r="I183">
        <v>9706</v>
      </c>
      <c r="J183" s="107" t="s">
        <v>337</v>
      </c>
      <c r="K183" s="107" t="s">
        <v>114</v>
      </c>
      <c r="L183">
        <v>6000</v>
      </c>
      <c r="M183">
        <v>6020</v>
      </c>
      <c r="N183">
        <v>100</v>
      </c>
      <c r="O183" s="107" t="s">
        <v>63</v>
      </c>
      <c r="P183">
        <v>0.92068522712853895</v>
      </c>
      <c r="Q183">
        <v>0.90440911265601798</v>
      </c>
      <c r="R183">
        <v>0.29092281918068502</v>
      </c>
      <c r="S183">
        <v>0.17342358472140301</v>
      </c>
      <c r="T183">
        <v>-1.35237987120935</v>
      </c>
      <c r="U183">
        <v>1.35237987120935</v>
      </c>
      <c r="V183">
        <v>-5.56</v>
      </c>
      <c r="W183">
        <v>18.600000000000001</v>
      </c>
      <c r="X183">
        <v>-36231</v>
      </c>
      <c r="Y183">
        <v>-1725</v>
      </c>
      <c r="Z183">
        <v>-0.06</v>
      </c>
      <c r="AA183">
        <v>21</v>
      </c>
      <c r="AB183">
        <v>9</v>
      </c>
      <c r="AC183">
        <v>12</v>
      </c>
      <c r="AD183">
        <v>42.86</v>
      </c>
      <c r="AE183">
        <v>10</v>
      </c>
      <c r="AF183">
        <v>8</v>
      </c>
      <c r="AG183">
        <v>8</v>
      </c>
      <c r="AH183">
        <v>5</v>
      </c>
    </row>
    <row r="184" spans="1:34">
      <c r="A184" s="103">
        <v>218</v>
      </c>
      <c r="B184">
        <v>6302</v>
      </c>
      <c r="C184" s="107" t="s">
        <v>1334</v>
      </c>
      <c r="D184" s="107" t="s">
        <v>99</v>
      </c>
      <c r="E184">
        <v>3190</v>
      </c>
      <c r="F184">
        <v>3230</v>
      </c>
      <c r="G184">
        <v>300</v>
      </c>
      <c r="H184" s="107" t="s">
        <v>61</v>
      </c>
      <c r="I184">
        <v>7261</v>
      </c>
      <c r="J184" s="107" t="s">
        <v>1335</v>
      </c>
      <c r="K184" s="107" t="s">
        <v>84</v>
      </c>
      <c r="L184">
        <v>965</v>
      </c>
      <c r="M184">
        <v>977</v>
      </c>
      <c r="N184">
        <v>1000</v>
      </c>
      <c r="O184" s="107" t="s">
        <v>63</v>
      </c>
      <c r="P184">
        <v>0.90119639827079301</v>
      </c>
      <c r="Q184">
        <v>0.90184390100873502</v>
      </c>
      <c r="R184" s="15">
        <v>1.39788743636346E-2</v>
      </c>
      <c r="S184">
        <v>3.4707410262522901E-3</v>
      </c>
      <c r="T184">
        <v>-0.31899153850216699</v>
      </c>
      <c r="U184">
        <v>0.31899153850216699</v>
      </c>
      <c r="V184">
        <v>-0.7</v>
      </c>
      <c r="W184">
        <v>0.83</v>
      </c>
      <c r="X184">
        <v>-38358</v>
      </c>
      <c r="Y184">
        <v>-2131</v>
      </c>
      <c r="Z184">
        <v>-0.04</v>
      </c>
      <c r="AA184">
        <v>18</v>
      </c>
      <c r="AB184">
        <v>10</v>
      </c>
      <c r="AC184">
        <v>8</v>
      </c>
      <c r="AD184">
        <v>55.56</v>
      </c>
      <c r="AE184">
        <v>14</v>
      </c>
      <c r="AF184">
        <v>3</v>
      </c>
      <c r="AG184">
        <v>4</v>
      </c>
      <c r="AH184">
        <v>11</v>
      </c>
    </row>
    <row r="185" spans="1:34">
      <c r="A185" s="103">
        <v>187</v>
      </c>
      <c r="B185">
        <v>7205</v>
      </c>
      <c r="C185" s="107" t="s">
        <v>117</v>
      </c>
      <c r="D185" s="107" t="s">
        <v>84</v>
      </c>
      <c r="E185">
        <v>1175</v>
      </c>
      <c r="F185">
        <v>1181</v>
      </c>
      <c r="G185">
        <v>900</v>
      </c>
      <c r="H185" s="107" t="s">
        <v>63</v>
      </c>
      <c r="I185">
        <v>8002</v>
      </c>
      <c r="J185" s="107" t="s">
        <v>31</v>
      </c>
      <c r="K185" s="107" t="s">
        <v>101</v>
      </c>
      <c r="L185">
        <v>834.9</v>
      </c>
      <c r="M185">
        <v>837.7</v>
      </c>
      <c r="N185">
        <v>1300</v>
      </c>
      <c r="O185" s="107" t="s">
        <v>61</v>
      </c>
      <c r="P185">
        <v>0.95272662804973696</v>
      </c>
      <c r="Q185">
        <v>0.90699121312063202</v>
      </c>
      <c r="R185">
        <v>0.18368612457215</v>
      </c>
      <c r="S185">
        <v>3.3537481627613101E-2</v>
      </c>
      <c r="T185">
        <v>2.1734762655520101</v>
      </c>
      <c r="U185">
        <v>2.1734762655520101</v>
      </c>
      <c r="V185">
        <v>8.49</v>
      </c>
      <c r="W185">
        <v>2.46</v>
      </c>
      <c r="X185">
        <v>-42476</v>
      </c>
      <c r="Y185">
        <v>-2655</v>
      </c>
      <c r="Z185">
        <v>-0.13</v>
      </c>
      <c r="AA185">
        <v>16</v>
      </c>
      <c r="AB185">
        <v>7</v>
      </c>
      <c r="AC185">
        <v>9</v>
      </c>
      <c r="AD185">
        <v>43.75</v>
      </c>
      <c r="AE185">
        <v>16</v>
      </c>
      <c r="AF185">
        <v>2</v>
      </c>
      <c r="AG185">
        <v>2</v>
      </c>
      <c r="AH185">
        <v>12</v>
      </c>
    </row>
    <row r="186" spans="1:34">
      <c r="A186" s="103">
        <v>227</v>
      </c>
      <c r="B186">
        <v>5110</v>
      </c>
      <c r="C186" s="107" t="s">
        <v>128</v>
      </c>
      <c r="D186" s="107" t="s">
        <v>129</v>
      </c>
      <c r="E186">
        <v>1437</v>
      </c>
      <c r="F186">
        <v>1432</v>
      </c>
      <c r="G186">
        <v>400</v>
      </c>
      <c r="H186" s="107" t="s">
        <v>61</v>
      </c>
      <c r="I186">
        <v>6988</v>
      </c>
      <c r="J186" s="107" t="s">
        <v>139</v>
      </c>
      <c r="K186" s="107" t="s">
        <v>62</v>
      </c>
      <c r="L186">
        <v>6350</v>
      </c>
      <c r="M186">
        <v>6410</v>
      </c>
      <c r="N186">
        <v>100</v>
      </c>
      <c r="O186" s="107" t="s">
        <v>63</v>
      </c>
      <c r="P186">
        <v>0.90189701451994397</v>
      </c>
      <c r="Q186">
        <v>0.90077638316515596</v>
      </c>
      <c r="R186">
        <v>0.26564912125263301</v>
      </c>
      <c r="S186">
        <v>0.209869985627195</v>
      </c>
      <c r="T186">
        <v>-1.64547050553619</v>
      </c>
      <c r="U186">
        <v>1.64547050553619</v>
      </c>
      <c r="V186">
        <v>-5.88</v>
      </c>
      <c r="W186">
        <v>10.64</v>
      </c>
      <c r="X186">
        <v>-46601</v>
      </c>
      <c r="Y186">
        <v>-2741</v>
      </c>
      <c r="Z186">
        <v>-0.27</v>
      </c>
      <c r="AA186">
        <v>17</v>
      </c>
      <c r="AB186">
        <v>8</v>
      </c>
      <c r="AC186">
        <v>9</v>
      </c>
      <c r="AD186">
        <v>47.06</v>
      </c>
      <c r="AE186">
        <v>13</v>
      </c>
      <c r="AF186">
        <v>4</v>
      </c>
      <c r="AG186">
        <v>3</v>
      </c>
      <c r="AH186">
        <v>10</v>
      </c>
    </row>
    <row r="187" spans="1:34">
      <c r="A187" s="103">
        <v>207</v>
      </c>
      <c r="B187">
        <v>4182</v>
      </c>
      <c r="C187" s="107" t="s">
        <v>88</v>
      </c>
      <c r="D187" s="107" t="s">
        <v>62</v>
      </c>
      <c r="E187">
        <v>1728</v>
      </c>
      <c r="F187">
        <v>1730</v>
      </c>
      <c r="G187">
        <v>600</v>
      </c>
      <c r="H187" s="107" t="s">
        <v>63</v>
      </c>
      <c r="I187">
        <v>9412</v>
      </c>
      <c r="J187" s="107" t="s">
        <v>1336</v>
      </c>
      <c r="K187" s="107" t="s">
        <v>79</v>
      </c>
      <c r="L187">
        <v>480</v>
      </c>
      <c r="M187">
        <v>478</v>
      </c>
      <c r="N187">
        <v>2200</v>
      </c>
      <c r="O187" s="107" t="s">
        <v>61</v>
      </c>
      <c r="P187">
        <v>0.913456375767284</v>
      </c>
      <c r="Q187">
        <v>0.90423579251245201</v>
      </c>
      <c r="R187">
        <v>0.37316055436050199</v>
      </c>
      <c r="S187">
        <v>8.6796576204352896E-2</v>
      </c>
      <c r="T187">
        <v>1.20060117804985</v>
      </c>
      <c r="U187">
        <v>1.20060117804985</v>
      </c>
      <c r="V187">
        <v>6.87</v>
      </c>
      <c r="W187">
        <v>1.31</v>
      </c>
      <c r="X187">
        <v>-49742</v>
      </c>
      <c r="Y187">
        <v>-2261</v>
      </c>
      <c r="Z187">
        <v>-0.11</v>
      </c>
      <c r="AA187">
        <v>22</v>
      </c>
      <c r="AB187">
        <v>11</v>
      </c>
      <c r="AC187">
        <v>11</v>
      </c>
      <c r="AD187">
        <v>50</v>
      </c>
      <c r="AE187">
        <v>11</v>
      </c>
      <c r="AF187">
        <v>9</v>
      </c>
      <c r="AG187">
        <v>7</v>
      </c>
      <c r="AH187">
        <v>6</v>
      </c>
    </row>
    <row r="188" spans="1:34">
      <c r="A188" s="103">
        <v>202</v>
      </c>
      <c r="B188">
        <v>3110</v>
      </c>
      <c r="C188" s="107" t="s">
        <v>1305</v>
      </c>
      <c r="D188" s="107" t="s">
        <v>106</v>
      </c>
      <c r="E188">
        <v>4260</v>
      </c>
      <c r="F188">
        <v>4220</v>
      </c>
      <c r="G188">
        <v>200</v>
      </c>
      <c r="H188" s="107" t="s">
        <v>63</v>
      </c>
      <c r="I188">
        <v>8425</v>
      </c>
      <c r="J188" s="107" t="s">
        <v>319</v>
      </c>
      <c r="K188" s="107" t="s">
        <v>299</v>
      </c>
      <c r="L188">
        <v>3355</v>
      </c>
      <c r="M188">
        <v>3350</v>
      </c>
      <c r="N188">
        <v>300</v>
      </c>
      <c r="O188" s="107" t="s">
        <v>61</v>
      </c>
      <c r="P188">
        <v>0.90341709769173895</v>
      </c>
      <c r="Q188">
        <v>0.90503092674797903</v>
      </c>
      <c r="R188">
        <v>9.3354567310156303E-2</v>
      </c>
      <c r="S188">
        <v>0.21976214550675699</v>
      </c>
      <c r="T188">
        <v>1.78483179640917</v>
      </c>
      <c r="U188">
        <v>1.78483179640917</v>
      </c>
      <c r="V188">
        <v>10.66</v>
      </c>
      <c r="W188">
        <v>19.079999999999998</v>
      </c>
      <c r="X188">
        <v>-57642</v>
      </c>
      <c r="Y188">
        <v>-3391</v>
      </c>
      <c r="Z188">
        <v>-0.1</v>
      </c>
      <c r="AA188">
        <v>17</v>
      </c>
      <c r="AB188">
        <v>9</v>
      </c>
      <c r="AC188">
        <v>8</v>
      </c>
      <c r="AD188">
        <v>52.94</v>
      </c>
      <c r="AE188">
        <v>11</v>
      </c>
      <c r="AF188">
        <v>8</v>
      </c>
      <c r="AG188">
        <v>6</v>
      </c>
      <c r="AH188">
        <v>3</v>
      </c>
    </row>
    <row r="189" spans="1:34">
      <c r="A189" s="103">
        <v>168</v>
      </c>
      <c r="B189">
        <v>6479</v>
      </c>
      <c r="C189" s="107" t="s">
        <v>1325</v>
      </c>
      <c r="D189" s="107" t="s">
        <v>87</v>
      </c>
      <c r="E189">
        <v>2330</v>
      </c>
      <c r="F189">
        <v>2326</v>
      </c>
      <c r="G189">
        <v>400</v>
      </c>
      <c r="H189" s="107" t="s">
        <v>61</v>
      </c>
      <c r="I189">
        <v>6807</v>
      </c>
      <c r="J189" s="107" t="s">
        <v>335</v>
      </c>
      <c r="K189" s="107" t="s">
        <v>87</v>
      </c>
      <c r="L189">
        <v>2296</v>
      </c>
      <c r="M189">
        <v>2272</v>
      </c>
      <c r="N189">
        <v>400</v>
      </c>
      <c r="O189" s="107" t="s">
        <v>63</v>
      </c>
      <c r="P189">
        <v>0.97169218400637003</v>
      </c>
      <c r="Q189">
        <v>0.90995364613211904</v>
      </c>
      <c r="R189">
        <v>5.42684407986412E-4</v>
      </c>
      <c r="S189">
        <v>2.7415574280097801E-2</v>
      </c>
      <c r="T189">
        <v>-0.87931375243055998</v>
      </c>
      <c r="U189">
        <v>0.87931375243055998</v>
      </c>
      <c r="V189">
        <v>-6.08</v>
      </c>
      <c r="W189">
        <v>2.3199999999999998</v>
      </c>
      <c r="X189">
        <v>-60393</v>
      </c>
      <c r="Y189">
        <v>-3020</v>
      </c>
      <c r="Z189">
        <v>-0.18</v>
      </c>
      <c r="AA189">
        <v>20</v>
      </c>
      <c r="AB189">
        <v>9</v>
      </c>
      <c r="AC189">
        <v>11</v>
      </c>
      <c r="AD189">
        <v>45</v>
      </c>
      <c r="AE189">
        <v>12</v>
      </c>
      <c r="AF189">
        <v>7</v>
      </c>
      <c r="AG189">
        <v>7</v>
      </c>
      <c r="AH189">
        <v>6</v>
      </c>
    </row>
    <row r="190" spans="1:34">
      <c r="A190" s="103">
        <v>20</v>
      </c>
      <c r="B190">
        <v>6457</v>
      </c>
      <c r="C190" s="107" t="s">
        <v>314</v>
      </c>
      <c r="D190" s="107" t="s">
        <v>99</v>
      </c>
      <c r="E190">
        <v>3360</v>
      </c>
      <c r="F190">
        <v>3360</v>
      </c>
      <c r="G190">
        <v>200</v>
      </c>
      <c r="H190" s="107" t="s">
        <v>63</v>
      </c>
      <c r="I190">
        <v>7203</v>
      </c>
      <c r="J190" s="107" t="s">
        <v>329</v>
      </c>
      <c r="K190" s="107" t="s">
        <v>84</v>
      </c>
      <c r="L190">
        <v>7778</v>
      </c>
      <c r="M190">
        <v>7811</v>
      </c>
      <c r="N190">
        <v>100</v>
      </c>
      <c r="O190" s="107" t="s">
        <v>61</v>
      </c>
      <c r="P190">
        <v>0.93185278677755701</v>
      </c>
      <c r="Q190">
        <v>0.95058438506216603</v>
      </c>
      <c r="R190">
        <v>0.10406235921261101</v>
      </c>
      <c r="S190" s="15">
        <v>6.2547092266055496E-2</v>
      </c>
      <c r="T190">
        <v>0.88236372810656805</v>
      </c>
      <c r="U190">
        <v>0.88236372810656805</v>
      </c>
      <c r="V190">
        <v>1.57</v>
      </c>
      <c r="W190">
        <v>13.97</v>
      </c>
      <c r="X190">
        <v>-61118</v>
      </c>
      <c r="Y190">
        <v>-12224</v>
      </c>
      <c r="Z190">
        <v>-0.8</v>
      </c>
      <c r="AA190">
        <v>5</v>
      </c>
      <c r="AB190">
        <v>2</v>
      </c>
      <c r="AC190">
        <v>3</v>
      </c>
      <c r="AD190">
        <v>40</v>
      </c>
      <c r="AE190">
        <v>14</v>
      </c>
      <c r="AF190">
        <v>2</v>
      </c>
      <c r="AG190">
        <v>3</v>
      </c>
      <c r="AH190">
        <v>0</v>
      </c>
    </row>
    <row r="191" spans="1:34">
      <c r="A191" s="103">
        <v>91</v>
      </c>
      <c r="B191">
        <v>4182</v>
      </c>
      <c r="C191" s="107" t="s">
        <v>88</v>
      </c>
      <c r="D191" s="107" t="s">
        <v>62</v>
      </c>
      <c r="E191">
        <v>1728</v>
      </c>
      <c r="F191">
        <v>1730</v>
      </c>
      <c r="G191">
        <v>600</v>
      </c>
      <c r="H191" s="107" t="s">
        <v>63</v>
      </c>
      <c r="I191">
        <v>7267</v>
      </c>
      <c r="J191" s="107" t="s">
        <v>118</v>
      </c>
      <c r="K191" s="107" t="s">
        <v>84</v>
      </c>
      <c r="L191">
        <v>3178</v>
      </c>
      <c r="M191">
        <v>3221</v>
      </c>
      <c r="N191">
        <v>300</v>
      </c>
      <c r="O191" s="107" t="s">
        <v>61</v>
      </c>
      <c r="P191">
        <v>0.93031979509156204</v>
      </c>
      <c r="Q191">
        <v>0.92667452773757897</v>
      </c>
      <c r="R191">
        <v>3.5425494286652801E-2</v>
      </c>
      <c r="S191" s="15">
        <v>1.8848301250189398E-2</v>
      </c>
      <c r="T191">
        <v>1.01209822751208</v>
      </c>
      <c r="U191">
        <v>1.01209822751208</v>
      </c>
      <c r="V191">
        <v>3.59</v>
      </c>
      <c r="W191">
        <v>7.42</v>
      </c>
      <c r="X191">
        <v>-68114</v>
      </c>
      <c r="Y191">
        <v>-4257</v>
      </c>
      <c r="Z191">
        <v>-0.3</v>
      </c>
      <c r="AA191">
        <v>16</v>
      </c>
      <c r="AB191">
        <v>10</v>
      </c>
      <c r="AC191">
        <v>6</v>
      </c>
      <c r="AD191">
        <v>62.5</v>
      </c>
      <c r="AE191">
        <v>14</v>
      </c>
      <c r="AF191">
        <v>4</v>
      </c>
      <c r="AG191">
        <v>4</v>
      </c>
      <c r="AH191">
        <v>8</v>
      </c>
    </row>
    <row r="192" spans="1:34">
      <c r="A192" s="103">
        <v>104</v>
      </c>
      <c r="B192">
        <v>6702</v>
      </c>
      <c r="C192" s="107" t="s">
        <v>332</v>
      </c>
      <c r="D192" s="107" t="s">
        <v>87</v>
      </c>
      <c r="E192">
        <v>10200</v>
      </c>
      <c r="F192">
        <v>10055</v>
      </c>
      <c r="G192">
        <v>100</v>
      </c>
      <c r="H192" s="107" t="s">
        <v>61</v>
      </c>
      <c r="I192">
        <v>9934</v>
      </c>
      <c r="J192" s="107" t="s">
        <v>950</v>
      </c>
      <c r="K192" s="107" t="s">
        <v>101</v>
      </c>
      <c r="L192">
        <v>2850</v>
      </c>
      <c r="M192">
        <v>2830</v>
      </c>
      <c r="N192">
        <v>400</v>
      </c>
      <c r="O192" s="107" t="s">
        <v>63</v>
      </c>
      <c r="P192">
        <v>0.90820686529736006</v>
      </c>
      <c r="Q192">
        <v>0.92342838250164805</v>
      </c>
      <c r="R192">
        <v>4.8898108556825998E-2</v>
      </c>
      <c r="S192">
        <v>7.5414696607781098E-4</v>
      </c>
      <c r="T192">
        <v>-0.98054406886010004</v>
      </c>
      <c r="U192">
        <v>0.98054406886010004</v>
      </c>
      <c r="V192">
        <v>-2.96</v>
      </c>
      <c r="W192">
        <v>12.58</v>
      </c>
      <c r="X192">
        <v>-69216</v>
      </c>
      <c r="Y192">
        <v>-4072</v>
      </c>
      <c r="Z192">
        <v>-0.4</v>
      </c>
      <c r="AA192">
        <v>17</v>
      </c>
      <c r="AB192">
        <v>4</v>
      </c>
      <c r="AC192">
        <v>13</v>
      </c>
      <c r="AD192">
        <v>23.53</v>
      </c>
      <c r="AE192">
        <v>14</v>
      </c>
      <c r="AF192">
        <v>4</v>
      </c>
      <c r="AG192">
        <v>3</v>
      </c>
      <c r="AH192">
        <v>10</v>
      </c>
    </row>
    <row r="193" spans="1:34">
      <c r="A193" s="103">
        <v>97</v>
      </c>
      <c r="B193">
        <v>3231</v>
      </c>
      <c r="C193" s="107" t="s">
        <v>963</v>
      </c>
      <c r="D193" s="107" t="s">
        <v>114</v>
      </c>
      <c r="E193">
        <v>2659</v>
      </c>
      <c r="F193">
        <v>2627</v>
      </c>
      <c r="G193">
        <v>400</v>
      </c>
      <c r="H193" s="107" t="s">
        <v>61</v>
      </c>
      <c r="I193">
        <v>6951</v>
      </c>
      <c r="J193" s="107" t="s">
        <v>323</v>
      </c>
      <c r="K193" s="107" t="s">
        <v>87</v>
      </c>
      <c r="L193">
        <v>3155</v>
      </c>
      <c r="M193">
        <v>3180</v>
      </c>
      <c r="N193">
        <v>300</v>
      </c>
      <c r="O193" s="107" t="s">
        <v>63</v>
      </c>
      <c r="P193">
        <v>0.93279121932263098</v>
      </c>
      <c r="Q193">
        <v>0.92545379594368005</v>
      </c>
      <c r="R193">
        <v>5.3809779377687002E-2</v>
      </c>
      <c r="S193">
        <v>8.2418227072955805E-2</v>
      </c>
      <c r="T193">
        <v>-1.75971163335389</v>
      </c>
      <c r="U193">
        <v>1.75971163335389</v>
      </c>
      <c r="V193">
        <v>-9.18</v>
      </c>
      <c r="W193">
        <v>10.15</v>
      </c>
      <c r="X193">
        <v>-74636</v>
      </c>
      <c r="Y193">
        <v>-4665</v>
      </c>
      <c r="Z193">
        <v>-0.19</v>
      </c>
      <c r="AA193">
        <v>16</v>
      </c>
      <c r="AB193">
        <v>9</v>
      </c>
      <c r="AC193">
        <v>7</v>
      </c>
      <c r="AD193">
        <v>56.25</v>
      </c>
      <c r="AE193">
        <v>8</v>
      </c>
      <c r="AF193">
        <v>7</v>
      </c>
      <c r="AG193">
        <v>6</v>
      </c>
      <c r="AH193">
        <v>3</v>
      </c>
    </row>
    <row r="194" spans="1:34">
      <c r="A194" s="103">
        <v>129</v>
      </c>
      <c r="B194">
        <v>6752</v>
      </c>
      <c r="C194" s="107" t="s">
        <v>105</v>
      </c>
      <c r="D194" s="107" t="s">
        <v>87</v>
      </c>
      <c r="E194">
        <v>1059</v>
      </c>
      <c r="F194">
        <v>1058</v>
      </c>
      <c r="G194">
        <v>1000</v>
      </c>
      <c r="H194" s="107" t="s">
        <v>61</v>
      </c>
      <c r="I194">
        <v>8795</v>
      </c>
      <c r="J194" s="107" t="s">
        <v>135</v>
      </c>
      <c r="K194" s="107" t="s">
        <v>110</v>
      </c>
      <c r="L194">
        <v>1384</v>
      </c>
      <c r="M194">
        <v>1373</v>
      </c>
      <c r="N194">
        <v>800</v>
      </c>
      <c r="O194" s="107" t="s">
        <v>63</v>
      </c>
      <c r="P194">
        <v>0.93601780700530601</v>
      </c>
      <c r="Q194">
        <v>0.91709192493839198</v>
      </c>
      <c r="R194">
        <v>2.5168296467711699E-2</v>
      </c>
      <c r="S194">
        <v>1.25205342874227E-2</v>
      </c>
      <c r="T194">
        <v>-5.2860413250826001E-2</v>
      </c>
      <c r="U194">
        <v>5.2860413250826001E-2</v>
      </c>
      <c r="V194">
        <v>-0.13</v>
      </c>
      <c r="W194">
        <v>3.68</v>
      </c>
      <c r="X194">
        <v>-86216</v>
      </c>
      <c r="Y194">
        <v>-5388</v>
      </c>
      <c r="Z194">
        <v>-0.22</v>
      </c>
      <c r="AA194">
        <v>16</v>
      </c>
      <c r="AB194">
        <v>6</v>
      </c>
      <c r="AC194">
        <v>10</v>
      </c>
      <c r="AD194">
        <v>37.5</v>
      </c>
      <c r="AE194">
        <v>14</v>
      </c>
      <c r="AF194">
        <v>4</v>
      </c>
      <c r="AG194">
        <v>5</v>
      </c>
      <c r="AH194">
        <v>7</v>
      </c>
    </row>
    <row r="195" spans="1:34">
      <c r="A195" s="103">
        <v>197</v>
      </c>
      <c r="B195">
        <v>7327</v>
      </c>
      <c r="C195" s="107" t="s">
        <v>141</v>
      </c>
      <c r="D195" s="107" t="s">
        <v>82</v>
      </c>
      <c r="E195">
        <v>3095</v>
      </c>
      <c r="F195">
        <v>3140</v>
      </c>
      <c r="G195">
        <v>300</v>
      </c>
      <c r="H195" s="107" t="s">
        <v>63</v>
      </c>
      <c r="I195">
        <v>7817</v>
      </c>
      <c r="J195" s="107" t="s">
        <v>1337</v>
      </c>
      <c r="K195" s="107" t="s">
        <v>1338</v>
      </c>
      <c r="L195">
        <v>4600</v>
      </c>
      <c r="M195">
        <v>4600</v>
      </c>
      <c r="N195">
        <v>200</v>
      </c>
      <c r="O195" s="107" t="s">
        <v>61</v>
      </c>
      <c r="P195">
        <v>0.90218569053465503</v>
      </c>
      <c r="Q195">
        <v>0.90564467070953103</v>
      </c>
      <c r="R195">
        <v>0.29559751729057399</v>
      </c>
      <c r="S195">
        <v>0.12465252222784599</v>
      </c>
      <c r="T195">
        <v>0.48369814428833002</v>
      </c>
      <c r="U195">
        <v>0.48369814428833002</v>
      </c>
      <c r="V195">
        <v>1.6</v>
      </c>
      <c r="W195">
        <v>2.39</v>
      </c>
      <c r="X195">
        <v>-96389</v>
      </c>
      <c r="Y195">
        <v>-96389</v>
      </c>
      <c r="Z195">
        <v>-4.83</v>
      </c>
      <c r="AA195">
        <v>1</v>
      </c>
      <c r="AB195">
        <v>0</v>
      </c>
      <c r="AC195">
        <v>1</v>
      </c>
      <c r="AD195">
        <v>0</v>
      </c>
      <c r="AE195">
        <v>7</v>
      </c>
      <c r="AF195">
        <v>0</v>
      </c>
      <c r="AG195">
        <v>1</v>
      </c>
      <c r="AH195">
        <v>0</v>
      </c>
    </row>
    <row r="196" spans="1:34">
      <c r="A196" s="103">
        <v>222</v>
      </c>
      <c r="B196">
        <v>9719</v>
      </c>
      <c r="C196" s="107" t="s">
        <v>1339</v>
      </c>
      <c r="D196" s="107" t="s">
        <v>79</v>
      </c>
      <c r="E196">
        <v>5890</v>
      </c>
      <c r="F196">
        <v>5790</v>
      </c>
      <c r="G196">
        <v>100</v>
      </c>
      <c r="H196" s="107" t="s">
        <v>61</v>
      </c>
      <c r="I196">
        <v>9759</v>
      </c>
      <c r="J196" s="107" t="s">
        <v>1026</v>
      </c>
      <c r="K196" s="107" t="s">
        <v>79</v>
      </c>
      <c r="L196">
        <v>3625</v>
      </c>
      <c r="M196">
        <v>3555</v>
      </c>
      <c r="N196">
        <v>200</v>
      </c>
      <c r="O196" s="107" t="s">
        <v>63</v>
      </c>
      <c r="P196">
        <v>0.95587199244697696</v>
      </c>
      <c r="Q196">
        <v>0.90126330060728199</v>
      </c>
      <c r="R196">
        <v>9.1667879348844294E-2</v>
      </c>
      <c r="S196">
        <v>0.10494923045466401</v>
      </c>
      <c r="T196">
        <v>-5.6349498374836098E-2</v>
      </c>
      <c r="U196">
        <v>5.6349498374836098E-2</v>
      </c>
      <c r="V196">
        <v>-0.11</v>
      </c>
      <c r="W196">
        <v>22.8</v>
      </c>
      <c r="X196">
        <v>-97616</v>
      </c>
      <c r="Y196">
        <v>-7509</v>
      </c>
      <c r="Z196">
        <v>-0.35</v>
      </c>
      <c r="AA196">
        <v>13</v>
      </c>
      <c r="AB196">
        <v>6</v>
      </c>
      <c r="AC196">
        <v>7</v>
      </c>
      <c r="AD196">
        <v>46.15</v>
      </c>
      <c r="AE196">
        <v>13</v>
      </c>
      <c r="AF196">
        <v>3</v>
      </c>
      <c r="AG196">
        <v>2</v>
      </c>
      <c r="AH196">
        <v>8</v>
      </c>
    </row>
    <row r="197" spans="1:34">
      <c r="A197" s="103">
        <v>190</v>
      </c>
      <c r="B197">
        <v>1911</v>
      </c>
      <c r="C197" s="107" t="s">
        <v>103</v>
      </c>
      <c r="D197" s="107" t="s">
        <v>78</v>
      </c>
      <c r="E197">
        <v>1666</v>
      </c>
      <c r="F197">
        <v>1644</v>
      </c>
      <c r="G197">
        <v>700</v>
      </c>
      <c r="H197" s="107" t="s">
        <v>63</v>
      </c>
      <c r="I197">
        <v>4634</v>
      </c>
      <c r="J197" s="107" t="s">
        <v>140</v>
      </c>
      <c r="K197" s="107" t="s">
        <v>62</v>
      </c>
      <c r="L197">
        <v>2765</v>
      </c>
      <c r="M197">
        <v>2734</v>
      </c>
      <c r="N197">
        <v>400</v>
      </c>
      <c r="O197" s="107" t="s">
        <v>61</v>
      </c>
      <c r="P197">
        <v>0.92248588091615402</v>
      </c>
      <c r="Q197">
        <v>0.906439339560285</v>
      </c>
      <c r="R197" s="15">
        <v>7.0621864514431601E-2</v>
      </c>
      <c r="S197" s="15">
        <v>0.21307900668526999</v>
      </c>
      <c r="T197">
        <v>1.1030325729252</v>
      </c>
      <c r="U197">
        <v>1.1030325729252</v>
      </c>
      <c r="V197">
        <v>1.89</v>
      </c>
      <c r="W197">
        <v>5.23</v>
      </c>
      <c r="X197">
        <v>-107878</v>
      </c>
      <c r="Y197">
        <v>-6742</v>
      </c>
      <c r="Z197">
        <v>-0.39</v>
      </c>
      <c r="AA197">
        <v>16</v>
      </c>
      <c r="AB197">
        <v>6</v>
      </c>
      <c r="AC197">
        <v>10</v>
      </c>
      <c r="AD197">
        <v>37.5</v>
      </c>
      <c r="AE197">
        <v>15</v>
      </c>
      <c r="AF197">
        <v>2</v>
      </c>
      <c r="AG197">
        <v>2</v>
      </c>
      <c r="AH197">
        <v>12</v>
      </c>
    </row>
    <row r="198" spans="1:34">
      <c r="A198" s="103">
        <v>228</v>
      </c>
      <c r="B198">
        <v>4202</v>
      </c>
      <c r="C198" s="107" t="s">
        <v>89</v>
      </c>
      <c r="D198" s="107" t="s">
        <v>62</v>
      </c>
      <c r="E198">
        <v>1079</v>
      </c>
      <c r="F198">
        <v>1079</v>
      </c>
      <c r="G198">
        <v>700</v>
      </c>
      <c r="H198" s="107" t="s">
        <v>61</v>
      </c>
      <c r="I198">
        <v>6371</v>
      </c>
      <c r="J198" s="107" t="s">
        <v>108</v>
      </c>
      <c r="K198" s="107" t="s">
        <v>99</v>
      </c>
      <c r="L198">
        <v>3995</v>
      </c>
      <c r="M198">
        <v>4000</v>
      </c>
      <c r="N198">
        <v>200</v>
      </c>
      <c r="O198" s="107" t="s">
        <v>63</v>
      </c>
      <c r="P198">
        <v>0.93383341843692502</v>
      </c>
      <c r="Q198">
        <v>0.90031756105437299</v>
      </c>
      <c r="R198">
        <v>0.160669839021332</v>
      </c>
      <c r="S198">
        <v>0.22839107011437501</v>
      </c>
      <c r="T198">
        <v>-0.11969610366439599</v>
      </c>
      <c r="U198">
        <v>0.11969610366439599</v>
      </c>
      <c r="V198">
        <v>-0.54</v>
      </c>
      <c r="W198">
        <v>5.59</v>
      </c>
      <c r="X198">
        <v>-110166</v>
      </c>
      <c r="Y198">
        <v>-6885</v>
      </c>
      <c r="Z198">
        <v>-0.47</v>
      </c>
      <c r="AA198">
        <v>16</v>
      </c>
      <c r="AB198">
        <v>5</v>
      </c>
      <c r="AC198">
        <v>11</v>
      </c>
      <c r="AD198">
        <v>31.25</v>
      </c>
      <c r="AE198">
        <v>14</v>
      </c>
      <c r="AF198">
        <v>3</v>
      </c>
      <c r="AG198">
        <v>5</v>
      </c>
      <c r="AH198">
        <v>8</v>
      </c>
    </row>
    <row r="199" spans="1:34">
      <c r="A199" s="103">
        <v>114</v>
      </c>
      <c r="B199">
        <v>4204</v>
      </c>
      <c r="C199" s="107" t="s">
        <v>324</v>
      </c>
      <c r="D199" s="107" t="s">
        <v>62</v>
      </c>
      <c r="E199">
        <v>1941</v>
      </c>
      <c r="F199">
        <v>1926</v>
      </c>
      <c r="G199">
        <v>400</v>
      </c>
      <c r="H199" s="107" t="s">
        <v>61</v>
      </c>
      <c r="I199">
        <v>5947</v>
      </c>
      <c r="J199" s="107" t="s">
        <v>325</v>
      </c>
      <c r="K199" s="107" t="s">
        <v>116</v>
      </c>
      <c r="L199">
        <v>8580</v>
      </c>
      <c r="M199">
        <v>8530</v>
      </c>
      <c r="N199">
        <v>100</v>
      </c>
      <c r="O199" s="107" t="s">
        <v>63</v>
      </c>
      <c r="P199">
        <v>0.92973564888283999</v>
      </c>
      <c r="Q199">
        <v>0.92121716168355605</v>
      </c>
      <c r="R199">
        <v>0.122954150818847</v>
      </c>
      <c r="S199">
        <v>2.6750232383308602E-3</v>
      </c>
      <c r="T199">
        <v>-0.60435174302876804</v>
      </c>
      <c r="U199">
        <v>0.60435174302876804</v>
      </c>
      <c r="V199">
        <v>-1.48</v>
      </c>
      <c r="W199">
        <v>9.68</v>
      </c>
      <c r="X199">
        <v>-110401</v>
      </c>
      <c r="Y199">
        <v>-7886</v>
      </c>
      <c r="Z199">
        <v>-0.25</v>
      </c>
      <c r="AA199">
        <v>14</v>
      </c>
      <c r="AB199">
        <v>7</v>
      </c>
      <c r="AC199">
        <v>7</v>
      </c>
      <c r="AD199">
        <v>50</v>
      </c>
      <c r="AE199">
        <v>16</v>
      </c>
      <c r="AF199">
        <v>4</v>
      </c>
      <c r="AG199">
        <v>2</v>
      </c>
      <c r="AH199">
        <v>8</v>
      </c>
    </row>
    <row r="200" spans="1:34">
      <c r="A200" s="103">
        <v>62</v>
      </c>
      <c r="B200">
        <v>7181</v>
      </c>
      <c r="C200" s="107" t="s">
        <v>137</v>
      </c>
      <c r="D200" s="107" t="s">
        <v>110</v>
      </c>
      <c r="E200">
        <v>2005</v>
      </c>
      <c r="F200">
        <v>1990</v>
      </c>
      <c r="G200">
        <v>500</v>
      </c>
      <c r="H200" s="107" t="s">
        <v>63</v>
      </c>
      <c r="I200">
        <v>9603</v>
      </c>
      <c r="J200" s="107" t="s">
        <v>1340</v>
      </c>
      <c r="K200" s="107" t="s">
        <v>120</v>
      </c>
      <c r="L200">
        <v>3180</v>
      </c>
      <c r="M200">
        <v>3190</v>
      </c>
      <c r="N200">
        <v>300</v>
      </c>
      <c r="O200" s="107" t="s">
        <v>61</v>
      </c>
      <c r="P200">
        <v>0.96859979104961802</v>
      </c>
      <c r="Q200">
        <v>0.93498500306808796</v>
      </c>
      <c r="R200">
        <v>2.87943711969972E-4</v>
      </c>
      <c r="S200">
        <v>0.23020018085426999</v>
      </c>
      <c r="T200">
        <v>0.74483377150682095</v>
      </c>
      <c r="U200">
        <v>0.74483377150682095</v>
      </c>
      <c r="V200">
        <v>1.97</v>
      </c>
      <c r="W200">
        <v>3.97</v>
      </c>
      <c r="X200">
        <v>-110956</v>
      </c>
      <c r="Y200">
        <v>-7397</v>
      </c>
      <c r="Z200">
        <v>-0.38</v>
      </c>
      <c r="AA200">
        <v>15</v>
      </c>
      <c r="AB200">
        <v>6</v>
      </c>
      <c r="AC200">
        <v>9</v>
      </c>
      <c r="AD200">
        <v>40</v>
      </c>
      <c r="AE200">
        <v>11</v>
      </c>
      <c r="AF200">
        <v>5</v>
      </c>
      <c r="AG200">
        <v>7</v>
      </c>
      <c r="AH200">
        <v>3</v>
      </c>
    </row>
    <row r="201" spans="1:34">
      <c r="A201" s="103">
        <v>86</v>
      </c>
      <c r="B201">
        <v>6702</v>
      </c>
      <c r="C201" s="107" t="s">
        <v>332</v>
      </c>
      <c r="D201" s="107" t="s">
        <v>87</v>
      </c>
      <c r="E201">
        <v>10200</v>
      </c>
      <c r="F201">
        <v>10055</v>
      </c>
      <c r="G201">
        <v>100</v>
      </c>
      <c r="H201" s="107" t="s">
        <v>63</v>
      </c>
      <c r="I201">
        <v>6845</v>
      </c>
      <c r="J201" s="107" t="s">
        <v>307</v>
      </c>
      <c r="K201" s="107" t="s">
        <v>87</v>
      </c>
      <c r="L201">
        <v>3260</v>
      </c>
      <c r="M201">
        <v>3205</v>
      </c>
      <c r="N201">
        <v>300</v>
      </c>
      <c r="O201" s="107" t="s">
        <v>61</v>
      </c>
      <c r="P201">
        <v>0.91838268195031603</v>
      </c>
      <c r="Q201">
        <v>0.92799016097123399</v>
      </c>
      <c r="R201">
        <v>0.196829017151402</v>
      </c>
      <c r="S201">
        <v>4.7426715526741402E-2</v>
      </c>
      <c r="T201">
        <v>0.90478897429434202</v>
      </c>
      <c r="U201">
        <v>0.90478897429434202</v>
      </c>
      <c r="V201">
        <v>2.48</v>
      </c>
      <c r="W201">
        <v>4.38</v>
      </c>
      <c r="X201">
        <v>-115725</v>
      </c>
      <c r="Y201">
        <v>-9644</v>
      </c>
      <c r="Z201">
        <v>-0.71</v>
      </c>
      <c r="AA201">
        <v>12</v>
      </c>
      <c r="AB201">
        <v>5</v>
      </c>
      <c r="AC201">
        <v>7</v>
      </c>
      <c r="AD201">
        <v>41.67</v>
      </c>
      <c r="AE201">
        <v>13</v>
      </c>
      <c r="AF201">
        <v>4</v>
      </c>
      <c r="AG201">
        <v>3</v>
      </c>
      <c r="AH201">
        <v>5</v>
      </c>
    </row>
    <row r="202" spans="1:34">
      <c r="A202" s="103">
        <v>14</v>
      </c>
      <c r="B202">
        <v>2413</v>
      </c>
      <c r="C202" s="107" t="s">
        <v>1271</v>
      </c>
      <c r="D202" s="107" t="s">
        <v>120</v>
      </c>
      <c r="E202">
        <v>3065</v>
      </c>
      <c r="F202">
        <v>3025</v>
      </c>
      <c r="G202">
        <v>300</v>
      </c>
      <c r="H202" s="107" t="s">
        <v>61</v>
      </c>
      <c r="I202">
        <v>3110</v>
      </c>
      <c r="J202" s="107" t="s">
        <v>1305</v>
      </c>
      <c r="K202" s="107" t="s">
        <v>106</v>
      </c>
      <c r="L202">
        <v>4260</v>
      </c>
      <c r="M202">
        <v>4220</v>
      </c>
      <c r="N202">
        <v>200</v>
      </c>
      <c r="O202" s="107" t="s">
        <v>63</v>
      </c>
      <c r="P202">
        <v>0.93691893816233995</v>
      </c>
      <c r="Q202">
        <v>0.953999963459496</v>
      </c>
      <c r="R202">
        <v>0.23779450245884401</v>
      </c>
      <c r="S202">
        <v>7.4670265472324901E-2</v>
      </c>
      <c r="T202">
        <v>-1.7496343106060701</v>
      </c>
      <c r="U202">
        <v>1.7496343106060701</v>
      </c>
      <c r="V202">
        <v>-9.35</v>
      </c>
      <c r="W202">
        <v>7.52</v>
      </c>
      <c r="X202">
        <v>-115949</v>
      </c>
      <c r="Y202">
        <v>-6821</v>
      </c>
      <c r="Z202">
        <v>-0.22</v>
      </c>
      <c r="AA202">
        <v>17</v>
      </c>
      <c r="AB202">
        <v>8</v>
      </c>
      <c r="AC202">
        <v>9</v>
      </c>
      <c r="AD202">
        <v>47.06</v>
      </c>
      <c r="AE202">
        <v>10</v>
      </c>
      <c r="AF202">
        <v>5</v>
      </c>
      <c r="AG202">
        <v>8</v>
      </c>
      <c r="AH202">
        <v>4</v>
      </c>
    </row>
    <row r="203" spans="1:34">
      <c r="A203" s="103">
        <v>42</v>
      </c>
      <c r="B203">
        <v>4062</v>
      </c>
      <c r="C203" s="107" t="s">
        <v>326</v>
      </c>
      <c r="D203" s="107" t="s">
        <v>87</v>
      </c>
      <c r="E203">
        <v>2625</v>
      </c>
      <c r="F203">
        <v>2608</v>
      </c>
      <c r="G203">
        <v>400</v>
      </c>
      <c r="H203" s="107" t="s">
        <v>61</v>
      </c>
      <c r="I203">
        <v>6951</v>
      </c>
      <c r="J203" s="107" t="s">
        <v>323</v>
      </c>
      <c r="K203" s="107" t="s">
        <v>87</v>
      </c>
      <c r="L203">
        <v>3155</v>
      </c>
      <c r="M203">
        <v>3180</v>
      </c>
      <c r="N203">
        <v>300</v>
      </c>
      <c r="O203" s="107" t="s">
        <v>63</v>
      </c>
      <c r="P203">
        <v>0.94007297053250105</v>
      </c>
      <c r="Q203">
        <v>0.94173180717081495</v>
      </c>
      <c r="R203">
        <v>3.9913042827734002E-2</v>
      </c>
      <c r="S203">
        <v>0.12986678399785501</v>
      </c>
      <c r="T203">
        <v>-1.2709237771872901</v>
      </c>
      <c r="U203">
        <v>1.2709237771872901</v>
      </c>
      <c r="V203">
        <v>-3.76</v>
      </c>
      <c r="W203">
        <v>9.35</v>
      </c>
      <c r="X203">
        <v>-118052</v>
      </c>
      <c r="Y203">
        <v>-7870</v>
      </c>
      <c r="Z203">
        <v>-0.41</v>
      </c>
      <c r="AA203">
        <v>15</v>
      </c>
      <c r="AB203">
        <v>7</v>
      </c>
      <c r="AC203">
        <v>8</v>
      </c>
      <c r="AD203">
        <v>46.67</v>
      </c>
      <c r="AE203">
        <v>12</v>
      </c>
      <c r="AF203">
        <v>5</v>
      </c>
      <c r="AG203">
        <v>6</v>
      </c>
      <c r="AH203">
        <v>4</v>
      </c>
    </row>
    <row r="204" spans="1:34">
      <c r="A204" s="103">
        <v>16</v>
      </c>
      <c r="B204">
        <v>9501</v>
      </c>
      <c r="C204" s="107" t="s">
        <v>1276</v>
      </c>
      <c r="D204" s="107" t="s">
        <v>124</v>
      </c>
      <c r="E204">
        <v>484</v>
      </c>
      <c r="F204">
        <v>488</v>
      </c>
      <c r="G204">
        <v>2100</v>
      </c>
      <c r="H204" s="107" t="s">
        <v>63</v>
      </c>
      <c r="I204">
        <v>9508</v>
      </c>
      <c r="J204" s="107" t="s">
        <v>1277</v>
      </c>
      <c r="K204" s="107" t="s">
        <v>124</v>
      </c>
      <c r="L204">
        <v>951</v>
      </c>
      <c r="M204">
        <v>948</v>
      </c>
      <c r="N204">
        <v>1100</v>
      </c>
      <c r="O204" s="107" t="s">
        <v>61</v>
      </c>
      <c r="P204">
        <v>0.92096371465890803</v>
      </c>
      <c r="Q204">
        <v>0.95292207083465896</v>
      </c>
      <c r="R204">
        <v>0.124526242385693</v>
      </c>
      <c r="S204">
        <v>0.15224977990007599</v>
      </c>
      <c r="T204">
        <v>1.1658384816055001</v>
      </c>
      <c r="U204">
        <v>1.1658384816055001</v>
      </c>
      <c r="V204">
        <v>2.7</v>
      </c>
      <c r="W204">
        <v>1.73</v>
      </c>
      <c r="X204">
        <v>-124320</v>
      </c>
      <c r="Y204">
        <v>-9563</v>
      </c>
      <c r="Z204">
        <v>-0.48</v>
      </c>
      <c r="AA204">
        <v>13</v>
      </c>
      <c r="AB204">
        <v>5</v>
      </c>
      <c r="AC204">
        <v>8</v>
      </c>
      <c r="AD204">
        <v>38.46</v>
      </c>
      <c r="AE204">
        <v>14</v>
      </c>
      <c r="AF204">
        <v>3</v>
      </c>
      <c r="AG204">
        <v>4</v>
      </c>
      <c r="AH204">
        <v>6</v>
      </c>
    </row>
    <row r="205" spans="1:34">
      <c r="A205" s="103">
        <v>154</v>
      </c>
      <c r="B205">
        <v>7189</v>
      </c>
      <c r="C205" s="107" t="s">
        <v>81</v>
      </c>
      <c r="D205" s="107" t="s">
        <v>82</v>
      </c>
      <c r="E205">
        <v>873</v>
      </c>
      <c r="F205">
        <v>879</v>
      </c>
      <c r="G205">
        <v>1200</v>
      </c>
      <c r="H205" s="107" t="s">
        <v>63</v>
      </c>
      <c r="I205">
        <v>8377</v>
      </c>
      <c r="J205" s="107" t="s">
        <v>94</v>
      </c>
      <c r="K205" s="107" t="s">
        <v>82</v>
      </c>
      <c r="L205">
        <v>1164</v>
      </c>
      <c r="M205">
        <v>1172</v>
      </c>
      <c r="N205">
        <v>900</v>
      </c>
      <c r="O205" s="107" t="s">
        <v>61</v>
      </c>
      <c r="P205">
        <v>0.95176674622910695</v>
      </c>
      <c r="Q205">
        <v>0.91244252762219202</v>
      </c>
      <c r="R205">
        <v>0.26111794351433099</v>
      </c>
      <c r="S205">
        <v>0.29519690625232098</v>
      </c>
      <c r="T205">
        <v>0.592819386696259</v>
      </c>
      <c r="U205">
        <v>0.592819386696259</v>
      </c>
      <c r="V205">
        <v>2.41</v>
      </c>
      <c r="W205">
        <v>0</v>
      </c>
      <c r="X205">
        <v>-129434</v>
      </c>
      <c r="Y205">
        <v>-6812</v>
      </c>
      <c r="Z205">
        <v>-0.3</v>
      </c>
      <c r="AA205">
        <v>19</v>
      </c>
      <c r="AB205">
        <v>9</v>
      </c>
      <c r="AC205">
        <v>10</v>
      </c>
      <c r="AD205">
        <v>47.37</v>
      </c>
      <c r="AE205">
        <v>15</v>
      </c>
      <c r="AF205">
        <v>3</v>
      </c>
      <c r="AG205">
        <v>4</v>
      </c>
      <c r="AH205">
        <v>12</v>
      </c>
    </row>
    <row r="206" spans="1:34">
      <c r="A206" s="103">
        <v>150</v>
      </c>
      <c r="B206">
        <v>5333</v>
      </c>
      <c r="C206" s="107" t="s">
        <v>334</v>
      </c>
      <c r="D206" s="107" t="s">
        <v>106</v>
      </c>
      <c r="E206">
        <v>1915</v>
      </c>
      <c r="F206">
        <v>1919</v>
      </c>
      <c r="G206">
        <v>500</v>
      </c>
      <c r="H206" s="107" t="s">
        <v>61</v>
      </c>
      <c r="I206">
        <v>8253</v>
      </c>
      <c r="J206" s="107" t="s">
        <v>1273</v>
      </c>
      <c r="K206" s="107" t="s">
        <v>299</v>
      </c>
      <c r="L206">
        <v>1901</v>
      </c>
      <c r="M206">
        <v>1908</v>
      </c>
      <c r="N206">
        <v>500</v>
      </c>
      <c r="O206" s="107" t="s">
        <v>63</v>
      </c>
      <c r="P206">
        <v>0.92634573182596103</v>
      </c>
      <c r="Q206">
        <v>0.91296935818390101</v>
      </c>
      <c r="R206" s="15">
        <v>0.154687813635</v>
      </c>
      <c r="S206">
        <v>4.9467356456332004E-3</v>
      </c>
      <c r="T206">
        <v>-1.06076587169183</v>
      </c>
      <c r="U206">
        <v>1.06076587169183</v>
      </c>
      <c r="V206">
        <v>-7.98</v>
      </c>
      <c r="W206">
        <v>0.56999999999999995</v>
      </c>
      <c r="X206">
        <v>-129824</v>
      </c>
      <c r="Y206">
        <v>-7637</v>
      </c>
      <c r="Z206">
        <v>-0.39</v>
      </c>
      <c r="AA206">
        <v>17</v>
      </c>
      <c r="AB206">
        <v>7</v>
      </c>
      <c r="AC206">
        <v>10</v>
      </c>
      <c r="AD206">
        <v>41.18</v>
      </c>
      <c r="AE206">
        <v>13</v>
      </c>
      <c r="AF206">
        <v>4</v>
      </c>
      <c r="AG206">
        <v>6</v>
      </c>
      <c r="AH206">
        <v>7</v>
      </c>
    </row>
    <row r="207" spans="1:34">
      <c r="A207" s="103">
        <v>210</v>
      </c>
      <c r="B207">
        <v>7181</v>
      </c>
      <c r="C207" s="107" t="s">
        <v>137</v>
      </c>
      <c r="D207" s="107" t="s">
        <v>110</v>
      </c>
      <c r="E207">
        <v>2005</v>
      </c>
      <c r="F207">
        <v>1990</v>
      </c>
      <c r="G207">
        <v>500</v>
      </c>
      <c r="H207" s="107" t="s">
        <v>63</v>
      </c>
      <c r="I207">
        <v>8377</v>
      </c>
      <c r="J207" s="107" t="s">
        <v>94</v>
      </c>
      <c r="K207" s="107" t="s">
        <v>82</v>
      </c>
      <c r="L207">
        <v>1164</v>
      </c>
      <c r="M207">
        <v>1172</v>
      </c>
      <c r="N207">
        <v>800</v>
      </c>
      <c r="O207" s="107" t="s">
        <v>61</v>
      </c>
      <c r="P207">
        <v>0.903424595290792</v>
      </c>
      <c r="Q207">
        <v>0.90340679291043302</v>
      </c>
      <c r="R207">
        <v>0.19998511452263201</v>
      </c>
      <c r="S207">
        <v>0.32152843041256302</v>
      </c>
      <c r="T207">
        <v>1.7539948337739599</v>
      </c>
      <c r="U207">
        <v>1.7539948337739599</v>
      </c>
      <c r="V207">
        <v>4.9400000000000004</v>
      </c>
      <c r="W207">
        <v>5.77</v>
      </c>
      <c r="X207">
        <v>-134069</v>
      </c>
      <c r="Y207">
        <v>-7056</v>
      </c>
      <c r="Z207">
        <v>-0.36</v>
      </c>
      <c r="AA207">
        <v>19</v>
      </c>
      <c r="AB207">
        <v>8</v>
      </c>
      <c r="AC207">
        <v>11</v>
      </c>
      <c r="AD207">
        <v>42.11</v>
      </c>
      <c r="AE207">
        <v>13</v>
      </c>
      <c r="AF207">
        <v>4</v>
      </c>
      <c r="AG207">
        <v>4</v>
      </c>
      <c r="AH207">
        <v>11</v>
      </c>
    </row>
    <row r="208" spans="1:34">
      <c r="A208" s="103">
        <v>100</v>
      </c>
      <c r="B208">
        <v>3635</v>
      </c>
      <c r="C208" s="107" t="s">
        <v>85</v>
      </c>
      <c r="D208" s="107" t="s">
        <v>79</v>
      </c>
      <c r="E208">
        <v>2727</v>
      </c>
      <c r="F208">
        <v>2709</v>
      </c>
      <c r="G208">
        <v>300</v>
      </c>
      <c r="H208" s="107" t="s">
        <v>61</v>
      </c>
      <c r="I208">
        <v>6588</v>
      </c>
      <c r="J208" s="107" t="s">
        <v>955</v>
      </c>
      <c r="K208" s="107" t="s">
        <v>87</v>
      </c>
      <c r="L208">
        <v>4625</v>
      </c>
      <c r="M208">
        <v>4530</v>
      </c>
      <c r="N208">
        <v>200</v>
      </c>
      <c r="O208" s="107" t="s">
        <v>63</v>
      </c>
      <c r="P208">
        <v>0.959124265042124</v>
      </c>
      <c r="Q208">
        <v>0.92445244275541205</v>
      </c>
      <c r="R208">
        <v>7.0350978554231704E-3</v>
      </c>
      <c r="S208">
        <v>0.14018340807837501</v>
      </c>
      <c r="T208">
        <v>-1.0703466633980201</v>
      </c>
      <c r="U208">
        <v>1.0703466633980201</v>
      </c>
      <c r="V208">
        <v>-9.36</v>
      </c>
      <c r="W208">
        <v>10.3</v>
      </c>
      <c r="X208">
        <v>-149155</v>
      </c>
      <c r="Y208">
        <v>-16573</v>
      </c>
      <c r="Z208">
        <v>-0.94</v>
      </c>
      <c r="AA208">
        <v>9</v>
      </c>
      <c r="AB208">
        <v>4</v>
      </c>
      <c r="AC208">
        <v>5</v>
      </c>
      <c r="AD208">
        <v>44.44</v>
      </c>
      <c r="AE208">
        <v>12</v>
      </c>
      <c r="AF208">
        <v>1</v>
      </c>
      <c r="AG208">
        <v>3</v>
      </c>
      <c r="AH208">
        <v>5</v>
      </c>
    </row>
    <row r="209" spans="1:34">
      <c r="A209" s="103">
        <v>72</v>
      </c>
      <c r="B209">
        <v>4182</v>
      </c>
      <c r="C209" s="107" t="s">
        <v>88</v>
      </c>
      <c r="D209" s="107" t="s">
        <v>62</v>
      </c>
      <c r="E209">
        <v>1728</v>
      </c>
      <c r="F209">
        <v>1730</v>
      </c>
      <c r="G209">
        <v>600</v>
      </c>
      <c r="H209" s="107" t="s">
        <v>63</v>
      </c>
      <c r="I209">
        <v>9072</v>
      </c>
      <c r="J209" s="107" t="s">
        <v>126</v>
      </c>
      <c r="K209" s="107" t="s">
        <v>119</v>
      </c>
      <c r="L209">
        <v>2740</v>
      </c>
      <c r="M209">
        <v>2739</v>
      </c>
      <c r="N209">
        <v>400</v>
      </c>
      <c r="O209" s="107" t="s">
        <v>61</v>
      </c>
      <c r="P209">
        <v>0.94965549511020497</v>
      </c>
      <c r="Q209">
        <v>0.93131522168615199</v>
      </c>
      <c r="R209">
        <v>6.53585450399466E-3</v>
      </c>
      <c r="S209" s="15">
        <v>9.3068475844434301E-5</v>
      </c>
      <c r="T209">
        <v>1.61100492484582</v>
      </c>
      <c r="U209">
        <v>1.61100492484582</v>
      </c>
      <c r="V209">
        <v>7.14</v>
      </c>
      <c r="W209">
        <v>5.26</v>
      </c>
      <c r="X209">
        <v>-153106</v>
      </c>
      <c r="Y209">
        <v>-9006</v>
      </c>
      <c r="Z209">
        <v>-0.41</v>
      </c>
      <c r="AA209">
        <v>17</v>
      </c>
      <c r="AB209">
        <v>6</v>
      </c>
      <c r="AC209">
        <v>11</v>
      </c>
      <c r="AD209">
        <v>35.29</v>
      </c>
      <c r="AE209">
        <v>13</v>
      </c>
      <c r="AF209">
        <v>6</v>
      </c>
      <c r="AG209">
        <v>5</v>
      </c>
      <c r="AH209">
        <v>6</v>
      </c>
    </row>
    <row r="210" spans="1:34">
      <c r="A210" s="103">
        <v>92</v>
      </c>
      <c r="B210">
        <v>6287</v>
      </c>
      <c r="C210" s="107" t="s">
        <v>951</v>
      </c>
      <c r="D210" s="107" t="s">
        <v>99</v>
      </c>
      <c r="E210">
        <v>3455</v>
      </c>
      <c r="F210">
        <v>3455</v>
      </c>
      <c r="G210">
        <v>300</v>
      </c>
      <c r="H210" s="107" t="s">
        <v>61</v>
      </c>
      <c r="I210">
        <v>7274</v>
      </c>
      <c r="J210" s="107" t="s">
        <v>336</v>
      </c>
      <c r="K210" s="107" t="s">
        <v>84</v>
      </c>
      <c r="L210">
        <v>2278</v>
      </c>
      <c r="M210">
        <v>2283</v>
      </c>
      <c r="N210">
        <v>500</v>
      </c>
      <c r="O210" s="107" t="s">
        <v>63</v>
      </c>
      <c r="P210">
        <v>0.96157809798891702</v>
      </c>
      <c r="Q210">
        <v>0.92667112918005801</v>
      </c>
      <c r="R210">
        <v>1.6759106076749099E-2</v>
      </c>
      <c r="S210" s="15">
        <v>0.321504657117964</v>
      </c>
      <c r="T210">
        <v>-0.859933028141316</v>
      </c>
      <c r="U210">
        <v>0.859933028141316</v>
      </c>
      <c r="V210">
        <v>-11.52</v>
      </c>
      <c r="W210">
        <v>10.130000000000001</v>
      </c>
      <c r="X210">
        <v>-158411</v>
      </c>
      <c r="Y210">
        <v>-7543</v>
      </c>
      <c r="Z210">
        <v>-0.36</v>
      </c>
      <c r="AA210">
        <v>21</v>
      </c>
      <c r="AB210">
        <v>11</v>
      </c>
      <c r="AC210">
        <v>10</v>
      </c>
      <c r="AD210">
        <v>52.38</v>
      </c>
      <c r="AE210">
        <v>10</v>
      </c>
      <c r="AF210">
        <v>8</v>
      </c>
      <c r="AG210">
        <v>9</v>
      </c>
      <c r="AH210">
        <v>4</v>
      </c>
    </row>
    <row r="211" spans="1:34">
      <c r="A211" s="103">
        <v>153</v>
      </c>
      <c r="B211">
        <v>4519</v>
      </c>
      <c r="C211" s="107" t="s">
        <v>954</v>
      </c>
      <c r="D211" s="107" t="s">
        <v>136</v>
      </c>
      <c r="E211">
        <v>10025</v>
      </c>
      <c r="F211">
        <v>10040</v>
      </c>
      <c r="G211">
        <v>100</v>
      </c>
      <c r="H211" s="107" t="s">
        <v>63</v>
      </c>
      <c r="I211">
        <v>4613</v>
      </c>
      <c r="J211" s="107" t="s">
        <v>320</v>
      </c>
      <c r="K211" s="107" t="s">
        <v>62</v>
      </c>
      <c r="L211">
        <v>2822</v>
      </c>
      <c r="M211">
        <v>2757</v>
      </c>
      <c r="N211">
        <v>400</v>
      </c>
      <c r="O211" s="107" t="s">
        <v>61</v>
      </c>
      <c r="P211">
        <v>0.92507405163888901</v>
      </c>
      <c r="Q211">
        <v>0.91265505585520001</v>
      </c>
      <c r="R211">
        <v>0.24827313705856299</v>
      </c>
      <c r="S211">
        <v>9.3367952693109504E-3</v>
      </c>
      <c r="T211">
        <v>2.3572776817252401</v>
      </c>
      <c r="U211">
        <v>2.3572776817252401</v>
      </c>
      <c r="V211">
        <v>7.35</v>
      </c>
      <c r="W211">
        <v>9.84</v>
      </c>
      <c r="X211">
        <v>-169869</v>
      </c>
      <c r="Y211">
        <v>-14156</v>
      </c>
      <c r="Z211">
        <v>-0.56000000000000005</v>
      </c>
      <c r="AA211">
        <v>12</v>
      </c>
      <c r="AB211">
        <v>5</v>
      </c>
      <c r="AC211">
        <v>7</v>
      </c>
      <c r="AD211">
        <v>41.67</v>
      </c>
      <c r="AE211">
        <v>11</v>
      </c>
      <c r="AF211">
        <v>5</v>
      </c>
      <c r="AG211">
        <v>5</v>
      </c>
      <c r="AH211">
        <v>2</v>
      </c>
    </row>
    <row r="212" spans="1:34">
      <c r="A212" s="103">
        <v>166</v>
      </c>
      <c r="B212">
        <v>6479</v>
      </c>
      <c r="C212" s="107" t="s">
        <v>1325</v>
      </c>
      <c r="D212" s="107" t="s">
        <v>87</v>
      </c>
      <c r="E212">
        <v>2330</v>
      </c>
      <c r="F212">
        <v>2326</v>
      </c>
      <c r="G212">
        <v>400</v>
      </c>
      <c r="H212" s="107" t="s">
        <v>61</v>
      </c>
      <c r="I212">
        <v>7274</v>
      </c>
      <c r="J212" s="107" t="s">
        <v>336</v>
      </c>
      <c r="K212" s="107" t="s">
        <v>84</v>
      </c>
      <c r="L212">
        <v>2278</v>
      </c>
      <c r="M212">
        <v>2283</v>
      </c>
      <c r="N212">
        <v>400</v>
      </c>
      <c r="O212" s="107" t="s">
        <v>63</v>
      </c>
      <c r="P212">
        <v>0.93202658198659205</v>
      </c>
      <c r="Q212">
        <v>0.91033359768853495</v>
      </c>
      <c r="R212">
        <v>3.8868278696830703E-2</v>
      </c>
      <c r="S212">
        <v>5.4226892403909698E-3</v>
      </c>
      <c r="T212">
        <v>-0.48700769013758599</v>
      </c>
      <c r="U212">
        <v>0.48700769013758599</v>
      </c>
      <c r="V212">
        <v>-5.79</v>
      </c>
      <c r="W212">
        <v>1.85</v>
      </c>
      <c r="X212">
        <v>-170670</v>
      </c>
      <c r="Y212">
        <v>-10039</v>
      </c>
      <c r="Z212">
        <v>-0.52</v>
      </c>
      <c r="AA212">
        <v>17</v>
      </c>
      <c r="AB212">
        <v>7</v>
      </c>
      <c r="AC212">
        <v>10</v>
      </c>
      <c r="AD212">
        <v>41.18</v>
      </c>
      <c r="AE212">
        <v>14</v>
      </c>
      <c r="AF212">
        <v>3</v>
      </c>
      <c r="AG212">
        <v>5</v>
      </c>
      <c r="AH212">
        <v>9</v>
      </c>
    </row>
    <row r="213" spans="1:34">
      <c r="A213" s="103">
        <v>28</v>
      </c>
      <c r="B213">
        <v>7267</v>
      </c>
      <c r="C213" s="107" t="s">
        <v>118</v>
      </c>
      <c r="D213" s="107" t="s">
        <v>84</v>
      </c>
      <c r="E213">
        <v>3178</v>
      </c>
      <c r="F213">
        <v>3221</v>
      </c>
      <c r="G213">
        <v>300</v>
      </c>
      <c r="H213" s="107" t="s">
        <v>61</v>
      </c>
      <c r="I213">
        <v>8002</v>
      </c>
      <c r="J213" s="107" t="s">
        <v>31</v>
      </c>
      <c r="K213" s="107" t="s">
        <v>101</v>
      </c>
      <c r="L213">
        <v>834.9</v>
      </c>
      <c r="M213">
        <v>837.7</v>
      </c>
      <c r="N213">
        <v>1200</v>
      </c>
      <c r="O213" s="107" t="s">
        <v>63</v>
      </c>
      <c r="P213">
        <v>0.95378445539291201</v>
      </c>
      <c r="Q213">
        <v>0.94554923923634904</v>
      </c>
      <c r="R213">
        <v>8.2051284004877406E-2</v>
      </c>
      <c r="S213" s="15">
        <v>9.1427140728836398E-4</v>
      </c>
      <c r="T213">
        <v>-0.246739258895178</v>
      </c>
      <c r="U213">
        <v>0.246739258895178</v>
      </c>
      <c r="V213">
        <v>-0.44</v>
      </c>
      <c r="W213">
        <v>4.03</v>
      </c>
      <c r="X213">
        <v>-183458</v>
      </c>
      <c r="Y213">
        <v>-12231</v>
      </c>
      <c r="Z213">
        <v>-0.72</v>
      </c>
      <c r="AA213">
        <v>15</v>
      </c>
      <c r="AB213">
        <v>6</v>
      </c>
      <c r="AC213">
        <v>9</v>
      </c>
      <c r="AD213">
        <v>40</v>
      </c>
      <c r="AE213">
        <v>16</v>
      </c>
      <c r="AF213">
        <v>0</v>
      </c>
      <c r="AG213">
        <v>3</v>
      </c>
      <c r="AH213">
        <v>12</v>
      </c>
    </row>
    <row r="214" spans="1:34">
      <c r="A214" s="103">
        <v>133</v>
      </c>
      <c r="B214">
        <v>4626</v>
      </c>
      <c r="C214" s="107" t="s">
        <v>948</v>
      </c>
      <c r="D214" s="107" t="s">
        <v>62</v>
      </c>
      <c r="E214">
        <v>4350</v>
      </c>
      <c r="F214">
        <v>4315</v>
      </c>
      <c r="G214">
        <v>200</v>
      </c>
      <c r="H214" s="107" t="s">
        <v>63</v>
      </c>
      <c r="I214">
        <v>5947</v>
      </c>
      <c r="J214" s="107" t="s">
        <v>325</v>
      </c>
      <c r="K214" s="107" t="s">
        <v>116</v>
      </c>
      <c r="L214">
        <v>8580</v>
      </c>
      <c r="M214">
        <v>8530</v>
      </c>
      <c r="N214">
        <v>100</v>
      </c>
      <c r="O214" s="107" t="s">
        <v>61</v>
      </c>
      <c r="P214">
        <v>0.94827959377150695</v>
      </c>
      <c r="Q214">
        <v>0.91668181265496895</v>
      </c>
      <c r="R214">
        <v>5.6387263318823801E-2</v>
      </c>
      <c r="S214">
        <v>0.134712793805501</v>
      </c>
      <c r="T214">
        <v>0.90178601635022804</v>
      </c>
      <c r="U214">
        <v>0.90178601635022804</v>
      </c>
      <c r="V214">
        <v>2.27</v>
      </c>
      <c r="W214">
        <v>1.17</v>
      </c>
      <c r="X214">
        <v>-185019</v>
      </c>
      <c r="Y214">
        <v>-11564</v>
      </c>
      <c r="Z214">
        <v>-0.52</v>
      </c>
      <c r="AA214">
        <v>16</v>
      </c>
      <c r="AB214">
        <v>6</v>
      </c>
      <c r="AC214">
        <v>10</v>
      </c>
      <c r="AD214">
        <v>37.5</v>
      </c>
      <c r="AE214">
        <v>14</v>
      </c>
      <c r="AF214">
        <v>3</v>
      </c>
      <c r="AG214">
        <v>4</v>
      </c>
      <c r="AH214">
        <v>9</v>
      </c>
    </row>
    <row r="215" spans="1:34">
      <c r="A215" s="103">
        <v>57</v>
      </c>
      <c r="B215">
        <v>3038</v>
      </c>
      <c r="C215" s="107" t="s">
        <v>338</v>
      </c>
      <c r="D215" s="107" t="s">
        <v>101</v>
      </c>
      <c r="E215">
        <v>3440</v>
      </c>
      <c r="F215">
        <v>3440</v>
      </c>
      <c r="G215">
        <v>200</v>
      </c>
      <c r="H215" s="107" t="s">
        <v>63</v>
      </c>
      <c r="I215">
        <v>6098</v>
      </c>
      <c r="J215" s="107" t="s">
        <v>339</v>
      </c>
      <c r="K215" s="107" t="s">
        <v>120</v>
      </c>
      <c r="L215">
        <v>4053</v>
      </c>
      <c r="M215">
        <v>4103</v>
      </c>
      <c r="N215">
        <v>200</v>
      </c>
      <c r="O215" s="107" t="s">
        <v>61</v>
      </c>
      <c r="P215">
        <v>0.93050406400974395</v>
      </c>
      <c r="Q215">
        <v>0.936228069551028</v>
      </c>
      <c r="R215" s="15">
        <v>0.33458693859531202</v>
      </c>
      <c r="S215">
        <v>5.50780823092617E-2</v>
      </c>
      <c r="T215">
        <v>0.257460876774671</v>
      </c>
      <c r="U215">
        <v>0.257460876774671</v>
      </c>
      <c r="V215">
        <v>1.18</v>
      </c>
      <c r="W215">
        <v>16.16</v>
      </c>
      <c r="X215">
        <v>-187710</v>
      </c>
      <c r="Y215">
        <v>-8161</v>
      </c>
      <c r="Z215">
        <v>-0.37</v>
      </c>
      <c r="AA215">
        <v>23</v>
      </c>
      <c r="AB215">
        <v>11</v>
      </c>
      <c r="AC215">
        <v>12</v>
      </c>
      <c r="AD215">
        <v>47.83</v>
      </c>
      <c r="AE215">
        <v>10</v>
      </c>
      <c r="AF215">
        <v>10</v>
      </c>
      <c r="AG215">
        <v>12</v>
      </c>
      <c r="AH215">
        <v>1</v>
      </c>
    </row>
    <row r="216" spans="1:34">
      <c r="A216" s="103">
        <v>184</v>
      </c>
      <c r="B216">
        <v>4183</v>
      </c>
      <c r="C216" s="107" t="s">
        <v>301</v>
      </c>
      <c r="D216" s="107" t="s">
        <v>62</v>
      </c>
      <c r="E216">
        <v>2790</v>
      </c>
      <c r="F216">
        <v>2776</v>
      </c>
      <c r="G216">
        <v>300</v>
      </c>
      <c r="H216" s="107" t="s">
        <v>63</v>
      </c>
      <c r="I216">
        <v>6473</v>
      </c>
      <c r="J216" s="107" t="s">
        <v>133</v>
      </c>
      <c r="K216" s="107" t="s">
        <v>99</v>
      </c>
      <c r="L216">
        <v>1375</v>
      </c>
      <c r="M216">
        <v>1381</v>
      </c>
      <c r="N216">
        <v>600</v>
      </c>
      <c r="O216" s="107" t="s">
        <v>61</v>
      </c>
      <c r="P216">
        <v>0.937385608295075</v>
      </c>
      <c r="Q216">
        <v>0.907068979996144</v>
      </c>
      <c r="R216">
        <v>9.4554935566329903E-3</v>
      </c>
      <c r="S216">
        <v>5.1645626098436301E-2</v>
      </c>
      <c r="T216">
        <v>1.90434576983326</v>
      </c>
      <c r="U216">
        <v>1.90434576983326</v>
      </c>
      <c r="V216">
        <v>3.37</v>
      </c>
      <c r="W216">
        <v>0.5</v>
      </c>
      <c r="X216">
        <v>-201641</v>
      </c>
      <c r="Y216">
        <v>-11861</v>
      </c>
      <c r="Z216">
        <v>-0.67</v>
      </c>
      <c r="AA216">
        <v>17</v>
      </c>
      <c r="AB216">
        <v>5</v>
      </c>
      <c r="AC216">
        <v>12</v>
      </c>
      <c r="AD216">
        <v>29.41</v>
      </c>
      <c r="AE216">
        <v>15</v>
      </c>
      <c r="AF216">
        <v>4</v>
      </c>
      <c r="AG216">
        <v>5</v>
      </c>
      <c r="AH216">
        <v>8</v>
      </c>
    </row>
    <row r="217" spans="1:34">
      <c r="A217" s="103">
        <v>204</v>
      </c>
      <c r="B217">
        <v>4634</v>
      </c>
      <c r="C217" s="107" t="s">
        <v>140</v>
      </c>
      <c r="D217" s="107" t="s">
        <v>62</v>
      </c>
      <c r="E217">
        <v>2765</v>
      </c>
      <c r="F217">
        <v>2734</v>
      </c>
      <c r="G217">
        <v>400</v>
      </c>
      <c r="H217" s="107" t="s">
        <v>61</v>
      </c>
      <c r="I217">
        <v>5803</v>
      </c>
      <c r="J217" s="107" t="s">
        <v>28</v>
      </c>
      <c r="K217" s="107" t="s">
        <v>132</v>
      </c>
      <c r="L217">
        <v>493</v>
      </c>
      <c r="M217">
        <v>491</v>
      </c>
      <c r="N217">
        <v>2200</v>
      </c>
      <c r="O217" s="107" t="s">
        <v>63</v>
      </c>
      <c r="P217">
        <v>0.91621691255936299</v>
      </c>
      <c r="Q217">
        <v>0.90476327054127104</v>
      </c>
      <c r="R217">
        <v>0.15292713440071701</v>
      </c>
      <c r="S217">
        <v>1.8592497232454E-2</v>
      </c>
      <c r="T217">
        <v>-1.03218389324057</v>
      </c>
      <c r="U217">
        <v>1.03218389324057</v>
      </c>
      <c r="V217">
        <v>-5.61</v>
      </c>
      <c r="W217">
        <v>1.23</v>
      </c>
      <c r="X217">
        <v>-201900</v>
      </c>
      <c r="Y217">
        <v>-11876</v>
      </c>
      <c r="Z217">
        <v>-0.71</v>
      </c>
      <c r="AA217">
        <v>17</v>
      </c>
      <c r="AB217">
        <v>8</v>
      </c>
      <c r="AC217">
        <v>9</v>
      </c>
      <c r="AD217">
        <v>47.06</v>
      </c>
      <c r="AE217">
        <v>12</v>
      </c>
      <c r="AF217">
        <v>4</v>
      </c>
      <c r="AG217">
        <v>6</v>
      </c>
      <c r="AH217">
        <v>7</v>
      </c>
    </row>
    <row r="218" spans="1:34">
      <c r="A218" s="103">
        <v>134</v>
      </c>
      <c r="B218">
        <v>6752</v>
      </c>
      <c r="C218" s="107" t="s">
        <v>105</v>
      </c>
      <c r="D218" s="107" t="s">
        <v>87</v>
      </c>
      <c r="E218">
        <v>1059</v>
      </c>
      <c r="F218">
        <v>1058</v>
      </c>
      <c r="G218">
        <v>900</v>
      </c>
      <c r="H218" s="107" t="s">
        <v>63</v>
      </c>
      <c r="I218">
        <v>7267</v>
      </c>
      <c r="J218" s="107" t="s">
        <v>118</v>
      </c>
      <c r="K218" s="107" t="s">
        <v>84</v>
      </c>
      <c r="L218">
        <v>3178</v>
      </c>
      <c r="M218">
        <v>3221</v>
      </c>
      <c r="N218">
        <v>300</v>
      </c>
      <c r="O218" s="107" t="s">
        <v>61</v>
      </c>
      <c r="P218">
        <v>0.90402626792136598</v>
      </c>
      <c r="Q218">
        <v>0.91655147125092995</v>
      </c>
      <c r="R218">
        <v>4.73939163873425E-2</v>
      </c>
      <c r="S218">
        <v>0.110496339601278</v>
      </c>
      <c r="T218">
        <v>0.97797219288978898</v>
      </c>
      <c r="U218">
        <v>0.97797219288978898</v>
      </c>
      <c r="V218">
        <v>2.84</v>
      </c>
      <c r="W218">
        <v>1.46</v>
      </c>
      <c r="X218">
        <v>-214152</v>
      </c>
      <c r="Y218">
        <v>-12597</v>
      </c>
      <c r="Z218">
        <v>-0.65</v>
      </c>
      <c r="AA218">
        <v>17</v>
      </c>
      <c r="AB218">
        <v>7</v>
      </c>
      <c r="AC218">
        <v>10</v>
      </c>
      <c r="AD218">
        <v>41.18</v>
      </c>
      <c r="AE218">
        <v>15</v>
      </c>
      <c r="AF218">
        <v>2</v>
      </c>
      <c r="AG218">
        <v>3</v>
      </c>
      <c r="AH218">
        <v>12</v>
      </c>
    </row>
    <row r="219" spans="1:34">
      <c r="A219" s="103">
        <v>4</v>
      </c>
      <c r="B219">
        <v>6951</v>
      </c>
      <c r="C219" s="107" t="s">
        <v>323</v>
      </c>
      <c r="D219" s="107" t="s">
        <v>87</v>
      </c>
      <c r="E219">
        <v>3155</v>
      </c>
      <c r="F219">
        <v>3180</v>
      </c>
      <c r="G219">
        <v>200</v>
      </c>
      <c r="H219" s="107" t="s">
        <v>61</v>
      </c>
      <c r="I219">
        <v>8036</v>
      </c>
      <c r="J219" s="107" t="s">
        <v>321</v>
      </c>
      <c r="K219" s="107" t="s">
        <v>101</v>
      </c>
      <c r="L219">
        <v>7670</v>
      </c>
      <c r="M219">
        <v>7550</v>
      </c>
      <c r="N219">
        <v>100</v>
      </c>
      <c r="O219" s="107" t="s">
        <v>63</v>
      </c>
      <c r="P219">
        <v>0.90102611419020295</v>
      </c>
      <c r="Q219">
        <v>0.96394214135614698</v>
      </c>
      <c r="R219">
        <v>0.37056687399930099</v>
      </c>
      <c r="S219">
        <v>0.199634770156918</v>
      </c>
      <c r="T219">
        <v>-2.6380685793360299E-2</v>
      </c>
      <c r="U219">
        <v>2.6380685793360299E-2</v>
      </c>
      <c r="V219">
        <v>-0.09</v>
      </c>
      <c r="W219">
        <v>15.76</v>
      </c>
      <c r="X219">
        <v>-220595</v>
      </c>
      <c r="Y219">
        <v>-11030</v>
      </c>
      <c r="Z219">
        <v>-0.46</v>
      </c>
      <c r="AA219">
        <v>20</v>
      </c>
      <c r="AB219">
        <v>9</v>
      </c>
      <c r="AC219">
        <v>11</v>
      </c>
      <c r="AD219">
        <v>45</v>
      </c>
      <c r="AE219">
        <v>10</v>
      </c>
      <c r="AF219">
        <v>8</v>
      </c>
      <c r="AG219">
        <v>8</v>
      </c>
      <c r="AH219">
        <v>4</v>
      </c>
    </row>
    <row r="220" spans="1:34">
      <c r="A220" s="103">
        <v>56</v>
      </c>
      <c r="B220">
        <v>2413</v>
      </c>
      <c r="C220" s="107" t="s">
        <v>1271</v>
      </c>
      <c r="D220" s="107" t="s">
        <v>120</v>
      </c>
      <c r="E220">
        <v>3065</v>
      </c>
      <c r="F220">
        <v>3025</v>
      </c>
      <c r="G220">
        <v>300</v>
      </c>
      <c r="H220" s="107" t="s">
        <v>61</v>
      </c>
      <c r="I220">
        <v>6920</v>
      </c>
      <c r="J220" s="107" t="s">
        <v>86</v>
      </c>
      <c r="K220" s="107" t="s">
        <v>87</v>
      </c>
      <c r="L220">
        <v>9950</v>
      </c>
      <c r="M220">
        <v>9850</v>
      </c>
      <c r="N220">
        <v>100</v>
      </c>
      <c r="O220" s="107" t="s">
        <v>63</v>
      </c>
      <c r="P220">
        <v>0.92162118622849698</v>
      </c>
      <c r="Q220">
        <v>0.93651734322216096</v>
      </c>
      <c r="R220">
        <v>0.106879244782399</v>
      </c>
      <c r="S220">
        <v>0.15237373093867901</v>
      </c>
      <c r="T220">
        <v>-1.57283877700538</v>
      </c>
      <c r="U220">
        <v>1.57283877700538</v>
      </c>
      <c r="V220">
        <v>-13.26</v>
      </c>
      <c r="W220">
        <v>7.87</v>
      </c>
      <c r="X220">
        <v>-245378</v>
      </c>
      <c r="Y220">
        <v>-16359</v>
      </c>
      <c r="Z220">
        <v>-0.61</v>
      </c>
      <c r="AA220">
        <v>15</v>
      </c>
      <c r="AB220">
        <v>8</v>
      </c>
      <c r="AC220">
        <v>7</v>
      </c>
      <c r="AD220">
        <v>53.33</v>
      </c>
      <c r="AE220">
        <v>9</v>
      </c>
      <c r="AF220">
        <v>7</v>
      </c>
      <c r="AG220">
        <v>6</v>
      </c>
      <c r="AH220">
        <v>2</v>
      </c>
    </row>
    <row r="221" spans="1:34">
      <c r="A221" s="103">
        <v>58</v>
      </c>
      <c r="B221">
        <v>8058</v>
      </c>
      <c r="C221" s="107" t="s">
        <v>1341</v>
      </c>
      <c r="D221" s="107" t="s">
        <v>101</v>
      </c>
      <c r="E221">
        <v>2947</v>
      </c>
      <c r="F221">
        <v>2945</v>
      </c>
      <c r="G221">
        <v>300</v>
      </c>
      <c r="H221" s="107" t="s">
        <v>61</v>
      </c>
      <c r="I221">
        <v>9956</v>
      </c>
      <c r="J221" s="107" t="s">
        <v>318</v>
      </c>
      <c r="K221" s="107" t="s">
        <v>95</v>
      </c>
      <c r="L221">
        <v>2096</v>
      </c>
      <c r="M221">
        <v>2070</v>
      </c>
      <c r="N221">
        <v>400</v>
      </c>
      <c r="O221" s="107" t="s">
        <v>63</v>
      </c>
      <c r="P221">
        <v>0.91671889994633005</v>
      </c>
      <c r="Q221">
        <v>0.93580908712463895</v>
      </c>
      <c r="R221" s="15">
        <v>0.20094539624858901</v>
      </c>
      <c r="S221">
        <v>1.83830803650715E-3</v>
      </c>
      <c r="T221">
        <v>-0.68381781877662495</v>
      </c>
      <c r="U221">
        <v>0.68381781877662495</v>
      </c>
      <c r="V221">
        <v>-1.68</v>
      </c>
      <c r="W221">
        <v>6.28</v>
      </c>
      <c r="X221">
        <v>-248503</v>
      </c>
      <c r="Y221">
        <v>-15531</v>
      </c>
      <c r="Z221">
        <v>-0.79</v>
      </c>
      <c r="AA221">
        <v>16</v>
      </c>
      <c r="AB221">
        <v>4</v>
      </c>
      <c r="AC221">
        <v>12</v>
      </c>
      <c r="AD221">
        <v>25</v>
      </c>
      <c r="AE221">
        <v>14</v>
      </c>
      <c r="AF221">
        <v>3</v>
      </c>
      <c r="AG221">
        <v>2</v>
      </c>
      <c r="AH221">
        <v>11</v>
      </c>
    </row>
    <row r="222" spans="1:34">
      <c r="A222" s="103">
        <v>211</v>
      </c>
      <c r="B222">
        <v>6471</v>
      </c>
      <c r="C222" s="107" t="s">
        <v>138</v>
      </c>
      <c r="D222" s="107" t="s">
        <v>99</v>
      </c>
      <c r="E222">
        <v>1090</v>
      </c>
      <c r="F222">
        <v>1088</v>
      </c>
      <c r="G222">
        <v>600</v>
      </c>
      <c r="H222" s="107" t="s">
        <v>61</v>
      </c>
      <c r="I222">
        <v>6988</v>
      </c>
      <c r="J222" s="107" t="s">
        <v>139</v>
      </c>
      <c r="K222" s="107" t="s">
        <v>62</v>
      </c>
      <c r="L222">
        <v>6350</v>
      </c>
      <c r="M222">
        <v>6410</v>
      </c>
      <c r="N222">
        <v>100</v>
      </c>
      <c r="O222" s="107" t="s">
        <v>63</v>
      </c>
      <c r="P222">
        <v>0.97315138196719697</v>
      </c>
      <c r="Q222">
        <v>0.90335895199439198</v>
      </c>
      <c r="R222" s="15">
        <v>2.9732814711081901E-2</v>
      </c>
      <c r="S222">
        <v>0.11439034671088399</v>
      </c>
      <c r="T222">
        <v>-1.39972372048321</v>
      </c>
      <c r="U222">
        <v>1.39972372048321</v>
      </c>
      <c r="V222">
        <v>-2.74</v>
      </c>
      <c r="W222">
        <v>1.84</v>
      </c>
      <c r="X222">
        <v>-260430</v>
      </c>
      <c r="Y222">
        <v>-14468</v>
      </c>
      <c r="Z222">
        <v>-0.98</v>
      </c>
      <c r="AA222">
        <v>18</v>
      </c>
      <c r="AB222">
        <v>5</v>
      </c>
      <c r="AC222">
        <v>13</v>
      </c>
      <c r="AD222">
        <v>27.78</v>
      </c>
      <c r="AE222">
        <v>14</v>
      </c>
      <c r="AF222">
        <v>3</v>
      </c>
      <c r="AG222">
        <v>4</v>
      </c>
      <c r="AH222">
        <v>11</v>
      </c>
    </row>
    <row r="223" spans="1:34">
      <c r="A223" s="103">
        <v>183</v>
      </c>
      <c r="B223">
        <v>3407</v>
      </c>
      <c r="C223" s="107" t="s">
        <v>1342</v>
      </c>
      <c r="D223" s="107" t="s">
        <v>62</v>
      </c>
      <c r="E223">
        <v>1280</v>
      </c>
      <c r="F223">
        <v>1271.5</v>
      </c>
      <c r="G223">
        <v>800</v>
      </c>
      <c r="H223" s="107" t="s">
        <v>63</v>
      </c>
      <c r="I223">
        <v>8359</v>
      </c>
      <c r="J223" s="107" t="s">
        <v>1343</v>
      </c>
      <c r="K223" s="107" t="s">
        <v>82</v>
      </c>
      <c r="L223">
        <v>480</v>
      </c>
      <c r="M223">
        <v>477</v>
      </c>
      <c r="N223">
        <v>2100</v>
      </c>
      <c r="O223" s="107" t="s">
        <v>61</v>
      </c>
      <c r="P223">
        <v>0.91041584670890696</v>
      </c>
      <c r="Q223">
        <v>0.90730699139177895</v>
      </c>
      <c r="R223">
        <v>2.01188358982692E-2</v>
      </c>
      <c r="S223">
        <v>8.1399298290939801E-4</v>
      </c>
      <c r="T223">
        <v>1.8178759118893499</v>
      </c>
      <c r="U223">
        <v>1.8178759118893499</v>
      </c>
      <c r="V223">
        <v>4.68</v>
      </c>
      <c r="W223">
        <v>1.52</v>
      </c>
      <c r="X223">
        <v>-264535</v>
      </c>
      <c r="Y223">
        <v>-13227</v>
      </c>
      <c r="Z223">
        <v>-0.69</v>
      </c>
      <c r="AA223">
        <v>20</v>
      </c>
      <c r="AB223">
        <v>8</v>
      </c>
      <c r="AC223">
        <v>12</v>
      </c>
      <c r="AD223">
        <v>40</v>
      </c>
      <c r="AE223">
        <v>14</v>
      </c>
      <c r="AF223">
        <v>5</v>
      </c>
      <c r="AG223">
        <v>7</v>
      </c>
      <c r="AH223">
        <v>8</v>
      </c>
    </row>
    <row r="224" spans="1:34">
      <c r="A224" s="103">
        <v>124</v>
      </c>
      <c r="B224">
        <v>5110</v>
      </c>
      <c r="C224" s="107" t="s">
        <v>128</v>
      </c>
      <c r="D224" s="107" t="s">
        <v>129</v>
      </c>
      <c r="E224">
        <v>1437</v>
      </c>
      <c r="F224">
        <v>1432</v>
      </c>
      <c r="G224">
        <v>700</v>
      </c>
      <c r="H224" s="107" t="s">
        <v>61</v>
      </c>
      <c r="I224">
        <v>5803</v>
      </c>
      <c r="J224" s="107" t="s">
        <v>28</v>
      </c>
      <c r="K224" s="107" t="s">
        <v>132</v>
      </c>
      <c r="L224">
        <v>493</v>
      </c>
      <c r="M224">
        <v>491</v>
      </c>
      <c r="N224">
        <v>2000</v>
      </c>
      <c r="O224" s="107" t="s">
        <v>63</v>
      </c>
      <c r="P224">
        <v>0.93579664354154302</v>
      </c>
      <c r="Q224">
        <v>0.91803271755849403</v>
      </c>
      <c r="R224">
        <v>2.7792602730979499E-2</v>
      </c>
      <c r="S224">
        <v>2.3879528748882699E-2</v>
      </c>
      <c r="T224">
        <v>-0.92109771002484297</v>
      </c>
      <c r="U224">
        <v>0.92109771002484297</v>
      </c>
      <c r="V224">
        <v>-6.44</v>
      </c>
      <c r="W224">
        <v>2.04</v>
      </c>
      <c r="X224">
        <v>-308037</v>
      </c>
      <c r="Y224">
        <v>-17113</v>
      </c>
      <c r="Z224">
        <v>-0.84</v>
      </c>
      <c r="AA224">
        <v>18</v>
      </c>
      <c r="AB224">
        <v>6</v>
      </c>
      <c r="AC224">
        <v>12</v>
      </c>
      <c r="AD224">
        <v>33.33</v>
      </c>
      <c r="AE224">
        <v>12</v>
      </c>
      <c r="AF224">
        <v>5</v>
      </c>
      <c r="AG224">
        <v>6</v>
      </c>
      <c r="AH224">
        <v>7</v>
      </c>
    </row>
    <row r="225" spans="1:34">
      <c r="A225" s="103">
        <v>156</v>
      </c>
      <c r="B225">
        <v>4686</v>
      </c>
      <c r="C225" s="107" t="s">
        <v>1272</v>
      </c>
      <c r="D225" s="107" t="s">
        <v>79</v>
      </c>
      <c r="E225">
        <v>5910</v>
      </c>
      <c r="F225">
        <v>5910</v>
      </c>
      <c r="G225">
        <v>200</v>
      </c>
      <c r="H225" s="107" t="s">
        <v>63</v>
      </c>
      <c r="I225">
        <v>6702</v>
      </c>
      <c r="J225" s="107" t="s">
        <v>332</v>
      </c>
      <c r="K225" s="107" t="s">
        <v>87</v>
      </c>
      <c r="L225">
        <v>10200</v>
      </c>
      <c r="M225">
        <v>10055</v>
      </c>
      <c r="N225">
        <v>100</v>
      </c>
      <c r="O225" s="107" t="s">
        <v>61</v>
      </c>
      <c r="P225">
        <v>0.93343009191449799</v>
      </c>
      <c r="Q225">
        <v>0.91135160336366305</v>
      </c>
      <c r="R225" s="15">
        <v>4.8945474673179202E-4</v>
      </c>
      <c r="S225">
        <v>0.15520594180637501</v>
      </c>
      <c r="T225">
        <v>1.6076170745494101</v>
      </c>
      <c r="U225">
        <v>1.6076170745494101</v>
      </c>
      <c r="V225">
        <v>14.36</v>
      </c>
      <c r="W225">
        <v>17.55</v>
      </c>
      <c r="X225">
        <v>-319315</v>
      </c>
      <c r="Y225">
        <v>-21288</v>
      </c>
      <c r="Z225">
        <v>-1.34</v>
      </c>
      <c r="AA225">
        <v>15</v>
      </c>
      <c r="AB225">
        <v>6</v>
      </c>
      <c r="AC225">
        <v>9</v>
      </c>
      <c r="AD225">
        <v>40</v>
      </c>
      <c r="AE225">
        <v>11</v>
      </c>
      <c r="AF225">
        <v>5</v>
      </c>
      <c r="AG225">
        <v>8</v>
      </c>
      <c r="AH225">
        <v>2</v>
      </c>
    </row>
    <row r="226" spans="1:34">
      <c r="A226" s="103">
        <v>105</v>
      </c>
      <c r="B226">
        <v>1824</v>
      </c>
      <c r="C226" s="107" t="s">
        <v>312</v>
      </c>
      <c r="D226" s="107" t="s">
        <v>78</v>
      </c>
      <c r="E226">
        <v>1081</v>
      </c>
      <c r="F226">
        <v>1069</v>
      </c>
      <c r="G226">
        <v>1000</v>
      </c>
      <c r="H226" s="107" t="s">
        <v>61</v>
      </c>
      <c r="I226">
        <v>1860</v>
      </c>
      <c r="J226" s="107" t="s">
        <v>111</v>
      </c>
      <c r="K226" s="107" t="s">
        <v>78</v>
      </c>
      <c r="L226">
        <v>746</v>
      </c>
      <c r="M226">
        <v>738</v>
      </c>
      <c r="N226">
        <v>1400</v>
      </c>
      <c r="O226" s="107" t="s">
        <v>63</v>
      </c>
      <c r="P226">
        <v>0.92880932670580896</v>
      </c>
      <c r="Q226">
        <v>0.92307277569462798</v>
      </c>
      <c r="R226">
        <v>0.20473029292352901</v>
      </c>
      <c r="S226">
        <v>2.1751226065286702E-2</v>
      </c>
      <c r="T226">
        <v>-1.42050043768017</v>
      </c>
      <c r="U226">
        <v>1.42050043768017</v>
      </c>
      <c r="V226">
        <v>-2.73</v>
      </c>
      <c r="W226">
        <v>3.35</v>
      </c>
      <c r="X226">
        <v>-347677</v>
      </c>
      <c r="Y226">
        <v>-18299</v>
      </c>
      <c r="Z226">
        <v>-0.89</v>
      </c>
      <c r="AA226">
        <v>19</v>
      </c>
      <c r="AB226">
        <v>7</v>
      </c>
      <c r="AC226">
        <v>12</v>
      </c>
      <c r="AD226">
        <v>36.840000000000003</v>
      </c>
      <c r="AE226">
        <v>12</v>
      </c>
      <c r="AF226">
        <v>3</v>
      </c>
      <c r="AG226">
        <v>8</v>
      </c>
      <c r="AH226">
        <v>8</v>
      </c>
    </row>
    <row r="227" spans="1:34">
      <c r="A227" s="103">
        <v>75</v>
      </c>
      <c r="B227">
        <v>6588</v>
      </c>
      <c r="C227" s="107" t="s">
        <v>955</v>
      </c>
      <c r="D227" s="107" t="s">
        <v>87</v>
      </c>
      <c r="E227">
        <v>4625</v>
      </c>
      <c r="F227">
        <v>4530</v>
      </c>
      <c r="G227">
        <v>200</v>
      </c>
      <c r="H227" s="107" t="s">
        <v>61</v>
      </c>
      <c r="I227">
        <v>6920</v>
      </c>
      <c r="J227" s="107" t="s">
        <v>86</v>
      </c>
      <c r="K227" s="107" t="s">
        <v>87</v>
      </c>
      <c r="L227">
        <v>9950</v>
      </c>
      <c r="M227">
        <v>9850</v>
      </c>
      <c r="N227">
        <v>100</v>
      </c>
      <c r="O227" s="107" t="s">
        <v>63</v>
      </c>
      <c r="P227">
        <v>0.95692484778381703</v>
      </c>
      <c r="Q227">
        <v>0.93061395307128103</v>
      </c>
      <c r="R227">
        <v>9.9973967827147903E-2</v>
      </c>
      <c r="S227">
        <v>0.19297325733607501</v>
      </c>
      <c r="T227">
        <v>-1.22527086886002</v>
      </c>
      <c r="U227">
        <v>1.22527086886002</v>
      </c>
      <c r="V227">
        <v>-5.24</v>
      </c>
      <c r="W227">
        <v>8.02</v>
      </c>
      <c r="X227">
        <v>-349103</v>
      </c>
      <c r="Y227">
        <v>-21819</v>
      </c>
      <c r="Z227">
        <v>-1.37</v>
      </c>
      <c r="AA227">
        <v>16</v>
      </c>
      <c r="AB227">
        <v>5</v>
      </c>
      <c r="AC227">
        <v>11</v>
      </c>
      <c r="AD227">
        <v>31.25</v>
      </c>
      <c r="AE227">
        <v>9</v>
      </c>
      <c r="AF227">
        <v>3</v>
      </c>
      <c r="AG227">
        <v>10</v>
      </c>
      <c r="AH227">
        <v>3</v>
      </c>
    </row>
    <row r="228" spans="1:34">
      <c r="A228" s="103">
        <v>149</v>
      </c>
      <c r="B228">
        <v>3635</v>
      </c>
      <c r="C228" s="107" t="s">
        <v>85</v>
      </c>
      <c r="D228" s="107" t="s">
        <v>79</v>
      </c>
      <c r="E228">
        <v>2727</v>
      </c>
      <c r="F228">
        <v>2709</v>
      </c>
      <c r="G228">
        <v>200</v>
      </c>
      <c r="H228" s="107" t="s">
        <v>61</v>
      </c>
      <c r="I228">
        <v>4686</v>
      </c>
      <c r="J228" s="107" t="s">
        <v>1272</v>
      </c>
      <c r="K228" s="107" t="s">
        <v>79</v>
      </c>
      <c r="L228">
        <v>5910</v>
      </c>
      <c r="M228">
        <v>5910</v>
      </c>
      <c r="N228">
        <v>100</v>
      </c>
      <c r="O228" s="107" t="s">
        <v>63</v>
      </c>
      <c r="P228">
        <v>0.91377003500196297</v>
      </c>
      <c r="Q228">
        <v>0.91330375510607897</v>
      </c>
      <c r="R228">
        <v>0.16803012869794701</v>
      </c>
      <c r="S228">
        <v>0.25255182691435102</v>
      </c>
      <c r="T228">
        <v>-1.2980125426968001</v>
      </c>
      <c r="U228">
        <v>1.2980125426968001</v>
      </c>
      <c r="V228">
        <v>-16.13</v>
      </c>
      <c r="W228">
        <v>8.32</v>
      </c>
      <c r="X228">
        <v>-359580</v>
      </c>
      <c r="Y228">
        <v>-17123</v>
      </c>
      <c r="Z228">
        <v>-0.72</v>
      </c>
      <c r="AA228">
        <v>21</v>
      </c>
      <c r="AB228">
        <v>10</v>
      </c>
      <c r="AC228">
        <v>11</v>
      </c>
      <c r="AD228">
        <v>47.62</v>
      </c>
      <c r="AE228">
        <v>10</v>
      </c>
      <c r="AF228">
        <v>8</v>
      </c>
      <c r="AG228">
        <v>8</v>
      </c>
      <c r="AH228">
        <v>5</v>
      </c>
    </row>
    <row r="229" spans="1:34">
      <c r="A229" s="103">
        <v>82</v>
      </c>
      <c r="B229">
        <v>3110</v>
      </c>
      <c r="C229" s="107" t="s">
        <v>1305</v>
      </c>
      <c r="D229" s="107" t="s">
        <v>106</v>
      </c>
      <c r="E229">
        <v>4260</v>
      </c>
      <c r="F229">
        <v>4220</v>
      </c>
      <c r="G229">
        <v>100</v>
      </c>
      <c r="H229" s="107" t="s">
        <v>61</v>
      </c>
      <c r="I229">
        <v>4686</v>
      </c>
      <c r="J229" s="107" t="s">
        <v>1272</v>
      </c>
      <c r="K229" s="107" t="s">
        <v>79</v>
      </c>
      <c r="L229">
        <v>5910</v>
      </c>
      <c r="M229">
        <v>5910</v>
      </c>
      <c r="N229">
        <v>100</v>
      </c>
      <c r="O229" s="107" t="s">
        <v>63</v>
      </c>
      <c r="P229">
        <v>0.95527769693960995</v>
      </c>
      <c r="Q229">
        <v>0.92923069391233004</v>
      </c>
      <c r="R229">
        <v>0.16209214821658</v>
      </c>
      <c r="S229">
        <v>0.34463281257008399</v>
      </c>
      <c r="T229">
        <v>-0.562185817043523</v>
      </c>
      <c r="U229">
        <v>0.562185817043523</v>
      </c>
      <c r="V229">
        <v>-4.4400000000000004</v>
      </c>
      <c r="W229">
        <v>28.6</v>
      </c>
      <c r="X229">
        <v>-438435</v>
      </c>
      <c r="Y229">
        <v>-36536</v>
      </c>
      <c r="Z229">
        <v>-1.87</v>
      </c>
      <c r="AA229">
        <v>12</v>
      </c>
      <c r="AB229">
        <v>3</v>
      </c>
      <c r="AC229">
        <v>9</v>
      </c>
      <c r="AD229">
        <v>25</v>
      </c>
      <c r="AE229">
        <v>9</v>
      </c>
      <c r="AF229">
        <v>1</v>
      </c>
      <c r="AG229">
        <v>8</v>
      </c>
      <c r="AH229">
        <v>3</v>
      </c>
    </row>
    <row r="230" spans="1:34">
      <c r="A230" s="103">
        <v>170</v>
      </c>
      <c r="B230">
        <v>6383</v>
      </c>
      <c r="C230" s="107" t="s">
        <v>1344</v>
      </c>
      <c r="D230" s="107" t="s">
        <v>99</v>
      </c>
      <c r="E230">
        <v>6640</v>
      </c>
      <c r="F230">
        <v>6660</v>
      </c>
      <c r="G230">
        <v>100</v>
      </c>
      <c r="H230" s="107" t="s">
        <v>63</v>
      </c>
      <c r="I230">
        <v>6965</v>
      </c>
      <c r="J230" s="107" t="s">
        <v>962</v>
      </c>
      <c r="K230" s="107" t="s">
        <v>87</v>
      </c>
      <c r="L230">
        <v>4610</v>
      </c>
      <c r="M230">
        <v>4630</v>
      </c>
      <c r="N230">
        <v>100</v>
      </c>
      <c r="O230" s="107" t="s">
        <v>61</v>
      </c>
      <c r="P230">
        <v>0.90320359433215203</v>
      </c>
      <c r="Q230">
        <v>0.90907221276222505</v>
      </c>
      <c r="R230">
        <v>0.11350688475884101</v>
      </c>
      <c r="S230">
        <v>2.52624677953074E-2</v>
      </c>
      <c r="T230">
        <v>1.09751189643181</v>
      </c>
      <c r="U230">
        <v>1.09751189643181</v>
      </c>
      <c r="V230">
        <v>2.95</v>
      </c>
      <c r="W230">
        <v>30.48</v>
      </c>
      <c r="X230">
        <v>-498068</v>
      </c>
      <c r="Y230">
        <v>-49807</v>
      </c>
      <c r="Z230">
        <v>-2.68</v>
      </c>
      <c r="AA230">
        <v>10</v>
      </c>
      <c r="AB230">
        <v>2</v>
      </c>
      <c r="AC230">
        <v>8</v>
      </c>
      <c r="AD230">
        <v>20</v>
      </c>
      <c r="AE230">
        <v>12</v>
      </c>
      <c r="AF230">
        <v>1</v>
      </c>
      <c r="AG230">
        <v>6</v>
      </c>
      <c r="AH230">
        <v>3</v>
      </c>
    </row>
    <row r="231" spans="1:34">
      <c r="C231" s="107"/>
      <c r="D231" s="107"/>
      <c r="H231" s="107"/>
      <c r="J231" s="107"/>
      <c r="K231" s="107"/>
      <c r="O231" s="107"/>
    </row>
    <row r="232" spans="1:34">
      <c r="C232" s="107"/>
      <c r="D232" s="107"/>
      <c r="H232" s="107"/>
      <c r="J232" s="107"/>
      <c r="K232" s="107"/>
      <c r="O232" s="107"/>
    </row>
    <row r="233" spans="1:34">
      <c r="C233" s="107"/>
      <c r="D233" s="107"/>
      <c r="H233" s="107"/>
      <c r="J233" s="107"/>
      <c r="K233" s="107"/>
      <c r="O233" s="107"/>
      <c r="R233" s="15"/>
    </row>
    <row r="234" spans="1:34">
      <c r="C234" s="107"/>
      <c r="D234" s="107"/>
      <c r="H234" s="107"/>
      <c r="J234" s="107"/>
      <c r="K234" s="107"/>
      <c r="O234" s="107"/>
    </row>
    <row r="235" spans="1:34">
      <c r="C235" s="107"/>
      <c r="D235" s="107"/>
      <c r="H235" s="107"/>
      <c r="J235" s="107"/>
      <c r="K235" s="107"/>
      <c r="O235" s="107"/>
    </row>
    <row r="236" spans="1:34">
      <c r="C236" s="107"/>
      <c r="D236" s="107"/>
      <c r="H236" s="107"/>
      <c r="J236" s="107"/>
      <c r="K236" s="107"/>
      <c r="O236" s="107"/>
    </row>
    <row r="237" spans="1:34">
      <c r="C237" s="107"/>
      <c r="D237" s="107"/>
      <c r="H237" s="107"/>
      <c r="J237" s="107"/>
      <c r="K237" s="107"/>
      <c r="O237" s="107"/>
      <c r="R237" s="15"/>
      <c r="S237" s="15"/>
    </row>
    <row r="238" spans="1:34">
      <c r="C238" s="107"/>
      <c r="D238" s="107"/>
      <c r="H238" s="107"/>
      <c r="J238" s="107"/>
      <c r="K238" s="107"/>
      <c r="O238" s="107"/>
    </row>
    <row r="239" spans="1:34">
      <c r="C239" s="107"/>
      <c r="D239" s="107"/>
      <c r="H239" s="107"/>
      <c r="J239" s="107"/>
      <c r="K239" s="107"/>
      <c r="O239" s="107"/>
    </row>
    <row r="240" spans="1:34">
      <c r="C240" s="107"/>
      <c r="D240" s="107"/>
      <c r="H240" s="107"/>
      <c r="J240" s="107"/>
      <c r="K240" s="107"/>
      <c r="O240" s="107"/>
      <c r="R240" s="15"/>
    </row>
    <row r="241" spans="3:19">
      <c r="C241" s="107"/>
      <c r="D241" s="107"/>
      <c r="H241" s="107"/>
      <c r="J241" s="107"/>
      <c r="K241" s="107"/>
      <c r="O241" s="107"/>
    </row>
    <row r="242" spans="3:19">
      <c r="C242" s="107"/>
      <c r="D242" s="107"/>
      <c r="H242" s="107"/>
      <c r="J242" s="107"/>
      <c r="K242" s="107"/>
      <c r="O242" s="107"/>
    </row>
    <row r="243" spans="3:19">
      <c r="C243" s="107"/>
      <c r="D243" s="107"/>
      <c r="H243" s="107"/>
      <c r="J243" s="107"/>
      <c r="K243" s="107"/>
      <c r="O243" s="107"/>
      <c r="R243" s="15"/>
    </row>
    <row r="244" spans="3:19">
      <c r="C244" s="107"/>
      <c r="D244" s="107"/>
      <c r="H244" s="107"/>
      <c r="J244" s="107"/>
      <c r="K244" s="107"/>
      <c r="O244" s="107"/>
      <c r="R244" s="15"/>
      <c r="S244" s="15"/>
    </row>
    <row r="245" spans="3:19">
      <c r="C245" s="107"/>
      <c r="D245" s="107"/>
      <c r="H245" s="107"/>
      <c r="J245" s="107"/>
      <c r="K245" s="107"/>
      <c r="O245" s="107"/>
    </row>
    <row r="246" spans="3:19">
      <c r="C246" s="107"/>
      <c r="D246" s="107"/>
      <c r="H246" s="107"/>
      <c r="J246" s="107"/>
      <c r="K246" s="107"/>
      <c r="O246" s="107"/>
    </row>
    <row r="247" spans="3:19">
      <c r="C247" s="107"/>
      <c r="D247" s="107"/>
      <c r="H247" s="107"/>
      <c r="J247" s="107"/>
      <c r="K247" s="107"/>
      <c r="O247" s="107"/>
    </row>
    <row r="248" spans="3:19">
      <c r="C248" s="107"/>
      <c r="D248" s="107"/>
      <c r="H248" s="107"/>
      <c r="J248" s="107"/>
      <c r="K248" s="107"/>
      <c r="O248" s="107"/>
    </row>
    <row r="249" spans="3:19">
      <c r="C249" s="107"/>
      <c r="D249" s="107"/>
      <c r="H249" s="107"/>
      <c r="J249" s="107"/>
      <c r="K249" s="107"/>
      <c r="O249" s="107"/>
    </row>
    <row r="250" spans="3:19">
      <c r="C250" s="107"/>
      <c r="D250" s="107"/>
      <c r="H250" s="107"/>
      <c r="J250" s="107"/>
      <c r="K250" s="107"/>
      <c r="O250" s="107"/>
    </row>
    <row r="251" spans="3:19">
      <c r="C251" s="107"/>
      <c r="D251" s="107"/>
      <c r="H251" s="107"/>
      <c r="J251" s="107"/>
      <c r="K251" s="107"/>
      <c r="O251" s="107"/>
    </row>
    <row r="252" spans="3:19">
      <c r="C252" s="107"/>
      <c r="D252" s="107"/>
      <c r="H252" s="107"/>
      <c r="J252" s="107"/>
      <c r="K252" s="107"/>
      <c r="O252" s="107"/>
    </row>
    <row r="253" spans="3:19">
      <c r="C253" s="107"/>
      <c r="D253" s="107"/>
      <c r="H253" s="107"/>
      <c r="J253" s="107"/>
      <c r="K253" s="107"/>
      <c r="O253" s="107"/>
    </row>
    <row r="254" spans="3:19">
      <c r="C254" s="107"/>
      <c r="D254" s="107"/>
      <c r="H254" s="107"/>
      <c r="J254" s="107"/>
      <c r="K254" s="107"/>
      <c r="O254" s="107"/>
    </row>
    <row r="255" spans="3:19">
      <c r="C255" s="107"/>
      <c r="D255" s="107"/>
      <c r="H255" s="107"/>
      <c r="J255" s="107"/>
      <c r="K255" s="107"/>
      <c r="O255" s="107"/>
    </row>
    <row r="256" spans="3:19">
      <c r="C256" s="107"/>
      <c r="D256" s="107"/>
      <c r="H256" s="107"/>
      <c r="J256" s="107"/>
      <c r="K256" s="107"/>
      <c r="O256" s="107"/>
    </row>
    <row r="257" spans="3:18">
      <c r="C257" s="107"/>
      <c r="D257" s="107"/>
      <c r="H257" s="107"/>
      <c r="J257" s="107"/>
      <c r="K257" s="107"/>
      <c r="O257" s="107"/>
      <c r="R257" s="15"/>
    </row>
    <row r="258" spans="3:18">
      <c r="C258" s="107"/>
      <c r="D258" s="107"/>
      <c r="H258" s="107"/>
      <c r="J258" s="107"/>
      <c r="K258" s="107"/>
      <c r="O258" s="107"/>
    </row>
    <row r="259" spans="3:18">
      <c r="C259" s="107"/>
      <c r="D259" s="107"/>
      <c r="H259" s="107"/>
      <c r="J259" s="107"/>
      <c r="K259" s="107"/>
      <c r="O259" s="107"/>
      <c r="R259" s="15"/>
    </row>
    <row r="260" spans="3:18">
      <c r="C260" s="107"/>
      <c r="D260" s="107"/>
      <c r="H260" s="107"/>
      <c r="J260" s="107"/>
      <c r="K260" s="107"/>
      <c r="O260" s="107"/>
    </row>
    <row r="261" spans="3:18">
      <c r="C261" s="107"/>
      <c r="D261" s="107"/>
      <c r="H261" s="107"/>
      <c r="J261" s="107"/>
      <c r="K261" s="107"/>
      <c r="O261" s="107"/>
    </row>
    <row r="262" spans="3:18">
      <c r="C262" s="107"/>
      <c r="D262" s="107"/>
      <c r="H262" s="107"/>
      <c r="J262" s="107"/>
      <c r="K262" s="107"/>
      <c r="O262" s="107"/>
      <c r="R262" s="15"/>
    </row>
    <row r="263" spans="3:18">
      <c r="C263" s="107"/>
      <c r="D263" s="107"/>
      <c r="H263" s="107"/>
      <c r="J263" s="107"/>
      <c r="K263" s="107"/>
      <c r="O263" s="107"/>
    </row>
    <row r="264" spans="3:18">
      <c r="C264" s="107"/>
      <c r="D264" s="107"/>
      <c r="H264" s="107"/>
      <c r="J264" s="107"/>
      <c r="K264" s="107"/>
      <c r="O264" s="107"/>
    </row>
    <row r="265" spans="3:18">
      <c r="C265" s="107"/>
      <c r="D265" s="107"/>
      <c r="H265" s="107"/>
      <c r="J265" s="107"/>
      <c r="K265" s="107"/>
      <c r="O265" s="107"/>
    </row>
    <row r="266" spans="3:18">
      <c r="C266" s="107"/>
      <c r="D266" s="107"/>
      <c r="H266" s="107"/>
      <c r="J266" s="107"/>
      <c r="K266" s="107"/>
      <c r="O266" s="107"/>
    </row>
    <row r="267" spans="3:18">
      <c r="C267" s="107"/>
      <c r="D267" s="107"/>
      <c r="H267" s="107"/>
      <c r="J267" s="107"/>
      <c r="K267" s="107"/>
      <c r="O267" s="107"/>
    </row>
    <row r="268" spans="3:18">
      <c r="C268" s="107"/>
      <c r="D268" s="107"/>
      <c r="H268" s="107"/>
      <c r="J268" s="107"/>
      <c r="K268" s="107"/>
      <c r="O268" s="107"/>
    </row>
    <row r="269" spans="3:18">
      <c r="C269" s="107"/>
      <c r="D269" s="107"/>
      <c r="H269" s="107"/>
      <c r="J269" s="107"/>
      <c r="K269" s="107"/>
      <c r="O269" s="107"/>
    </row>
    <row r="270" spans="3:18">
      <c r="C270" s="107"/>
      <c r="D270" s="107"/>
      <c r="H270" s="107"/>
      <c r="J270" s="107"/>
      <c r="K270" s="107"/>
      <c r="O270" s="107"/>
    </row>
    <row r="271" spans="3:18">
      <c r="C271" s="107"/>
      <c r="D271" s="107"/>
      <c r="H271" s="107"/>
      <c r="J271" s="107"/>
      <c r="K271" s="107"/>
      <c r="O271" s="107"/>
    </row>
    <row r="272" spans="3:18">
      <c r="C272" s="107"/>
      <c r="D272" s="107"/>
      <c r="H272" s="107"/>
      <c r="J272" s="107"/>
      <c r="K272" s="107"/>
      <c r="O272" s="107"/>
    </row>
    <row r="273" spans="3:18">
      <c r="C273" s="107"/>
      <c r="D273" s="107"/>
      <c r="H273" s="107"/>
      <c r="J273" s="107"/>
      <c r="K273" s="107"/>
      <c r="O273" s="107"/>
    </row>
    <row r="274" spans="3:18">
      <c r="C274" s="107"/>
      <c r="D274" s="107"/>
      <c r="H274" s="107"/>
      <c r="J274" s="107"/>
      <c r="K274" s="107"/>
      <c r="O274" s="107"/>
    </row>
    <row r="275" spans="3:18">
      <c r="C275" s="107"/>
      <c r="D275" s="107"/>
      <c r="H275" s="107"/>
      <c r="J275" s="107"/>
      <c r="K275" s="107"/>
      <c r="O275" s="107"/>
    </row>
    <row r="276" spans="3:18">
      <c r="C276" s="107"/>
      <c r="D276" s="107"/>
      <c r="H276" s="107"/>
      <c r="J276" s="107"/>
      <c r="K276" s="107"/>
      <c r="O276" s="107"/>
    </row>
    <row r="277" spans="3:18">
      <c r="C277" s="107"/>
      <c r="D277" s="107"/>
      <c r="H277" s="107"/>
      <c r="J277" s="107"/>
      <c r="K277" s="107"/>
      <c r="O277" s="107"/>
    </row>
    <row r="278" spans="3:18">
      <c r="C278" s="107"/>
      <c r="D278" s="107"/>
      <c r="H278" s="107"/>
      <c r="J278" s="107"/>
      <c r="K278" s="107"/>
      <c r="O278" s="107"/>
    </row>
    <row r="279" spans="3:18">
      <c r="C279" s="107"/>
      <c r="D279" s="107"/>
      <c r="H279" s="107"/>
      <c r="J279" s="107"/>
      <c r="K279" s="107"/>
      <c r="O279" s="107"/>
    </row>
    <row r="280" spans="3:18">
      <c r="C280" s="107"/>
      <c r="D280" s="107"/>
      <c r="H280" s="107"/>
      <c r="J280" s="107"/>
      <c r="K280" s="107"/>
      <c r="O280" s="107"/>
    </row>
    <row r="281" spans="3:18">
      <c r="C281" s="107"/>
      <c r="D281" s="107"/>
      <c r="H281" s="107"/>
      <c r="J281" s="107"/>
      <c r="K281" s="107"/>
      <c r="O281" s="107"/>
      <c r="R281" s="15"/>
    </row>
    <row r="282" spans="3:18">
      <c r="C282" s="107"/>
      <c r="D282" s="107"/>
      <c r="H282" s="107"/>
      <c r="J282" s="107"/>
      <c r="K282" s="107"/>
      <c r="O282" s="107"/>
    </row>
    <row r="283" spans="3:18">
      <c r="C283" s="107"/>
      <c r="D283" s="107"/>
      <c r="H283" s="107"/>
      <c r="J283" s="107"/>
      <c r="K283" s="107"/>
      <c r="O283" s="107"/>
    </row>
    <row r="284" spans="3:18">
      <c r="C284" s="107"/>
      <c r="D284" s="107"/>
      <c r="H284" s="107"/>
      <c r="J284" s="107"/>
      <c r="K284" s="107"/>
      <c r="O284" s="107"/>
    </row>
    <row r="285" spans="3:18">
      <c r="C285" s="107"/>
      <c r="D285" s="107"/>
      <c r="H285" s="107"/>
      <c r="J285" s="107"/>
      <c r="K285" s="107"/>
      <c r="O285" s="107"/>
    </row>
    <row r="286" spans="3:18">
      <c r="C286" s="107"/>
      <c r="D286" s="107"/>
      <c r="H286" s="107"/>
      <c r="J286" s="107"/>
      <c r="K286" s="107"/>
      <c r="O286" s="107"/>
    </row>
    <row r="287" spans="3:18">
      <c r="C287" s="107"/>
      <c r="D287" s="107"/>
      <c r="H287" s="107"/>
      <c r="J287" s="107"/>
      <c r="K287" s="107"/>
      <c r="O287" s="107"/>
    </row>
    <row r="288" spans="3:18">
      <c r="C288" s="107"/>
      <c r="D288" s="107"/>
      <c r="H288" s="107"/>
      <c r="J288" s="107"/>
      <c r="K288" s="107"/>
      <c r="O288" s="107"/>
    </row>
    <row r="289" spans="3:19">
      <c r="C289" s="107"/>
      <c r="D289" s="107"/>
      <c r="H289" s="107"/>
      <c r="J289" s="107"/>
      <c r="K289" s="107"/>
      <c r="O289" s="107"/>
    </row>
    <row r="290" spans="3:19">
      <c r="C290" s="107"/>
      <c r="D290" s="107"/>
      <c r="H290" s="107"/>
      <c r="J290" s="107"/>
      <c r="K290" s="107"/>
      <c r="O290" s="107"/>
    </row>
    <row r="291" spans="3:19">
      <c r="C291" s="107"/>
      <c r="D291" s="107"/>
      <c r="H291" s="107"/>
      <c r="J291" s="107"/>
      <c r="K291" s="107"/>
      <c r="O291" s="107"/>
    </row>
    <row r="292" spans="3:19">
      <c r="C292" s="107"/>
      <c r="D292" s="107"/>
      <c r="H292" s="107"/>
      <c r="J292" s="107"/>
      <c r="K292" s="107"/>
      <c r="O292" s="107"/>
    </row>
    <row r="293" spans="3:19">
      <c r="C293" s="107"/>
      <c r="D293" s="107"/>
      <c r="H293" s="107"/>
      <c r="J293" s="107"/>
      <c r="K293" s="107"/>
      <c r="O293" s="107"/>
    </row>
    <row r="294" spans="3:19">
      <c r="C294" s="107"/>
      <c r="D294" s="107"/>
      <c r="H294" s="107"/>
      <c r="J294" s="107"/>
      <c r="K294" s="107"/>
      <c r="O294" s="107"/>
    </row>
    <row r="295" spans="3:19">
      <c r="C295" s="107"/>
      <c r="D295" s="107"/>
      <c r="H295" s="107"/>
      <c r="J295" s="107"/>
      <c r="K295" s="107"/>
      <c r="O295" s="107"/>
    </row>
    <row r="296" spans="3:19">
      <c r="C296" s="107"/>
      <c r="D296" s="107"/>
      <c r="H296" s="107"/>
      <c r="J296" s="107"/>
      <c r="K296" s="107"/>
      <c r="O296" s="107"/>
      <c r="R296" s="15"/>
    </row>
    <row r="297" spans="3:19">
      <c r="C297" s="107"/>
      <c r="D297" s="107"/>
      <c r="H297" s="107"/>
      <c r="J297" s="107"/>
      <c r="K297" s="107"/>
      <c r="O297" s="107"/>
      <c r="R297" s="15"/>
    </row>
    <row r="298" spans="3:19">
      <c r="C298" s="107"/>
      <c r="D298" s="107"/>
      <c r="H298" s="107"/>
      <c r="J298" s="107"/>
      <c r="K298" s="107"/>
      <c r="O298" s="107"/>
    </row>
    <row r="299" spans="3:19">
      <c r="C299" s="107"/>
      <c r="D299" s="107"/>
      <c r="H299" s="107"/>
      <c r="J299" s="107"/>
      <c r="K299" s="107"/>
      <c r="O299" s="107"/>
    </row>
    <row r="300" spans="3:19">
      <c r="C300" s="107"/>
      <c r="D300" s="107"/>
      <c r="H300" s="107"/>
      <c r="J300" s="107"/>
      <c r="K300" s="107"/>
      <c r="O300" s="107"/>
    </row>
    <row r="301" spans="3:19">
      <c r="C301" s="107"/>
      <c r="D301" s="107"/>
      <c r="H301" s="107"/>
      <c r="J301" s="107"/>
      <c r="K301" s="107"/>
      <c r="O301" s="107"/>
      <c r="S301" s="15"/>
    </row>
    <row r="302" spans="3:19">
      <c r="C302" s="107"/>
      <c r="D302" s="107"/>
      <c r="H302" s="107"/>
      <c r="J302" s="107"/>
      <c r="K302" s="107"/>
      <c r="O302" s="107"/>
    </row>
    <row r="303" spans="3:19">
      <c r="C303" s="107"/>
      <c r="D303" s="107"/>
      <c r="H303" s="107"/>
      <c r="J303" s="107"/>
      <c r="K303" s="107"/>
      <c r="O303" s="107"/>
    </row>
    <row r="304" spans="3:19">
      <c r="C304" s="107"/>
      <c r="D304" s="107"/>
      <c r="H304" s="107"/>
      <c r="J304" s="107"/>
      <c r="K304" s="107"/>
      <c r="O304" s="107"/>
    </row>
    <row r="305" spans="3:19">
      <c r="C305" s="107"/>
      <c r="D305" s="107"/>
      <c r="H305" s="107"/>
      <c r="J305" s="107"/>
      <c r="K305" s="107"/>
      <c r="O305" s="107"/>
    </row>
    <row r="306" spans="3:19">
      <c r="C306" s="107"/>
      <c r="D306" s="107"/>
      <c r="H306" s="107"/>
      <c r="J306" s="107"/>
      <c r="K306" s="107"/>
      <c r="O306" s="107"/>
      <c r="S306" s="15"/>
    </row>
    <row r="307" spans="3:19">
      <c r="C307" s="107"/>
      <c r="D307" s="107"/>
      <c r="H307" s="107"/>
      <c r="J307" s="107"/>
      <c r="K307" s="107"/>
      <c r="O307" s="107"/>
    </row>
    <row r="308" spans="3:19">
      <c r="C308" s="107"/>
      <c r="D308" s="107"/>
      <c r="H308" s="107"/>
      <c r="J308" s="107"/>
      <c r="K308" s="107"/>
      <c r="O308" s="107"/>
    </row>
    <row r="309" spans="3:19">
      <c r="C309" s="107"/>
      <c r="D309" s="107"/>
      <c r="H309" s="107"/>
      <c r="J309" s="107"/>
      <c r="K309" s="107"/>
      <c r="O309" s="107"/>
    </row>
    <row r="310" spans="3:19">
      <c r="C310" s="107"/>
      <c r="D310" s="107"/>
      <c r="H310" s="107"/>
      <c r="J310" s="107"/>
      <c r="K310" s="107"/>
      <c r="O310" s="107"/>
    </row>
    <row r="311" spans="3:19">
      <c r="C311" s="107"/>
      <c r="D311" s="107"/>
      <c r="H311" s="107"/>
      <c r="J311" s="107"/>
      <c r="K311" s="107"/>
      <c r="O311" s="107"/>
    </row>
    <row r="312" spans="3:19">
      <c r="C312" s="107"/>
      <c r="D312" s="107"/>
      <c r="H312" s="107"/>
      <c r="J312" s="107"/>
      <c r="K312" s="107"/>
      <c r="O312" s="107"/>
    </row>
    <row r="313" spans="3:19">
      <c r="C313" s="107"/>
      <c r="D313" s="107"/>
      <c r="H313" s="107"/>
      <c r="J313" s="107"/>
      <c r="K313" s="107"/>
      <c r="O313" s="107"/>
    </row>
    <row r="314" spans="3:19">
      <c r="C314" s="107"/>
      <c r="D314" s="107"/>
      <c r="H314" s="107"/>
      <c r="J314" s="107"/>
      <c r="K314" s="107"/>
      <c r="O314" s="107"/>
    </row>
    <row r="315" spans="3:19">
      <c r="C315" s="107"/>
      <c r="D315" s="107"/>
      <c r="H315" s="107"/>
      <c r="J315" s="107"/>
      <c r="K315" s="107"/>
      <c r="O315" s="107"/>
    </row>
    <row r="316" spans="3:19">
      <c r="C316" s="107"/>
      <c r="D316" s="107"/>
      <c r="H316" s="107"/>
      <c r="J316" s="107"/>
      <c r="K316" s="107"/>
      <c r="O316" s="107"/>
    </row>
    <row r="317" spans="3:19">
      <c r="C317" s="107"/>
      <c r="D317" s="107"/>
      <c r="H317" s="107"/>
      <c r="J317" s="107"/>
      <c r="K317" s="107"/>
      <c r="O317" s="107"/>
    </row>
    <row r="318" spans="3:19">
      <c r="C318" s="107"/>
      <c r="D318" s="107"/>
      <c r="H318" s="107"/>
      <c r="J318" s="107"/>
      <c r="K318" s="107"/>
      <c r="O318" s="107"/>
    </row>
    <row r="319" spans="3:19">
      <c r="C319" s="107"/>
      <c r="D319" s="107"/>
      <c r="H319" s="107"/>
      <c r="J319" s="107"/>
      <c r="K319" s="107"/>
      <c r="O319" s="107"/>
    </row>
    <row r="320" spans="3:19">
      <c r="C320" s="107"/>
      <c r="D320" s="107"/>
      <c r="H320" s="107"/>
      <c r="J320" s="107"/>
      <c r="K320" s="107"/>
      <c r="O320" s="107"/>
    </row>
    <row r="321" spans="3:18">
      <c r="C321" s="107"/>
      <c r="D321" s="107"/>
      <c r="H321" s="107"/>
      <c r="J321" s="107"/>
      <c r="K321" s="107"/>
      <c r="O321" s="107"/>
      <c r="R321" s="15"/>
    </row>
    <row r="322" spans="3:18">
      <c r="C322" s="107"/>
      <c r="D322" s="107"/>
      <c r="H322" s="107"/>
      <c r="J322" s="107"/>
      <c r="K322" s="107"/>
      <c r="O322" s="107"/>
    </row>
    <row r="323" spans="3:18">
      <c r="C323" s="107"/>
      <c r="D323" s="107"/>
      <c r="H323" s="107"/>
      <c r="J323" s="107"/>
      <c r="K323" s="107"/>
      <c r="O323" s="107"/>
    </row>
    <row r="324" spans="3:18">
      <c r="C324" s="107"/>
      <c r="D324" s="107"/>
      <c r="H324" s="107"/>
      <c r="J324" s="107"/>
      <c r="K324" s="107"/>
      <c r="O324" s="107"/>
    </row>
    <row r="325" spans="3:18">
      <c r="C325" s="107"/>
      <c r="D325" s="107"/>
      <c r="H325" s="107"/>
      <c r="J325" s="107"/>
      <c r="K325" s="107"/>
      <c r="O325" s="107"/>
    </row>
    <row r="326" spans="3:18">
      <c r="C326" s="107"/>
      <c r="D326" s="107"/>
      <c r="H326" s="107"/>
      <c r="J326" s="107"/>
      <c r="K326" s="107"/>
      <c r="O326" s="107"/>
    </row>
    <row r="327" spans="3:18">
      <c r="C327" s="107"/>
      <c r="D327" s="107"/>
      <c r="H327" s="107"/>
      <c r="J327" s="107"/>
      <c r="K327" s="107"/>
      <c r="O327" s="107"/>
    </row>
    <row r="328" spans="3:18">
      <c r="C328" s="107"/>
      <c r="D328" s="107"/>
      <c r="H328" s="107"/>
      <c r="J328" s="107"/>
      <c r="K328" s="107"/>
      <c r="O328" s="107"/>
    </row>
    <row r="329" spans="3:18">
      <c r="C329" s="107"/>
      <c r="D329" s="107"/>
      <c r="H329" s="107"/>
      <c r="J329" s="107"/>
      <c r="K329" s="107"/>
      <c r="O329" s="107"/>
    </row>
    <row r="330" spans="3:18">
      <c r="C330" s="107"/>
      <c r="D330" s="107"/>
      <c r="H330" s="107"/>
      <c r="J330" s="107"/>
      <c r="K330" s="107"/>
      <c r="O330" s="107"/>
    </row>
    <row r="331" spans="3:18">
      <c r="C331" s="107"/>
      <c r="D331" s="107"/>
      <c r="H331" s="107"/>
      <c r="J331" s="107"/>
      <c r="K331" s="107"/>
      <c r="O331" s="107"/>
    </row>
    <row r="332" spans="3:18">
      <c r="C332" s="107"/>
      <c r="D332" s="107"/>
      <c r="H332" s="107"/>
      <c r="J332" s="107"/>
      <c r="K332" s="107"/>
      <c r="O332" s="107"/>
    </row>
    <row r="333" spans="3:18">
      <c r="C333" s="107"/>
      <c r="D333" s="107"/>
      <c r="H333" s="107"/>
      <c r="J333" s="107"/>
      <c r="K333" s="107"/>
      <c r="O333" s="107"/>
    </row>
    <row r="334" spans="3:18">
      <c r="C334" s="107"/>
      <c r="D334" s="107"/>
      <c r="H334" s="107"/>
      <c r="J334" s="107"/>
      <c r="K334" s="107"/>
      <c r="O334" s="107"/>
    </row>
    <row r="335" spans="3:18">
      <c r="C335" s="107"/>
      <c r="D335" s="107"/>
      <c r="H335" s="107"/>
      <c r="J335" s="107"/>
      <c r="K335" s="107"/>
      <c r="O335" s="107"/>
    </row>
    <row r="336" spans="3:18">
      <c r="C336" s="107"/>
      <c r="D336" s="107"/>
      <c r="H336" s="107"/>
      <c r="J336" s="107"/>
      <c r="K336" s="107"/>
      <c r="O336" s="107"/>
      <c r="R336" s="15"/>
    </row>
    <row r="337" spans="3:18">
      <c r="C337" s="107"/>
      <c r="D337" s="107"/>
      <c r="H337" s="107"/>
      <c r="J337" s="107"/>
      <c r="K337" s="107"/>
      <c r="O337" s="107"/>
    </row>
    <row r="338" spans="3:18">
      <c r="C338" s="107"/>
      <c r="D338" s="107"/>
      <c r="H338" s="107"/>
      <c r="J338" s="107"/>
      <c r="K338" s="107"/>
      <c r="O338" s="107"/>
    </row>
    <row r="339" spans="3:18">
      <c r="C339" s="107"/>
      <c r="D339" s="107"/>
      <c r="H339" s="107"/>
      <c r="J339" s="107"/>
      <c r="K339" s="107"/>
      <c r="O339" s="107"/>
    </row>
    <row r="340" spans="3:18">
      <c r="C340" s="107"/>
      <c r="D340" s="107"/>
      <c r="H340" s="107"/>
      <c r="J340" s="107"/>
      <c r="K340" s="107"/>
      <c r="O340" s="107"/>
    </row>
    <row r="341" spans="3:18">
      <c r="C341" s="107"/>
      <c r="D341" s="107"/>
      <c r="H341" s="107"/>
      <c r="J341" s="107"/>
      <c r="K341" s="107"/>
      <c r="O341" s="107"/>
      <c r="R341" s="15"/>
    </row>
    <row r="342" spans="3:18">
      <c r="C342" s="107"/>
      <c r="D342" s="107"/>
      <c r="H342" s="107"/>
      <c r="J342" s="107"/>
      <c r="K342" s="107"/>
      <c r="O342" s="107"/>
    </row>
    <row r="343" spans="3:18">
      <c r="C343" s="107"/>
      <c r="D343" s="107"/>
      <c r="H343" s="107"/>
      <c r="J343" s="107"/>
      <c r="K343" s="107"/>
      <c r="O343" s="107"/>
    </row>
    <row r="344" spans="3:18">
      <c r="C344" s="107"/>
      <c r="D344" s="107"/>
      <c r="H344" s="107"/>
      <c r="J344" s="107"/>
      <c r="K344" s="107"/>
      <c r="O344" s="107"/>
    </row>
    <row r="345" spans="3:18">
      <c r="C345" s="107"/>
      <c r="D345" s="107"/>
      <c r="H345" s="107"/>
      <c r="J345" s="107"/>
      <c r="K345" s="107"/>
      <c r="O345" s="107"/>
    </row>
    <row r="346" spans="3:18">
      <c r="C346" s="107"/>
      <c r="D346" s="107"/>
      <c r="H346" s="107"/>
      <c r="J346" s="107"/>
      <c r="K346" s="107"/>
      <c r="O346" s="107"/>
    </row>
    <row r="347" spans="3:18">
      <c r="C347" s="107"/>
      <c r="D347" s="107"/>
      <c r="H347" s="107"/>
      <c r="J347" s="107"/>
      <c r="K347" s="107"/>
      <c r="O347" s="107"/>
    </row>
    <row r="348" spans="3:18">
      <c r="C348" s="107"/>
      <c r="D348" s="107"/>
      <c r="H348" s="107"/>
      <c r="J348" s="107"/>
      <c r="K348" s="107"/>
      <c r="O348" s="107"/>
    </row>
    <row r="349" spans="3:18">
      <c r="C349" s="107"/>
      <c r="D349" s="107"/>
      <c r="H349" s="107"/>
      <c r="J349" s="107"/>
      <c r="K349" s="107"/>
      <c r="O349" s="107"/>
    </row>
    <row r="350" spans="3:18">
      <c r="C350" s="107"/>
      <c r="D350" s="107"/>
      <c r="H350" s="107"/>
      <c r="J350" s="107"/>
      <c r="K350" s="107"/>
      <c r="O350" s="107"/>
    </row>
    <row r="351" spans="3:18">
      <c r="C351" s="107"/>
      <c r="D351" s="107"/>
      <c r="H351" s="107"/>
      <c r="J351" s="107"/>
      <c r="K351" s="107"/>
      <c r="O351" s="107"/>
    </row>
    <row r="352" spans="3:18">
      <c r="C352" s="107"/>
      <c r="D352" s="107"/>
      <c r="H352" s="107"/>
      <c r="J352" s="107"/>
      <c r="K352" s="107"/>
      <c r="O352" s="107"/>
    </row>
    <row r="353" spans="3:15">
      <c r="C353" s="107"/>
      <c r="D353" s="107"/>
      <c r="H353" s="107"/>
      <c r="J353" s="107"/>
      <c r="K353" s="107"/>
      <c r="O353" s="107"/>
    </row>
    <row r="354" spans="3:15">
      <c r="C354" s="107"/>
      <c r="D354" s="107"/>
      <c r="H354" s="107"/>
      <c r="J354" s="107"/>
      <c r="K354" s="107"/>
      <c r="O354" s="107"/>
    </row>
    <row r="355" spans="3:15">
      <c r="C355" s="107"/>
      <c r="D355" s="107"/>
      <c r="H355" s="107"/>
      <c r="J355" s="107"/>
      <c r="K355" s="107"/>
      <c r="O355" s="107"/>
    </row>
    <row r="356" spans="3:15">
      <c r="C356" s="107"/>
      <c r="D356" s="107"/>
      <c r="H356" s="107"/>
      <c r="J356" s="107"/>
      <c r="K356" s="107"/>
      <c r="O356" s="107"/>
    </row>
    <row r="357" spans="3:15">
      <c r="C357" s="107"/>
      <c r="D357" s="107"/>
      <c r="H357" s="107"/>
      <c r="J357" s="107"/>
      <c r="K357" s="107"/>
      <c r="O357" s="107"/>
    </row>
    <row r="358" spans="3:15">
      <c r="C358" s="107"/>
      <c r="D358" s="107"/>
      <c r="H358" s="107"/>
      <c r="J358" s="107"/>
      <c r="K358" s="107"/>
      <c r="O358" s="107"/>
    </row>
    <row r="359" spans="3:15">
      <c r="C359" s="107"/>
      <c r="D359" s="107"/>
      <c r="H359" s="107"/>
      <c r="J359" s="107"/>
      <c r="K359" s="107"/>
      <c r="O359" s="107"/>
    </row>
    <row r="360" spans="3:15">
      <c r="C360" s="107"/>
      <c r="D360" s="107"/>
      <c r="H360" s="107"/>
      <c r="J360" s="107"/>
      <c r="K360" s="107"/>
      <c r="O360" s="107"/>
    </row>
    <row r="361" spans="3:15">
      <c r="C361" s="107"/>
      <c r="D361" s="107"/>
      <c r="H361" s="107"/>
      <c r="J361" s="107"/>
      <c r="K361" s="107"/>
      <c r="O361" s="107"/>
    </row>
    <row r="362" spans="3:15">
      <c r="C362" s="107"/>
      <c r="D362" s="107"/>
      <c r="H362" s="107"/>
      <c r="J362" s="107"/>
      <c r="K362" s="107"/>
      <c r="O362" s="107"/>
    </row>
    <row r="363" spans="3:15">
      <c r="C363" s="107"/>
      <c r="D363" s="107"/>
      <c r="H363" s="107"/>
      <c r="J363" s="107"/>
      <c r="K363" s="107"/>
      <c r="O363" s="107"/>
    </row>
    <row r="364" spans="3:15">
      <c r="C364" s="107"/>
      <c r="D364" s="107"/>
      <c r="H364" s="107"/>
      <c r="J364" s="107"/>
      <c r="K364" s="107"/>
      <c r="O364" s="107"/>
    </row>
    <row r="365" spans="3:15">
      <c r="C365" s="107"/>
      <c r="D365" s="107"/>
      <c r="H365" s="107"/>
      <c r="J365" s="107"/>
      <c r="K365" s="107"/>
      <c r="O365" s="107"/>
    </row>
    <row r="366" spans="3:15">
      <c r="C366" s="107"/>
      <c r="D366" s="107"/>
      <c r="H366" s="107"/>
      <c r="J366" s="107"/>
      <c r="K366" s="107"/>
      <c r="O366" s="107"/>
    </row>
    <row r="367" spans="3:15">
      <c r="C367" s="107"/>
      <c r="D367" s="107"/>
      <c r="H367" s="107"/>
      <c r="J367" s="107"/>
      <c r="K367" s="107"/>
      <c r="O367" s="107"/>
    </row>
    <row r="368" spans="3:15">
      <c r="C368" s="107"/>
      <c r="D368" s="107"/>
      <c r="H368" s="107"/>
      <c r="J368" s="107"/>
      <c r="K368" s="107"/>
      <c r="O368" s="107"/>
    </row>
    <row r="369" spans="3:19">
      <c r="C369" s="107"/>
      <c r="D369" s="107"/>
      <c r="H369" s="107"/>
      <c r="J369" s="107"/>
      <c r="K369" s="107"/>
      <c r="O369" s="107"/>
    </row>
    <row r="370" spans="3:19">
      <c r="C370" s="107"/>
      <c r="D370" s="107"/>
      <c r="H370" s="107"/>
      <c r="J370" s="107"/>
      <c r="K370" s="107"/>
      <c r="O370" s="107"/>
    </row>
    <row r="371" spans="3:19">
      <c r="C371" s="107"/>
      <c r="D371" s="107"/>
      <c r="H371" s="107"/>
      <c r="J371" s="107"/>
      <c r="K371" s="107"/>
      <c r="O371" s="107"/>
    </row>
    <row r="372" spans="3:19">
      <c r="C372" s="107"/>
      <c r="D372" s="107"/>
      <c r="H372" s="107"/>
      <c r="J372" s="107"/>
      <c r="K372" s="107"/>
      <c r="O372" s="107"/>
    </row>
    <row r="373" spans="3:19">
      <c r="C373" s="107"/>
      <c r="D373" s="107"/>
      <c r="H373" s="107"/>
      <c r="J373" s="107"/>
      <c r="K373" s="107"/>
      <c r="O373" s="107"/>
    </row>
    <row r="374" spans="3:19">
      <c r="C374" s="107"/>
      <c r="D374" s="107"/>
      <c r="H374" s="107"/>
      <c r="J374" s="107"/>
      <c r="K374" s="107"/>
      <c r="O374" s="107"/>
    </row>
    <row r="375" spans="3:19">
      <c r="C375" s="107"/>
      <c r="D375" s="107"/>
      <c r="H375" s="107"/>
      <c r="J375" s="107"/>
      <c r="K375" s="107"/>
      <c r="O375" s="107"/>
    </row>
    <row r="376" spans="3:19">
      <c r="C376" s="107"/>
      <c r="D376" s="107"/>
      <c r="H376" s="107"/>
      <c r="J376" s="107"/>
      <c r="K376" s="107"/>
      <c r="O376" s="107"/>
    </row>
    <row r="377" spans="3:19">
      <c r="C377" s="107"/>
      <c r="D377" s="107"/>
      <c r="H377" s="107"/>
      <c r="J377" s="107"/>
      <c r="K377" s="107"/>
      <c r="O377" s="107"/>
      <c r="S377" s="15"/>
    </row>
    <row r="378" spans="3:19">
      <c r="C378" s="107"/>
      <c r="D378" s="107"/>
      <c r="H378" s="107"/>
      <c r="J378" s="107"/>
      <c r="K378" s="107"/>
      <c r="O378" s="107"/>
    </row>
    <row r="379" spans="3:19">
      <c r="C379" s="107"/>
      <c r="D379" s="107"/>
      <c r="H379" s="107"/>
      <c r="J379" s="107"/>
      <c r="K379" s="107"/>
      <c r="O379" s="107"/>
      <c r="R379" s="15"/>
    </row>
    <row r="380" spans="3:19">
      <c r="C380" s="107"/>
      <c r="D380" s="107"/>
      <c r="H380" s="107"/>
      <c r="J380" s="107"/>
      <c r="K380" s="107"/>
      <c r="O380" s="107"/>
    </row>
    <row r="381" spans="3:19">
      <c r="C381" s="107"/>
      <c r="D381" s="107"/>
      <c r="H381" s="107"/>
      <c r="J381" s="107"/>
      <c r="K381" s="107"/>
      <c r="O381" s="107"/>
    </row>
    <row r="382" spans="3:19">
      <c r="C382" s="107"/>
      <c r="D382" s="107"/>
      <c r="H382" s="107"/>
      <c r="J382" s="107"/>
      <c r="K382" s="107"/>
      <c r="O382" s="107"/>
    </row>
    <row r="383" spans="3:19">
      <c r="C383" s="107"/>
      <c r="D383" s="107"/>
      <c r="H383" s="107"/>
      <c r="J383" s="107"/>
      <c r="K383" s="107"/>
      <c r="O383" s="107"/>
    </row>
    <row r="384" spans="3:19">
      <c r="C384" s="107"/>
      <c r="D384" s="107"/>
      <c r="H384" s="107"/>
      <c r="J384" s="107"/>
      <c r="K384" s="107"/>
      <c r="O384" s="107"/>
    </row>
    <row r="385" spans="3:19">
      <c r="C385" s="107"/>
      <c r="D385" s="107"/>
      <c r="H385" s="107"/>
      <c r="J385" s="107"/>
      <c r="K385" s="107"/>
      <c r="O385" s="107"/>
    </row>
    <row r="386" spans="3:19">
      <c r="C386" s="107"/>
      <c r="D386" s="107"/>
      <c r="H386" s="107"/>
      <c r="J386" s="107"/>
      <c r="K386" s="107"/>
      <c r="O386" s="107"/>
    </row>
    <row r="387" spans="3:19">
      <c r="C387" s="107"/>
      <c r="D387" s="107"/>
      <c r="H387" s="107"/>
      <c r="J387" s="107"/>
      <c r="K387" s="107"/>
      <c r="O387" s="107"/>
    </row>
    <row r="388" spans="3:19">
      <c r="C388" s="107"/>
      <c r="D388" s="107"/>
      <c r="H388" s="107"/>
      <c r="J388" s="107"/>
      <c r="K388" s="107"/>
      <c r="O388" s="107"/>
    </row>
    <row r="389" spans="3:19">
      <c r="C389" s="107"/>
      <c r="D389" s="107"/>
      <c r="H389" s="107"/>
      <c r="J389" s="107"/>
      <c r="K389" s="107"/>
      <c r="O389" s="107"/>
    </row>
    <row r="390" spans="3:19">
      <c r="C390" s="107"/>
      <c r="D390" s="107"/>
      <c r="H390" s="107"/>
      <c r="J390" s="107"/>
      <c r="K390" s="107"/>
      <c r="O390" s="107"/>
      <c r="R390" s="15"/>
    </row>
    <row r="391" spans="3:19">
      <c r="C391" s="107"/>
      <c r="D391" s="107"/>
      <c r="H391" s="107"/>
      <c r="J391" s="107"/>
      <c r="K391" s="107"/>
      <c r="O391" s="107"/>
    </row>
    <row r="392" spans="3:19">
      <c r="C392" s="107"/>
      <c r="D392" s="107"/>
      <c r="H392" s="107"/>
      <c r="J392" s="107"/>
      <c r="K392" s="107"/>
      <c r="O392" s="107"/>
    </row>
    <row r="393" spans="3:19">
      <c r="C393" s="107"/>
      <c r="D393" s="107"/>
      <c r="H393" s="107"/>
      <c r="J393" s="107"/>
      <c r="K393" s="107"/>
      <c r="O393" s="107"/>
    </row>
    <row r="394" spans="3:19">
      <c r="C394" s="107"/>
      <c r="D394" s="107"/>
      <c r="H394" s="107"/>
      <c r="J394" s="107"/>
      <c r="K394" s="107"/>
      <c r="O394" s="107"/>
    </row>
    <row r="395" spans="3:19">
      <c r="C395" s="107"/>
      <c r="D395" s="107"/>
      <c r="H395" s="107"/>
      <c r="J395" s="107"/>
      <c r="K395" s="107"/>
      <c r="O395" s="107"/>
    </row>
    <row r="396" spans="3:19">
      <c r="C396" s="107"/>
      <c r="D396" s="107"/>
      <c r="H396" s="107"/>
      <c r="J396" s="107"/>
      <c r="K396" s="107"/>
      <c r="O396" s="107"/>
    </row>
    <row r="397" spans="3:19">
      <c r="C397" s="107"/>
      <c r="D397" s="107"/>
      <c r="H397" s="107"/>
      <c r="J397" s="107"/>
      <c r="K397" s="107"/>
      <c r="O397" s="107"/>
    </row>
    <row r="398" spans="3:19">
      <c r="C398" s="107"/>
      <c r="D398" s="107"/>
      <c r="H398" s="107"/>
      <c r="J398" s="107"/>
      <c r="K398" s="107"/>
      <c r="O398" s="107"/>
      <c r="S398" s="15"/>
    </row>
    <row r="399" spans="3:19">
      <c r="C399" s="107"/>
      <c r="D399" s="107"/>
      <c r="H399" s="107"/>
      <c r="J399" s="107"/>
      <c r="K399" s="107"/>
      <c r="O399" s="107"/>
    </row>
    <row r="400" spans="3:19">
      <c r="C400" s="107"/>
      <c r="D400" s="107"/>
      <c r="H400" s="107"/>
      <c r="J400" s="107"/>
      <c r="K400" s="107"/>
      <c r="O400" s="107"/>
    </row>
    <row r="401" spans="3:15">
      <c r="C401" s="107"/>
      <c r="D401" s="107"/>
      <c r="H401" s="107"/>
      <c r="J401" s="107"/>
      <c r="K401" s="107"/>
      <c r="O401" s="107"/>
    </row>
    <row r="402" spans="3:15">
      <c r="C402" s="107"/>
      <c r="D402" s="107"/>
      <c r="H402" s="107"/>
      <c r="J402" s="107"/>
      <c r="K402" s="107"/>
      <c r="O402" s="107"/>
    </row>
    <row r="403" spans="3:15">
      <c r="C403" s="107"/>
      <c r="D403" s="107"/>
      <c r="H403" s="107"/>
      <c r="J403" s="107"/>
      <c r="K403" s="107"/>
      <c r="O403" s="107"/>
    </row>
    <row r="404" spans="3:15">
      <c r="C404" s="107"/>
      <c r="D404" s="107"/>
      <c r="H404" s="107"/>
      <c r="J404" s="107"/>
      <c r="K404" s="107"/>
      <c r="O404" s="107"/>
    </row>
    <row r="405" spans="3:15">
      <c r="C405" s="107"/>
      <c r="D405" s="107"/>
      <c r="H405" s="107"/>
      <c r="J405" s="107"/>
      <c r="K405" s="107"/>
      <c r="O405" s="107"/>
    </row>
    <row r="406" spans="3:15">
      <c r="C406" s="107"/>
      <c r="D406" s="107"/>
      <c r="H406" s="107"/>
      <c r="J406" s="107"/>
      <c r="K406" s="107"/>
      <c r="O406" s="107"/>
    </row>
    <row r="407" spans="3:15">
      <c r="C407" s="107"/>
      <c r="D407" s="107"/>
      <c r="H407" s="107"/>
      <c r="J407" s="107"/>
      <c r="K407" s="107"/>
      <c r="O407" s="107"/>
    </row>
    <row r="408" spans="3:15">
      <c r="C408" s="107"/>
      <c r="D408" s="107"/>
      <c r="H408" s="107"/>
      <c r="J408" s="107"/>
      <c r="K408" s="107"/>
      <c r="O408" s="107"/>
    </row>
    <row r="409" spans="3:15">
      <c r="C409" s="107"/>
      <c r="D409" s="107"/>
      <c r="H409" s="107"/>
      <c r="J409" s="107"/>
      <c r="K409" s="107"/>
      <c r="O409" s="107"/>
    </row>
    <row r="410" spans="3:15">
      <c r="C410" s="107"/>
      <c r="D410" s="107"/>
      <c r="H410" s="107"/>
      <c r="J410" s="107"/>
      <c r="K410" s="107"/>
      <c r="O410" s="107"/>
    </row>
    <row r="411" spans="3:15">
      <c r="C411" s="107"/>
      <c r="D411" s="107"/>
      <c r="H411" s="107"/>
      <c r="J411" s="107"/>
      <c r="K411" s="107"/>
      <c r="O411" s="107"/>
    </row>
    <row r="412" spans="3:15">
      <c r="C412" s="107"/>
      <c r="D412" s="107"/>
      <c r="H412" s="107"/>
      <c r="J412" s="107"/>
      <c r="K412" s="107"/>
      <c r="O412" s="107"/>
    </row>
    <row r="413" spans="3:15">
      <c r="C413" s="107"/>
      <c r="D413" s="107"/>
      <c r="H413" s="107"/>
      <c r="J413" s="107"/>
      <c r="K413" s="107"/>
      <c r="O413" s="107"/>
    </row>
    <row r="414" spans="3:15">
      <c r="C414" s="107"/>
      <c r="D414" s="107"/>
      <c r="H414" s="107"/>
      <c r="J414" s="107"/>
      <c r="K414" s="107"/>
      <c r="O414" s="107"/>
    </row>
    <row r="415" spans="3:15">
      <c r="C415" s="107"/>
      <c r="D415" s="107"/>
      <c r="H415" s="107"/>
      <c r="J415" s="107"/>
      <c r="K415" s="107"/>
      <c r="O415" s="107"/>
    </row>
    <row r="416" spans="3:15">
      <c r="C416" s="107"/>
      <c r="D416" s="107"/>
      <c r="H416" s="107"/>
      <c r="J416" s="107"/>
      <c r="K416" s="107"/>
      <c r="O416" s="107"/>
    </row>
    <row r="417" spans="3:15">
      <c r="C417" s="107"/>
      <c r="D417" s="107"/>
      <c r="H417" s="107"/>
      <c r="J417" s="107"/>
      <c r="K417" s="107"/>
      <c r="O417" s="107"/>
    </row>
    <row r="418" spans="3:15">
      <c r="C418" s="107"/>
      <c r="D418" s="107"/>
      <c r="H418" s="107"/>
      <c r="J418" s="107"/>
      <c r="K418" s="107"/>
      <c r="O418" s="107"/>
    </row>
    <row r="419" spans="3:15">
      <c r="C419" s="107"/>
      <c r="D419" s="107"/>
      <c r="H419" s="107"/>
      <c r="J419" s="107"/>
      <c r="K419" s="107"/>
      <c r="O419" s="107"/>
    </row>
    <row r="420" spans="3:15">
      <c r="C420" s="107"/>
      <c r="D420" s="107"/>
      <c r="H420" s="107"/>
      <c r="J420" s="107"/>
      <c r="K420" s="107"/>
      <c r="O420" s="107"/>
    </row>
    <row r="421" spans="3:15">
      <c r="C421" s="107"/>
      <c r="D421" s="107"/>
      <c r="H421" s="107"/>
      <c r="J421" s="107"/>
      <c r="K421" s="107"/>
      <c r="O421" s="107"/>
    </row>
    <row r="422" spans="3:15">
      <c r="C422" s="107"/>
      <c r="D422" s="107"/>
      <c r="H422" s="107"/>
      <c r="J422" s="107"/>
      <c r="K422" s="107"/>
      <c r="O422" s="107"/>
    </row>
    <row r="423" spans="3:15">
      <c r="C423" s="107"/>
      <c r="D423" s="107"/>
      <c r="H423" s="107"/>
      <c r="J423" s="107"/>
      <c r="K423" s="107"/>
      <c r="O423" s="107"/>
    </row>
    <row r="424" spans="3:15">
      <c r="C424" s="107"/>
      <c r="D424" s="107"/>
      <c r="H424" s="107"/>
      <c r="J424" s="107"/>
      <c r="K424" s="107"/>
      <c r="O424" s="107"/>
    </row>
    <row r="425" spans="3:15">
      <c r="C425" s="107"/>
      <c r="D425" s="107"/>
      <c r="H425" s="107"/>
      <c r="J425" s="107"/>
      <c r="K425" s="107"/>
      <c r="O425" s="107"/>
    </row>
    <row r="426" spans="3:15">
      <c r="C426" s="107"/>
      <c r="D426" s="107"/>
      <c r="H426" s="107"/>
      <c r="J426" s="107"/>
      <c r="K426" s="107"/>
      <c r="O426" s="107"/>
    </row>
    <row r="427" spans="3:15">
      <c r="C427" s="107"/>
      <c r="D427" s="107"/>
      <c r="H427" s="107"/>
      <c r="J427" s="107"/>
      <c r="K427" s="107"/>
      <c r="O427" s="107"/>
    </row>
    <row r="428" spans="3:15">
      <c r="C428" s="107"/>
      <c r="D428" s="107"/>
      <c r="H428" s="107"/>
      <c r="J428" s="107"/>
      <c r="K428" s="107"/>
      <c r="O428" s="107"/>
    </row>
    <row r="429" spans="3:15">
      <c r="C429" s="107"/>
      <c r="D429" s="107"/>
      <c r="H429" s="107"/>
      <c r="J429" s="107"/>
      <c r="K429" s="107"/>
      <c r="O429" s="107"/>
    </row>
    <row r="430" spans="3:15">
      <c r="C430" s="107"/>
      <c r="D430" s="107"/>
      <c r="H430" s="107"/>
      <c r="J430" s="107"/>
      <c r="K430" s="107"/>
      <c r="O430" s="107"/>
    </row>
    <row r="431" spans="3:15">
      <c r="C431" s="107"/>
      <c r="D431" s="107"/>
      <c r="H431" s="107"/>
      <c r="J431" s="107"/>
      <c r="K431" s="107"/>
      <c r="O431" s="107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7" customFormat="1">
      <c r="C1" s="1" t="s">
        <v>1016</v>
      </c>
      <c r="D1" s="142">
        <v>0.1</v>
      </c>
    </row>
    <row r="2" spans="1:4" s="107" customFormat="1">
      <c r="A2" s="13" t="s">
        <v>1014</v>
      </c>
      <c r="B2" s="1" t="s">
        <v>1023</v>
      </c>
      <c r="C2" s="1" t="s">
        <v>1015</v>
      </c>
    </row>
    <row r="3" spans="1:4" s="107" customFormat="1">
      <c r="A3" s="107">
        <v>500000</v>
      </c>
      <c r="B3" s="107">
        <v>250</v>
      </c>
      <c r="C3" s="107">
        <f>B3*(1+$D$1)</f>
        <v>275</v>
      </c>
    </row>
    <row r="4" spans="1:4" s="107" customFormat="1">
      <c r="A4" s="107">
        <v>1000000</v>
      </c>
      <c r="B4" s="107">
        <v>487</v>
      </c>
      <c r="C4" s="107">
        <f t="shared" ref="C4:C6" si="0">B4*(1+$D$1)</f>
        <v>535.70000000000005</v>
      </c>
    </row>
    <row r="5" spans="1:4" s="107" customFormat="1">
      <c r="A5" s="107">
        <v>1500000</v>
      </c>
      <c r="B5" s="107">
        <v>582</v>
      </c>
      <c r="C5" s="107">
        <f t="shared" si="0"/>
        <v>640.20000000000005</v>
      </c>
    </row>
    <row r="6" spans="1:4" s="107" customFormat="1">
      <c r="A6" s="107">
        <v>30000000</v>
      </c>
      <c r="B6" s="107">
        <v>921</v>
      </c>
      <c r="C6" s="107">
        <f t="shared" si="0"/>
        <v>1013.1000000000001</v>
      </c>
    </row>
    <row r="7" spans="1:4" s="107" customFormat="1"/>
    <row r="8" spans="1:4" s="107" customFormat="1">
      <c r="A8" s="13" t="s">
        <v>1017</v>
      </c>
      <c r="B8" s="1" t="s">
        <v>1024</v>
      </c>
    </row>
    <row r="9" spans="1:4" s="107" customFormat="1">
      <c r="A9" s="143" t="s">
        <v>1018</v>
      </c>
      <c r="B9" s="145">
        <v>198</v>
      </c>
    </row>
    <row r="10" spans="1:4" s="107" customFormat="1">
      <c r="A10" s="143" t="s">
        <v>1019</v>
      </c>
      <c r="B10" s="145">
        <v>385</v>
      </c>
    </row>
    <row r="11" spans="1:4" s="107" customFormat="1">
      <c r="A11" s="1" t="s">
        <v>1020</v>
      </c>
      <c r="B11" s="146">
        <v>2.8000000000000001E-2</v>
      </c>
    </row>
    <row r="12" spans="1:4" s="107" customFormat="1">
      <c r="A12" s="1" t="s">
        <v>241</v>
      </c>
      <c r="B12" s="146">
        <v>1.0999999999999999E-2</v>
      </c>
    </row>
    <row r="15" spans="1:4" ht="15">
      <c r="A15" s="79" t="s">
        <v>173</v>
      </c>
    </row>
    <row r="16" spans="1:4">
      <c r="B16" s="1"/>
    </row>
    <row r="17" spans="1:2" ht="15.75" thickBot="1">
      <c r="A17" s="70" t="s">
        <v>174</v>
      </c>
    </row>
    <row r="18" spans="1:2" ht="15.75" thickBot="1">
      <c r="A18" s="72" t="s">
        <v>175</v>
      </c>
      <c r="B18" s="73" t="s">
        <v>176</v>
      </c>
    </row>
    <row r="19" spans="1:2" ht="15.75" thickBot="1">
      <c r="A19" s="74" t="s">
        <v>177</v>
      </c>
      <c r="B19" s="71" t="s">
        <v>178</v>
      </c>
    </row>
    <row r="20" spans="1:2" ht="15.75" thickBot="1">
      <c r="A20" s="74" t="s">
        <v>179</v>
      </c>
      <c r="B20" s="71" t="s">
        <v>180</v>
      </c>
    </row>
    <row r="21" spans="1:2" ht="15.75" thickBot="1">
      <c r="A21" s="74" t="s">
        <v>181</v>
      </c>
      <c r="B21" s="71" t="s">
        <v>182</v>
      </c>
    </row>
    <row r="22" spans="1:2" ht="15.75" thickBot="1">
      <c r="A22" s="74" t="s">
        <v>183</v>
      </c>
      <c r="B22" s="71" t="s">
        <v>184</v>
      </c>
    </row>
    <row r="23" spans="1:2" ht="15.75" thickBot="1">
      <c r="A23" s="75" t="s">
        <v>185</v>
      </c>
      <c r="B23" s="76" t="s">
        <v>186</v>
      </c>
    </row>
    <row r="24" spans="1:2" ht="15.75" thickBot="1">
      <c r="A24" s="77" t="s">
        <v>187</v>
      </c>
      <c r="B24" s="78" t="s">
        <v>188</v>
      </c>
    </row>
    <row r="25" spans="1:2" ht="15.75" thickBot="1">
      <c r="A25" s="74" t="s">
        <v>189</v>
      </c>
      <c r="B25" s="71" t="s">
        <v>190</v>
      </c>
    </row>
    <row r="26" spans="1:2" ht="15.75" thickBot="1">
      <c r="A26" s="74" t="s">
        <v>191</v>
      </c>
      <c r="B26" s="71" t="s">
        <v>192</v>
      </c>
    </row>
    <row r="27" spans="1:2" ht="15.75" thickBot="1">
      <c r="A27" s="70" t="s">
        <v>193</v>
      </c>
    </row>
    <row r="28" spans="1:2" ht="15.75" thickBot="1">
      <c r="A28" s="72" t="s">
        <v>175</v>
      </c>
      <c r="B28" s="73" t="s">
        <v>176</v>
      </c>
    </row>
    <row r="29" spans="1:2" ht="15.75" thickBot="1">
      <c r="A29" s="74" t="s">
        <v>179</v>
      </c>
      <c r="B29" s="71" t="s">
        <v>180</v>
      </c>
    </row>
    <row r="30" spans="1:2" ht="15.75" thickBot="1">
      <c r="A30" s="74" t="s">
        <v>181</v>
      </c>
      <c r="B30" s="71" t="s">
        <v>194</v>
      </c>
    </row>
    <row r="31" spans="1:2" ht="15.75" thickBot="1">
      <c r="A31" s="74" t="s">
        <v>183</v>
      </c>
      <c r="B31" s="71" t="s">
        <v>195</v>
      </c>
    </row>
    <row r="32" spans="1:2" ht="15.75" thickBot="1">
      <c r="A32" s="75" t="s">
        <v>196</v>
      </c>
      <c r="B32" s="76" t="s">
        <v>197</v>
      </c>
    </row>
    <row r="35" spans="1:8" ht="15">
      <c r="A35" s="79" t="s">
        <v>198</v>
      </c>
    </row>
    <row r="36" spans="1:8" ht="15" thickBot="1"/>
    <row r="37" spans="1:8" ht="15.75" thickBot="1">
      <c r="A37" s="72" t="s">
        <v>199</v>
      </c>
      <c r="B37" s="73" t="s">
        <v>165</v>
      </c>
    </row>
    <row r="38" spans="1:8" ht="15.75" thickBot="1">
      <c r="A38" s="74" t="s">
        <v>179</v>
      </c>
      <c r="B38" s="71" t="s">
        <v>200</v>
      </c>
    </row>
    <row r="39" spans="1:8" ht="15.75" thickBot="1">
      <c r="A39" s="74" t="s">
        <v>181</v>
      </c>
      <c r="B39" s="71" t="s">
        <v>201</v>
      </c>
    </row>
    <row r="40" spans="1:8" ht="15.75" thickBot="1">
      <c r="A40" s="74" t="s">
        <v>202</v>
      </c>
      <c r="B40" s="71" t="s">
        <v>203</v>
      </c>
    </row>
    <row r="41" spans="1:8" ht="15.75" thickBot="1">
      <c r="A41" s="74" t="s">
        <v>183</v>
      </c>
      <c r="B41" s="71" t="s">
        <v>204</v>
      </c>
    </row>
    <row r="42" spans="1:8" ht="15.75" thickBot="1">
      <c r="A42" s="74" t="s">
        <v>185</v>
      </c>
      <c r="B42" s="71" t="s">
        <v>205</v>
      </c>
    </row>
    <row r="43" spans="1:8" ht="15.75" thickBot="1">
      <c r="A43" s="74" t="s">
        <v>206</v>
      </c>
      <c r="B43" s="71" t="s">
        <v>207</v>
      </c>
    </row>
    <row r="44" spans="1:8" ht="15">
      <c r="A44" s="81" t="s">
        <v>208</v>
      </c>
      <c r="B44" s="288" t="s">
        <v>210</v>
      </c>
    </row>
    <row r="45" spans="1:8" ht="30.75" thickBot="1">
      <c r="A45" s="74" t="s">
        <v>209</v>
      </c>
      <c r="B45" s="289"/>
    </row>
    <row r="47" spans="1:8" ht="15" thickBot="1"/>
    <row r="48" spans="1:8" ht="15" thickBot="1">
      <c r="A48" s="290" t="s">
        <v>159</v>
      </c>
      <c r="B48" s="291"/>
      <c r="C48" s="294" t="s">
        <v>211</v>
      </c>
      <c r="D48" s="295"/>
      <c r="E48" s="295"/>
      <c r="F48" s="295"/>
      <c r="G48" s="296"/>
      <c r="H48" s="87"/>
    </row>
    <row r="49" spans="1:8" ht="15" thickBot="1">
      <c r="A49" s="292"/>
      <c r="B49" s="293"/>
      <c r="C49" s="297" t="s">
        <v>212</v>
      </c>
      <c r="D49" s="298"/>
      <c r="E49" s="82" t="s">
        <v>213</v>
      </c>
      <c r="F49" s="299" t="s">
        <v>214</v>
      </c>
      <c r="G49" s="300"/>
    </row>
    <row r="50" spans="1:8" ht="15" thickBot="1">
      <c r="A50" s="88" t="s">
        <v>215</v>
      </c>
      <c r="B50" s="83" t="s">
        <v>216</v>
      </c>
      <c r="C50" s="83" t="s">
        <v>217</v>
      </c>
      <c r="D50" s="84" t="s">
        <v>216</v>
      </c>
      <c r="E50" s="84" t="s">
        <v>217</v>
      </c>
      <c r="F50" s="82" t="s">
        <v>217</v>
      </c>
      <c r="G50" s="85" t="s">
        <v>216</v>
      </c>
      <c r="H50" s="85" t="s">
        <v>217</v>
      </c>
    </row>
    <row r="51" spans="1:8" ht="28.5" customHeight="1" thickBot="1">
      <c r="A51" s="89" t="s">
        <v>218</v>
      </c>
      <c r="B51" s="285" t="s">
        <v>219</v>
      </c>
      <c r="C51" s="286"/>
      <c r="D51" s="285" t="s">
        <v>220</v>
      </c>
      <c r="E51" s="287"/>
      <c r="F51" s="287"/>
      <c r="G51" s="287"/>
      <c r="H51" s="286"/>
    </row>
    <row r="52" spans="1:8" ht="43.5" thickBot="1">
      <c r="A52" s="89" t="s">
        <v>221</v>
      </c>
      <c r="B52" s="285" t="s">
        <v>222</v>
      </c>
      <c r="C52" s="286"/>
      <c r="D52" s="86" t="s">
        <v>223</v>
      </c>
      <c r="E52" s="86" t="s">
        <v>224</v>
      </c>
      <c r="F52" s="86" t="s">
        <v>224</v>
      </c>
      <c r="G52" s="86" t="s">
        <v>223</v>
      </c>
      <c r="H52" s="86" t="s">
        <v>224</v>
      </c>
    </row>
    <row r="53" spans="1:8" ht="15" thickBot="1">
      <c r="A53" s="89" t="s">
        <v>225</v>
      </c>
      <c r="B53" s="285" t="s">
        <v>226</v>
      </c>
      <c r="C53" s="286"/>
      <c r="D53" s="285" t="s">
        <v>212</v>
      </c>
      <c r="E53" s="286"/>
      <c r="F53" s="86" t="s">
        <v>227</v>
      </c>
      <c r="G53" s="285" t="s">
        <v>228</v>
      </c>
      <c r="H53" s="286"/>
    </row>
    <row r="54" spans="1:8" ht="15" thickBot="1">
      <c r="A54" s="89" t="s">
        <v>165</v>
      </c>
      <c r="B54" s="285" t="s">
        <v>229</v>
      </c>
      <c r="C54" s="287"/>
      <c r="D54" s="287"/>
      <c r="E54" s="287"/>
      <c r="F54" s="286"/>
      <c r="G54" s="285" t="s">
        <v>230</v>
      </c>
      <c r="H54" s="286"/>
    </row>
    <row r="55" spans="1:8" ht="42.75">
      <c r="A55" s="144" t="s">
        <v>1020</v>
      </c>
      <c r="B55" s="80" t="s">
        <v>232</v>
      </c>
      <c r="C55" s="288" t="s">
        <v>235</v>
      </c>
      <c r="D55" s="80" t="s">
        <v>232</v>
      </c>
      <c r="E55" s="288" t="s">
        <v>235</v>
      </c>
      <c r="F55" s="288" t="s">
        <v>235</v>
      </c>
      <c r="G55" s="80" t="s">
        <v>238</v>
      </c>
      <c r="H55" s="288" t="s">
        <v>235</v>
      </c>
    </row>
    <row r="56" spans="1:8" ht="42.75">
      <c r="A56" s="90" t="s">
        <v>231</v>
      </c>
      <c r="B56" s="91" t="s">
        <v>1022</v>
      </c>
      <c r="C56" s="301"/>
      <c r="D56" s="80" t="s">
        <v>236</v>
      </c>
      <c r="E56" s="301"/>
      <c r="F56" s="301"/>
      <c r="G56" s="80" t="s">
        <v>239</v>
      </c>
      <c r="H56" s="301"/>
    </row>
    <row r="57" spans="1:8" ht="42.75">
      <c r="A57" s="90"/>
      <c r="B57" s="80" t="s">
        <v>233</v>
      </c>
      <c r="C57" s="301"/>
      <c r="D57" s="80" t="s">
        <v>233</v>
      </c>
      <c r="E57" s="301"/>
      <c r="F57" s="301"/>
      <c r="G57" s="80" t="s">
        <v>240</v>
      </c>
      <c r="H57" s="301"/>
    </row>
    <row r="58" spans="1:8" ht="15" thickBot="1">
      <c r="A58" s="89"/>
      <c r="B58" s="86" t="s">
        <v>234</v>
      </c>
      <c r="C58" s="289"/>
      <c r="D58" s="86" t="s">
        <v>237</v>
      </c>
      <c r="E58" s="289"/>
      <c r="F58" s="289"/>
      <c r="G58" s="86"/>
      <c r="H58" s="289"/>
    </row>
    <row r="59" spans="1:8" ht="42.75">
      <c r="A59" s="144" t="s">
        <v>1021</v>
      </c>
      <c r="B59" s="288" t="s">
        <v>235</v>
      </c>
      <c r="C59" s="302">
        <v>1.0999999999999999E-2</v>
      </c>
      <c r="D59" s="288" t="s">
        <v>235</v>
      </c>
      <c r="E59" s="305">
        <v>1.0999999999999999E-2</v>
      </c>
      <c r="F59" s="305">
        <v>3.9E-2</v>
      </c>
      <c r="G59" s="288" t="s">
        <v>235</v>
      </c>
      <c r="H59" s="80" t="s">
        <v>238</v>
      </c>
    </row>
    <row r="60" spans="1:8" ht="42.75">
      <c r="A60" s="90" t="s">
        <v>231</v>
      </c>
      <c r="B60" s="301"/>
      <c r="C60" s="303"/>
      <c r="D60" s="301"/>
      <c r="E60" s="306"/>
      <c r="F60" s="306"/>
      <c r="G60" s="301"/>
      <c r="H60" s="80" t="s">
        <v>239</v>
      </c>
    </row>
    <row r="61" spans="1:8" ht="43.5" thickBot="1">
      <c r="A61" s="89"/>
      <c r="B61" s="289"/>
      <c r="C61" s="304"/>
      <c r="D61" s="289"/>
      <c r="E61" s="307"/>
      <c r="F61" s="307"/>
      <c r="G61" s="289"/>
      <c r="H61" s="86" t="s">
        <v>240</v>
      </c>
    </row>
    <row r="62" spans="1:8" ht="127.5" customHeight="1">
      <c r="A62" s="90" t="s">
        <v>242</v>
      </c>
      <c r="B62" s="288" t="s">
        <v>235</v>
      </c>
      <c r="C62" s="316" t="s">
        <v>244</v>
      </c>
      <c r="D62" s="288" t="s">
        <v>235</v>
      </c>
      <c r="E62" s="288" t="s">
        <v>235</v>
      </c>
      <c r="F62" s="288" t="s">
        <v>235</v>
      </c>
      <c r="G62" s="288" t="s">
        <v>235</v>
      </c>
      <c r="H62" s="288" t="s">
        <v>245</v>
      </c>
    </row>
    <row r="63" spans="1:8" ht="15" thickBot="1">
      <c r="A63" s="89" t="s">
        <v>243</v>
      </c>
      <c r="B63" s="289"/>
      <c r="C63" s="317"/>
      <c r="D63" s="289"/>
      <c r="E63" s="289"/>
      <c r="F63" s="289"/>
      <c r="G63" s="289"/>
      <c r="H63" s="289"/>
    </row>
    <row r="64" spans="1:8" ht="15" thickBot="1">
      <c r="A64" s="89" t="s">
        <v>246</v>
      </c>
      <c r="B64" s="285" t="s">
        <v>247</v>
      </c>
      <c r="C64" s="287"/>
      <c r="D64" s="287"/>
      <c r="E64" s="287"/>
      <c r="F64" s="287"/>
      <c r="G64" s="287"/>
      <c r="H64" s="286"/>
    </row>
    <row r="65" spans="1:8" ht="14.25" customHeight="1">
      <c r="A65" s="308" t="s">
        <v>248</v>
      </c>
      <c r="B65" s="310" t="s">
        <v>249</v>
      </c>
      <c r="C65" s="311"/>
      <c r="D65" s="311"/>
      <c r="E65" s="311"/>
      <c r="F65" s="311"/>
      <c r="G65" s="311"/>
      <c r="H65" s="312"/>
    </row>
    <row r="66" spans="1:8" ht="15" thickBot="1">
      <c r="A66" s="309"/>
      <c r="B66" s="313" t="s">
        <v>250</v>
      </c>
      <c r="C66" s="314"/>
      <c r="D66" s="314"/>
      <c r="E66" s="314"/>
      <c r="F66" s="314"/>
      <c r="G66" s="314"/>
      <c r="H66" s="315"/>
    </row>
    <row r="67" spans="1:8" ht="14.25" customHeight="1">
      <c r="A67" s="308" t="s">
        <v>251</v>
      </c>
      <c r="B67" s="310" t="s">
        <v>252</v>
      </c>
      <c r="C67" s="311"/>
      <c r="D67" s="311"/>
      <c r="E67" s="311"/>
      <c r="F67" s="311"/>
      <c r="G67" s="311"/>
      <c r="H67" s="312"/>
    </row>
    <row r="68" spans="1:8" ht="15" thickBot="1">
      <c r="A68" s="309"/>
      <c r="B68" s="313" t="s">
        <v>253</v>
      </c>
      <c r="C68" s="314"/>
      <c r="D68" s="314"/>
      <c r="E68" s="314"/>
      <c r="F68" s="314"/>
      <c r="G68" s="314"/>
      <c r="H68" s="315"/>
    </row>
    <row r="69" spans="1:8" ht="28.5" customHeight="1">
      <c r="A69" s="308" t="s">
        <v>254</v>
      </c>
      <c r="B69" s="310" t="s">
        <v>255</v>
      </c>
      <c r="C69" s="311"/>
      <c r="D69" s="312"/>
      <c r="E69" s="310" t="s">
        <v>256</v>
      </c>
      <c r="F69" s="311"/>
      <c r="G69" s="311"/>
      <c r="H69" s="312"/>
    </row>
    <row r="70" spans="1:8" ht="28.5" customHeight="1">
      <c r="A70" s="318"/>
      <c r="B70" s="319"/>
      <c r="C70" s="320"/>
      <c r="D70" s="321"/>
      <c r="E70" s="319" t="s">
        <v>257</v>
      </c>
      <c r="F70" s="320"/>
      <c r="G70" s="320"/>
      <c r="H70" s="321"/>
    </row>
    <row r="71" spans="1:8" ht="28.5" customHeight="1" thickBot="1">
      <c r="A71" s="309"/>
      <c r="B71" s="313"/>
      <c r="C71" s="314"/>
      <c r="D71" s="315"/>
      <c r="E71" s="313" t="s">
        <v>258</v>
      </c>
      <c r="F71" s="314"/>
      <c r="G71" s="314"/>
      <c r="H71" s="315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J599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07" t="s">
        <v>342</v>
      </c>
      <c r="B1" s="107" t="s">
        <v>343</v>
      </c>
      <c r="C1" s="107" t="s">
        <v>344</v>
      </c>
      <c r="D1" s="107" t="s">
        <v>345</v>
      </c>
      <c r="E1" s="107" t="s">
        <v>346</v>
      </c>
      <c r="F1" s="107" t="s">
        <v>347</v>
      </c>
      <c r="G1" s="107" t="s">
        <v>348</v>
      </c>
      <c r="H1" s="107" t="s">
        <v>349</v>
      </c>
      <c r="I1" s="107" t="s">
        <v>350</v>
      </c>
    </row>
    <row r="2" spans="1:10">
      <c r="A2" s="107" t="s">
        <v>381</v>
      </c>
      <c r="B2" s="107" t="s">
        <v>351</v>
      </c>
      <c r="C2" s="107" t="s">
        <v>356</v>
      </c>
      <c r="D2" s="107" t="s">
        <v>353</v>
      </c>
      <c r="E2" s="107">
        <v>2929</v>
      </c>
      <c r="F2" s="107" t="s">
        <v>382</v>
      </c>
      <c r="G2" s="107" t="s">
        <v>362</v>
      </c>
      <c r="H2" s="107" t="s">
        <v>355</v>
      </c>
      <c r="I2" s="107">
        <v>144</v>
      </c>
    </row>
    <row r="3" spans="1:10">
      <c r="A3" s="107" t="s">
        <v>381</v>
      </c>
      <c r="B3" s="107" t="s">
        <v>351</v>
      </c>
      <c r="C3" s="107" t="s">
        <v>363</v>
      </c>
      <c r="D3" s="107" t="s">
        <v>353</v>
      </c>
      <c r="E3">
        <v>3031</v>
      </c>
      <c r="F3" s="107" t="s">
        <v>383</v>
      </c>
      <c r="G3" s="107" t="s">
        <v>354</v>
      </c>
      <c r="H3" s="107" t="s">
        <v>360</v>
      </c>
      <c r="I3">
        <v>150</v>
      </c>
    </row>
    <row r="4" spans="1:10">
      <c r="A4" s="107" t="s">
        <v>381</v>
      </c>
      <c r="B4" s="107" t="s">
        <v>351</v>
      </c>
      <c r="C4" s="107" t="s">
        <v>356</v>
      </c>
      <c r="D4" s="107" t="s">
        <v>353</v>
      </c>
      <c r="E4">
        <v>6778</v>
      </c>
      <c r="F4" s="107" t="s">
        <v>384</v>
      </c>
      <c r="G4" s="107" t="s">
        <v>362</v>
      </c>
      <c r="H4" s="107" t="s">
        <v>379</v>
      </c>
      <c r="I4">
        <v>149</v>
      </c>
    </row>
    <row r="5" spans="1:10">
      <c r="A5" s="107" t="s">
        <v>381</v>
      </c>
      <c r="B5" s="107" t="s">
        <v>351</v>
      </c>
      <c r="C5" s="107" t="s">
        <v>352</v>
      </c>
      <c r="D5" s="107" t="s">
        <v>353</v>
      </c>
      <c r="E5">
        <v>9632</v>
      </c>
      <c r="F5" s="107" t="s">
        <v>385</v>
      </c>
      <c r="G5" s="107" t="s">
        <v>354</v>
      </c>
      <c r="H5" s="107" t="s">
        <v>359</v>
      </c>
      <c r="I5">
        <v>213</v>
      </c>
    </row>
    <row r="6" spans="1:10">
      <c r="A6" s="107" t="s">
        <v>386</v>
      </c>
      <c r="B6" s="107" t="s">
        <v>574</v>
      </c>
      <c r="C6" s="107" t="s">
        <v>356</v>
      </c>
      <c r="D6" s="107" t="s">
        <v>353</v>
      </c>
      <c r="E6">
        <v>3662</v>
      </c>
      <c r="F6" s="107" t="s">
        <v>394</v>
      </c>
      <c r="G6" s="107" t="s">
        <v>354</v>
      </c>
      <c r="H6" s="107" t="s">
        <v>365</v>
      </c>
      <c r="I6">
        <v>224</v>
      </c>
    </row>
    <row r="7" spans="1:10">
      <c r="A7" s="107" t="s">
        <v>386</v>
      </c>
      <c r="B7" s="107" t="s">
        <v>351</v>
      </c>
      <c r="C7" s="107" t="s">
        <v>352</v>
      </c>
      <c r="D7" s="107" t="s">
        <v>353</v>
      </c>
      <c r="E7">
        <v>1928</v>
      </c>
      <c r="F7" s="107" t="s">
        <v>387</v>
      </c>
      <c r="G7" s="107" t="s">
        <v>354</v>
      </c>
      <c r="H7" s="107" t="s">
        <v>388</v>
      </c>
      <c r="I7" s="107" t="s">
        <v>389</v>
      </c>
      <c r="J7" s="107" t="s">
        <v>1030</v>
      </c>
    </row>
    <row r="8" spans="1:10">
      <c r="A8" s="107" t="s">
        <v>386</v>
      </c>
      <c r="B8" s="107" t="s">
        <v>351</v>
      </c>
      <c r="C8" s="107" t="s">
        <v>356</v>
      </c>
      <c r="D8" s="107" t="s">
        <v>353</v>
      </c>
      <c r="E8">
        <v>2353</v>
      </c>
      <c r="F8" s="107" t="s">
        <v>390</v>
      </c>
      <c r="G8" s="107" t="s">
        <v>354</v>
      </c>
      <c r="H8" s="107" t="s">
        <v>380</v>
      </c>
      <c r="I8" s="107">
        <v>585</v>
      </c>
      <c r="J8" s="107"/>
    </row>
    <row r="9" spans="1:10">
      <c r="A9" s="107" t="s">
        <v>386</v>
      </c>
      <c r="B9" s="107" t="s">
        <v>351</v>
      </c>
      <c r="C9" s="107" t="s">
        <v>361</v>
      </c>
      <c r="D9" s="107" t="s">
        <v>353</v>
      </c>
      <c r="E9">
        <v>2373</v>
      </c>
      <c r="F9" s="107" t="s">
        <v>391</v>
      </c>
      <c r="G9" s="107" t="s">
        <v>358</v>
      </c>
      <c r="H9" s="107" t="s">
        <v>359</v>
      </c>
      <c r="I9">
        <v>87</v>
      </c>
    </row>
    <row r="10" spans="1:10">
      <c r="A10" s="107" t="s">
        <v>386</v>
      </c>
      <c r="B10" s="107" t="s">
        <v>351</v>
      </c>
      <c r="C10" s="107" t="s">
        <v>356</v>
      </c>
      <c r="D10" s="107" t="s">
        <v>357</v>
      </c>
      <c r="E10">
        <v>3193</v>
      </c>
      <c r="F10" s="107" t="s">
        <v>392</v>
      </c>
      <c r="G10" s="107" t="s">
        <v>354</v>
      </c>
      <c r="H10" s="107" t="s">
        <v>364</v>
      </c>
      <c r="I10">
        <v>223</v>
      </c>
    </row>
    <row r="11" spans="1:10">
      <c r="A11" s="107" t="s">
        <v>386</v>
      </c>
      <c r="B11" s="107" t="s">
        <v>351</v>
      </c>
      <c r="C11" s="107" t="s">
        <v>352</v>
      </c>
      <c r="D11" s="107" t="s">
        <v>353</v>
      </c>
      <c r="E11">
        <v>3657</v>
      </c>
      <c r="F11" s="107" t="s">
        <v>393</v>
      </c>
      <c r="G11" s="107" t="s">
        <v>354</v>
      </c>
      <c r="H11" s="107" t="s">
        <v>365</v>
      </c>
      <c r="I11">
        <v>419</v>
      </c>
    </row>
    <row r="12" spans="1:10">
      <c r="A12" s="107" t="s">
        <v>386</v>
      </c>
      <c r="B12" s="107" t="s">
        <v>351</v>
      </c>
      <c r="C12" s="107" t="s">
        <v>361</v>
      </c>
      <c r="D12" s="107" t="s">
        <v>357</v>
      </c>
      <c r="E12">
        <v>3733</v>
      </c>
      <c r="F12" s="107" t="s">
        <v>395</v>
      </c>
      <c r="G12" s="107" t="s">
        <v>358</v>
      </c>
      <c r="H12" s="107" t="s">
        <v>365</v>
      </c>
      <c r="I12">
        <v>645</v>
      </c>
    </row>
    <row r="13" spans="1:10">
      <c r="A13" s="107" t="s">
        <v>386</v>
      </c>
      <c r="B13" s="107" t="s">
        <v>351</v>
      </c>
      <c r="C13" s="107" t="s">
        <v>356</v>
      </c>
      <c r="D13" s="107" t="s">
        <v>353</v>
      </c>
      <c r="E13">
        <v>3854</v>
      </c>
      <c r="F13" s="107" t="s">
        <v>396</v>
      </c>
      <c r="G13" s="107" t="s">
        <v>354</v>
      </c>
      <c r="H13" s="107" t="s">
        <v>365</v>
      </c>
      <c r="I13">
        <v>397</v>
      </c>
    </row>
    <row r="14" spans="1:10">
      <c r="A14" s="107" t="s">
        <v>386</v>
      </c>
      <c r="B14" s="107" t="s">
        <v>351</v>
      </c>
      <c r="C14" s="107" t="s">
        <v>363</v>
      </c>
      <c r="D14" s="107" t="s">
        <v>353</v>
      </c>
      <c r="E14">
        <v>3903</v>
      </c>
      <c r="F14" s="107" t="s">
        <v>397</v>
      </c>
      <c r="G14" s="107" t="s">
        <v>354</v>
      </c>
      <c r="H14" s="107" t="s">
        <v>365</v>
      </c>
      <c r="I14">
        <v>233</v>
      </c>
    </row>
    <row r="15" spans="1:10">
      <c r="A15" s="107" t="s">
        <v>386</v>
      </c>
      <c r="B15" s="107" t="s">
        <v>351</v>
      </c>
      <c r="C15" s="107" t="s">
        <v>352</v>
      </c>
      <c r="D15" s="107" t="s">
        <v>353</v>
      </c>
      <c r="E15">
        <v>4334</v>
      </c>
      <c r="F15" s="107" t="s">
        <v>398</v>
      </c>
      <c r="G15" s="107" t="s">
        <v>358</v>
      </c>
      <c r="H15" s="107" t="s">
        <v>365</v>
      </c>
      <c r="I15">
        <v>62</v>
      </c>
    </row>
    <row r="16" spans="1:10">
      <c r="A16" s="107" t="s">
        <v>386</v>
      </c>
      <c r="B16" s="107" t="s">
        <v>351</v>
      </c>
      <c r="C16" s="107" t="s">
        <v>363</v>
      </c>
      <c r="D16" s="107" t="s">
        <v>357</v>
      </c>
      <c r="E16">
        <v>4382</v>
      </c>
      <c r="F16" s="107" t="s">
        <v>399</v>
      </c>
      <c r="G16" s="107" t="s">
        <v>366</v>
      </c>
      <c r="H16" s="107" t="s">
        <v>365</v>
      </c>
      <c r="I16" s="107">
        <v>844</v>
      </c>
      <c r="J16" s="107"/>
    </row>
    <row r="17" spans="1:10">
      <c r="A17" s="107" t="s">
        <v>386</v>
      </c>
      <c r="B17" s="107" t="s">
        <v>351</v>
      </c>
      <c r="C17" s="107" t="s">
        <v>356</v>
      </c>
      <c r="D17" s="107" t="s">
        <v>353</v>
      </c>
      <c r="E17">
        <v>6040</v>
      </c>
      <c r="F17" s="107" t="s">
        <v>400</v>
      </c>
      <c r="G17" s="107" t="s">
        <v>366</v>
      </c>
      <c r="H17" s="107" t="s">
        <v>359</v>
      </c>
      <c r="I17" s="107">
        <v>138</v>
      </c>
      <c r="J17" s="107"/>
    </row>
    <row r="18" spans="1:10">
      <c r="A18" s="107" t="s">
        <v>386</v>
      </c>
      <c r="B18" s="107" t="s">
        <v>351</v>
      </c>
      <c r="C18" s="107" t="s">
        <v>361</v>
      </c>
      <c r="D18" s="107" t="s">
        <v>353</v>
      </c>
      <c r="E18">
        <v>6309</v>
      </c>
      <c r="F18" s="107" t="s">
        <v>401</v>
      </c>
      <c r="G18" s="107" t="s">
        <v>354</v>
      </c>
      <c r="H18" s="107" t="s">
        <v>375</v>
      </c>
      <c r="I18">
        <v>238</v>
      </c>
    </row>
    <row r="19" spans="1:10">
      <c r="A19" s="107" t="s">
        <v>386</v>
      </c>
      <c r="B19" s="107" t="s">
        <v>351</v>
      </c>
      <c r="C19" s="107" t="s">
        <v>363</v>
      </c>
      <c r="D19" s="107" t="s">
        <v>353</v>
      </c>
      <c r="E19">
        <v>6656</v>
      </c>
      <c r="F19" s="107" t="s">
        <v>402</v>
      </c>
      <c r="G19" s="107" t="s">
        <v>362</v>
      </c>
      <c r="H19" s="107" t="s">
        <v>379</v>
      </c>
      <c r="I19">
        <v>49</v>
      </c>
    </row>
    <row r="20" spans="1:10">
      <c r="A20" s="107" t="s">
        <v>386</v>
      </c>
      <c r="B20" s="107" t="s">
        <v>351</v>
      </c>
      <c r="C20" s="107" t="s">
        <v>352</v>
      </c>
      <c r="D20" s="107" t="s">
        <v>353</v>
      </c>
      <c r="E20">
        <v>6898</v>
      </c>
      <c r="F20" s="107" t="s">
        <v>403</v>
      </c>
      <c r="G20" s="107" t="s">
        <v>358</v>
      </c>
      <c r="H20" s="107" t="s">
        <v>379</v>
      </c>
      <c r="I20">
        <v>14</v>
      </c>
    </row>
    <row r="21" spans="1:10">
      <c r="A21" s="107" t="s">
        <v>386</v>
      </c>
      <c r="B21" s="107" t="s">
        <v>351</v>
      </c>
      <c r="C21" s="107" t="s">
        <v>361</v>
      </c>
      <c r="D21" s="107" t="s">
        <v>357</v>
      </c>
      <c r="E21">
        <v>7265</v>
      </c>
      <c r="F21" s="107" t="s">
        <v>404</v>
      </c>
      <c r="G21" s="107" t="s">
        <v>358</v>
      </c>
      <c r="H21" s="107" t="s">
        <v>405</v>
      </c>
      <c r="I21" s="107">
        <v>32</v>
      </c>
      <c r="J21" s="107"/>
    </row>
    <row r="22" spans="1:10">
      <c r="A22" s="107" t="s">
        <v>386</v>
      </c>
      <c r="B22" s="107" t="s">
        <v>351</v>
      </c>
      <c r="C22" s="107" t="s">
        <v>361</v>
      </c>
      <c r="D22" s="107" t="s">
        <v>353</v>
      </c>
      <c r="E22">
        <v>7640</v>
      </c>
      <c r="F22" s="107" t="s">
        <v>406</v>
      </c>
      <c r="G22" s="107" t="s">
        <v>354</v>
      </c>
      <c r="H22" s="107" t="s">
        <v>364</v>
      </c>
      <c r="I22" s="107">
        <v>43</v>
      </c>
      <c r="J22" s="107"/>
    </row>
    <row r="23" spans="1:10">
      <c r="A23" s="107" t="s">
        <v>386</v>
      </c>
      <c r="B23" s="107" t="s">
        <v>351</v>
      </c>
      <c r="C23" s="107" t="s">
        <v>352</v>
      </c>
      <c r="D23" s="107" t="s">
        <v>357</v>
      </c>
      <c r="E23">
        <v>7878</v>
      </c>
      <c r="F23" s="107" t="s">
        <v>407</v>
      </c>
      <c r="G23" s="107" t="s">
        <v>358</v>
      </c>
      <c r="H23" s="107" t="s">
        <v>376</v>
      </c>
      <c r="I23">
        <v>10</v>
      </c>
    </row>
    <row r="24" spans="1:10">
      <c r="A24" s="107" t="s">
        <v>386</v>
      </c>
      <c r="B24" s="107" t="s">
        <v>351</v>
      </c>
      <c r="C24" s="107" t="s">
        <v>361</v>
      </c>
      <c r="D24" s="107" t="s">
        <v>353</v>
      </c>
      <c r="E24">
        <v>9678</v>
      </c>
      <c r="F24" s="107" t="s">
        <v>408</v>
      </c>
      <c r="G24" s="107" t="s">
        <v>354</v>
      </c>
      <c r="H24" s="107" t="s">
        <v>359</v>
      </c>
      <c r="I24" s="107" t="s">
        <v>409</v>
      </c>
      <c r="J24" s="107" t="s">
        <v>1011</v>
      </c>
    </row>
    <row r="25" spans="1:10">
      <c r="A25" s="107" t="s">
        <v>386</v>
      </c>
      <c r="B25" s="107" t="s">
        <v>351</v>
      </c>
      <c r="C25" s="107" t="s">
        <v>352</v>
      </c>
      <c r="D25" s="107" t="s">
        <v>357</v>
      </c>
      <c r="E25">
        <v>9734</v>
      </c>
      <c r="F25" s="107" t="s">
        <v>410</v>
      </c>
      <c r="G25" s="107" t="s">
        <v>358</v>
      </c>
      <c r="H25" s="107" t="s">
        <v>359</v>
      </c>
      <c r="I25" s="107">
        <v>30</v>
      </c>
      <c r="J25" s="107"/>
    </row>
    <row r="26" spans="1:10">
      <c r="A26" s="107" t="s">
        <v>386</v>
      </c>
      <c r="B26" s="107" t="s">
        <v>351</v>
      </c>
      <c r="C26" s="107" t="s">
        <v>352</v>
      </c>
      <c r="D26" s="107" t="s">
        <v>353</v>
      </c>
      <c r="E26">
        <v>9743</v>
      </c>
      <c r="F26" s="107" t="s">
        <v>411</v>
      </c>
      <c r="G26" s="107" t="s">
        <v>354</v>
      </c>
      <c r="H26" s="107" t="s">
        <v>359</v>
      </c>
      <c r="I26">
        <v>616</v>
      </c>
    </row>
    <row r="27" spans="1:10">
      <c r="A27" s="107" t="s">
        <v>412</v>
      </c>
      <c r="B27" s="107" t="s">
        <v>413</v>
      </c>
      <c r="C27" s="107" t="s">
        <v>352</v>
      </c>
      <c r="D27" s="107" t="s">
        <v>357</v>
      </c>
      <c r="E27">
        <v>2163</v>
      </c>
      <c r="F27" s="107" t="s">
        <v>414</v>
      </c>
      <c r="G27" s="107" t="s">
        <v>354</v>
      </c>
      <c r="H27" s="107" t="s">
        <v>359</v>
      </c>
      <c r="I27">
        <v>82</v>
      </c>
    </row>
    <row r="28" spans="1:10">
      <c r="A28" s="107" t="s">
        <v>412</v>
      </c>
      <c r="B28" s="107" t="s">
        <v>351</v>
      </c>
      <c r="C28" s="107" t="s">
        <v>361</v>
      </c>
      <c r="D28" s="107" t="s">
        <v>357</v>
      </c>
      <c r="E28">
        <v>2301</v>
      </c>
      <c r="F28" s="107" t="s">
        <v>415</v>
      </c>
      <c r="G28" s="107" t="s">
        <v>354</v>
      </c>
      <c r="H28" s="107" t="s">
        <v>359</v>
      </c>
      <c r="I28">
        <v>248</v>
      </c>
    </row>
    <row r="29" spans="1:10">
      <c r="A29" s="107" t="s">
        <v>412</v>
      </c>
      <c r="B29" s="107" t="s">
        <v>351</v>
      </c>
      <c r="C29" s="107" t="s">
        <v>352</v>
      </c>
      <c r="D29" s="107" t="s">
        <v>353</v>
      </c>
      <c r="E29">
        <v>3071</v>
      </c>
      <c r="F29" s="107" t="s">
        <v>416</v>
      </c>
      <c r="G29" s="107" t="s">
        <v>362</v>
      </c>
      <c r="H29" s="107" t="s">
        <v>364</v>
      </c>
      <c r="I29">
        <v>25</v>
      </c>
    </row>
    <row r="30" spans="1:10">
      <c r="A30" s="107" t="s">
        <v>412</v>
      </c>
      <c r="B30" s="107" t="s">
        <v>351</v>
      </c>
      <c r="C30" s="107" t="s">
        <v>363</v>
      </c>
      <c r="D30" s="107" t="s">
        <v>353</v>
      </c>
      <c r="E30">
        <v>3180</v>
      </c>
      <c r="F30" s="107" t="s">
        <v>417</v>
      </c>
      <c r="G30" s="107" t="s">
        <v>354</v>
      </c>
      <c r="H30" s="107" t="s">
        <v>360</v>
      </c>
      <c r="I30">
        <v>139</v>
      </c>
    </row>
    <row r="31" spans="1:10">
      <c r="A31" s="107" t="s">
        <v>412</v>
      </c>
      <c r="B31" s="107" t="s">
        <v>351</v>
      </c>
      <c r="C31" s="107" t="s">
        <v>361</v>
      </c>
      <c r="D31" s="107" t="s">
        <v>353</v>
      </c>
      <c r="E31">
        <v>3491</v>
      </c>
      <c r="F31" s="107" t="s">
        <v>418</v>
      </c>
      <c r="G31" s="107" t="s">
        <v>366</v>
      </c>
      <c r="H31" s="107" t="s">
        <v>380</v>
      </c>
      <c r="I31">
        <v>397</v>
      </c>
    </row>
    <row r="32" spans="1:10">
      <c r="A32" s="107" t="s">
        <v>412</v>
      </c>
      <c r="B32" s="107" t="s">
        <v>351</v>
      </c>
      <c r="C32" s="107" t="s">
        <v>363</v>
      </c>
      <c r="D32" s="107" t="s">
        <v>353</v>
      </c>
      <c r="E32">
        <v>3524</v>
      </c>
      <c r="F32" s="107" t="s">
        <v>419</v>
      </c>
      <c r="G32" s="107" t="s">
        <v>354</v>
      </c>
      <c r="H32" s="107" t="s">
        <v>420</v>
      </c>
      <c r="I32">
        <v>43</v>
      </c>
    </row>
    <row r="33" spans="1:10">
      <c r="A33" s="107" t="s">
        <v>412</v>
      </c>
      <c r="B33" s="107" t="s">
        <v>351</v>
      </c>
      <c r="C33" s="107" t="s">
        <v>352</v>
      </c>
      <c r="D33" s="107" t="s">
        <v>353</v>
      </c>
      <c r="E33">
        <v>3955</v>
      </c>
      <c r="F33" s="107" t="s">
        <v>421</v>
      </c>
      <c r="G33" s="107" t="s">
        <v>362</v>
      </c>
      <c r="H33" s="107" t="s">
        <v>422</v>
      </c>
      <c r="I33" s="107">
        <v>63</v>
      </c>
      <c r="J33" s="107"/>
    </row>
    <row r="34" spans="1:10">
      <c r="A34" s="107" t="s">
        <v>412</v>
      </c>
      <c r="B34" s="107" t="s">
        <v>351</v>
      </c>
      <c r="C34" s="107" t="s">
        <v>352</v>
      </c>
      <c r="D34" s="107" t="s">
        <v>353</v>
      </c>
      <c r="E34">
        <v>4238</v>
      </c>
      <c r="F34" s="107" t="s">
        <v>423</v>
      </c>
      <c r="G34" s="107" t="s">
        <v>354</v>
      </c>
      <c r="H34" s="107" t="s">
        <v>367</v>
      </c>
      <c r="I34">
        <v>136</v>
      </c>
    </row>
    <row r="35" spans="1:10">
      <c r="A35" s="107" t="s">
        <v>412</v>
      </c>
      <c r="B35" s="107" t="s">
        <v>351</v>
      </c>
      <c r="C35" s="107" t="s">
        <v>363</v>
      </c>
      <c r="D35" s="107" t="s">
        <v>353</v>
      </c>
      <c r="E35">
        <v>6065</v>
      </c>
      <c r="F35" s="107" t="s">
        <v>424</v>
      </c>
      <c r="G35" s="107" t="s">
        <v>354</v>
      </c>
      <c r="H35" s="107" t="s">
        <v>359</v>
      </c>
      <c r="I35">
        <v>93</v>
      </c>
    </row>
    <row r="36" spans="1:10">
      <c r="A36" s="107" t="s">
        <v>412</v>
      </c>
      <c r="B36" s="107" t="s">
        <v>351</v>
      </c>
      <c r="C36" s="107" t="s">
        <v>352</v>
      </c>
      <c r="D36" s="107" t="s">
        <v>353</v>
      </c>
      <c r="E36">
        <v>7196</v>
      </c>
      <c r="F36" s="107" t="s">
        <v>425</v>
      </c>
      <c r="G36" s="107" t="s">
        <v>354</v>
      </c>
      <c r="H36" s="107" t="s">
        <v>426</v>
      </c>
      <c r="I36">
        <v>137</v>
      </c>
    </row>
    <row r="37" spans="1:10">
      <c r="A37" s="107" t="s">
        <v>412</v>
      </c>
      <c r="B37" s="107" t="s">
        <v>351</v>
      </c>
      <c r="C37" s="107" t="s">
        <v>361</v>
      </c>
      <c r="D37" s="107" t="s">
        <v>357</v>
      </c>
      <c r="E37">
        <v>7804</v>
      </c>
      <c r="F37" s="107" t="s">
        <v>427</v>
      </c>
      <c r="G37" s="107" t="s">
        <v>366</v>
      </c>
      <c r="H37" s="107" t="s">
        <v>376</v>
      </c>
      <c r="I37">
        <v>42</v>
      </c>
    </row>
    <row r="38" spans="1:10">
      <c r="A38" s="107" t="s">
        <v>412</v>
      </c>
      <c r="B38" s="107" t="s">
        <v>351</v>
      </c>
      <c r="C38" s="107" t="s">
        <v>361</v>
      </c>
      <c r="D38" s="107" t="s">
        <v>353</v>
      </c>
      <c r="E38">
        <v>7856</v>
      </c>
      <c r="F38" s="107" t="s">
        <v>428</v>
      </c>
      <c r="G38" s="107" t="s">
        <v>354</v>
      </c>
      <c r="H38" s="107" t="s">
        <v>376</v>
      </c>
      <c r="I38">
        <v>243</v>
      </c>
    </row>
    <row r="39" spans="1:10">
      <c r="A39" s="107" t="s">
        <v>412</v>
      </c>
      <c r="B39" s="107" t="s">
        <v>351</v>
      </c>
      <c r="C39" s="107" t="s">
        <v>361</v>
      </c>
      <c r="D39" s="107" t="s">
        <v>353</v>
      </c>
      <c r="E39">
        <v>9824</v>
      </c>
      <c r="F39" s="107" t="s">
        <v>429</v>
      </c>
      <c r="G39" s="107" t="s">
        <v>354</v>
      </c>
      <c r="H39" s="107" t="s">
        <v>360</v>
      </c>
      <c r="I39">
        <v>310</v>
      </c>
    </row>
    <row r="40" spans="1:10">
      <c r="A40" s="107" t="s">
        <v>430</v>
      </c>
      <c r="B40" s="107" t="s">
        <v>351</v>
      </c>
      <c r="C40" s="107" t="s">
        <v>352</v>
      </c>
      <c r="D40" s="107" t="s">
        <v>353</v>
      </c>
      <c r="E40">
        <v>1433</v>
      </c>
      <c r="F40" s="107" t="s">
        <v>431</v>
      </c>
      <c r="G40" s="107" t="s">
        <v>354</v>
      </c>
      <c r="H40" s="107" t="s">
        <v>388</v>
      </c>
      <c r="I40">
        <v>106</v>
      </c>
    </row>
    <row r="41" spans="1:10">
      <c r="A41" s="107" t="s">
        <v>430</v>
      </c>
      <c r="B41" s="107" t="s">
        <v>351</v>
      </c>
      <c r="C41" s="107" t="s">
        <v>356</v>
      </c>
      <c r="D41" s="107" t="s">
        <v>353</v>
      </c>
      <c r="E41">
        <v>1844</v>
      </c>
      <c r="F41" s="107" t="s">
        <v>432</v>
      </c>
      <c r="G41" s="107" t="s">
        <v>362</v>
      </c>
      <c r="H41" s="107" t="s">
        <v>388</v>
      </c>
      <c r="I41">
        <v>32</v>
      </c>
    </row>
    <row r="42" spans="1:10">
      <c r="A42" s="107" t="s">
        <v>430</v>
      </c>
      <c r="B42" s="107" t="s">
        <v>351</v>
      </c>
      <c r="C42" s="107" t="s">
        <v>363</v>
      </c>
      <c r="D42" s="107" t="s">
        <v>357</v>
      </c>
      <c r="E42">
        <v>2438</v>
      </c>
      <c r="F42" s="107" t="s">
        <v>433</v>
      </c>
      <c r="G42" s="107" t="s">
        <v>366</v>
      </c>
      <c r="H42" s="107" t="s">
        <v>359</v>
      </c>
      <c r="I42">
        <v>270</v>
      </c>
    </row>
    <row r="43" spans="1:10">
      <c r="A43" s="107" t="s">
        <v>430</v>
      </c>
      <c r="B43" s="107" t="s">
        <v>351</v>
      </c>
      <c r="C43" s="107" t="s">
        <v>363</v>
      </c>
      <c r="D43" s="107" t="s">
        <v>353</v>
      </c>
      <c r="E43">
        <v>2751</v>
      </c>
      <c r="F43" s="107" t="s">
        <v>434</v>
      </c>
      <c r="G43" s="107" t="s">
        <v>358</v>
      </c>
      <c r="H43" s="107" t="s">
        <v>360</v>
      </c>
      <c r="I43">
        <v>317</v>
      </c>
    </row>
    <row r="44" spans="1:10">
      <c r="A44" s="107" t="s">
        <v>430</v>
      </c>
      <c r="B44" s="107" t="s">
        <v>351</v>
      </c>
      <c r="C44" s="107" t="s">
        <v>363</v>
      </c>
      <c r="D44" s="107" t="s">
        <v>353</v>
      </c>
      <c r="E44">
        <v>2923</v>
      </c>
      <c r="F44" s="107" t="s">
        <v>435</v>
      </c>
      <c r="G44" s="107" t="s">
        <v>362</v>
      </c>
      <c r="H44" s="107" t="s">
        <v>355</v>
      </c>
      <c r="I44">
        <v>183</v>
      </c>
    </row>
    <row r="45" spans="1:10">
      <c r="A45" s="107" t="s">
        <v>430</v>
      </c>
      <c r="B45" s="107" t="s">
        <v>351</v>
      </c>
      <c r="C45" s="107" t="s">
        <v>352</v>
      </c>
      <c r="D45" s="107" t="s">
        <v>353</v>
      </c>
      <c r="E45">
        <v>3070</v>
      </c>
      <c r="F45" s="107" t="s">
        <v>436</v>
      </c>
      <c r="G45" s="107" t="s">
        <v>358</v>
      </c>
      <c r="H45" s="107" t="s">
        <v>360</v>
      </c>
      <c r="I45">
        <v>7</v>
      </c>
    </row>
    <row r="46" spans="1:10">
      <c r="A46" s="107" t="s">
        <v>430</v>
      </c>
      <c r="B46" s="107" t="s">
        <v>351</v>
      </c>
      <c r="C46" s="107" t="s">
        <v>361</v>
      </c>
      <c r="D46" s="107" t="s">
        <v>353</v>
      </c>
      <c r="E46">
        <v>3248</v>
      </c>
      <c r="F46" s="107" t="s">
        <v>437</v>
      </c>
      <c r="G46" s="107" t="s">
        <v>362</v>
      </c>
      <c r="H46" s="107" t="s">
        <v>380</v>
      </c>
      <c r="I46">
        <v>22</v>
      </c>
    </row>
    <row r="47" spans="1:10">
      <c r="A47" s="107" t="s">
        <v>430</v>
      </c>
      <c r="B47" s="107" t="s">
        <v>351</v>
      </c>
      <c r="C47" s="107" t="s">
        <v>352</v>
      </c>
      <c r="D47" s="107" t="s">
        <v>357</v>
      </c>
      <c r="E47">
        <v>3399</v>
      </c>
      <c r="F47" s="107" t="s">
        <v>438</v>
      </c>
      <c r="G47" s="107" t="s">
        <v>358</v>
      </c>
      <c r="H47" s="107" t="s">
        <v>364</v>
      </c>
      <c r="I47">
        <v>47</v>
      </c>
    </row>
    <row r="48" spans="1:10">
      <c r="A48" s="107" t="s">
        <v>430</v>
      </c>
      <c r="B48" s="107" t="s">
        <v>351</v>
      </c>
      <c r="C48" s="107" t="s">
        <v>361</v>
      </c>
      <c r="D48" s="107" t="s">
        <v>353</v>
      </c>
      <c r="E48">
        <v>3475</v>
      </c>
      <c r="F48" s="107" t="s">
        <v>439</v>
      </c>
      <c r="G48" s="107" t="s">
        <v>354</v>
      </c>
      <c r="H48" s="107" t="s">
        <v>380</v>
      </c>
      <c r="I48">
        <v>137</v>
      </c>
    </row>
    <row r="49" spans="1:10">
      <c r="A49" s="107" t="s">
        <v>430</v>
      </c>
      <c r="B49" s="107" t="s">
        <v>351</v>
      </c>
      <c r="C49" s="107" t="s">
        <v>361</v>
      </c>
      <c r="D49" s="107" t="s">
        <v>357</v>
      </c>
      <c r="E49">
        <v>3476</v>
      </c>
      <c r="F49" s="107" t="s">
        <v>440</v>
      </c>
      <c r="G49" s="107" t="s">
        <v>441</v>
      </c>
      <c r="H49" s="107" t="s">
        <v>442</v>
      </c>
      <c r="I49">
        <v>951</v>
      </c>
    </row>
    <row r="50" spans="1:10">
      <c r="A50" s="107" t="s">
        <v>430</v>
      </c>
      <c r="B50" s="107" t="s">
        <v>351</v>
      </c>
      <c r="C50" s="107" t="s">
        <v>356</v>
      </c>
      <c r="D50" s="107" t="s">
        <v>353</v>
      </c>
      <c r="E50">
        <v>3988</v>
      </c>
      <c r="F50" s="107" t="s">
        <v>443</v>
      </c>
      <c r="G50" s="107" t="s">
        <v>358</v>
      </c>
      <c r="H50" s="107" t="s">
        <v>365</v>
      </c>
      <c r="I50" s="107">
        <v>29</v>
      </c>
      <c r="J50" s="107"/>
    </row>
    <row r="51" spans="1:10">
      <c r="A51" s="107" t="s">
        <v>430</v>
      </c>
      <c r="B51" s="107" t="s">
        <v>351</v>
      </c>
      <c r="C51" s="107" t="s">
        <v>361</v>
      </c>
      <c r="D51" s="107" t="s">
        <v>357</v>
      </c>
      <c r="E51">
        <v>4441</v>
      </c>
      <c r="F51" s="107" t="s">
        <v>444</v>
      </c>
      <c r="G51" s="107" t="s">
        <v>366</v>
      </c>
      <c r="H51" s="107" t="s">
        <v>365</v>
      </c>
      <c r="I51" s="107">
        <v>249</v>
      </c>
      <c r="J51" s="107"/>
    </row>
    <row r="52" spans="1:10">
      <c r="A52" s="107" t="s">
        <v>430</v>
      </c>
      <c r="B52" s="107" t="s">
        <v>351</v>
      </c>
      <c r="C52" s="107" t="s">
        <v>356</v>
      </c>
      <c r="D52" s="107" t="s">
        <v>357</v>
      </c>
      <c r="E52">
        <v>6387</v>
      </c>
      <c r="F52" s="107" t="s">
        <v>445</v>
      </c>
      <c r="G52" s="107" t="s">
        <v>354</v>
      </c>
      <c r="H52" s="107" t="s">
        <v>375</v>
      </c>
      <c r="I52">
        <v>96</v>
      </c>
    </row>
    <row r="53" spans="1:10">
      <c r="A53" s="107" t="s">
        <v>430</v>
      </c>
      <c r="B53" s="107" t="s">
        <v>351</v>
      </c>
      <c r="C53" s="107" t="s">
        <v>352</v>
      </c>
      <c r="D53" s="107" t="s">
        <v>353</v>
      </c>
      <c r="E53">
        <v>6696</v>
      </c>
      <c r="F53" s="107" t="s">
        <v>446</v>
      </c>
      <c r="G53" s="107" t="s">
        <v>366</v>
      </c>
      <c r="H53" s="107" t="s">
        <v>379</v>
      </c>
      <c r="I53">
        <v>40</v>
      </c>
    </row>
    <row r="54" spans="1:10">
      <c r="A54" s="107" t="s">
        <v>430</v>
      </c>
      <c r="B54" s="107" t="s">
        <v>351</v>
      </c>
      <c r="C54" s="107" t="s">
        <v>363</v>
      </c>
      <c r="D54" s="107" t="s">
        <v>357</v>
      </c>
      <c r="E54">
        <v>7901</v>
      </c>
      <c r="F54" s="107" t="s">
        <v>447</v>
      </c>
      <c r="G54" s="107" t="s">
        <v>358</v>
      </c>
      <c r="H54" s="107" t="s">
        <v>376</v>
      </c>
      <c r="I54">
        <v>9</v>
      </c>
    </row>
    <row r="55" spans="1:10">
      <c r="A55" s="107" t="s">
        <v>430</v>
      </c>
      <c r="B55" s="107" t="s">
        <v>351</v>
      </c>
      <c r="C55" s="107" t="s">
        <v>352</v>
      </c>
      <c r="D55" s="107" t="s">
        <v>353</v>
      </c>
      <c r="E55">
        <v>8142</v>
      </c>
      <c r="F55" s="107" t="s">
        <v>448</v>
      </c>
      <c r="G55" s="107" t="s">
        <v>354</v>
      </c>
      <c r="H55" s="107" t="s">
        <v>360</v>
      </c>
      <c r="I55">
        <v>206</v>
      </c>
    </row>
    <row r="56" spans="1:10">
      <c r="A56" s="107" t="s">
        <v>430</v>
      </c>
      <c r="B56" s="107" t="s">
        <v>351</v>
      </c>
      <c r="C56" s="107" t="s">
        <v>356</v>
      </c>
      <c r="D56" s="107" t="s">
        <v>357</v>
      </c>
      <c r="E56">
        <v>9262</v>
      </c>
      <c r="F56" s="107" t="s">
        <v>449</v>
      </c>
      <c r="G56" s="107" t="s">
        <v>366</v>
      </c>
      <c r="H56" s="107" t="s">
        <v>364</v>
      </c>
      <c r="I56">
        <v>323</v>
      </c>
    </row>
    <row r="57" spans="1:10">
      <c r="A57" s="107" t="s">
        <v>430</v>
      </c>
      <c r="B57" s="107" t="s">
        <v>351</v>
      </c>
      <c r="C57" s="107" t="s">
        <v>352</v>
      </c>
      <c r="D57" s="107" t="s">
        <v>357</v>
      </c>
      <c r="E57">
        <v>9636</v>
      </c>
      <c r="F57" s="107" t="s">
        <v>450</v>
      </c>
      <c r="G57" s="107" t="s">
        <v>362</v>
      </c>
      <c r="H57" s="107" t="s">
        <v>359</v>
      </c>
      <c r="I57">
        <v>97</v>
      </c>
    </row>
    <row r="58" spans="1:10">
      <c r="A58" s="107" t="s">
        <v>430</v>
      </c>
      <c r="B58" s="107" t="s">
        <v>351</v>
      </c>
      <c r="C58" s="107" t="s">
        <v>352</v>
      </c>
      <c r="D58" s="107" t="s">
        <v>353</v>
      </c>
      <c r="E58">
        <v>9692</v>
      </c>
      <c r="F58" s="107" t="s">
        <v>451</v>
      </c>
      <c r="G58" s="107" t="s">
        <v>354</v>
      </c>
      <c r="H58" s="107" t="s">
        <v>365</v>
      </c>
      <c r="I58">
        <v>859</v>
      </c>
    </row>
    <row r="59" spans="1:10">
      <c r="A59" s="107" t="s">
        <v>452</v>
      </c>
      <c r="B59" s="107" t="s">
        <v>351</v>
      </c>
      <c r="C59" s="107" t="s">
        <v>352</v>
      </c>
      <c r="D59" s="107" t="s">
        <v>357</v>
      </c>
      <c r="E59">
        <v>1758</v>
      </c>
      <c r="F59" s="107" t="s">
        <v>453</v>
      </c>
      <c r="G59" s="107" t="s">
        <v>358</v>
      </c>
      <c r="H59" s="107" t="s">
        <v>388</v>
      </c>
      <c r="I59">
        <v>44</v>
      </c>
    </row>
    <row r="60" spans="1:10">
      <c r="A60" s="107" t="s">
        <v>452</v>
      </c>
      <c r="B60" s="107" t="s">
        <v>351</v>
      </c>
      <c r="C60" s="107" t="s">
        <v>363</v>
      </c>
      <c r="D60" s="107" t="s">
        <v>353</v>
      </c>
      <c r="E60">
        <v>3134</v>
      </c>
      <c r="F60" s="107" t="s">
        <v>454</v>
      </c>
      <c r="G60" s="107" t="s">
        <v>354</v>
      </c>
      <c r="H60" s="107" t="s">
        <v>364</v>
      </c>
      <c r="I60">
        <v>215</v>
      </c>
    </row>
    <row r="61" spans="1:10">
      <c r="A61" s="107" t="s">
        <v>452</v>
      </c>
      <c r="B61" s="107" t="s">
        <v>351</v>
      </c>
      <c r="C61" s="107" t="s">
        <v>363</v>
      </c>
      <c r="D61" s="107" t="s">
        <v>353</v>
      </c>
      <c r="E61">
        <v>3161</v>
      </c>
      <c r="F61" s="107" t="s">
        <v>455</v>
      </c>
      <c r="G61" s="107" t="s">
        <v>362</v>
      </c>
      <c r="H61" s="107" t="s">
        <v>360</v>
      </c>
      <c r="I61">
        <v>36</v>
      </c>
    </row>
    <row r="62" spans="1:10">
      <c r="A62" s="107" t="s">
        <v>452</v>
      </c>
      <c r="B62" s="107" t="s">
        <v>351</v>
      </c>
      <c r="C62" s="107" t="s">
        <v>352</v>
      </c>
      <c r="D62" s="107" t="s">
        <v>353</v>
      </c>
      <c r="E62">
        <v>3320</v>
      </c>
      <c r="F62" s="107" t="s">
        <v>456</v>
      </c>
      <c r="G62" s="107" t="s">
        <v>362</v>
      </c>
      <c r="H62" s="107" t="s">
        <v>360</v>
      </c>
      <c r="I62">
        <v>57</v>
      </c>
    </row>
    <row r="63" spans="1:10">
      <c r="A63" s="107" t="s">
        <v>452</v>
      </c>
      <c r="B63" s="107" t="s">
        <v>351</v>
      </c>
      <c r="C63" s="107" t="s">
        <v>363</v>
      </c>
      <c r="D63" s="107" t="s">
        <v>353</v>
      </c>
      <c r="E63">
        <v>3444</v>
      </c>
      <c r="F63" s="107" t="s">
        <v>457</v>
      </c>
      <c r="G63" s="107" t="s">
        <v>358</v>
      </c>
      <c r="H63" s="107" t="s">
        <v>369</v>
      </c>
      <c r="I63">
        <v>96</v>
      </c>
    </row>
    <row r="64" spans="1:10">
      <c r="A64" s="107" t="s">
        <v>452</v>
      </c>
      <c r="B64" s="107" t="s">
        <v>351</v>
      </c>
      <c r="C64" s="107" t="s">
        <v>356</v>
      </c>
      <c r="D64" s="107" t="s">
        <v>353</v>
      </c>
      <c r="E64">
        <v>3458</v>
      </c>
      <c r="F64" s="107" t="s">
        <v>458</v>
      </c>
      <c r="G64" s="107" t="s">
        <v>354</v>
      </c>
      <c r="H64" s="107" t="s">
        <v>380</v>
      </c>
      <c r="I64">
        <v>278</v>
      </c>
    </row>
    <row r="65" spans="1:10">
      <c r="A65" s="107" t="s">
        <v>452</v>
      </c>
      <c r="B65" s="107" t="s">
        <v>351</v>
      </c>
      <c r="C65" s="107" t="s">
        <v>356</v>
      </c>
      <c r="D65" s="107" t="s">
        <v>353</v>
      </c>
      <c r="E65">
        <v>3539</v>
      </c>
      <c r="F65" s="107" t="s">
        <v>459</v>
      </c>
      <c r="G65" s="107" t="s">
        <v>354</v>
      </c>
      <c r="H65" s="107" t="s">
        <v>364</v>
      </c>
      <c r="I65">
        <v>580</v>
      </c>
    </row>
    <row r="66" spans="1:10">
      <c r="A66" s="107" t="s">
        <v>452</v>
      </c>
      <c r="B66" s="107" t="s">
        <v>351</v>
      </c>
      <c r="C66" s="107" t="s">
        <v>352</v>
      </c>
      <c r="D66" s="107" t="s">
        <v>357</v>
      </c>
      <c r="E66">
        <v>3565</v>
      </c>
      <c r="F66" s="107" t="s">
        <v>460</v>
      </c>
      <c r="G66" s="107" t="s">
        <v>354</v>
      </c>
      <c r="H66" s="107" t="s">
        <v>360</v>
      </c>
      <c r="I66">
        <v>131</v>
      </c>
    </row>
    <row r="67" spans="1:10">
      <c r="A67" s="107" t="s">
        <v>452</v>
      </c>
      <c r="B67" s="107" t="s">
        <v>351</v>
      </c>
      <c r="C67" s="107" t="s">
        <v>363</v>
      </c>
      <c r="D67" s="107" t="s">
        <v>357</v>
      </c>
      <c r="E67">
        <v>4026</v>
      </c>
      <c r="F67" s="107" t="s">
        <v>461</v>
      </c>
      <c r="G67" s="107" t="s">
        <v>362</v>
      </c>
      <c r="H67" s="107" t="s">
        <v>462</v>
      </c>
      <c r="I67">
        <v>78</v>
      </c>
    </row>
    <row r="68" spans="1:10">
      <c r="A68" s="107" t="s">
        <v>452</v>
      </c>
      <c r="B68" s="107" t="s">
        <v>351</v>
      </c>
      <c r="C68" s="107" t="s">
        <v>352</v>
      </c>
      <c r="D68" s="107" t="s">
        <v>357</v>
      </c>
      <c r="E68">
        <v>7064</v>
      </c>
      <c r="F68" s="107" t="s">
        <v>463</v>
      </c>
      <c r="G68" s="107" t="s">
        <v>366</v>
      </c>
      <c r="H68" s="107" t="s">
        <v>359</v>
      </c>
      <c r="I68">
        <v>37</v>
      </c>
    </row>
    <row r="69" spans="1:10">
      <c r="A69" s="107" t="s">
        <v>464</v>
      </c>
      <c r="B69" s="107" t="s">
        <v>351</v>
      </c>
      <c r="C69" s="107" t="s">
        <v>361</v>
      </c>
      <c r="D69" s="107" t="s">
        <v>353</v>
      </c>
      <c r="E69">
        <v>2695</v>
      </c>
      <c r="F69" s="107" t="s">
        <v>465</v>
      </c>
      <c r="G69" s="107" t="s">
        <v>354</v>
      </c>
      <c r="H69" s="107" t="s">
        <v>364</v>
      </c>
      <c r="I69" s="107" t="s">
        <v>409</v>
      </c>
      <c r="J69" s="107" t="s">
        <v>1031</v>
      </c>
    </row>
    <row r="70" spans="1:10">
      <c r="A70" s="107" t="s">
        <v>464</v>
      </c>
      <c r="B70" s="107" t="s">
        <v>351</v>
      </c>
      <c r="C70" s="107" t="s">
        <v>363</v>
      </c>
      <c r="D70" s="107" t="s">
        <v>357</v>
      </c>
      <c r="E70">
        <v>3075</v>
      </c>
      <c r="F70" s="107" t="s">
        <v>466</v>
      </c>
      <c r="G70" s="107" t="s">
        <v>358</v>
      </c>
      <c r="H70" s="107" t="s">
        <v>364</v>
      </c>
      <c r="I70" s="107">
        <v>184</v>
      </c>
      <c r="J70" s="107"/>
    </row>
    <row r="71" spans="1:10">
      <c r="A71" s="107" t="s">
        <v>464</v>
      </c>
      <c r="B71" s="107" t="s">
        <v>351</v>
      </c>
      <c r="C71" s="107" t="s">
        <v>352</v>
      </c>
      <c r="D71" s="107" t="s">
        <v>353</v>
      </c>
      <c r="E71">
        <v>3169</v>
      </c>
      <c r="F71" s="107" t="s">
        <v>467</v>
      </c>
      <c r="G71" s="107" t="s">
        <v>354</v>
      </c>
      <c r="H71" s="107" t="s">
        <v>364</v>
      </c>
      <c r="I71">
        <v>60</v>
      </c>
    </row>
    <row r="72" spans="1:10">
      <c r="A72" s="107" t="s">
        <v>464</v>
      </c>
      <c r="B72" s="107" t="s">
        <v>351</v>
      </c>
      <c r="C72" s="107" t="s">
        <v>363</v>
      </c>
      <c r="D72" s="107" t="s">
        <v>353</v>
      </c>
      <c r="E72">
        <v>3361</v>
      </c>
      <c r="F72" s="107" t="s">
        <v>468</v>
      </c>
      <c r="G72" s="107" t="s">
        <v>354</v>
      </c>
      <c r="H72" s="107" t="s">
        <v>364</v>
      </c>
      <c r="I72">
        <v>158</v>
      </c>
    </row>
    <row r="73" spans="1:10">
      <c r="A73" s="107" t="s">
        <v>464</v>
      </c>
      <c r="B73" s="107" t="s">
        <v>351</v>
      </c>
      <c r="C73" s="107" t="s">
        <v>356</v>
      </c>
      <c r="D73" s="107" t="s">
        <v>353</v>
      </c>
      <c r="E73">
        <v>3418</v>
      </c>
      <c r="F73" s="107" t="s">
        <v>469</v>
      </c>
      <c r="G73" s="107" t="s">
        <v>366</v>
      </c>
      <c r="H73" s="107" t="s">
        <v>364</v>
      </c>
      <c r="I73">
        <v>109</v>
      </c>
    </row>
    <row r="74" spans="1:10">
      <c r="A74" s="107" t="s">
        <v>464</v>
      </c>
      <c r="B74" s="107" t="s">
        <v>351</v>
      </c>
      <c r="C74" s="107" t="s">
        <v>363</v>
      </c>
      <c r="D74" s="107" t="s">
        <v>353</v>
      </c>
      <c r="E74">
        <v>3549</v>
      </c>
      <c r="F74" s="107" t="s">
        <v>470</v>
      </c>
      <c r="G74" s="107" t="s">
        <v>354</v>
      </c>
      <c r="H74" s="107" t="s">
        <v>364</v>
      </c>
      <c r="I74" s="107" t="s">
        <v>377</v>
      </c>
      <c r="J74" s="107" t="s">
        <v>1032</v>
      </c>
    </row>
    <row r="75" spans="1:10">
      <c r="A75" s="107" t="s">
        <v>464</v>
      </c>
      <c r="B75" s="107" t="s">
        <v>351</v>
      </c>
      <c r="C75" s="107" t="s">
        <v>361</v>
      </c>
      <c r="D75" s="107" t="s">
        <v>353</v>
      </c>
      <c r="E75">
        <v>3974</v>
      </c>
      <c r="F75" s="107" t="s">
        <v>471</v>
      </c>
      <c r="G75" s="107" t="s">
        <v>358</v>
      </c>
      <c r="H75" s="107" t="s">
        <v>365</v>
      </c>
      <c r="I75" s="107">
        <v>24</v>
      </c>
      <c r="J75" s="107"/>
    </row>
    <row r="76" spans="1:10">
      <c r="A76" s="107" t="s">
        <v>464</v>
      </c>
      <c r="B76" s="107" t="s">
        <v>351</v>
      </c>
      <c r="C76" s="107" t="s">
        <v>361</v>
      </c>
      <c r="D76" s="107" t="s">
        <v>353</v>
      </c>
      <c r="E76">
        <v>3976</v>
      </c>
      <c r="F76" s="107" t="s">
        <v>472</v>
      </c>
      <c r="G76" s="107" t="s">
        <v>366</v>
      </c>
      <c r="H76" s="107" t="s">
        <v>365</v>
      </c>
      <c r="I76">
        <v>20</v>
      </c>
    </row>
    <row r="77" spans="1:10">
      <c r="A77" s="107" t="s">
        <v>464</v>
      </c>
      <c r="B77" s="107" t="s">
        <v>351</v>
      </c>
      <c r="C77" s="107" t="s">
        <v>356</v>
      </c>
      <c r="D77" s="107" t="s">
        <v>357</v>
      </c>
      <c r="E77">
        <v>4384</v>
      </c>
      <c r="F77" s="107" t="s">
        <v>473</v>
      </c>
      <c r="G77" s="107" t="s">
        <v>354</v>
      </c>
      <c r="H77" s="107" t="s">
        <v>365</v>
      </c>
      <c r="I77">
        <v>989</v>
      </c>
    </row>
    <row r="78" spans="1:10">
      <c r="A78" s="107" t="s">
        <v>464</v>
      </c>
      <c r="B78" s="107" t="s">
        <v>351</v>
      </c>
      <c r="C78" s="107" t="s">
        <v>356</v>
      </c>
      <c r="D78" s="107" t="s">
        <v>353</v>
      </c>
      <c r="E78">
        <v>4422</v>
      </c>
      <c r="F78" s="107" t="s">
        <v>474</v>
      </c>
      <c r="G78" s="107" t="s">
        <v>366</v>
      </c>
      <c r="H78" s="107" t="s">
        <v>365</v>
      </c>
      <c r="I78">
        <v>64</v>
      </c>
    </row>
    <row r="79" spans="1:10">
      <c r="A79" s="107" t="s">
        <v>464</v>
      </c>
      <c r="B79" s="107" t="s">
        <v>351</v>
      </c>
      <c r="C79" s="107" t="s">
        <v>361</v>
      </c>
      <c r="D79" s="107" t="s">
        <v>357</v>
      </c>
      <c r="E79">
        <v>4880</v>
      </c>
      <c r="F79" s="107" t="s">
        <v>475</v>
      </c>
      <c r="G79" s="107" t="s">
        <v>366</v>
      </c>
      <c r="H79" s="107" t="s">
        <v>476</v>
      </c>
      <c r="I79">
        <v>230</v>
      </c>
    </row>
    <row r="80" spans="1:10">
      <c r="A80" s="107" t="s">
        <v>464</v>
      </c>
      <c r="B80" s="107" t="s">
        <v>351</v>
      </c>
      <c r="C80" s="107" t="s">
        <v>361</v>
      </c>
      <c r="D80" s="107" t="s">
        <v>353</v>
      </c>
      <c r="E80">
        <v>5218</v>
      </c>
      <c r="F80" s="107" t="s">
        <v>477</v>
      </c>
      <c r="G80" s="107" t="s">
        <v>354</v>
      </c>
      <c r="H80" s="107" t="s">
        <v>462</v>
      </c>
      <c r="I80">
        <v>371</v>
      </c>
    </row>
    <row r="81" spans="1:10">
      <c r="A81" s="107" t="s">
        <v>464</v>
      </c>
      <c r="B81" s="107" t="s">
        <v>351</v>
      </c>
      <c r="C81" s="107" t="s">
        <v>356</v>
      </c>
      <c r="D81" s="107" t="s">
        <v>357</v>
      </c>
      <c r="E81">
        <v>6037</v>
      </c>
      <c r="F81" s="107" t="s">
        <v>478</v>
      </c>
      <c r="G81" s="107" t="s">
        <v>354</v>
      </c>
      <c r="H81" s="107" t="s">
        <v>359</v>
      </c>
      <c r="I81">
        <v>73</v>
      </c>
    </row>
    <row r="82" spans="1:10">
      <c r="A82" s="107" t="s">
        <v>464</v>
      </c>
      <c r="B82" s="107" t="s">
        <v>351</v>
      </c>
      <c r="C82" s="107" t="s">
        <v>352</v>
      </c>
      <c r="D82" s="107" t="s">
        <v>353</v>
      </c>
      <c r="E82">
        <v>6184</v>
      </c>
      <c r="F82" s="107" t="s">
        <v>479</v>
      </c>
      <c r="G82" s="107" t="s">
        <v>354</v>
      </c>
      <c r="H82" s="107" t="s">
        <v>359</v>
      </c>
      <c r="I82">
        <v>793</v>
      </c>
    </row>
    <row r="83" spans="1:10">
      <c r="A83" s="107" t="s">
        <v>464</v>
      </c>
      <c r="B83" s="107" t="s">
        <v>351</v>
      </c>
      <c r="C83" s="107" t="s">
        <v>352</v>
      </c>
      <c r="D83" s="107" t="s">
        <v>353</v>
      </c>
      <c r="E83">
        <v>6336</v>
      </c>
      <c r="F83" s="107" t="s">
        <v>480</v>
      </c>
      <c r="G83" s="107" t="s">
        <v>362</v>
      </c>
      <c r="H83" s="107" t="s">
        <v>375</v>
      </c>
      <c r="I83">
        <v>65</v>
      </c>
    </row>
    <row r="84" spans="1:10">
      <c r="A84" s="107" t="s">
        <v>464</v>
      </c>
      <c r="B84" s="107" t="s">
        <v>351</v>
      </c>
      <c r="C84" s="107" t="s">
        <v>356</v>
      </c>
      <c r="D84" s="107" t="s">
        <v>353</v>
      </c>
      <c r="E84">
        <v>6535</v>
      </c>
      <c r="F84" s="107" t="s">
        <v>481</v>
      </c>
      <c r="G84" s="107" t="s">
        <v>354</v>
      </c>
      <c r="H84" s="107" t="s">
        <v>359</v>
      </c>
      <c r="I84">
        <v>173</v>
      </c>
    </row>
    <row r="85" spans="1:10">
      <c r="A85" s="107" t="s">
        <v>464</v>
      </c>
      <c r="B85" s="107" t="s">
        <v>351</v>
      </c>
      <c r="C85" s="107" t="s">
        <v>352</v>
      </c>
      <c r="D85" s="107" t="s">
        <v>353</v>
      </c>
      <c r="E85">
        <v>6966</v>
      </c>
      <c r="F85" s="107" t="s">
        <v>482</v>
      </c>
      <c r="G85" s="107" t="s">
        <v>354</v>
      </c>
      <c r="H85" s="107" t="s">
        <v>379</v>
      </c>
      <c r="I85">
        <v>814</v>
      </c>
    </row>
    <row r="86" spans="1:10">
      <c r="A86" s="107" t="s">
        <v>464</v>
      </c>
      <c r="B86" s="107" t="s">
        <v>351</v>
      </c>
      <c r="C86" s="107" t="s">
        <v>363</v>
      </c>
      <c r="D86" s="107" t="s">
        <v>353</v>
      </c>
      <c r="E86">
        <v>7050</v>
      </c>
      <c r="F86" s="107" t="s">
        <v>483</v>
      </c>
      <c r="G86" s="107" t="s">
        <v>366</v>
      </c>
      <c r="H86" s="107" t="s">
        <v>359</v>
      </c>
      <c r="I86">
        <v>106</v>
      </c>
    </row>
    <row r="87" spans="1:10">
      <c r="A87" s="107" t="s">
        <v>464</v>
      </c>
      <c r="B87" s="107" t="s">
        <v>351</v>
      </c>
      <c r="C87" s="107" t="s">
        <v>352</v>
      </c>
      <c r="D87" s="107" t="s">
        <v>353</v>
      </c>
      <c r="E87">
        <v>7614</v>
      </c>
      <c r="F87" s="107" t="s">
        <v>484</v>
      </c>
      <c r="G87" s="107" t="s">
        <v>358</v>
      </c>
      <c r="H87" s="107" t="s">
        <v>364</v>
      </c>
      <c r="I87">
        <v>87</v>
      </c>
    </row>
    <row r="88" spans="1:10">
      <c r="A88" s="107" t="s">
        <v>464</v>
      </c>
      <c r="B88" s="107" t="s">
        <v>351</v>
      </c>
      <c r="C88" s="107" t="s">
        <v>363</v>
      </c>
      <c r="D88" s="107" t="s">
        <v>353</v>
      </c>
      <c r="E88">
        <v>7623</v>
      </c>
      <c r="F88" s="107" t="s">
        <v>485</v>
      </c>
      <c r="G88" s="107" t="s">
        <v>358</v>
      </c>
      <c r="H88" s="107" t="s">
        <v>364</v>
      </c>
      <c r="I88">
        <v>11</v>
      </c>
    </row>
    <row r="89" spans="1:10">
      <c r="A89" s="107" t="s">
        <v>464</v>
      </c>
      <c r="B89" s="107" t="s">
        <v>351</v>
      </c>
      <c r="C89" s="107" t="s">
        <v>361</v>
      </c>
      <c r="D89" s="107" t="s">
        <v>353</v>
      </c>
      <c r="E89">
        <v>8077</v>
      </c>
      <c r="F89" s="107" t="s">
        <v>486</v>
      </c>
      <c r="G89" s="107" t="s">
        <v>354</v>
      </c>
      <c r="H89" s="107" t="s">
        <v>360</v>
      </c>
      <c r="I89">
        <v>83</v>
      </c>
    </row>
    <row r="90" spans="1:10">
      <c r="A90" s="107" t="s">
        <v>464</v>
      </c>
      <c r="B90" s="107" t="s">
        <v>351</v>
      </c>
      <c r="C90" s="107" t="s">
        <v>361</v>
      </c>
      <c r="D90" s="107" t="s">
        <v>357</v>
      </c>
      <c r="E90">
        <v>8894</v>
      </c>
      <c r="F90" s="107" t="s">
        <v>487</v>
      </c>
      <c r="G90" s="107" t="s">
        <v>362</v>
      </c>
      <c r="H90" s="107" t="s">
        <v>380</v>
      </c>
      <c r="I90">
        <v>85</v>
      </c>
    </row>
    <row r="91" spans="1:10">
      <c r="A91" s="107" t="s">
        <v>464</v>
      </c>
      <c r="B91" s="107" t="s">
        <v>351</v>
      </c>
      <c r="C91" s="107" t="s">
        <v>363</v>
      </c>
      <c r="D91" s="107" t="s">
        <v>357</v>
      </c>
      <c r="E91">
        <v>9425</v>
      </c>
      <c r="F91" s="107" t="s">
        <v>488</v>
      </c>
      <c r="G91" s="107" t="s">
        <v>358</v>
      </c>
      <c r="H91" s="107" t="s">
        <v>365</v>
      </c>
      <c r="I91">
        <v>18</v>
      </c>
    </row>
    <row r="92" spans="1:10">
      <c r="A92" s="107" t="s">
        <v>464</v>
      </c>
      <c r="B92" s="107" t="s">
        <v>351</v>
      </c>
      <c r="C92" s="107" t="s">
        <v>361</v>
      </c>
      <c r="D92" s="107" t="s">
        <v>353</v>
      </c>
      <c r="E92">
        <v>9603</v>
      </c>
      <c r="F92" s="107" t="s">
        <v>489</v>
      </c>
      <c r="G92" s="107" t="s">
        <v>354</v>
      </c>
      <c r="H92" s="107" t="s">
        <v>359</v>
      </c>
      <c r="I92" s="107" t="s">
        <v>377</v>
      </c>
      <c r="J92" s="107" t="s">
        <v>1033</v>
      </c>
    </row>
    <row r="93" spans="1:10">
      <c r="A93" s="107" t="s">
        <v>464</v>
      </c>
      <c r="B93" s="107" t="s">
        <v>351</v>
      </c>
      <c r="C93" s="107" t="s">
        <v>352</v>
      </c>
      <c r="D93" s="107" t="s">
        <v>353</v>
      </c>
      <c r="E93">
        <v>9681</v>
      </c>
      <c r="F93" s="107" t="s">
        <v>490</v>
      </c>
      <c r="G93" s="107" t="s">
        <v>354</v>
      </c>
      <c r="H93" s="107" t="s">
        <v>359</v>
      </c>
      <c r="I93" s="107">
        <v>980</v>
      </c>
      <c r="J93" s="107"/>
    </row>
    <row r="94" spans="1:10">
      <c r="A94" s="107" t="s">
        <v>491</v>
      </c>
      <c r="B94" s="107" t="s">
        <v>378</v>
      </c>
      <c r="C94" s="107" t="s">
        <v>352</v>
      </c>
      <c r="D94" s="107" t="s">
        <v>357</v>
      </c>
      <c r="E94">
        <v>4380</v>
      </c>
      <c r="F94" s="107" t="s">
        <v>492</v>
      </c>
      <c r="G94" s="107" t="s">
        <v>366</v>
      </c>
      <c r="H94" s="107" t="s">
        <v>365</v>
      </c>
      <c r="I94">
        <v>40</v>
      </c>
    </row>
    <row r="95" spans="1:10">
      <c r="A95" s="107" t="s">
        <v>491</v>
      </c>
      <c r="B95" s="107" t="s">
        <v>351</v>
      </c>
      <c r="C95" s="107" t="s">
        <v>361</v>
      </c>
      <c r="D95" s="107" t="s">
        <v>353</v>
      </c>
      <c r="E95">
        <v>1383</v>
      </c>
      <c r="F95" s="107" t="s">
        <v>493</v>
      </c>
      <c r="G95" s="107" t="s">
        <v>358</v>
      </c>
      <c r="H95" s="107" t="s">
        <v>494</v>
      </c>
      <c r="I95" s="107">
        <v>31</v>
      </c>
      <c r="J95" s="107"/>
    </row>
    <row r="96" spans="1:10">
      <c r="A96" s="107" t="s">
        <v>491</v>
      </c>
      <c r="B96" s="107" t="s">
        <v>351</v>
      </c>
      <c r="C96" s="107" t="s">
        <v>363</v>
      </c>
      <c r="D96" s="107" t="s">
        <v>357</v>
      </c>
      <c r="E96">
        <v>1436</v>
      </c>
      <c r="F96" s="107" t="s">
        <v>495</v>
      </c>
      <c r="G96" s="107" t="s">
        <v>366</v>
      </c>
      <c r="H96" s="107" t="s">
        <v>388</v>
      </c>
      <c r="I96">
        <v>24</v>
      </c>
    </row>
    <row r="97" spans="1:10">
      <c r="A97" s="107" t="s">
        <v>491</v>
      </c>
      <c r="B97" s="107" t="s">
        <v>351</v>
      </c>
      <c r="C97" s="107" t="s">
        <v>361</v>
      </c>
      <c r="D97" s="107" t="s">
        <v>353</v>
      </c>
      <c r="E97">
        <v>1840</v>
      </c>
      <c r="F97" s="107" t="s">
        <v>496</v>
      </c>
      <c r="G97" s="107" t="s">
        <v>362</v>
      </c>
      <c r="H97" s="107" t="s">
        <v>388</v>
      </c>
      <c r="I97">
        <v>63</v>
      </c>
    </row>
    <row r="98" spans="1:10">
      <c r="A98" s="107" t="s">
        <v>491</v>
      </c>
      <c r="B98" s="107" t="s">
        <v>351</v>
      </c>
      <c r="C98" s="107" t="s">
        <v>361</v>
      </c>
      <c r="D98" s="107" t="s">
        <v>353</v>
      </c>
      <c r="E98">
        <v>1873</v>
      </c>
      <c r="F98" s="107" t="s">
        <v>497</v>
      </c>
      <c r="G98" s="107" t="s">
        <v>354</v>
      </c>
      <c r="H98" s="107" t="s">
        <v>388</v>
      </c>
      <c r="I98">
        <v>222</v>
      </c>
    </row>
    <row r="99" spans="1:10">
      <c r="A99" s="107" t="s">
        <v>491</v>
      </c>
      <c r="B99" s="107" t="s">
        <v>351</v>
      </c>
      <c r="C99" s="107" t="s">
        <v>363</v>
      </c>
      <c r="D99" s="107" t="s">
        <v>353</v>
      </c>
      <c r="E99">
        <v>2159</v>
      </c>
      <c r="F99" s="107" t="s">
        <v>498</v>
      </c>
      <c r="G99" s="107" t="s">
        <v>362</v>
      </c>
      <c r="H99" s="107" t="s">
        <v>359</v>
      </c>
      <c r="I99">
        <v>82</v>
      </c>
    </row>
    <row r="100" spans="1:10">
      <c r="A100" s="107" t="s">
        <v>491</v>
      </c>
      <c r="B100" s="107" t="s">
        <v>351</v>
      </c>
      <c r="C100" s="107" t="s">
        <v>361</v>
      </c>
      <c r="D100" s="107" t="s">
        <v>353</v>
      </c>
      <c r="E100">
        <v>2198</v>
      </c>
      <c r="F100" s="107" t="s">
        <v>499</v>
      </c>
      <c r="G100" s="107" t="s">
        <v>354</v>
      </c>
      <c r="H100" s="107" t="s">
        <v>359</v>
      </c>
      <c r="I100" s="107">
        <v>215</v>
      </c>
      <c r="J100" s="107"/>
    </row>
    <row r="101" spans="1:10">
      <c r="A101" s="107" t="s">
        <v>491</v>
      </c>
      <c r="B101" s="107" t="s">
        <v>351</v>
      </c>
      <c r="C101" s="107" t="s">
        <v>361</v>
      </c>
      <c r="D101" s="107" t="s">
        <v>357</v>
      </c>
      <c r="E101">
        <v>2345</v>
      </c>
      <c r="F101" s="107" t="s">
        <v>500</v>
      </c>
      <c r="G101" s="107" t="s">
        <v>362</v>
      </c>
      <c r="H101" s="107" t="s">
        <v>365</v>
      </c>
      <c r="I101" s="107">
        <v>35</v>
      </c>
      <c r="J101" s="107"/>
    </row>
    <row r="102" spans="1:10">
      <c r="A102" s="107" t="s">
        <v>491</v>
      </c>
      <c r="B102" s="107" t="s">
        <v>351</v>
      </c>
      <c r="C102" s="107" t="s">
        <v>356</v>
      </c>
      <c r="D102" s="107" t="s">
        <v>357</v>
      </c>
      <c r="E102">
        <v>2424</v>
      </c>
      <c r="F102" s="107" t="s">
        <v>501</v>
      </c>
      <c r="G102" s="107" t="s">
        <v>354</v>
      </c>
      <c r="H102" s="107" t="s">
        <v>359</v>
      </c>
      <c r="I102">
        <v>43</v>
      </c>
    </row>
    <row r="103" spans="1:10">
      <c r="A103" s="107" t="s">
        <v>491</v>
      </c>
      <c r="B103" s="107" t="s">
        <v>351</v>
      </c>
      <c r="C103" s="107" t="s">
        <v>352</v>
      </c>
      <c r="D103" s="107" t="s">
        <v>353</v>
      </c>
      <c r="E103">
        <v>2776</v>
      </c>
      <c r="F103" s="107" t="s">
        <v>502</v>
      </c>
      <c r="G103" s="107" t="s">
        <v>358</v>
      </c>
      <c r="H103" s="107" t="s">
        <v>360</v>
      </c>
      <c r="I103" s="107">
        <v>20</v>
      </c>
      <c r="J103" s="107"/>
    </row>
    <row r="104" spans="1:10">
      <c r="A104" s="107" t="s">
        <v>491</v>
      </c>
      <c r="B104" s="107" t="s">
        <v>351</v>
      </c>
      <c r="C104" s="107" t="s">
        <v>356</v>
      </c>
      <c r="D104" s="107" t="s">
        <v>357</v>
      </c>
      <c r="E104">
        <v>2978</v>
      </c>
      <c r="F104" s="107" t="s">
        <v>503</v>
      </c>
      <c r="G104" s="107" t="s">
        <v>366</v>
      </c>
      <c r="H104" s="107" t="s">
        <v>380</v>
      </c>
      <c r="I104" s="107">
        <v>159</v>
      </c>
      <c r="J104" s="107"/>
    </row>
    <row r="105" spans="1:10">
      <c r="A105" s="107" t="s">
        <v>491</v>
      </c>
      <c r="B105" s="107" t="s">
        <v>351</v>
      </c>
      <c r="C105" s="107" t="s">
        <v>361</v>
      </c>
      <c r="D105" s="107" t="s">
        <v>353</v>
      </c>
      <c r="E105">
        <v>3038</v>
      </c>
      <c r="F105" s="107" t="s">
        <v>504</v>
      </c>
      <c r="G105" s="107" t="s">
        <v>354</v>
      </c>
      <c r="H105" s="107" t="s">
        <v>360</v>
      </c>
      <c r="I105" s="107" t="s">
        <v>505</v>
      </c>
      <c r="J105" s="107" t="s">
        <v>1034</v>
      </c>
    </row>
    <row r="106" spans="1:10">
      <c r="A106" s="107" t="s">
        <v>491</v>
      </c>
      <c r="B106" s="107" t="s">
        <v>351</v>
      </c>
      <c r="C106" s="107" t="s">
        <v>352</v>
      </c>
      <c r="D106" s="107" t="s">
        <v>353</v>
      </c>
      <c r="E106">
        <v>3159</v>
      </c>
      <c r="F106" s="107" t="s">
        <v>506</v>
      </c>
      <c r="G106" s="107" t="s">
        <v>354</v>
      </c>
      <c r="H106" s="107" t="s">
        <v>364</v>
      </c>
      <c r="I106" s="107">
        <v>348</v>
      </c>
      <c r="J106" s="107"/>
    </row>
    <row r="107" spans="1:10">
      <c r="A107" s="107" t="s">
        <v>491</v>
      </c>
      <c r="B107" s="107" t="s">
        <v>351</v>
      </c>
      <c r="C107" s="107" t="s">
        <v>361</v>
      </c>
      <c r="D107" s="107" t="s">
        <v>353</v>
      </c>
      <c r="E107">
        <v>3195</v>
      </c>
      <c r="F107" s="107" t="s">
        <v>507</v>
      </c>
      <c r="G107" s="107" t="s">
        <v>366</v>
      </c>
      <c r="H107" s="107" t="s">
        <v>364</v>
      </c>
      <c r="I107">
        <v>47</v>
      </c>
    </row>
    <row r="108" spans="1:10">
      <c r="A108" s="107" t="s">
        <v>491</v>
      </c>
      <c r="B108" s="107" t="s">
        <v>351</v>
      </c>
      <c r="C108" s="107" t="s">
        <v>361</v>
      </c>
      <c r="D108" s="107" t="s">
        <v>357</v>
      </c>
      <c r="E108">
        <v>3309</v>
      </c>
      <c r="F108" s="107" t="s">
        <v>508</v>
      </c>
      <c r="G108" s="107" t="s">
        <v>441</v>
      </c>
      <c r="H108" s="107" t="s">
        <v>442</v>
      </c>
      <c r="I108" s="107" t="s">
        <v>505</v>
      </c>
      <c r="J108" s="107" t="s">
        <v>1035</v>
      </c>
    </row>
    <row r="109" spans="1:10">
      <c r="A109" s="107" t="s">
        <v>491</v>
      </c>
      <c r="B109" s="107" t="s">
        <v>351</v>
      </c>
      <c r="C109" s="107" t="s">
        <v>356</v>
      </c>
      <c r="D109" s="107" t="s">
        <v>353</v>
      </c>
      <c r="E109">
        <v>3421</v>
      </c>
      <c r="F109" s="107" t="s">
        <v>509</v>
      </c>
      <c r="G109" s="107" t="s">
        <v>354</v>
      </c>
      <c r="H109" s="107" t="s">
        <v>369</v>
      </c>
      <c r="I109" s="107">
        <v>260</v>
      </c>
      <c r="J109" s="107"/>
    </row>
    <row r="110" spans="1:10">
      <c r="A110" s="107" t="s">
        <v>491</v>
      </c>
      <c r="B110" s="107" t="s">
        <v>351</v>
      </c>
      <c r="C110" s="107" t="s">
        <v>361</v>
      </c>
      <c r="D110" s="107" t="s">
        <v>353</v>
      </c>
      <c r="E110">
        <v>3480</v>
      </c>
      <c r="F110" s="107" t="s">
        <v>510</v>
      </c>
      <c r="G110" s="107" t="s">
        <v>354</v>
      </c>
      <c r="H110" s="107" t="s">
        <v>380</v>
      </c>
      <c r="I110">
        <v>229</v>
      </c>
    </row>
    <row r="111" spans="1:10">
      <c r="A111" s="107" t="s">
        <v>491</v>
      </c>
      <c r="B111" s="107" t="s">
        <v>351</v>
      </c>
      <c r="C111" s="107" t="s">
        <v>356</v>
      </c>
      <c r="D111" s="107" t="s">
        <v>357</v>
      </c>
      <c r="E111">
        <v>3497</v>
      </c>
      <c r="F111" s="107" t="s">
        <v>511</v>
      </c>
      <c r="G111" s="107" t="s">
        <v>366</v>
      </c>
      <c r="H111" s="107" t="s">
        <v>380</v>
      </c>
      <c r="I111">
        <v>37</v>
      </c>
    </row>
    <row r="112" spans="1:10">
      <c r="A112" s="107" t="s">
        <v>491</v>
      </c>
      <c r="B112" s="107" t="s">
        <v>351</v>
      </c>
      <c r="C112" s="107" t="s">
        <v>361</v>
      </c>
      <c r="D112" s="107" t="s">
        <v>353</v>
      </c>
      <c r="E112">
        <v>3653</v>
      </c>
      <c r="F112" s="107" t="s">
        <v>512</v>
      </c>
      <c r="G112" s="107" t="s">
        <v>366</v>
      </c>
      <c r="H112" s="107" t="s">
        <v>365</v>
      </c>
      <c r="I112">
        <v>165</v>
      </c>
    </row>
    <row r="113" spans="1:10">
      <c r="A113" s="107" t="s">
        <v>491</v>
      </c>
      <c r="B113" s="107" t="s">
        <v>351</v>
      </c>
      <c r="C113" s="107" t="s">
        <v>352</v>
      </c>
      <c r="D113" s="107" t="s">
        <v>357</v>
      </c>
      <c r="E113">
        <v>3665</v>
      </c>
      <c r="F113" s="107" t="s">
        <v>513</v>
      </c>
      <c r="G113" s="107" t="s">
        <v>354</v>
      </c>
      <c r="H113" s="107" t="s">
        <v>365</v>
      </c>
      <c r="I113">
        <v>442</v>
      </c>
    </row>
    <row r="114" spans="1:10">
      <c r="A114" s="107" t="s">
        <v>491</v>
      </c>
      <c r="B114" s="107" t="s">
        <v>351</v>
      </c>
      <c r="C114" s="107" t="s">
        <v>363</v>
      </c>
      <c r="D114" s="107" t="s">
        <v>353</v>
      </c>
      <c r="E114">
        <v>3843</v>
      </c>
      <c r="F114" s="107" t="s">
        <v>514</v>
      </c>
      <c r="G114" s="107" t="s">
        <v>354</v>
      </c>
      <c r="H114" s="107" t="s">
        <v>365</v>
      </c>
      <c r="I114">
        <v>215</v>
      </c>
    </row>
    <row r="115" spans="1:10">
      <c r="A115" s="107" t="s">
        <v>491</v>
      </c>
      <c r="B115" s="107" t="s">
        <v>351</v>
      </c>
      <c r="C115" s="107" t="s">
        <v>352</v>
      </c>
      <c r="D115" s="107" t="s">
        <v>357</v>
      </c>
      <c r="E115">
        <v>3921</v>
      </c>
      <c r="F115" s="107" t="s">
        <v>515</v>
      </c>
      <c r="G115" s="107" t="s">
        <v>354</v>
      </c>
      <c r="H115" s="107" t="s">
        <v>365</v>
      </c>
      <c r="I115">
        <v>154</v>
      </c>
    </row>
    <row r="116" spans="1:10">
      <c r="A116" s="107" t="s">
        <v>491</v>
      </c>
      <c r="B116" s="107" t="s">
        <v>351</v>
      </c>
      <c r="C116" s="107" t="s">
        <v>352</v>
      </c>
      <c r="D116" s="107" t="s">
        <v>353</v>
      </c>
      <c r="E116">
        <v>3931</v>
      </c>
      <c r="F116" s="107" t="s">
        <v>516</v>
      </c>
      <c r="G116" s="107" t="s">
        <v>366</v>
      </c>
      <c r="H116" s="107" t="s">
        <v>365</v>
      </c>
      <c r="I116">
        <v>23</v>
      </c>
    </row>
    <row r="117" spans="1:10">
      <c r="A117" s="107" t="s">
        <v>491</v>
      </c>
      <c r="B117" s="107" t="s">
        <v>351</v>
      </c>
      <c r="C117" s="107" t="s">
        <v>352</v>
      </c>
      <c r="D117" s="107" t="s">
        <v>353</v>
      </c>
      <c r="E117">
        <v>3995</v>
      </c>
      <c r="F117" s="107" t="s">
        <v>517</v>
      </c>
      <c r="G117" s="107" t="s">
        <v>366</v>
      </c>
      <c r="H117" s="107" t="s">
        <v>365</v>
      </c>
      <c r="I117">
        <v>76</v>
      </c>
    </row>
    <row r="118" spans="1:10">
      <c r="A118" s="107" t="s">
        <v>491</v>
      </c>
      <c r="B118" s="107" t="s">
        <v>351</v>
      </c>
      <c r="C118" s="107" t="s">
        <v>352</v>
      </c>
      <c r="D118" s="107" t="s">
        <v>353</v>
      </c>
      <c r="E118">
        <v>4287</v>
      </c>
      <c r="F118" s="107" t="s">
        <v>518</v>
      </c>
      <c r="G118" s="107" t="s">
        <v>358</v>
      </c>
      <c r="H118" s="107" t="s">
        <v>365</v>
      </c>
      <c r="I118" s="107">
        <v>66</v>
      </c>
      <c r="J118" s="107"/>
    </row>
    <row r="119" spans="1:10">
      <c r="A119" s="107" t="s">
        <v>491</v>
      </c>
      <c r="B119" s="107" t="s">
        <v>351</v>
      </c>
      <c r="C119" s="107" t="s">
        <v>363</v>
      </c>
      <c r="D119" s="107" t="s">
        <v>357</v>
      </c>
      <c r="E119">
        <v>4431</v>
      </c>
      <c r="F119" s="107" t="s">
        <v>519</v>
      </c>
      <c r="G119" s="107" t="s">
        <v>366</v>
      </c>
      <c r="H119" s="107" t="s">
        <v>365</v>
      </c>
      <c r="I119" s="107">
        <v>287</v>
      </c>
      <c r="J119" s="107"/>
    </row>
    <row r="120" spans="1:10">
      <c r="A120" s="107" t="s">
        <v>491</v>
      </c>
      <c r="B120" s="107" t="s">
        <v>351</v>
      </c>
      <c r="C120" s="107" t="s">
        <v>352</v>
      </c>
      <c r="D120" s="107" t="s">
        <v>353</v>
      </c>
      <c r="E120">
        <v>4592</v>
      </c>
      <c r="F120" s="107" t="s">
        <v>520</v>
      </c>
      <c r="G120" s="107" t="s">
        <v>366</v>
      </c>
      <c r="H120" s="107" t="s">
        <v>476</v>
      </c>
      <c r="I120" s="107" t="s">
        <v>377</v>
      </c>
      <c r="J120" s="107" t="s">
        <v>1036</v>
      </c>
    </row>
    <row r="121" spans="1:10">
      <c r="A121" s="107" t="s">
        <v>491</v>
      </c>
      <c r="B121" s="107" t="s">
        <v>351</v>
      </c>
      <c r="C121" s="107" t="s">
        <v>356</v>
      </c>
      <c r="D121" s="107" t="s">
        <v>357</v>
      </c>
      <c r="E121">
        <v>4599</v>
      </c>
      <c r="F121" s="107" t="s">
        <v>521</v>
      </c>
      <c r="G121" s="107" t="s">
        <v>366</v>
      </c>
      <c r="H121" s="107" t="s">
        <v>476</v>
      </c>
      <c r="I121" s="107">
        <v>483</v>
      </c>
      <c r="J121" s="107"/>
    </row>
    <row r="122" spans="1:10">
      <c r="A122" s="107" t="s">
        <v>491</v>
      </c>
      <c r="B122" s="107" t="s">
        <v>351</v>
      </c>
      <c r="C122" s="107" t="s">
        <v>361</v>
      </c>
      <c r="D122" s="107" t="s">
        <v>353</v>
      </c>
      <c r="E122">
        <v>4627</v>
      </c>
      <c r="F122" s="107" t="s">
        <v>522</v>
      </c>
      <c r="G122" s="107" t="s">
        <v>358</v>
      </c>
      <c r="H122" s="107" t="s">
        <v>367</v>
      </c>
      <c r="I122">
        <v>99</v>
      </c>
    </row>
    <row r="123" spans="1:10">
      <c r="A123" s="107" t="s">
        <v>491</v>
      </c>
      <c r="B123" s="107" t="s">
        <v>351</v>
      </c>
      <c r="C123" s="107" t="s">
        <v>361</v>
      </c>
      <c r="D123" s="107" t="s">
        <v>353</v>
      </c>
      <c r="E123">
        <v>4996</v>
      </c>
      <c r="F123" s="107" t="s">
        <v>523</v>
      </c>
      <c r="G123" s="107" t="s">
        <v>354</v>
      </c>
      <c r="H123" s="107" t="s">
        <v>367</v>
      </c>
      <c r="I123" s="107" t="s">
        <v>409</v>
      </c>
      <c r="J123" s="107" t="s">
        <v>1037</v>
      </c>
    </row>
    <row r="124" spans="1:10">
      <c r="A124" s="107" t="s">
        <v>491</v>
      </c>
      <c r="B124" s="107" t="s">
        <v>351</v>
      </c>
      <c r="C124" s="107" t="s">
        <v>361</v>
      </c>
      <c r="D124" s="107" t="s">
        <v>357</v>
      </c>
      <c r="E124">
        <v>6049</v>
      </c>
      <c r="F124" s="107" t="s">
        <v>524</v>
      </c>
      <c r="G124" s="107" t="s">
        <v>366</v>
      </c>
      <c r="H124" s="107" t="s">
        <v>359</v>
      </c>
      <c r="I124" s="107">
        <v>418</v>
      </c>
      <c r="J124" s="107"/>
    </row>
    <row r="125" spans="1:10">
      <c r="A125" s="107" t="s">
        <v>491</v>
      </c>
      <c r="B125" s="107" t="s">
        <v>351</v>
      </c>
      <c r="C125" s="107" t="s">
        <v>356</v>
      </c>
      <c r="D125" s="107" t="s">
        <v>353</v>
      </c>
      <c r="E125">
        <v>6091</v>
      </c>
      <c r="F125" s="107" t="s">
        <v>525</v>
      </c>
      <c r="G125" s="107" t="s">
        <v>362</v>
      </c>
      <c r="H125" s="107" t="s">
        <v>359</v>
      </c>
      <c r="I125">
        <v>74</v>
      </c>
    </row>
    <row r="126" spans="1:10">
      <c r="A126" s="107" t="s">
        <v>491</v>
      </c>
      <c r="B126" s="107" t="s">
        <v>351</v>
      </c>
      <c r="C126" s="107" t="s">
        <v>363</v>
      </c>
      <c r="D126" s="107" t="s">
        <v>353</v>
      </c>
      <c r="E126">
        <v>6192</v>
      </c>
      <c r="F126" s="107" t="s">
        <v>526</v>
      </c>
      <c r="G126" s="107" t="s">
        <v>366</v>
      </c>
      <c r="H126" s="107" t="s">
        <v>359</v>
      </c>
      <c r="I126">
        <v>80</v>
      </c>
    </row>
    <row r="127" spans="1:10">
      <c r="A127" s="107" t="s">
        <v>491</v>
      </c>
      <c r="B127" s="107" t="s">
        <v>351</v>
      </c>
      <c r="C127" s="107" t="s">
        <v>356</v>
      </c>
      <c r="D127" s="107" t="s">
        <v>353</v>
      </c>
      <c r="E127">
        <v>6577</v>
      </c>
      <c r="F127" s="107" t="s">
        <v>527</v>
      </c>
      <c r="G127" s="107" t="s">
        <v>366</v>
      </c>
      <c r="H127" s="107" t="s">
        <v>359</v>
      </c>
      <c r="I127">
        <v>42</v>
      </c>
    </row>
    <row r="128" spans="1:10">
      <c r="A128" s="107" t="s">
        <v>491</v>
      </c>
      <c r="B128" s="107" t="s">
        <v>351</v>
      </c>
      <c r="C128" s="107" t="s">
        <v>363</v>
      </c>
      <c r="D128" s="107" t="s">
        <v>353</v>
      </c>
      <c r="E128">
        <v>6630</v>
      </c>
      <c r="F128" s="107" t="s">
        <v>528</v>
      </c>
      <c r="G128" s="107" t="s">
        <v>354</v>
      </c>
      <c r="H128" s="107" t="s">
        <v>379</v>
      </c>
      <c r="I128">
        <v>403</v>
      </c>
    </row>
    <row r="129" spans="1:10">
      <c r="A129" s="107" t="s">
        <v>491</v>
      </c>
      <c r="B129" s="107" t="s">
        <v>351</v>
      </c>
      <c r="C129" s="107" t="s">
        <v>356</v>
      </c>
      <c r="D129" s="107" t="s">
        <v>353</v>
      </c>
      <c r="E129">
        <v>6721</v>
      </c>
      <c r="F129" s="107" t="s">
        <v>529</v>
      </c>
      <c r="G129" s="107" t="s">
        <v>362</v>
      </c>
      <c r="H129" s="107" t="s">
        <v>379</v>
      </c>
      <c r="I129">
        <v>81</v>
      </c>
    </row>
    <row r="130" spans="1:10">
      <c r="A130" s="107" t="s">
        <v>491</v>
      </c>
      <c r="B130" s="107" t="s">
        <v>351</v>
      </c>
      <c r="C130" s="107" t="s">
        <v>361</v>
      </c>
      <c r="D130" s="107" t="s">
        <v>353</v>
      </c>
      <c r="E130">
        <v>7033</v>
      </c>
      <c r="F130" s="107" t="s">
        <v>530</v>
      </c>
      <c r="G130" s="107" t="s">
        <v>354</v>
      </c>
      <c r="H130" s="107" t="s">
        <v>359</v>
      </c>
      <c r="I130">
        <v>121</v>
      </c>
    </row>
    <row r="131" spans="1:10">
      <c r="A131" s="107" t="s">
        <v>491</v>
      </c>
      <c r="B131" s="107" t="s">
        <v>351</v>
      </c>
      <c r="C131" s="107" t="s">
        <v>352</v>
      </c>
      <c r="D131" s="107" t="s">
        <v>353</v>
      </c>
      <c r="E131">
        <v>7073</v>
      </c>
      <c r="F131" s="107" t="s">
        <v>531</v>
      </c>
      <c r="G131" s="107" t="s">
        <v>366</v>
      </c>
      <c r="H131" s="107" t="s">
        <v>359</v>
      </c>
      <c r="I131" s="107">
        <v>83</v>
      </c>
      <c r="J131" s="107"/>
    </row>
    <row r="132" spans="1:10">
      <c r="A132" s="107" t="s">
        <v>491</v>
      </c>
      <c r="B132" s="107" t="s">
        <v>351</v>
      </c>
      <c r="C132" s="107" t="s">
        <v>361</v>
      </c>
      <c r="D132" s="107" t="s">
        <v>353</v>
      </c>
      <c r="E132">
        <v>7279</v>
      </c>
      <c r="F132" s="107" t="s">
        <v>532</v>
      </c>
      <c r="G132" s="107" t="s">
        <v>362</v>
      </c>
      <c r="H132" s="107" t="s">
        <v>405</v>
      </c>
      <c r="I132" s="107">
        <v>709</v>
      </c>
      <c r="J132" s="107"/>
    </row>
    <row r="133" spans="1:10">
      <c r="A133" s="107" t="s">
        <v>491</v>
      </c>
      <c r="B133" s="107" t="s">
        <v>351</v>
      </c>
      <c r="C133" s="107" t="s">
        <v>363</v>
      </c>
      <c r="D133" s="107" t="s">
        <v>353</v>
      </c>
      <c r="E133">
        <v>7604</v>
      </c>
      <c r="F133" s="107" t="s">
        <v>533</v>
      </c>
      <c r="G133" s="107" t="s">
        <v>362</v>
      </c>
      <c r="H133" s="107" t="s">
        <v>364</v>
      </c>
      <c r="I133">
        <v>206</v>
      </c>
    </row>
    <row r="134" spans="1:10">
      <c r="A134" s="107" t="s">
        <v>491</v>
      </c>
      <c r="B134" s="107" t="s">
        <v>351</v>
      </c>
      <c r="C134" s="107" t="s">
        <v>361</v>
      </c>
      <c r="D134" s="107" t="s">
        <v>357</v>
      </c>
      <c r="E134">
        <v>7605</v>
      </c>
      <c r="F134" s="107" t="s">
        <v>534</v>
      </c>
      <c r="G134" s="107" t="s">
        <v>354</v>
      </c>
      <c r="H134" s="107" t="s">
        <v>364</v>
      </c>
      <c r="I134" s="107">
        <v>250</v>
      </c>
      <c r="J134" s="107"/>
    </row>
    <row r="135" spans="1:10">
      <c r="A135" s="107" t="s">
        <v>491</v>
      </c>
      <c r="B135" s="107" t="s">
        <v>351</v>
      </c>
      <c r="C135" s="107" t="s">
        <v>356</v>
      </c>
      <c r="D135" s="107" t="s">
        <v>357</v>
      </c>
      <c r="E135">
        <v>7682</v>
      </c>
      <c r="F135" s="107" t="s">
        <v>535</v>
      </c>
      <c r="G135" s="107" t="s">
        <v>358</v>
      </c>
      <c r="H135" s="107" t="s">
        <v>364</v>
      </c>
      <c r="I135" s="107">
        <v>26</v>
      </c>
      <c r="J135" s="107"/>
    </row>
    <row r="136" spans="1:10">
      <c r="A136" s="107" t="s">
        <v>491</v>
      </c>
      <c r="B136" s="107" t="s">
        <v>351</v>
      </c>
      <c r="C136" s="107" t="s">
        <v>352</v>
      </c>
      <c r="D136" s="107" t="s">
        <v>353</v>
      </c>
      <c r="E136">
        <v>7683</v>
      </c>
      <c r="F136" s="107" t="s">
        <v>536</v>
      </c>
      <c r="G136" s="107" t="s">
        <v>366</v>
      </c>
      <c r="H136" s="107" t="s">
        <v>364</v>
      </c>
      <c r="I136">
        <v>210</v>
      </c>
    </row>
    <row r="137" spans="1:10">
      <c r="A137" s="107" t="s">
        <v>491</v>
      </c>
      <c r="B137" s="107" t="s">
        <v>351</v>
      </c>
      <c r="C137" s="107" t="s">
        <v>356</v>
      </c>
      <c r="D137" s="107" t="s">
        <v>353</v>
      </c>
      <c r="E137">
        <v>7803</v>
      </c>
      <c r="F137" s="107" t="s">
        <v>537</v>
      </c>
      <c r="G137" s="107" t="s">
        <v>366</v>
      </c>
      <c r="H137" s="107" t="s">
        <v>376</v>
      </c>
      <c r="I137">
        <v>652</v>
      </c>
    </row>
    <row r="138" spans="1:10">
      <c r="A138" s="107" t="s">
        <v>491</v>
      </c>
      <c r="B138" s="107" t="s">
        <v>351</v>
      </c>
      <c r="C138" s="107" t="s">
        <v>361</v>
      </c>
      <c r="D138" s="107" t="s">
        <v>357</v>
      </c>
      <c r="E138">
        <v>7805</v>
      </c>
      <c r="F138" s="107" t="s">
        <v>538</v>
      </c>
      <c r="G138" s="107" t="s">
        <v>358</v>
      </c>
      <c r="H138" s="107" t="s">
        <v>376</v>
      </c>
      <c r="I138">
        <v>32</v>
      </c>
    </row>
    <row r="139" spans="1:10">
      <c r="A139" s="107" t="s">
        <v>491</v>
      </c>
      <c r="B139" s="107" t="s">
        <v>351</v>
      </c>
      <c r="C139" s="107" t="s">
        <v>356</v>
      </c>
      <c r="D139" s="107" t="s">
        <v>353</v>
      </c>
      <c r="E139">
        <v>7810</v>
      </c>
      <c r="F139" s="107" t="s">
        <v>539</v>
      </c>
      <c r="G139" s="107" t="s">
        <v>358</v>
      </c>
      <c r="H139" s="107" t="s">
        <v>376</v>
      </c>
      <c r="I139">
        <v>63</v>
      </c>
    </row>
    <row r="140" spans="1:10">
      <c r="A140" s="107" t="s">
        <v>491</v>
      </c>
      <c r="B140" s="107" t="s">
        <v>351</v>
      </c>
      <c r="C140" s="107" t="s">
        <v>361</v>
      </c>
      <c r="D140" s="107" t="s">
        <v>357</v>
      </c>
      <c r="E140">
        <v>7827</v>
      </c>
      <c r="F140" s="107" t="s">
        <v>540</v>
      </c>
      <c r="G140" s="107" t="s">
        <v>358</v>
      </c>
      <c r="H140" s="107" t="s">
        <v>376</v>
      </c>
      <c r="I140">
        <v>14</v>
      </c>
    </row>
    <row r="141" spans="1:10">
      <c r="A141" s="107" t="s">
        <v>491</v>
      </c>
      <c r="B141" s="107" t="s">
        <v>351</v>
      </c>
      <c r="C141" s="107" t="s">
        <v>356</v>
      </c>
      <c r="D141" s="107" t="s">
        <v>353</v>
      </c>
      <c r="E141">
        <v>7850</v>
      </c>
      <c r="F141" s="107" t="s">
        <v>541</v>
      </c>
      <c r="G141" s="107" t="s">
        <v>358</v>
      </c>
      <c r="H141" s="107" t="s">
        <v>376</v>
      </c>
      <c r="I141">
        <v>22</v>
      </c>
    </row>
    <row r="142" spans="1:10">
      <c r="A142" s="107" t="s">
        <v>491</v>
      </c>
      <c r="B142" s="107" t="s">
        <v>351</v>
      </c>
      <c r="C142" s="107" t="s">
        <v>363</v>
      </c>
      <c r="D142" s="107" t="s">
        <v>353</v>
      </c>
      <c r="E142">
        <v>7899</v>
      </c>
      <c r="F142" s="107" t="s">
        <v>542</v>
      </c>
      <c r="G142" s="107" t="s">
        <v>358</v>
      </c>
      <c r="H142" s="107" t="s">
        <v>367</v>
      </c>
      <c r="I142">
        <v>19</v>
      </c>
    </row>
    <row r="143" spans="1:10">
      <c r="A143" s="107" t="s">
        <v>491</v>
      </c>
      <c r="B143" s="107" t="s">
        <v>351</v>
      </c>
      <c r="C143" s="107" t="s">
        <v>361</v>
      </c>
      <c r="D143" s="107" t="s">
        <v>353</v>
      </c>
      <c r="E143">
        <v>7983</v>
      </c>
      <c r="F143" s="107" t="s">
        <v>543</v>
      </c>
      <c r="G143" s="107" t="s">
        <v>362</v>
      </c>
      <c r="H143" s="107" t="s">
        <v>376</v>
      </c>
      <c r="I143">
        <v>63</v>
      </c>
    </row>
    <row r="144" spans="1:10">
      <c r="A144" s="107" t="s">
        <v>491</v>
      </c>
      <c r="B144" s="107" t="s">
        <v>351</v>
      </c>
      <c r="C144" s="107" t="s">
        <v>352</v>
      </c>
      <c r="D144" s="107" t="s">
        <v>353</v>
      </c>
      <c r="E144">
        <v>8013</v>
      </c>
      <c r="F144" s="107" t="s">
        <v>544</v>
      </c>
      <c r="G144" s="107" t="s">
        <v>354</v>
      </c>
      <c r="H144" s="107" t="s">
        <v>420</v>
      </c>
      <c r="I144">
        <v>36</v>
      </c>
    </row>
    <row r="145" spans="1:10">
      <c r="A145" s="107" t="s">
        <v>491</v>
      </c>
      <c r="B145" s="107" t="s">
        <v>351</v>
      </c>
      <c r="C145" s="107" t="s">
        <v>361</v>
      </c>
      <c r="D145" s="107" t="s">
        <v>353</v>
      </c>
      <c r="E145">
        <v>8079</v>
      </c>
      <c r="F145" s="107" t="s">
        <v>545</v>
      </c>
      <c r="G145" s="107" t="s">
        <v>354</v>
      </c>
      <c r="H145" s="107" t="s">
        <v>360</v>
      </c>
      <c r="I145">
        <v>581</v>
      </c>
    </row>
    <row r="146" spans="1:10">
      <c r="A146" s="107" t="s">
        <v>491</v>
      </c>
      <c r="B146" s="107" t="s">
        <v>351</v>
      </c>
      <c r="C146" s="107" t="s">
        <v>361</v>
      </c>
      <c r="D146" s="107" t="s">
        <v>353</v>
      </c>
      <c r="E146">
        <v>8917</v>
      </c>
      <c r="F146" s="107" t="s">
        <v>546</v>
      </c>
      <c r="G146" s="107" t="s">
        <v>354</v>
      </c>
      <c r="H146" s="107" t="s">
        <v>380</v>
      </c>
      <c r="I146" s="107">
        <v>221</v>
      </c>
      <c r="J146" s="107"/>
    </row>
    <row r="147" spans="1:10">
      <c r="A147" s="107" t="s">
        <v>491</v>
      </c>
      <c r="B147" s="107" t="s">
        <v>351</v>
      </c>
      <c r="C147" s="107" t="s">
        <v>356</v>
      </c>
      <c r="D147" s="107" t="s">
        <v>353</v>
      </c>
      <c r="E147">
        <v>8925</v>
      </c>
      <c r="F147" s="107" t="s">
        <v>547</v>
      </c>
      <c r="G147" s="107" t="s">
        <v>362</v>
      </c>
      <c r="H147" s="107" t="s">
        <v>380</v>
      </c>
      <c r="I147" s="107">
        <v>202</v>
      </c>
      <c r="J147" s="107"/>
    </row>
    <row r="148" spans="1:10">
      <c r="A148" s="107" t="s">
        <v>491</v>
      </c>
      <c r="B148" s="107" t="s">
        <v>351</v>
      </c>
      <c r="C148" s="107" t="s">
        <v>356</v>
      </c>
      <c r="D148" s="107" t="s">
        <v>353</v>
      </c>
      <c r="E148">
        <v>8927</v>
      </c>
      <c r="F148" s="107" t="s">
        <v>548</v>
      </c>
      <c r="G148" s="107" t="s">
        <v>358</v>
      </c>
      <c r="H148" s="107" t="s">
        <v>380</v>
      </c>
      <c r="I148">
        <v>66</v>
      </c>
    </row>
    <row r="149" spans="1:10">
      <c r="A149" s="107" t="s">
        <v>491</v>
      </c>
      <c r="B149" s="107" t="s">
        <v>351</v>
      </c>
      <c r="C149" s="107" t="s">
        <v>361</v>
      </c>
      <c r="D149" s="107" t="s">
        <v>357</v>
      </c>
      <c r="E149">
        <v>8975</v>
      </c>
      <c r="F149" s="107" t="s">
        <v>549</v>
      </c>
      <c r="G149" s="107" t="s">
        <v>441</v>
      </c>
      <c r="H149" s="107" t="s">
        <v>442</v>
      </c>
      <c r="I149" s="107" t="s">
        <v>409</v>
      </c>
      <c r="J149" s="107" t="s">
        <v>964</v>
      </c>
    </row>
    <row r="150" spans="1:10">
      <c r="A150" s="107" t="s">
        <v>491</v>
      </c>
      <c r="B150" s="107" t="s">
        <v>351</v>
      </c>
      <c r="C150" s="107" t="s">
        <v>361</v>
      </c>
      <c r="D150" s="107" t="s">
        <v>357</v>
      </c>
      <c r="E150">
        <v>8979</v>
      </c>
      <c r="F150" s="107" t="s">
        <v>550</v>
      </c>
      <c r="G150" s="107" t="s">
        <v>441</v>
      </c>
      <c r="H150" s="107" t="s">
        <v>442</v>
      </c>
      <c r="I150" s="107">
        <v>511</v>
      </c>
      <c r="J150" s="107"/>
    </row>
    <row r="151" spans="1:10">
      <c r="A151" s="107" t="s">
        <v>491</v>
      </c>
      <c r="B151" s="107" t="s">
        <v>351</v>
      </c>
      <c r="C151" s="107" t="s">
        <v>361</v>
      </c>
      <c r="D151" s="107" t="s">
        <v>353</v>
      </c>
      <c r="E151">
        <v>9279</v>
      </c>
      <c r="F151" s="107" t="s">
        <v>551</v>
      </c>
      <c r="G151" s="107" t="s">
        <v>366</v>
      </c>
      <c r="H151" s="107" t="s">
        <v>364</v>
      </c>
      <c r="I151">
        <v>232</v>
      </c>
    </row>
    <row r="152" spans="1:10">
      <c r="A152" s="107" t="s">
        <v>491</v>
      </c>
      <c r="B152" s="107" t="s">
        <v>351</v>
      </c>
      <c r="C152" s="107" t="s">
        <v>352</v>
      </c>
      <c r="D152" s="107" t="s">
        <v>353</v>
      </c>
      <c r="E152">
        <v>9637</v>
      </c>
      <c r="F152" s="107" t="s">
        <v>552</v>
      </c>
      <c r="G152" s="107" t="s">
        <v>362</v>
      </c>
      <c r="H152" s="107" t="s">
        <v>359</v>
      </c>
      <c r="I152">
        <v>113</v>
      </c>
    </row>
    <row r="153" spans="1:10">
      <c r="A153" s="107" t="s">
        <v>553</v>
      </c>
      <c r="B153" s="107" t="s">
        <v>413</v>
      </c>
      <c r="C153" s="107" t="s">
        <v>361</v>
      </c>
      <c r="D153" s="107" t="s">
        <v>357</v>
      </c>
      <c r="E153">
        <v>7034</v>
      </c>
      <c r="F153" s="107" t="s">
        <v>554</v>
      </c>
      <c r="G153" s="107" t="s">
        <v>366</v>
      </c>
      <c r="H153" s="107" t="s">
        <v>359</v>
      </c>
      <c r="I153">
        <v>448</v>
      </c>
    </row>
    <row r="154" spans="1:10">
      <c r="A154" s="107" t="s">
        <v>553</v>
      </c>
      <c r="B154" s="107" t="s">
        <v>351</v>
      </c>
      <c r="C154" s="107" t="s">
        <v>361</v>
      </c>
      <c r="D154" s="107" t="s">
        <v>357</v>
      </c>
      <c r="E154">
        <v>3287</v>
      </c>
      <c r="F154" s="107" t="s">
        <v>555</v>
      </c>
      <c r="G154" s="107" t="s">
        <v>441</v>
      </c>
      <c r="H154" s="107" t="s">
        <v>442</v>
      </c>
      <c r="I154" s="107" t="s">
        <v>409</v>
      </c>
      <c r="J154" s="107" t="s">
        <v>1036</v>
      </c>
    </row>
    <row r="155" spans="1:10">
      <c r="A155" s="107" t="s">
        <v>553</v>
      </c>
      <c r="B155" s="107" t="s">
        <v>351</v>
      </c>
      <c r="C155" s="107" t="s">
        <v>361</v>
      </c>
      <c r="D155" s="107" t="s">
        <v>357</v>
      </c>
      <c r="E155">
        <v>3298</v>
      </c>
      <c r="F155" s="107" t="s">
        <v>556</v>
      </c>
      <c r="G155" s="107" t="s">
        <v>441</v>
      </c>
      <c r="H155" s="107" t="s">
        <v>442</v>
      </c>
      <c r="I155" s="107" t="s">
        <v>409</v>
      </c>
      <c r="J155" s="107" t="s">
        <v>1038</v>
      </c>
    </row>
    <row r="156" spans="1:10">
      <c r="A156" s="107" t="s">
        <v>553</v>
      </c>
      <c r="B156" s="107" t="s">
        <v>351</v>
      </c>
      <c r="C156" s="107" t="s">
        <v>361</v>
      </c>
      <c r="D156" s="107" t="s">
        <v>357</v>
      </c>
      <c r="E156">
        <v>3451</v>
      </c>
      <c r="F156" s="107" t="s">
        <v>557</v>
      </c>
      <c r="G156" s="107" t="s">
        <v>441</v>
      </c>
      <c r="H156" s="107" t="s">
        <v>442</v>
      </c>
      <c r="I156" s="107">
        <v>444</v>
      </c>
      <c r="J156" s="107"/>
    </row>
    <row r="157" spans="1:10">
      <c r="A157" s="107" t="s">
        <v>553</v>
      </c>
      <c r="B157" s="107" t="s">
        <v>351</v>
      </c>
      <c r="C157" s="107" t="s">
        <v>361</v>
      </c>
      <c r="D157" s="107" t="s">
        <v>353</v>
      </c>
      <c r="E157">
        <v>3804</v>
      </c>
      <c r="F157" s="107" t="s">
        <v>558</v>
      </c>
      <c r="G157" s="107" t="s">
        <v>358</v>
      </c>
      <c r="H157" s="107" t="s">
        <v>365</v>
      </c>
      <c r="I157">
        <v>54</v>
      </c>
    </row>
    <row r="158" spans="1:10">
      <c r="A158" s="107" t="s">
        <v>553</v>
      </c>
      <c r="B158" s="107" t="s">
        <v>351</v>
      </c>
      <c r="C158" s="107" t="s">
        <v>361</v>
      </c>
      <c r="D158" s="107" t="s">
        <v>353</v>
      </c>
      <c r="E158">
        <v>4666</v>
      </c>
      <c r="F158" s="107" t="s">
        <v>559</v>
      </c>
      <c r="G158" s="107" t="s">
        <v>354</v>
      </c>
      <c r="H158" s="107" t="s">
        <v>380</v>
      </c>
      <c r="I158" s="107" t="s">
        <v>594</v>
      </c>
      <c r="J158" s="107" t="s">
        <v>1039</v>
      </c>
    </row>
    <row r="159" spans="1:10">
      <c r="A159" s="107" t="s">
        <v>553</v>
      </c>
      <c r="B159" s="107" t="s">
        <v>351</v>
      </c>
      <c r="C159" s="107" t="s">
        <v>361</v>
      </c>
      <c r="D159" s="107" t="s">
        <v>353</v>
      </c>
      <c r="E159">
        <v>7831</v>
      </c>
      <c r="F159" s="107" t="s">
        <v>560</v>
      </c>
      <c r="G159" s="107" t="s">
        <v>362</v>
      </c>
      <c r="H159" s="107" t="s">
        <v>376</v>
      </c>
      <c r="I159" s="107">
        <v>38</v>
      </c>
      <c r="J159" s="107"/>
    </row>
    <row r="160" spans="1:10">
      <c r="A160" s="107" t="s">
        <v>561</v>
      </c>
      <c r="B160" s="107" t="s">
        <v>351</v>
      </c>
      <c r="C160" s="107" t="s">
        <v>363</v>
      </c>
      <c r="D160" s="107" t="s">
        <v>353</v>
      </c>
      <c r="E160">
        <v>2678</v>
      </c>
      <c r="F160" s="107" t="s">
        <v>562</v>
      </c>
      <c r="G160" s="107" t="s">
        <v>354</v>
      </c>
      <c r="H160" s="107" t="s">
        <v>364</v>
      </c>
      <c r="I160" s="107" t="s">
        <v>409</v>
      </c>
      <c r="J160" s="107" t="s">
        <v>1005</v>
      </c>
    </row>
    <row r="161" spans="1:10">
      <c r="A161" s="107" t="s">
        <v>561</v>
      </c>
      <c r="B161" s="107" t="s">
        <v>351</v>
      </c>
      <c r="C161" s="107" t="s">
        <v>363</v>
      </c>
      <c r="D161" s="107" t="s">
        <v>353</v>
      </c>
      <c r="E161">
        <v>3391</v>
      </c>
      <c r="F161" s="107" t="s">
        <v>563</v>
      </c>
      <c r="G161" s="107" t="s">
        <v>354</v>
      </c>
      <c r="H161" s="107" t="s">
        <v>364</v>
      </c>
      <c r="I161" s="107" t="s">
        <v>564</v>
      </c>
      <c r="J161" s="107" t="s">
        <v>965</v>
      </c>
    </row>
    <row r="162" spans="1:10">
      <c r="A162" s="107" t="s">
        <v>561</v>
      </c>
      <c r="B162" s="107" t="s">
        <v>351</v>
      </c>
      <c r="C162" s="107" t="s">
        <v>361</v>
      </c>
      <c r="D162" s="107" t="s">
        <v>357</v>
      </c>
      <c r="E162">
        <v>8956</v>
      </c>
      <c r="F162" s="107" t="s">
        <v>565</v>
      </c>
      <c r="G162" s="107" t="s">
        <v>441</v>
      </c>
      <c r="H162" s="107" t="s">
        <v>442</v>
      </c>
      <c r="I162" s="107" t="s">
        <v>377</v>
      </c>
      <c r="J162" s="107" t="s">
        <v>1040</v>
      </c>
    </row>
    <row r="163" spans="1:10">
      <c r="A163" s="107" t="s">
        <v>566</v>
      </c>
      <c r="B163" s="107" t="s">
        <v>351</v>
      </c>
      <c r="C163" s="107" t="s">
        <v>361</v>
      </c>
      <c r="D163" s="107" t="s">
        <v>353</v>
      </c>
      <c r="E163">
        <v>2315</v>
      </c>
      <c r="F163" s="107" t="s">
        <v>567</v>
      </c>
      <c r="G163" s="107" t="s">
        <v>358</v>
      </c>
      <c r="H163" s="107" t="s">
        <v>365</v>
      </c>
      <c r="I163" s="107">
        <v>97</v>
      </c>
      <c r="J163" s="107"/>
    </row>
    <row r="164" spans="1:10">
      <c r="A164" s="107" t="s">
        <v>568</v>
      </c>
      <c r="B164" s="107" t="s">
        <v>351</v>
      </c>
      <c r="C164" s="107" t="s">
        <v>361</v>
      </c>
      <c r="D164" s="107" t="s">
        <v>357</v>
      </c>
      <c r="E164">
        <v>3308</v>
      </c>
      <c r="F164" s="107" t="s">
        <v>569</v>
      </c>
      <c r="G164" s="107" t="s">
        <v>441</v>
      </c>
      <c r="H164" s="107" t="s">
        <v>442</v>
      </c>
      <c r="I164">
        <v>160</v>
      </c>
    </row>
    <row r="165" spans="1:10">
      <c r="A165" s="107" t="s">
        <v>1041</v>
      </c>
      <c r="B165" s="107" t="s">
        <v>351</v>
      </c>
      <c r="C165" s="107" t="s">
        <v>352</v>
      </c>
      <c r="D165" s="107" t="s">
        <v>353</v>
      </c>
      <c r="E165">
        <v>8227</v>
      </c>
      <c r="F165" s="107" t="s">
        <v>943</v>
      </c>
      <c r="G165" s="107" t="s">
        <v>354</v>
      </c>
      <c r="H165" s="107" t="s">
        <v>364</v>
      </c>
      <c r="I165" s="107" t="s">
        <v>594</v>
      </c>
      <c r="J165" s="107" t="s">
        <v>1042</v>
      </c>
    </row>
    <row r="166" spans="1:10">
      <c r="A166" s="107" t="s">
        <v>570</v>
      </c>
      <c r="B166" s="107" t="s">
        <v>378</v>
      </c>
      <c r="C166" s="107" t="s">
        <v>361</v>
      </c>
      <c r="D166" s="107" t="s">
        <v>353</v>
      </c>
      <c r="E166">
        <v>7965</v>
      </c>
      <c r="F166" s="107" t="s">
        <v>966</v>
      </c>
      <c r="G166" s="107" t="s">
        <v>354</v>
      </c>
      <c r="H166" s="107" t="s">
        <v>379</v>
      </c>
      <c r="I166" s="107" t="s">
        <v>409</v>
      </c>
      <c r="J166" s="107" t="s">
        <v>1043</v>
      </c>
    </row>
    <row r="167" spans="1:10">
      <c r="A167" s="107" t="s">
        <v>570</v>
      </c>
      <c r="B167" s="107" t="s">
        <v>351</v>
      </c>
      <c r="C167" s="107" t="s">
        <v>356</v>
      </c>
      <c r="D167" s="107" t="s">
        <v>353</v>
      </c>
      <c r="E167">
        <v>3035</v>
      </c>
      <c r="F167" s="107" t="s">
        <v>571</v>
      </c>
      <c r="G167" s="107" t="s">
        <v>358</v>
      </c>
      <c r="H167" s="107" t="s">
        <v>360</v>
      </c>
      <c r="I167" s="107">
        <v>21</v>
      </c>
      <c r="J167" s="107"/>
    </row>
    <row r="168" spans="1:10">
      <c r="A168" s="107" t="s">
        <v>570</v>
      </c>
      <c r="B168" s="107" t="s">
        <v>351</v>
      </c>
      <c r="C168" s="107" t="s">
        <v>352</v>
      </c>
      <c r="D168" s="107" t="s">
        <v>353</v>
      </c>
      <c r="E168">
        <v>7624</v>
      </c>
      <c r="F168" s="107" t="s">
        <v>572</v>
      </c>
      <c r="G168" s="107" t="s">
        <v>358</v>
      </c>
      <c r="H168" s="107" t="s">
        <v>360</v>
      </c>
      <c r="I168">
        <v>119</v>
      </c>
    </row>
    <row r="169" spans="1:10">
      <c r="A169" s="107" t="s">
        <v>573</v>
      </c>
      <c r="B169" s="107" t="s">
        <v>574</v>
      </c>
      <c r="C169" s="107" t="s">
        <v>361</v>
      </c>
      <c r="D169" s="107" t="s">
        <v>353</v>
      </c>
      <c r="E169">
        <v>6664</v>
      </c>
      <c r="F169" s="107" t="s">
        <v>575</v>
      </c>
      <c r="G169" s="107" t="s">
        <v>358</v>
      </c>
      <c r="H169" s="107" t="s">
        <v>379</v>
      </c>
      <c r="I169">
        <v>43</v>
      </c>
    </row>
    <row r="170" spans="1:10">
      <c r="A170" s="107" t="s">
        <v>573</v>
      </c>
      <c r="B170" s="107" t="s">
        <v>574</v>
      </c>
      <c r="C170" s="107" t="s">
        <v>352</v>
      </c>
      <c r="D170" s="107" t="s">
        <v>357</v>
      </c>
      <c r="E170">
        <v>7611</v>
      </c>
      <c r="F170" s="107" t="s">
        <v>576</v>
      </c>
      <c r="G170" s="107" t="s">
        <v>354</v>
      </c>
      <c r="H170" s="107" t="s">
        <v>364</v>
      </c>
      <c r="I170">
        <v>832</v>
      </c>
    </row>
    <row r="171" spans="1:10">
      <c r="A171" s="107" t="s">
        <v>573</v>
      </c>
      <c r="B171" s="107" t="s">
        <v>351</v>
      </c>
      <c r="C171" s="107" t="s">
        <v>352</v>
      </c>
      <c r="D171" s="107" t="s">
        <v>353</v>
      </c>
      <c r="E171">
        <v>6279</v>
      </c>
      <c r="F171" s="107" t="s">
        <v>577</v>
      </c>
      <c r="G171" s="107" t="s">
        <v>362</v>
      </c>
      <c r="H171" s="107" t="s">
        <v>375</v>
      </c>
      <c r="I171">
        <v>280</v>
      </c>
    </row>
    <row r="172" spans="1:10">
      <c r="A172" s="107" t="s">
        <v>573</v>
      </c>
      <c r="B172" s="107" t="s">
        <v>351</v>
      </c>
      <c r="C172" s="107" t="s">
        <v>363</v>
      </c>
      <c r="D172" s="107" t="s">
        <v>357</v>
      </c>
      <c r="E172">
        <v>7068</v>
      </c>
      <c r="F172" s="107" t="s">
        <v>578</v>
      </c>
      <c r="G172" s="107" t="s">
        <v>366</v>
      </c>
      <c r="H172" s="107" t="s">
        <v>359</v>
      </c>
      <c r="I172">
        <v>121</v>
      </c>
    </row>
    <row r="173" spans="1:10">
      <c r="A173" s="107" t="s">
        <v>573</v>
      </c>
      <c r="B173" s="107" t="s">
        <v>351</v>
      </c>
      <c r="C173" s="107" t="s">
        <v>363</v>
      </c>
      <c r="D173" s="107" t="s">
        <v>353</v>
      </c>
      <c r="E173">
        <v>7921</v>
      </c>
      <c r="F173" s="107" t="s">
        <v>1044</v>
      </c>
      <c r="G173" s="107" t="s">
        <v>354</v>
      </c>
      <c r="H173" s="107" t="s">
        <v>376</v>
      </c>
      <c r="I173">
        <v>217</v>
      </c>
    </row>
    <row r="174" spans="1:10">
      <c r="A174" s="107" t="s">
        <v>573</v>
      </c>
      <c r="B174" s="107" t="s">
        <v>351</v>
      </c>
      <c r="C174" s="107" t="s">
        <v>352</v>
      </c>
      <c r="D174" s="107" t="s">
        <v>353</v>
      </c>
      <c r="E174">
        <v>9982</v>
      </c>
      <c r="F174" s="107" t="s">
        <v>579</v>
      </c>
      <c r="G174" s="107" t="s">
        <v>354</v>
      </c>
      <c r="H174" s="107" t="s">
        <v>360</v>
      </c>
      <c r="I174">
        <v>184</v>
      </c>
    </row>
    <row r="175" spans="1:10">
      <c r="A175" s="107" t="s">
        <v>580</v>
      </c>
      <c r="B175" s="107" t="s">
        <v>351</v>
      </c>
      <c r="C175" s="107" t="s">
        <v>352</v>
      </c>
      <c r="D175" s="107" t="s">
        <v>353</v>
      </c>
      <c r="E175">
        <v>2186</v>
      </c>
      <c r="F175" s="107" t="s">
        <v>581</v>
      </c>
      <c r="G175" s="107" t="s">
        <v>358</v>
      </c>
      <c r="H175" s="107" t="s">
        <v>359</v>
      </c>
      <c r="I175" s="107">
        <v>95</v>
      </c>
      <c r="J175" s="107"/>
    </row>
    <row r="176" spans="1:10">
      <c r="A176" s="107" t="s">
        <v>580</v>
      </c>
      <c r="B176" s="107" t="s">
        <v>351</v>
      </c>
      <c r="C176" s="107" t="s">
        <v>352</v>
      </c>
      <c r="D176" s="107" t="s">
        <v>353</v>
      </c>
      <c r="E176">
        <v>2685</v>
      </c>
      <c r="F176" s="107" t="s">
        <v>582</v>
      </c>
      <c r="G176" s="107" t="s">
        <v>354</v>
      </c>
      <c r="H176" s="107" t="s">
        <v>364</v>
      </c>
      <c r="I176" s="107" t="s">
        <v>409</v>
      </c>
      <c r="J176" s="107" t="s">
        <v>1045</v>
      </c>
    </row>
    <row r="177" spans="1:10">
      <c r="A177" s="107" t="s">
        <v>580</v>
      </c>
      <c r="B177" s="107" t="s">
        <v>351</v>
      </c>
      <c r="C177" s="107" t="s">
        <v>352</v>
      </c>
      <c r="D177" s="107" t="s">
        <v>353</v>
      </c>
      <c r="E177">
        <v>3919</v>
      </c>
      <c r="F177" s="107" t="s">
        <v>583</v>
      </c>
      <c r="G177" s="107" t="s">
        <v>354</v>
      </c>
      <c r="H177" s="107" t="s">
        <v>365</v>
      </c>
      <c r="I177" s="107">
        <v>149</v>
      </c>
      <c r="J177" s="107"/>
    </row>
    <row r="178" spans="1:10">
      <c r="A178" s="107" t="s">
        <v>580</v>
      </c>
      <c r="B178" s="107" t="s">
        <v>351</v>
      </c>
      <c r="C178" s="107" t="s">
        <v>356</v>
      </c>
      <c r="D178" s="107" t="s">
        <v>353</v>
      </c>
      <c r="E178">
        <v>7514</v>
      </c>
      <c r="F178" s="107" t="s">
        <v>968</v>
      </c>
      <c r="G178" s="107" t="s">
        <v>354</v>
      </c>
      <c r="H178" s="107" t="s">
        <v>364</v>
      </c>
      <c r="I178">
        <v>103</v>
      </c>
    </row>
    <row r="179" spans="1:10">
      <c r="A179" s="107" t="s">
        <v>580</v>
      </c>
      <c r="B179" s="107" t="s">
        <v>351</v>
      </c>
      <c r="C179" s="107" t="s">
        <v>363</v>
      </c>
      <c r="D179" s="107" t="s">
        <v>353</v>
      </c>
      <c r="E179">
        <v>9651</v>
      </c>
      <c r="F179" s="107" t="s">
        <v>584</v>
      </c>
      <c r="G179" s="107" t="s">
        <v>358</v>
      </c>
      <c r="H179" s="107" t="s">
        <v>365</v>
      </c>
      <c r="I179">
        <v>92</v>
      </c>
    </row>
    <row r="180" spans="1:10">
      <c r="A180" s="107" t="s">
        <v>585</v>
      </c>
      <c r="B180" s="107" t="s">
        <v>351</v>
      </c>
      <c r="C180" s="107" t="s">
        <v>352</v>
      </c>
      <c r="D180" s="107" t="s">
        <v>353</v>
      </c>
      <c r="E180">
        <v>1712</v>
      </c>
      <c r="F180" s="107" t="s">
        <v>586</v>
      </c>
      <c r="G180" s="107" t="s">
        <v>354</v>
      </c>
      <c r="H180" s="107" t="s">
        <v>388</v>
      </c>
      <c r="I180" s="107">
        <v>168</v>
      </c>
      <c r="J180" s="107"/>
    </row>
    <row r="181" spans="1:10">
      <c r="A181" s="107" t="s">
        <v>585</v>
      </c>
      <c r="B181" s="107" t="s">
        <v>351</v>
      </c>
      <c r="C181" s="107" t="s">
        <v>352</v>
      </c>
      <c r="D181" s="107" t="s">
        <v>353</v>
      </c>
      <c r="E181">
        <v>9793</v>
      </c>
      <c r="F181" s="107" t="s">
        <v>587</v>
      </c>
      <c r="G181" s="107" t="s">
        <v>354</v>
      </c>
      <c r="H181" s="107" t="s">
        <v>359</v>
      </c>
      <c r="I181" s="107" t="s">
        <v>409</v>
      </c>
      <c r="J181" s="107" t="s">
        <v>1046</v>
      </c>
    </row>
    <row r="182" spans="1:10">
      <c r="A182" s="107" t="s">
        <v>588</v>
      </c>
      <c r="B182" s="107" t="s">
        <v>351</v>
      </c>
      <c r="C182" s="107" t="s">
        <v>363</v>
      </c>
      <c r="D182" s="107" t="s">
        <v>353</v>
      </c>
      <c r="E182">
        <v>2792</v>
      </c>
      <c r="F182" s="107" t="s">
        <v>589</v>
      </c>
      <c r="G182" s="107" t="s">
        <v>354</v>
      </c>
      <c r="H182" s="107" t="s">
        <v>364</v>
      </c>
      <c r="I182" s="107">
        <v>395</v>
      </c>
      <c r="J182" s="107"/>
    </row>
    <row r="183" spans="1:10">
      <c r="A183" s="107" t="s">
        <v>590</v>
      </c>
      <c r="B183" s="107" t="s">
        <v>351</v>
      </c>
      <c r="C183" s="107" t="s">
        <v>352</v>
      </c>
      <c r="D183" s="107" t="s">
        <v>353</v>
      </c>
      <c r="E183">
        <v>4714</v>
      </c>
      <c r="F183" s="107" t="s">
        <v>591</v>
      </c>
      <c r="G183" s="107" t="s">
        <v>354</v>
      </c>
      <c r="H183" s="107" t="s">
        <v>359</v>
      </c>
      <c r="I183">
        <v>636</v>
      </c>
    </row>
    <row r="184" spans="1:10">
      <c r="A184" s="107" t="s">
        <v>592</v>
      </c>
      <c r="B184" s="107" t="s">
        <v>351</v>
      </c>
      <c r="C184" s="107" t="s">
        <v>361</v>
      </c>
      <c r="D184" s="107" t="s">
        <v>353</v>
      </c>
      <c r="E184">
        <v>2809</v>
      </c>
      <c r="F184" s="107" t="s">
        <v>593</v>
      </c>
      <c r="G184" s="107" t="s">
        <v>354</v>
      </c>
      <c r="H184" s="107" t="s">
        <v>355</v>
      </c>
      <c r="I184" s="107" t="s">
        <v>594</v>
      </c>
      <c r="J184" s="107" t="s">
        <v>1047</v>
      </c>
    </row>
    <row r="185" spans="1:10">
      <c r="A185" s="107" t="s">
        <v>592</v>
      </c>
      <c r="B185" s="107" t="s">
        <v>351</v>
      </c>
      <c r="C185" s="107" t="s">
        <v>356</v>
      </c>
      <c r="D185" s="107" t="s">
        <v>353</v>
      </c>
      <c r="E185">
        <v>2927</v>
      </c>
      <c r="F185" s="107" t="s">
        <v>595</v>
      </c>
      <c r="G185" s="107" t="s">
        <v>358</v>
      </c>
      <c r="H185" s="107" t="s">
        <v>355</v>
      </c>
      <c r="I185" s="107">
        <v>94</v>
      </c>
      <c r="J185" s="107"/>
    </row>
    <row r="186" spans="1:10">
      <c r="A186" s="107" t="s">
        <v>592</v>
      </c>
      <c r="B186" s="107" t="s">
        <v>351</v>
      </c>
      <c r="C186" s="107" t="s">
        <v>352</v>
      </c>
      <c r="D186" s="107" t="s">
        <v>353</v>
      </c>
      <c r="E186">
        <v>3396</v>
      </c>
      <c r="F186" s="107" t="s">
        <v>596</v>
      </c>
      <c r="G186" s="107" t="s">
        <v>354</v>
      </c>
      <c r="H186" s="107" t="s">
        <v>364</v>
      </c>
      <c r="I186" s="107">
        <v>103</v>
      </c>
      <c r="J186" s="107"/>
    </row>
    <row r="187" spans="1:10">
      <c r="A187" s="107" t="s">
        <v>592</v>
      </c>
      <c r="B187" s="107" t="s">
        <v>351</v>
      </c>
      <c r="C187" s="107" t="s">
        <v>363</v>
      </c>
      <c r="D187" s="107" t="s">
        <v>353</v>
      </c>
      <c r="E187">
        <v>8908</v>
      </c>
      <c r="F187" s="107" t="s">
        <v>597</v>
      </c>
      <c r="G187" s="107" t="s">
        <v>354</v>
      </c>
      <c r="H187" s="107" t="s">
        <v>380</v>
      </c>
      <c r="I187" s="107">
        <v>151</v>
      </c>
      <c r="J187" s="107"/>
    </row>
    <row r="188" spans="1:10">
      <c r="A188" s="107" t="s">
        <v>592</v>
      </c>
      <c r="B188" s="107" t="s">
        <v>351</v>
      </c>
      <c r="C188" s="107" t="s">
        <v>356</v>
      </c>
      <c r="D188" s="107" t="s">
        <v>353</v>
      </c>
      <c r="E188">
        <v>9983</v>
      </c>
      <c r="F188" s="107" t="s">
        <v>598</v>
      </c>
      <c r="G188" s="107" t="s">
        <v>354</v>
      </c>
      <c r="H188" s="107" t="s">
        <v>364</v>
      </c>
      <c r="I188" s="107" t="s">
        <v>1048</v>
      </c>
      <c r="J188" s="107" t="s">
        <v>1049</v>
      </c>
    </row>
    <row r="189" spans="1:10">
      <c r="A189" s="107" t="s">
        <v>599</v>
      </c>
      <c r="B189" s="107" t="s">
        <v>574</v>
      </c>
      <c r="C189" s="107" t="s">
        <v>352</v>
      </c>
      <c r="D189" s="107" t="s">
        <v>353</v>
      </c>
      <c r="E189">
        <v>3093</v>
      </c>
      <c r="F189" s="107" t="s">
        <v>1050</v>
      </c>
      <c r="G189" s="107" t="s">
        <v>354</v>
      </c>
      <c r="H189" s="107" t="s">
        <v>364</v>
      </c>
      <c r="I189" s="107">
        <v>131</v>
      </c>
      <c r="J189" s="107"/>
    </row>
    <row r="190" spans="1:10">
      <c r="A190" s="107" t="s">
        <v>599</v>
      </c>
      <c r="B190" s="107" t="s">
        <v>574</v>
      </c>
      <c r="C190" s="107" t="s">
        <v>363</v>
      </c>
      <c r="D190" s="107" t="s">
        <v>353</v>
      </c>
      <c r="E190">
        <v>6567</v>
      </c>
      <c r="F190" s="107" t="s">
        <v>600</v>
      </c>
      <c r="G190" s="107" t="s">
        <v>366</v>
      </c>
      <c r="H190" s="107" t="s">
        <v>359</v>
      </c>
      <c r="I190">
        <v>22</v>
      </c>
    </row>
    <row r="191" spans="1:10">
      <c r="A191" s="107" t="s">
        <v>599</v>
      </c>
      <c r="B191" s="107" t="s">
        <v>351</v>
      </c>
      <c r="C191" s="107" t="s">
        <v>352</v>
      </c>
      <c r="D191" s="107" t="s">
        <v>353</v>
      </c>
      <c r="E191">
        <v>2337</v>
      </c>
      <c r="F191" s="107" t="s">
        <v>1051</v>
      </c>
      <c r="G191" s="107" t="s">
        <v>354</v>
      </c>
      <c r="H191" s="107" t="s">
        <v>380</v>
      </c>
      <c r="I191" s="107" t="s">
        <v>377</v>
      </c>
      <c r="J191" s="107" t="s">
        <v>1052</v>
      </c>
    </row>
    <row r="192" spans="1:10">
      <c r="A192" s="107" t="s">
        <v>599</v>
      </c>
      <c r="B192" s="107" t="s">
        <v>351</v>
      </c>
      <c r="C192" s="107" t="s">
        <v>352</v>
      </c>
      <c r="D192" s="107" t="s">
        <v>353</v>
      </c>
      <c r="E192">
        <v>2338</v>
      </c>
      <c r="F192" s="107" t="s">
        <v>601</v>
      </c>
      <c r="G192" s="107" t="s">
        <v>362</v>
      </c>
      <c r="H192" s="107" t="s">
        <v>365</v>
      </c>
      <c r="I192" s="107">
        <v>26</v>
      </c>
      <c r="J192" s="107"/>
    </row>
    <row r="193" spans="1:10">
      <c r="A193" s="107" t="s">
        <v>599</v>
      </c>
      <c r="B193" s="107" t="s">
        <v>351</v>
      </c>
      <c r="C193" s="107" t="s">
        <v>352</v>
      </c>
      <c r="D193" s="107" t="s">
        <v>353</v>
      </c>
      <c r="E193">
        <v>2651</v>
      </c>
      <c r="F193" s="107" t="s">
        <v>602</v>
      </c>
      <c r="G193" s="107" t="s">
        <v>354</v>
      </c>
      <c r="H193" s="107" t="s">
        <v>364</v>
      </c>
      <c r="I193" s="107" t="s">
        <v>564</v>
      </c>
      <c r="J193" s="107" t="s">
        <v>970</v>
      </c>
    </row>
    <row r="194" spans="1:10">
      <c r="A194" s="107" t="s">
        <v>599</v>
      </c>
      <c r="B194" s="107" t="s">
        <v>351</v>
      </c>
      <c r="C194" s="107" t="s">
        <v>352</v>
      </c>
      <c r="D194" s="107" t="s">
        <v>357</v>
      </c>
      <c r="E194">
        <v>2706</v>
      </c>
      <c r="F194" s="107" t="s">
        <v>603</v>
      </c>
      <c r="G194" s="107" t="s">
        <v>358</v>
      </c>
      <c r="H194" s="107" t="s">
        <v>376</v>
      </c>
      <c r="I194" s="107">
        <v>117</v>
      </c>
      <c r="J194" s="107"/>
    </row>
    <row r="195" spans="1:10">
      <c r="A195" s="107" t="s">
        <v>599</v>
      </c>
      <c r="B195" s="107" t="s">
        <v>351</v>
      </c>
      <c r="C195" s="107" t="s">
        <v>363</v>
      </c>
      <c r="D195" s="107" t="s">
        <v>353</v>
      </c>
      <c r="E195">
        <v>3349</v>
      </c>
      <c r="F195" s="107" t="s">
        <v>1053</v>
      </c>
      <c r="G195" s="107" t="s">
        <v>354</v>
      </c>
      <c r="H195" s="107" t="s">
        <v>364</v>
      </c>
      <c r="I195" s="107" t="s">
        <v>505</v>
      </c>
      <c r="J195" s="107" t="s">
        <v>1054</v>
      </c>
    </row>
    <row r="196" spans="1:10">
      <c r="A196" s="107" t="s">
        <v>599</v>
      </c>
      <c r="B196" s="107" t="s">
        <v>351</v>
      </c>
      <c r="C196" s="107" t="s">
        <v>352</v>
      </c>
      <c r="D196" s="107" t="s">
        <v>353</v>
      </c>
      <c r="E196">
        <v>3546</v>
      </c>
      <c r="F196" s="107" t="s">
        <v>604</v>
      </c>
      <c r="G196" s="107" t="s">
        <v>354</v>
      </c>
      <c r="H196" s="107" t="s">
        <v>364</v>
      </c>
      <c r="I196" s="107">
        <v>266</v>
      </c>
      <c r="J196" s="107"/>
    </row>
    <row r="197" spans="1:10">
      <c r="A197" s="107" t="s">
        <v>599</v>
      </c>
      <c r="B197" s="107" t="s">
        <v>351</v>
      </c>
      <c r="C197" s="107" t="s">
        <v>352</v>
      </c>
      <c r="D197" s="107" t="s">
        <v>353</v>
      </c>
      <c r="E197">
        <v>3922</v>
      </c>
      <c r="F197" s="107" t="s">
        <v>605</v>
      </c>
      <c r="G197" s="107" t="s">
        <v>354</v>
      </c>
      <c r="H197" s="107" t="s">
        <v>365</v>
      </c>
      <c r="I197">
        <v>157</v>
      </c>
    </row>
    <row r="198" spans="1:10">
      <c r="A198" s="107" t="s">
        <v>599</v>
      </c>
      <c r="B198" s="107" t="s">
        <v>351</v>
      </c>
      <c r="C198" s="107" t="s">
        <v>352</v>
      </c>
      <c r="D198" s="107" t="s">
        <v>353</v>
      </c>
      <c r="E198">
        <v>4530</v>
      </c>
      <c r="F198" s="107" t="s">
        <v>1055</v>
      </c>
      <c r="G198" s="107" t="s">
        <v>354</v>
      </c>
      <c r="H198" s="107" t="s">
        <v>476</v>
      </c>
      <c r="I198" s="107" t="s">
        <v>505</v>
      </c>
      <c r="J198" s="107" t="s">
        <v>1056</v>
      </c>
    </row>
    <row r="199" spans="1:10">
      <c r="A199" s="107" t="s">
        <v>599</v>
      </c>
      <c r="B199" s="107" t="s">
        <v>351</v>
      </c>
      <c r="C199" s="107" t="s">
        <v>363</v>
      </c>
      <c r="D199" s="107" t="s">
        <v>353</v>
      </c>
      <c r="E199">
        <v>4829</v>
      </c>
      <c r="F199" s="107" t="s">
        <v>606</v>
      </c>
      <c r="G199" s="107" t="s">
        <v>354</v>
      </c>
      <c r="H199" s="107" t="s">
        <v>365</v>
      </c>
      <c r="I199" s="107">
        <v>92</v>
      </c>
      <c r="J199" s="107"/>
    </row>
    <row r="200" spans="1:10">
      <c r="A200" s="107" t="s">
        <v>599</v>
      </c>
      <c r="B200" s="107" t="s">
        <v>351</v>
      </c>
      <c r="C200" s="107" t="s">
        <v>352</v>
      </c>
      <c r="D200" s="107" t="s">
        <v>353</v>
      </c>
      <c r="E200">
        <v>6058</v>
      </c>
      <c r="F200" s="107" t="s">
        <v>607</v>
      </c>
      <c r="G200" s="107" t="s">
        <v>354</v>
      </c>
      <c r="H200" s="107" t="s">
        <v>359</v>
      </c>
      <c r="I200">
        <v>551</v>
      </c>
    </row>
    <row r="201" spans="1:10">
      <c r="A201" s="107" t="s">
        <v>599</v>
      </c>
      <c r="B201" s="107" t="s">
        <v>351</v>
      </c>
      <c r="C201" s="107" t="s">
        <v>361</v>
      </c>
      <c r="D201" s="107" t="s">
        <v>353</v>
      </c>
      <c r="E201">
        <v>6492</v>
      </c>
      <c r="F201" s="107" t="s">
        <v>608</v>
      </c>
      <c r="G201" s="107" t="s">
        <v>362</v>
      </c>
      <c r="H201" s="107" t="s">
        <v>375</v>
      </c>
      <c r="I201" s="107">
        <v>35</v>
      </c>
      <c r="J201" s="107"/>
    </row>
    <row r="202" spans="1:10">
      <c r="A202" s="107" t="s">
        <v>599</v>
      </c>
      <c r="B202" s="107" t="s">
        <v>351</v>
      </c>
      <c r="C202" s="107" t="s">
        <v>352</v>
      </c>
      <c r="D202" s="107" t="s">
        <v>357</v>
      </c>
      <c r="E202">
        <v>6532</v>
      </c>
      <c r="F202" s="107" t="s">
        <v>609</v>
      </c>
      <c r="G202" s="107" t="s">
        <v>354</v>
      </c>
      <c r="H202" s="107" t="s">
        <v>359</v>
      </c>
      <c r="I202">
        <v>914</v>
      </c>
    </row>
    <row r="203" spans="1:10">
      <c r="A203" s="107" t="s">
        <v>599</v>
      </c>
      <c r="B203" s="107" t="s">
        <v>351</v>
      </c>
      <c r="C203" s="107" t="s">
        <v>363</v>
      </c>
      <c r="D203" s="107" t="s">
        <v>353</v>
      </c>
      <c r="E203">
        <v>7420</v>
      </c>
      <c r="F203" s="107" t="s">
        <v>1057</v>
      </c>
      <c r="G203" s="107" t="s">
        <v>354</v>
      </c>
      <c r="H203" s="107" t="s">
        <v>360</v>
      </c>
      <c r="I203">
        <v>165</v>
      </c>
    </row>
    <row r="204" spans="1:10">
      <c r="A204" s="107" t="s">
        <v>599</v>
      </c>
      <c r="B204" s="107" t="s">
        <v>351</v>
      </c>
      <c r="C204" s="107" t="s">
        <v>352</v>
      </c>
      <c r="D204" s="107" t="s">
        <v>353</v>
      </c>
      <c r="E204">
        <v>7453</v>
      </c>
      <c r="F204" s="107" t="s">
        <v>1058</v>
      </c>
      <c r="G204" s="107" t="s">
        <v>354</v>
      </c>
      <c r="H204" s="107" t="s">
        <v>364</v>
      </c>
      <c r="I204" s="107" t="s">
        <v>564</v>
      </c>
      <c r="J204" s="107" t="s">
        <v>1059</v>
      </c>
    </row>
    <row r="205" spans="1:10">
      <c r="A205" s="107" t="s">
        <v>599</v>
      </c>
      <c r="B205" s="107" t="s">
        <v>351</v>
      </c>
      <c r="C205" s="107" t="s">
        <v>363</v>
      </c>
      <c r="D205" s="107" t="s">
        <v>353</v>
      </c>
      <c r="E205">
        <v>7713</v>
      </c>
      <c r="F205" s="107" t="s">
        <v>1060</v>
      </c>
      <c r="G205" s="107" t="s">
        <v>358</v>
      </c>
      <c r="H205" s="107" t="s">
        <v>621</v>
      </c>
      <c r="I205" s="107">
        <v>139</v>
      </c>
      <c r="J205" s="107"/>
    </row>
    <row r="206" spans="1:10">
      <c r="A206" s="107" t="s">
        <v>599</v>
      </c>
      <c r="B206" s="107" t="s">
        <v>351</v>
      </c>
      <c r="C206" s="107" t="s">
        <v>361</v>
      </c>
      <c r="D206" s="107" t="s">
        <v>353</v>
      </c>
      <c r="E206">
        <v>8923</v>
      </c>
      <c r="F206" s="107" t="s">
        <v>610</v>
      </c>
      <c r="G206" s="107" t="s">
        <v>354</v>
      </c>
      <c r="H206" s="107" t="s">
        <v>380</v>
      </c>
      <c r="I206" s="107">
        <v>704</v>
      </c>
      <c r="J206" s="107"/>
    </row>
    <row r="207" spans="1:10">
      <c r="A207" s="107" t="s">
        <v>599</v>
      </c>
      <c r="B207" s="107" t="s">
        <v>351</v>
      </c>
      <c r="C207" s="107" t="s">
        <v>352</v>
      </c>
      <c r="D207" s="107" t="s">
        <v>353</v>
      </c>
      <c r="E207">
        <v>9381</v>
      </c>
      <c r="F207" s="107" t="s">
        <v>1061</v>
      </c>
      <c r="G207" s="107" t="s">
        <v>354</v>
      </c>
      <c r="H207" s="107" t="s">
        <v>871</v>
      </c>
      <c r="I207">
        <v>227</v>
      </c>
    </row>
    <row r="208" spans="1:10">
      <c r="A208" s="107" t="s">
        <v>611</v>
      </c>
      <c r="B208" s="107" t="s">
        <v>1062</v>
      </c>
      <c r="C208" s="107" t="s">
        <v>352</v>
      </c>
      <c r="D208" s="107" t="s">
        <v>357</v>
      </c>
      <c r="E208">
        <v>3415</v>
      </c>
      <c r="F208" s="107" t="s">
        <v>1063</v>
      </c>
      <c r="G208" s="107" t="s">
        <v>354</v>
      </c>
      <c r="H208" s="107" t="s">
        <v>364</v>
      </c>
      <c r="I208" s="107">
        <v>339</v>
      </c>
      <c r="J208" s="107"/>
    </row>
    <row r="209" spans="1:10">
      <c r="A209" s="107" t="s">
        <v>611</v>
      </c>
      <c r="B209" s="107" t="s">
        <v>351</v>
      </c>
      <c r="C209" s="107" t="s">
        <v>361</v>
      </c>
      <c r="D209" s="107" t="s">
        <v>353</v>
      </c>
      <c r="E209">
        <v>2471</v>
      </c>
      <c r="F209" s="107" t="s">
        <v>612</v>
      </c>
      <c r="G209" s="107" t="s">
        <v>354</v>
      </c>
      <c r="H209" s="107" t="s">
        <v>359</v>
      </c>
      <c r="I209" s="107">
        <v>576</v>
      </c>
      <c r="J209" s="107"/>
    </row>
    <row r="210" spans="1:10">
      <c r="A210" s="107" t="s">
        <v>611</v>
      </c>
      <c r="B210" s="107" t="s">
        <v>351</v>
      </c>
      <c r="C210" s="107" t="s">
        <v>352</v>
      </c>
      <c r="D210" s="107" t="s">
        <v>357</v>
      </c>
      <c r="E210">
        <v>2930</v>
      </c>
      <c r="F210" s="107" t="s">
        <v>613</v>
      </c>
      <c r="G210" s="107" t="s">
        <v>354</v>
      </c>
      <c r="H210" s="107" t="s">
        <v>355</v>
      </c>
      <c r="I210" s="107" t="s">
        <v>409</v>
      </c>
      <c r="J210" s="107" t="s">
        <v>1064</v>
      </c>
    </row>
    <row r="211" spans="1:10">
      <c r="A211" s="107" t="s">
        <v>611</v>
      </c>
      <c r="B211" s="107" t="s">
        <v>351</v>
      </c>
      <c r="C211" s="107" t="s">
        <v>352</v>
      </c>
      <c r="D211" s="107" t="s">
        <v>357</v>
      </c>
      <c r="E211">
        <v>3030</v>
      </c>
      <c r="F211" s="107" t="s">
        <v>614</v>
      </c>
      <c r="G211" s="107" t="s">
        <v>354</v>
      </c>
      <c r="H211" s="107" t="s">
        <v>364</v>
      </c>
      <c r="I211" s="107">
        <v>116</v>
      </c>
      <c r="J211" s="107"/>
    </row>
    <row r="212" spans="1:10">
      <c r="A212" s="107" t="s">
        <v>611</v>
      </c>
      <c r="B212" s="107" t="s">
        <v>351</v>
      </c>
      <c r="C212" s="107" t="s">
        <v>352</v>
      </c>
      <c r="D212" s="107" t="s">
        <v>353</v>
      </c>
      <c r="E212">
        <v>3479</v>
      </c>
      <c r="F212" s="107" t="s">
        <v>615</v>
      </c>
      <c r="G212" s="107" t="s">
        <v>366</v>
      </c>
      <c r="H212" s="107" t="s">
        <v>380</v>
      </c>
      <c r="I212" s="107" t="s">
        <v>409</v>
      </c>
      <c r="J212" s="107" t="s">
        <v>1065</v>
      </c>
    </row>
    <row r="213" spans="1:10">
      <c r="A213" s="107" t="s">
        <v>611</v>
      </c>
      <c r="B213" s="107" t="s">
        <v>351</v>
      </c>
      <c r="C213" s="107" t="s">
        <v>352</v>
      </c>
      <c r="D213" s="107" t="s">
        <v>353</v>
      </c>
      <c r="E213">
        <v>3562</v>
      </c>
      <c r="F213" s="107" t="s">
        <v>616</v>
      </c>
      <c r="G213" s="107" t="s">
        <v>358</v>
      </c>
      <c r="H213" s="107" t="s">
        <v>360</v>
      </c>
      <c r="I213" s="107">
        <v>38</v>
      </c>
      <c r="J213" s="107"/>
    </row>
    <row r="214" spans="1:10">
      <c r="A214" s="107" t="s">
        <v>611</v>
      </c>
      <c r="B214" s="107" t="s">
        <v>351</v>
      </c>
      <c r="C214" s="107" t="s">
        <v>352</v>
      </c>
      <c r="D214" s="107" t="s">
        <v>353</v>
      </c>
      <c r="E214">
        <v>3678</v>
      </c>
      <c r="F214" s="107" t="s">
        <v>617</v>
      </c>
      <c r="G214" s="107" t="s">
        <v>354</v>
      </c>
      <c r="H214" s="107" t="s">
        <v>365</v>
      </c>
      <c r="I214">
        <v>541</v>
      </c>
    </row>
    <row r="215" spans="1:10">
      <c r="A215" s="107" t="s">
        <v>611</v>
      </c>
      <c r="B215" s="107" t="s">
        <v>351</v>
      </c>
      <c r="C215" s="107" t="s">
        <v>356</v>
      </c>
      <c r="D215" s="107" t="s">
        <v>353</v>
      </c>
      <c r="E215">
        <v>4668</v>
      </c>
      <c r="F215" s="107" t="s">
        <v>618</v>
      </c>
      <c r="G215" s="107" t="s">
        <v>354</v>
      </c>
      <c r="H215" s="107" t="s">
        <v>359</v>
      </c>
      <c r="I215" s="107">
        <v>286</v>
      </c>
      <c r="J215" s="107"/>
    </row>
    <row r="216" spans="1:10">
      <c r="A216" s="107" t="s">
        <v>611</v>
      </c>
      <c r="B216" s="107" t="s">
        <v>351</v>
      </c>
      <c r="C216" s="107" t="s">
        <v>352</v>
      </c>
      <c r="D216" s="107" t="s">
        <v>353</v>
      </c>
      <c r="E216">
        <v>6814</v>
      </c>
      <c r="F216" s="107" t="s">
        <v>619</v>
      </c>
      <c r="G216" s="107" t="s">
        <v>354</v>
      </c>
      <c r="H216" s="107" t="s">
        <v>379</v>
      </c>
      <c r="I216" s="107">
        <v>420</v>
      </c>
      <c r="J216" s="107"/>
    </row>
    <row r="217" spans="1:10">
      <c r="A217" s="107" t="s">
        <v>611</v>
      </c>
      <c r="B217" s="107" t="s">
        <v>351</v>
      </c>
      <c r="C217" s="107" t="s">
        <v>352</v>
      </c>
      <c r="D217" s="107" t="s">
        <v>353</v>
      </c>
      <c r="E217">
        <v>7719</v>
      </c>
      <c r="F217" s="107" t="s">
        <v>620</v>
      </c>
      <c r="G217" s="107" t="s">
        <v>362</v>
      </c>
      <c r="H217" s="107" t="s">
        <v>621</v>
      </c>
      <c r="I217">
        <v>18</v>
      </c>
    </row>
    <row r="218" spans="1:10">
      <c r="A218" s="107" t="s">
        <v>611</v>
      </c>
      <c r="B218" s="107" t="s">
        <v>351</v>
      </c>
      <c r="C218" s="107" t="s">
        <v>352</v>
      </c>
      <c r="D218" s="107" t="s">
        <v>353</v>
      </c>
      <c r="E218">
        <v>9602</v>
      </c>
      <c r="F218" s="107" t="s">
        <v>622</v>
      </c>
      <c r="G218" s="107" t="s">
        <v>354</v>
      </c>
      <c r="H218" s="107" t="s">
        <v>365</v>
      </c>
      <c r="I218" s="107" t="s">
        <v>623</v>
      </c>
      <c r="J218" s="107" t="s">
        <v>1000</v>
      </c>
    </row>
    <row r="219" spans="1:10">
      <c r="A219" s="107" t="s">
        <v>611</v>
      </c>
      <c r="B219" s="107" t="s">
        <v>351</v>
      </c>
      <c r="C219" s="107" t="s">
        <v>352</v>
      </c>
      <c r="D219" s="107" t="s">
        <v>353</v>
      </c>
      <c r="E219">
        <v>9945</v>
      </c>
      <c r="F219" s="107" t="s">
        <v>1066</v>
      </c>
      <c r="G219" s="107" t="s">
        <v>354</v>
      </c>
      <c r="H219" s="107" t="s">
        <v>364</v>
      </c>
      <c r="I219" s="107">
        <v>854</v>
      </c>
      <c r="J219" s="107"/>
    </row>
    <row r="220" spans="1:10">
      <c r="A220" s="107" t="s">
        <v>624</v>
      </c>
      <c r="B220" s="107" t="s">
        <v>351</v>
      </c>
      <c r="C220" s="107" t="s">
        <v>361</v>
      </c>
      <c r="D220" s="107" t="s">
        <v>353</v>
      </c>
      <c r="E220">
        <v>3907</v>
      </c>
      <c r="F220" s="107" t="s">
        <v>625</v>
      </c>
      <c r="G220" s="107" t="s">
        <v>366</v>
      </c>
      <c r="H220" s="107" t="s">
        <v>365</v>
      </c>
      <c r="I220">
        <v>52</v>
      </c>
    </row>
    <row r="221" spans="1:10">
      <c r="A221" s="107" t="s">
        <v>624</v>
      </c>
      <c r="B221" s="107" t="s">
        <v>351</v>
      </c>
      <c r="C221" s="107" t="s">
        <v>352</v>
      </c>
      <c r="D221" s="107" t="s">
        <v>353</v>
      </c>
      <c r="E221">
        <v>6578</v>
      </c>
      <c r="F221" s="107" t="s">
        <v>626</v>
      </c>
      <c r="G221" s="107" t="s">
        <v>362</v>
      </c>
      <c r="H221" s="107" t="s">
        <v>359</v>
      </c>
      <c r="I221">
        <v>28</v>
      </c>
    </row>
    <row r="222" spans="1:10">
      <c r="A222" s="107" t="s">
        <v>624</v>
      </c>
      <c r="B222" s="107" t="s">
        <v>351</v>
      </c>
      <c r="C222" s="107" t="s">
        <v>352</v>
      </c>
      <c r="D222" s="107" t="s">
        <v>357</v>
      </c>
      <c r="E222">
        <v>7610</v>
      </c>
      <c r="F222" s="107" t="s">
        <v>627</v>
      </c>
      <c r="G222" s="107" t="s">
        <v>358</v>
      </c>
      <c r="H222" s="107" t="s">
        <v>364</v>
      </c>
      <c r="I222">
        <v>24</v>
      </c>
    </row>
    <row r="223" spans="1:10">
      <c r="A223" s="107" t="s">
        <v>628</v>
      </c>
      <c r="B223" s="107" t="s">
        <v>351</v>
      </c>
      <c r="C223" s="107" t="s">
        <v>361</v>
      </c>
      <c r="D223" s="107" t="s">
        <v>357</v>
      </c>
      <c r="E223">
        <v>3279</v>
      </c>
      <c r="F223" s="107" t="s">
        <v>629</v>
      </c>
      <c r="G223" s="107" t="s">
        <v>441</v>
      </c>
      <c r="H223" s="107" t="s">
        <v>442</v>
      </c>
      <c r="I223" s="107" t="s">
        <v>505</v>
      </c>
      <c r="J223" s="107" t="s">
        <v>1067</v>
      </c>
    </row>
    <row r="224" spans="1:10">
      <c r="A224" s="107" t="s">
        <v>628</v>
      </c>
      <c r="B224" s="107" t="s">
        <v>351</v>
      </c>
      <c r="C224" s="107" t="s">
        <v>361</v>
      </c>
      <c r="D224" s="107" t="s">
        <v>353</v>
      </c>
      <c r="E224">
        <v>6634</v>
      </c>
      <c r="F224" s="107" t="s">
        <v>630</v>
      </c>
      <c r="G224" s="107" t="s">
        <v>358</v>
      </c>
      <c r="H224" s="107" t="s">
        <v>379</v>
      </c>
      <c r="I224" s="107">
        <v>31</v>
      </c>
      <c r="J224" s="107"/>
    </row>
    <row r="225" spans="1:10">
      <c r="A225" s="107" t="s">
        <v>628</v>
      </c>
      <c r="B225" s="107" t="s">
        <v>351</v>
      </c>
      <c r="C225" s="107" t="s">
        <v>361</v>
      </c>
      <c r="D225" s="107" t="s">
        <v>357</v>
      </c>
      <c r="E225">
        <v>7501</v>
      </c>
      <c r="F225" s="107" t="s">
        <v>631</v>
      </c>
      <c r="G225" s="107" t="s">
        <v>358</v>
      </c>
      <c r="H225" s="107" t="s">
        <v>360</v>
      </c>
      <c r="I225">
        <v>19</v>
      </c>
    </row>
    <row r="226" spans="1:10">
      <c r="A226" s="107" t="s">
        <v>632</v>
      </c>
      <c r="B226" s="107" t="s">
        <v>351</v>
      </c>
      <c r="C226" s="107" t="s">
        <v>352</v>
      </c>
      <c r="D226" s="107" t="s">
        <v>353</v>
      </c>
      <c r="E226">
        <v>6146</v>
      </c>
      <c r="F226" s="107" t="s">
        <v>633</v>
      </c>
      <c r="G226" s="107" t="s">
        <v>354</v>
      </c>
      <c r="H226" s="107" t="s">
        <v>375</v>
      </c>
      <c r="I226" s="107" t="s">
        <v>623</v>
      </c>
      <c r="J226" s="107" t="s">
        <v>1068</v>
      </c>
    </row>
    <row r="227" spans="1:10">
      <c r="A227" s="107" t="s">
        <v>632</v>
      </c>
      <c r="B227" s="107" t="s">
        <v>351</v>
      </c>
      <c r="C227" s="107" t="s">
        <v>361</v>
      </c>
      <c r="D227" s="107" t="s">
        <v>357</v>
      </c>
      <c r="E227">
        <v>8977</v>
      </c>
      <c r="F227" s="107" t="s">
        <v>1069</v>
      </c>
      <c r="G227" s="107" t="s">
        <v>441</v>
      </c>
      <c r="H227" s="107" t="s">
        <v>442</v>
      </c>
      <c r="I227" s="107" t="s">
        <v>409</v>
      </c>
      <c r="J227" s="107" t="s">
        <v>1070</v>
      </c>
    </row>
    <row r="228" spans="1:10">
      <c r="A228" s="107" t="s">
        <v>634</v>
      </c>
      <c r="B228" s="107" t="s">
        <v>351</v>
      </c>
      <c r="C228" s="107" t="s">
        <v>352</v>
      </c>
      <c r="D228" s="107" t="s">
        <v>353</v>
      </c>
      <c r="E228">
        <v>9433</v>
      </c>
      <c r="F228" s="107" t="s">
        <v>635</v>
      </c>
      <c r="G228" s="107" t="s">
        <v>354</v>
      </c>
      <c r="H228" s="107" t="s">
        <v>365</v>
      </c>
      <c r="I228" s="107" t="s">
        <v>636</v>
      </c>
      <c r="J228" s="107" t="s">
        <v>1071</v>
      </c>
    </row>
    <row r="229" spans="1:10">
      <c r="A229" s="107" t="s">
        <v>637</v>
      </c>
      <c r="B229" s="107" t="s">
        <v>574</v>
      </c>
      <c r="C229" s="107" t="s">
        <v>352</v>
      </c>
      <c r="D229" s="107" t="s">
        <v>357</v>
      </c>
      <c r="E229">
        <v>4973</v>
      </c>
      <c r="F229" s="107" t="s">
        <v>638</v>
      </c>
      <c r="G229" s="107" t="s">
        <v>354</v>
      </c>
      <c r="H229" s="107" t="s">
        <v>367</v>
      </c>
      <c r="I229" s="107">
        <v>165</v>
      </c>
      <c r="J229" s="107"/>
    </row>
    <row r="230" spans="1:10">
      <c r="A230" s="107" t="s">
        <v>639</v>
      </c>
      <c r="B230" s="107" t="s">
        <v>351</v>
      </c>
      <c r="C230" s="107" t="s">
        <v>352</v>
      </c>
      <c r="D230" s="107" t="s">
        <v>353</v>
      </c>
      <c r="E230">
        <v>4462</v>
      </c>
      <c r="F230" s="107" t="s">
        <v>640</v>
      </c>
      <c r="G230" s="107" t="s">
        <v>354</v>
      </c>
      <c r="H230" s="107" t="s">
        <v>367</v>
      </c>
      <c r="I230">
        <v>155</v>
      </c>
    </row>
    <row r="231" spans="1:10">
      <c r="A231" s="107" t="s">
        <v>641</v>
      </c>
      <c r="B231" s="107" t="s">
        <v>351</v>
      </c>
      <c r="C231" s="107" t="s">
        <v>352</v>
      </c>
      <c r="D231" s="107" t="s">
        <v>353</v>
      </c>
      <c r="E231">
        <v>9039</v>
      </c>
      <c r="F231" s="107" t="s">
        <v>642</v>
      </c>
      <c r="G231" s="107" t="s">
        <v>354</v>
      </c>
      <c r="H231" s="107" t="s">
        <v>643</v>
      </c>
      <c r="I231" s="107" t="s">
        <v>409</v>
      </c>
      <c r="J231" s="107" t="s">
        <v>1072</v>
      </c>
    </row>
    <row r="232" spans="1:10">
      <c r="A232" s="107" t="s">
        <v>644</v>
      </c>
      <c r="B232" s="107" t="s">
        <v>1073</v>
      </c>
      <c r="C232" s="107" t="s">
        <v>352</v>
      </c>
      <c r="D232" s="107" t="s">
        <v>353</v>
      </c>
      <c r="E232">
        <v>6470</v>
      </c>
      <c r="F232" s="107" t="s">
        <v>1074</v>
      </c>
      <c r="G232" s="107" t="s">
        <v>354</v>
      </c>
      <c r="H232" s="107" t="s">
        <v>375</v>
      </c>
      <c r="I232" s="107">
        <v>249</v>
      </c>
      <c r="J232" s="107"/>
    </row>
    <row r="233" spans="1:10">
      <c r="A233" s="107" t="s">
        <v>644</v>
      </c>
      <c r="B233" s="107" t="s">
        <v>574</v>
      </c>
      <c r="C233" s="107" t="s">
        <v>352</v>
      </c>
      <c r="D233" s="107" t="s">
        <v>353</v>
      </c>
      <c r="E233">
        <v>2802</v>
      </c>
      <c r="F233" s="107" t="s">
        <v>1075</v>
      </c>
      <c r="G233" s="107" t="s">
        <v>354</v>
      </c>
      <c r="H233" s="107" t="s">
        <v>355</v>
      </c>
      <c r="I233" s="107" t="s">
        <v>646</v>
      </c>
      <c r="J233" s="107" t="s">
        <v>1076</v>
      </c>
    </row>
    <row r="234" spans="1:10">
      <c r="A234" s="107" t="s">
        <v>644</v>
      </c>
      <c r="B234" s="107" t="s">
        <v>351</v>
      </c>
      <c r="C234" s="107" t="s">
        <v>352</v>
      </c>
      <c r="D234" s="107" t="s">
        <v>353</v>
      </c>
      <c r="E234">
        <v>1878</v>
      </c>
      <c r="F234" s="107" t="s">
        <v>645</v>
      </c>
      <c r="G234" s="107" t="s">
        <v>354</v>
      </c>
      <c r="H234" s="107" t="s">
        <v>388</v>
      </c>
      <c r="I234" s="107" t="s">
        <v>646</v>
      </c>
      <c r="J234" s="107" t="s">
        <v>1004</v>
      </c>
    </row>
    <row r="235" spans="1:10">
      <c r="A235" s="107" t="s">
        <v>644</v>
      </c>
      <c r="B235" s="107" t="s">
        <v>351</v>
      </c>
      <c r="C235" s="107" t="s">
        <v>352</v>
      </c>
      <c r="D235" s="107" t="s">
        <v>353</v>
      </c>
      <c r="E235">
        <v>2127</v>
      </c>
      <c r="F235" s="107" t="s">
        <v>973</v>
      </c>
      <c r="G235" s="107" t="s">
        <v>354</v>
      </c>
      <c r="H235" s="107" t="s">
        <v>359</v>
      </c>
      <c r="I235" s="107" t="s">
        <v>564</v>
      </c>
      <c r="J235" s="107" t="s">
        <v>1077</v>
      </c>
    </row>
    <row r="236" spans="1:10">
      <c r="A236" s="107" t="s">
        <v>644</v>
      </c>
      <c r="B236" s="107" t="s">
        <v>351</v>
      </c>
      <c r="C236" s="107" t="s">
        <v>352</v>
      </c>
      <c r="D236" s="107" t="s">
        <v>353</v>
      </c>
      <c r="E236">
        <v>2412</v>
      </c>
      <c r="F236" s="107" t="s">
        <v>974</v>
      </c>
      <c r="G236" s="107" t="s">
        <v>354</v>
      </c>
      <c r="H236" s="107" t="s">
        <v>359</v>
      </c>
      <c r="I236" s="107" t="s">
        <v>594</v>
      </c>
      <c r="J236" s="107" t="s">
        <v>1078</v>
      </c>
    </row>
    <row r="237" spans="1:10">
      <c r="A237" s="107" t="s">
        <v>644</v>
      </c>
      <c r="B237" s="107" t="s">
        <v>351</v>
      </c>
      <c r="C237" s="107" t="s">
        <v>352</v>
      </c>
      <c r="D237" s="107" t="s">
        <v>353</v>
      </c>
      <c r="E237">
        <v>2737</v>
      </c>
      <c r="F237" s="107" t="s">
        <v>647</v>
      </c>
      <c r="G237" s="107" t="s">
        <v>354</v>
      </c>
      <c r="H237" s="107" t="s">
        <v>360</v>
      </c>
      <c r="I237" s="107">
        <v>193</v>
      </c>
      <c r="J237" s="107"/>
    </row>
    <row r="238" spans="1:10">
      <c r="A238" s="107" t="s">
        <v>644</v>
      </c>
      <c r="B238" s="107" t="s">
        <v>351</v>
      </c>
      <c r="C238" s="107" t="s">
        <v>361</v>
      </c>
      <c r="D238" s="107" t="s">
        <v>353</v>
      </c>
      <c r="E238">
        <v>3003</v>
      </c>
      <c r="F238" s="107" t="s">
        <v>1079</v>
      </c>
      <c r="G238" s="107" t="s">
        <v>354</v>
      </c>
      <c r="H238" s="107" t="s">
        <v>380</v>
      </c>
      <c r="I238" s="107" t="s">
        <v>623</v>
      </c>
      <c r="J238" s="107" t="s">
        <v>971</v>
      </c>
    </row>
    <row r="239" spans="1:10">
      <c r="A239" s="107" t="s">
        <v>644</v>
      </c>
      <c r="B239" s="107" t="s">
        <v>351</v>
      </c>
      <c r="C239" s="107" t="s">
        <v>352</v>
      </c>
      <c r="D239" s="107" t="s">
        <v>353</v>
      </c>
      <c r="E239">
        <v>3167</v>
      </c>
      <c r="F239" s="107" t="s">
        <v>1080</v>
      </c>
      <c r="G239" s="107" t="s">
        <v>354</v>
      </c>
      <c r="H239" s="107" t="s">
        <v>360</v>
      </c>
      <c r="I239" s="107" t="s">
        <v>409</v>
      </c>
      <c r="J239" s="107" t="s">
        <v>1081</v>
      </c>
    </row>
    <row r="240" spans="1:10">
      <c r="A240" s="107" t="s">
        <v>644</v>
      </c>
      <c r="B240" s="107" t="s">
        <v>351</v>
      </c>
      <c r="C240" s="107" t="s">
        <v>352</v>
      </c>
      <c r="D240" s="107" t="s">
        <v>353</v>
      </c>
      <c r="E240">
        <v>3388</v>
      </c>
      <c r="F240" s="107" t="s">
        <v>1082</v>
      </c>
      <c r="G240" s="107" t="s">
        <v>354</v>
      </c>
      <c r="H240" s="107" t="s">
        <v>360</v>
      </c>
      <c r="I240" s="107">
        <v>190</v>
      </c>
      <c r="J240" s="107"/>
    </row>
    <row r="241" spans="1:10">
      <c r="A241" s="107" t="s">
        <v>644</v>
      </c>
      <c r="B241" s="107" t="s">
        <v>351</v>
      </c>
      <c r="C241" s="107" t="s">
        <v>352</v>
      </c>
      <c r="D241" s="107" t="s">
        <v>353</v>
      </c>
      <c r="E241">
        <v>3640</v>
      </c>
      <c r="F241" s="107" t="s">
        <v>1083</v>
      </c>
      <c r="G241" s="107" t="s">
        <v>354</v>
      </c>
      <c r="H241" s="107" t="s">
        <v>365</v>
      </c>
      <c r="I241" s="107">
        <v>128</v>
      </c>
      <c r="J241" s="107"/>
    </row>
    <row r="242" spans="1:10">
      <c r="A242" s="107" t="s">
        <v>644</v>
      </c>
      <c r="B242" s="107" t="s">
        <v>351</v>
      </c>
      <c r="C242" s="107" t="s">
        <v>352</v>
      </c>
      <c r="D242" s="107" t="s">
        <v>353</v>
      </c>
      <c r="E242">
        <v>8771</v>
      </c>
      <c r="F242" s="107" t="s">
        <v>648</v>
      </c>
      <c r="G242" s="107" t="s">
        <v>354</v>
      </c>
      <c r="H242" s="107" t="s">
        <v>426</v>
      </c>
      <c r="I242" s="107">
        <v>601</v>
      </c>
      <c r="J242" s="107"/>
    </row>
    <row r="243" spans="1:10">
      <c r="A243" s="107" t="s">
        <v>644</v>
      </c>
      <c r="B243" s="107" t="s">
        <v>351</v>
      </c>
      <c r="C243" s="107" t="s">
        <v>352</v>
      </c>
      <c r="D243" s="107" t="s">
        <v>353</v>
      </c>
      <c r="E243">
        <v>9020</v>
      </c>
      <c r="F243" s="107" t="s">
        <v>1084</v>
      </c>
      <c r="G243" s="107" t="s">
        <v>354</v>
      </c>
      <c r="H243" s="107" t="s">
        <v>643</v>
      </c>
      <c r="I243" s="107" t="s">
        <v>1085</v>
      </c>
      <c r="J243" s="107" t="s">
        <v>1086</v>
      </c>
    </row>
    <row r="244" spans="1:10">
      <c r="A244" s="107" t="s">
        <v>644</v>
      </c>
      <c r="B244" s="107" t="s">
        <v>351</v>
      </c>
      <c r="C244" s="107" t="s">
        <v>352</v>
      </c>
      <c r="D244" s="107" t="s">
        <v>353</v>
      </c>
      <c r="E244">
        <v>9037</v>
      </c>
      <c r="F244" s="107" t="s">
        <v>649</v>
      </c>
      <c r="G244" s="107" t="s">
        <v>354</v>
      </c>
      <c r="H244" s="107" t="s">
        <v>643</v>
      </c>
      <c r="I244" s="107">
        <v>671</v>
      </c>
      <c r="J244" s="107"/>
    </row>
    <row r="245" spans="1:10">
      <c r="A245" s="107" t="s">
        <v>644</v>
      </c>
      <c r="B245" s="107" t="s">
        <v>351</v>
      </c>
      <c r="C245" s="107" t="s">
        <v>352</v>
      </c>
      <c r="D245" s="107" t="s">
        <v>353</v>
      </c>
      <c r="E245">
        <v>9995</v>
      </c>
      <c r="F245" s="107" t="s">
        <v>650</v>
      </c>
      <c r="G245" s="107" t="s">
        <v>354</v>
      </c>
      <c r="H245" s="107" t="s">
        <v>360</v>
      </c>
      <c r="I245" s="107">
        <v>119</v>
      </c>
      <c r="J245" s="107"/>
    </row>
    <row r="246" spans="1:10">
      <c r="A246" s="107" t="s">
        <v>651</v>
      </c>
      <c r="B246" s="107" t="s">
        <v>574</v>
      </c>
      <c r="C246" s="107" t="s">
        <v>352</v>
      </c>
      <c r="D246" s="107" t="s">
        <v>353</v>
      </c>
      <c r="E246">
        <v>3433</v>
      </c>
      <c r="F246" s="107" t="s">
        <v>1087</v>
      </c>
      <c r="G246" s="107" t="s">
        <v>354</v>
      </c>
      <c r="H246" s="107" t="s">
        <v>369</v>
      </c>
      <c r="I246" s="107">
        <v>684</v>
      </c>
      <c r="J246" s="107"/>
    </row>
    <row r="247" spans="1:10">
      <c r="A247" s="107" t="s">
        <v>651</v>
      </c>
      <c r="B247" s="107" t="s">
        <v>351</v>
      </c>
      <c r="C247" s="107" t="s">
        <v>352</v>
      </c>
      <c r="D247" s="107" t="s">
        <v>353</v>
      </c>
      <c r="E247">
        <v>2175</v>
      </c>
      <c r="F247" s="107" t="s">
        <v>975</v>
      </c>
      <c r="G247" s="107" t="s">
        <v>354</v>
      </c>
      <c r="H247" s="107" t="s">
        <v>359</v>
      </c>
      <c r="I247" s="107" t="s">
        <v>377</v>
      </c>
      <c r="J247" s="107" t="s">
        <v>1088</v>
      </c>
    </row>
    <row r="248" spans="1:10">
      <c r="A248" s="107" t="s">
        <v>651</v>
      </c>
      <c r="B248" s="107" t="s">
        <v>351</v>
      </c>
      <c r="C248" s="107" t="s">
        <v>352</v>
      </c>
      <c r="D248" s="107" t="s">
        <v>353</v>
      </c>
      <c r="E248">
        <v>2220</v>
      </c>
      <c r="F248" s="107" t="s">
        <v>976</v>
      </c>
      <c r="G248" s="107" t="s">
        <v>354</v>
      </c>
      <c r="H248" s="107" t="s">
        <v>355</v>
      </c>
      <c r="I248" s="107" t="s">
        <v>409</v>
      </c>
      <c r="J248" s="107" t="s">
        <v>1089</v>
      </c>
    </row>
    <row r="249" spans="1:10">
      <c r="A249" s="107" t="s">
        <v>651</v>
      </c>
      <c r="B249" s="107" t="s">
        <v>351</v>
      </c>
      <c r="C249" s="107" t="s">
        <v>352</v>
      </c>
      <c r="D249" s="107" t="s">
        <v>353</v>
      </c>
      <c r="E249">
        <v>2331</v>
      </c>
      <c r="F249" s="107" t="s">
        <v>977</v>
      </c>
      <c r="G249" s="107" t="s">
        <v>354</v>
      </c>
      <c r="H249" s="107" t="s">
        <v>359</v>
      </c>
      <c r="I249" s="107" t="s">
        <v>371</v>
      </c>
      <c r="J249" s="107" t="s">
        <v>1090</v>
      </c>
    </row>
    <row r="250" spans="1:10">
      <c r="A250" s="107" t="s">
        <v>651</v>
      </c>
      <c r="B250" s="107" t="s">
        <v>351</v>
      </c>
      <c r="C250" s="107" t="s">
        <v>352</v>
      </c>
      <c r="D250" s="107" t="s">
        <v>353</v>
      </c>
      <c r="E250">
        <v>2497</v>
      </c>
      <c r="F250" s="107" t="s">
        <v>1091</v>
      </c>
      <c r="G250" s="107" t="s">
        <v>366</v>
      </c>
      <c r="H250" s="107" t="s">
        <v>359</v>
      </c>
      <c r="I250" s="107">
        <v>347</v>
      </c>
      <c r="J250" s="107"/>
    </row>
    <row r="251" spans="1:10">
      <c r="A251" s="107" t="s">
        <v>651</v>
      </c>
      <c r="B251" s="107" t="s">
        <v>351</v>
      </c>
      <c r="C251" s="107" t="s">
        <v>352</v>
      </c>
      <c r="D251" s="107" t="s">
        <v>353</v>
      </c>
      <c r="E251">
        <v>2715</v>
      </c>
      <c r="F251" s="107" t="s">
        <v>652</v>
      </c>
      <c r="G251" s="107" t="s">
        <v>354</v>
      </c>
      <c r="H251" s="107" t="s">
        <v>360</v>
      </c>
      <c r="I251">
        <v>452</v>
      </c>
    </row>
    <row r="252" spans="1:10">
      <c r="A252" s="107" t="s">
        <v>651</v>
      </c>
      <c r="B252" s="107" t="s">
        <v>351</v>
      </c>
      <c r="C252" s="107" t="s">
        <v>352</v>
      </c>
      <c r="D252" s="107" t="s">
        <v>357</v>
      </c>
      <c r="E252">
        <v>2892</v>
      </c>
      <c r="F252" s="107" t="s">
        <v>653</v>
      </c>
      <c r="G252" s="107" t="s">
        <v>362</v>
      </c>
      <c r="H252" s="107" t="s">
        <v>355</v>
      </c>
      <c r="I252">
        <v>85</v>
      </c>
    </row>
    <row r="253" spans="1:10">
      <c r="A253" s="107" t="s">
        <v>651</v>
      </c>
      <c r="B253" s="107" t="s">
        <v>351</v>
      </c>
      <c r="C253" s="107" t="s">
        <v>352</v>
      </c>
      <c r="D253" s="107" t="s">
        <v>353</v>
      </c>
      <c r="E253">
        <v>3023</v>
      </c>
      <c r="F253" s="107" t="s">
        <v>654</v>
      </c>
      <c r="G253" s="107" t="s">
        <v>354</v>
      </c>
      <c r="H253" s="107" t="s">
        <v>360</v>
      </c>
      <c r="I253" s="107">
        <v>114</v>
      </c>
      <c r="J253" s="107"/>
    </row>
    <row r="254" spans="1:10">
      <c r="A254" s="107" t="s">
        <v>651</v>
      </c>
      <c r="B254" s="107" t="s">
        <v>351</v>
      </c>
      <c r="C254" s="107" t="s">
        <v>352</v>
      </c>
      <c r="D254" s="107" t="s">
        <v>353</v>
      </c>
      <c r="E254">
        <v>3092</v>
      </c>
      <c r="F254" s="107" t="s">
        <v>1092</v>
      </c>
      <c r="G254" s="107" t="s">
        <v>354</v>
      </c>
      <c r="H254" s="107" t="s">
        <v>364</v>
      </c>
      <c r="I254" s="107" t="s">
        <v>564</v>
      </c>
      <c r="J254" s="107" t="s">
        <v>1093</v>
      </c>
    </row>
    <row r="255" spans="1:10">
      <c r="A255" s="107" t="s">
        <v>651</v>
      </c>
      <c r="B255" s="107" t="s">
        <v>351</v>
      </c>
      <c r="C255" s="107" t="s">
        <v>352</v>
      </c>
      <c r="D255" s="107" t="s">
        <v>353</v>
      </c>
      <c r="E255">
        <v>3098</v>
      </c>
      <c r="F255" s="107" t="s">
        <v>1094</v>
      </c>
      <c r="G255" s="107" t="s">
        <v>354</v>
      </c>
      <c r="H255" s="107" t="s">
        <v>364</v>
      </c>
      <c r="I255" s="107" t="s">
        <v>409</v>
      </c>
      <c r="J255" s="107" t="s">
        <v>1095</v>
      </c>
    </row>
    <row r="256" spans="1:10">
      <c r="A256" s="107" t="s">
        <v>651</v>
      </c>
      <c r="B256" s="107" t="s">
        <v>351</v>
      </c>
      <c r="C256" s="107" t="s">
        <v>352</v>
      </c>
      <c r="D256" s="107" t="s">
        <v>357</v>
      </c>
      <c r="E256">
        <v>3137</v>
      </c>
      <c r="F256" s="107" t="s">
        <v>1096</v>
      </c>
      <c r="G256" s="107" t="s">
        <v>366</v>
      </c>
      <c r="H256" s="107" t="s">
        <v>364</v>
      </c>
      <c r="I256" s="107">
        <v>74</v>
      </c>
      <c r="J256" s="107"/>
    </row>
    <row r="257" spans="1:10">
      <c r="A257" s="107" t="s">
        <v>651</v>
      </c>
      <c r="B257" s="107" t="s">
        <v>351</v>
      </c>
      <c r="C257" s="107" t="s">
        <v>352</v>
      </c>
      <c r="D257" s="107" t="s">
        <v>353</v>
      </c>
      <c r="E257">
        <v>3513</v>
      </c>
      <c r="F257" s="107" t="s">
        <v>1097</v>
      </c>
      <c r="G257" s="107" t="s">
        <v>354</v>
      </c>
      <c r="H257" s="107" t="s">
        <v>420</v>
      </c>
      <c r="I257">
        <v>73</v>
      </c>
    </row>
    <row r="258" spans="1:10">
      <c r="A258" s="107" t="s">
        <v>651</v>
      </c>
      <c r="B258" s="107" t="s">
        <v>351</v>
      </c>
      <c r="C258" s="107" t="s">
        <v>352</v>
      </c>
      <c r="D258" s="107" t="s">
        <v>353</v>
      </c>
      <c r="E258">
        <v>3591</v>
      </c>
      <c r="F258" s="107" t="s">
        <v>1098</v>
      </c>
      <c r="G258" s="107" t="s">
        <v>354</v>
      </c>
      <c r="H258" s="107" t="s">
        <v>420</v>
      </c>
      <c r="I258" s="107" t="s">
        <v>377</v>
      </c>
      <c r="J258" s="107" t="s">
        <v>1099</v>
      </c>
    </row>
    <row r="259" spans="1:10">
      <c r="A259" s="107" t="s">
        <v>651</v>
      </c>
      <c r="B259" s="107" t="s">
        <v>351</v>
      </c>
      <c r="C259" s="107" t="s">
        <v>352</v>
      </c>
      <c r="D259" s="107" t="s">
        <v>353</v>
      </c>
      <c r="E259">
        <v>3666</v>
      </c>
      <c r="F259" s="107" t="s">
        <v>1100</v>
      </c>
      <c r="G259" s="107" t="s">
        <v>354</v>
      </c>
      <c r="H259" s="107" t="s">
        <v>365</v>
      </c>
      <c r="I259" s="107">
        <v>105</v>
      </c>
      <c r="J259" s="107"/>
    </row>
    <row r="260" spans="1:10">
      <c r="A260" s="107" t="s">
        <v>651</v>
      </c>
      <c r="B260" s="107" t="s">
        <v>351</v>
      </c>
      <c r="C260" s="107" t="s">
        <v>352</v>
      </c>
      <c r="D260" s="107" t="s">
        <v>353</v>
      </c>
      <c r="E260">
        <v>3762</v>
      </c>
      <c r="F260" s="107" t="s">
        <v>655</v>
      </c>
      <c r="G260" s="107" t="s">
        <v>354</v>
      </c>
      <c r="H260" s="107" t="s">
        <v>365</v>
      </c>
      <c r="I260" s="107">
        <v>530</v>
      </c>
      <c r="J260" s="107"/>
    </row>
    <row r="261" spans="1:10">
      <c r="A261" s="107" t="s">
        <v>651</v>
      </c>
      <c r="B261" s="107" t="s">
        <v>351</v>
      </c>
      <c r="C261" s="107" t="s">
        <v>352</v>
      </c>
      <c r="D261" s="107" t="s">
        <v>357</v>
      </c>
      <c r="E261">
        <v>3841</v>
      </c>
      <c r="F261" s="107" t="s">
        <v>656</v>
      </c>
      <c r="G261" s="107" t="s">
        <v>358</v>
      </c>
      <c r="H261" s="107" t="s">
        <v>365</v>
      </c>
      <c r="I261" s="107">
        <v>22</v>
      </c>
      <c r="J261" s="107"/>
    </row>
    <row r="262" spans="1:10">
      <c r="A262" s="107" t="s">
        <v>651</v>
      </c>
      <c r="B262" s="107" t="s">
        <v>351</v>
      </c>
      <c r="C262" s="107" t="s">
        <v>352</v>
      </c>
      <c r="D262" s="107" t="s">
        <v>353</v>
      </c>
      <c r="E262">
        <v>4310</v>
      </c>
      <c r="F262" s="107" t="s">
        <v>657</v>
      </c>
      <c r="G262" s="107" t="s">
        <v>354</v>
      </c>
      <c r="H262" s="107" t="s">
        <v>359</v>
      </c>
      <c r="I262" s="107">
        <v>173</v>
      </c>
      <c r="J262" s="107"/>
    </row>
    <row r="263" spans="1:10">
      <c r="A263" s="107" t="s">
        <v>651</v>
      </c>
      <c r="B263" s="107" t="s">
        <v>351</v>
      </c>
      <c r="C263" s="107" t="s">
        <v>352</v>
      </c>
      <c r="D263" s="107" t="s">
        <v>353</v>
      </c>
      <c r="E263">
        <v>4368</v>
      </c>
      <c r="F263" s="107" t="s">
        <v>658</v>
      </c>
      <c r="G263" s="107" t="s">
        <v>354</v>
      </c>
      <c r="H263" s="107" t="s">
        <v>367</v>
      </c>
      <c r="I263" s="107" t="s">
        <v>409</v>
      </c>
      <c r="J263" s="107" t="s">
        <v>1101</v>
      </c>
    </row>
    <row r="264" spans="1:10">
      <c r="A264" s="107" t="s">
        <v>651</v>
      </c>
      <c r="B264" s="107" t="s">
        <v>351</v>
      </c>
      <c r="C264" s="107" t="s">
        <v>352</v>
      </c>
      <c r="D264" s="107" t="s">
        <v>353</v>
      </c>
      <c r="E264">
        <v>4816</v>
      </c>
      <c r="F264" s="107" t="s">
        <v>1102</v>
      </c>
      <c r="G264" s="107" t="s">
        <v>358</v>
      </c>
      <c r="H264" s="107" t="s">
        <v>365</v>
      </c>
      <c r="I264" s="107" t="s">
        <v>377</v>
      </c>
      <c r="J264" s="107" t="s">
        <v>982</v>
      </c>
    </row>
    <row r="265" spans="1:10">
      <c r="A265" s="107" t="s">
        <v>651</v>
      </c>
      <c r="B265" s="107" t="s">
        <v>351</v>
      </c>
      <c r="C265" s="107" t="s">
        <v>352</v>
      </c>
      <c r="D265" s="107" t="s">
        <v>353</v>
      </c>
      <c r="E265">
        <v>5332</v>
      </c>
      <c r="F265" s="107" t="s">
        <v>1103</v>
      </c>
      <c r="G265" s="107" t="s">
        <v>354</v>
      </c>
      <c r="H265" s="107" t="s">
        <v>462</v>
      </c>
      <c r="I265" s="107" t="s">
        <v>623</v>
      </c>
      <c r="J265" s="107" t="s">
        <v>1007</v>
      </c>
    </row>
    <row r="266" spans="1:10">
      <c r="A266" s="107" t="s">
        <v>651</v>
      </c>
      <c r="B266" s="107" t="s">
        <v>351</v>
      </c>
      <c r="C266" s="107" t="s">
        <v>352</v>
      </c>
      <c r="D266" s="107" t="s">
        <v>353</v>
      </c>
      <c r="E266">
        <v>5727</v>
      </c>
      <c r="F266" s="107" t="s">
        <v>659</v>
      </c>
      <c r="G266" s="107" t="s">
        <v>354</v>
      </c>
      <c r="H266" s="107" t="s">
        <v>660</v>
      </c>
      <c r="I266" s="107">
        <v>682</v>
      </c>
      <c r="J266" s="107"/>
    </row>
    <row r="267" spans="1:10">
      <c r="A267" s="107" t="s">
        <v>651</v>
      </c>
      <c r="B267" s="107" t="s">
        <v>351</v>
      </c>
      <c r="C267" s="107" t="s">
        <v>363</v>
      </c>
      <c r="D267" s="107" t="s">
        <v>353</v>
      </c>
      <c r="E267">
        <v>6028</v>
      </c>
      <c r="F267" s="107" t="s">
        <v>978</v>
      </c>
      <c r="G267" s="107" t="s">
        <v>354</v>
      </c>
      <c r="H267" s="107" t="s">
        <v>359</v>
      </c>
      <c r="I267" s="107" t="s">
        <v>377</v>
      </c>
      <c r="J267" s="107" t="s">
        <v>1104</v>
      </c>
    </row>
    <row r="268" spans="1:10">
      <c r="A268" s="107" t="s">
        <v>651</v>
      </c>
      <c r="B268" s="107" t="s">
        <v>351</v>
      </c>
      <c r="C268" s="107" t="s">
        <v>352</v>
      </c>
      <c r="D268" s="107" t="s">
        <v>353</v>
      </c>
      <c r="E268">
        <v>6322</v>
      </c>
      <c r="F268" s="107" t="s">
        <v>661</v>
      </c>
      <c r="G268" s="107" t="s">
        <v>362</v>
      </c>
      <c r="H268" s="107" t="s">
        <v>375</v>
      </c>
      <c r="I268" s="107">
        <v>127</v>
      </c>
      <c r="J268" s="107"/>
    </row>
    <row r="269" spans="1:10">
      <c r="A269" s="107" t="s">
        <v>651</v>
      </c>
      <c r="B269" s="107" t="s">
        <v>351</v>
      </c>
      <c r="C269" s="107" t="s">
        <v>352</v>
      </c>
      <c r="D269" s="107" t="s">
        <v>353</v>
      </c>
      <c r="E269">
        <v>6659</v>
      </c>
      <c r="F269" s="107" t="s">
        <v>662</v>
      </c>
      <c r="G269" s="107" t="s">
        <v>358</v>
      </c>
      <c r="H269" s="107" t="s">
        <v>379</v>
      </c>
      <c r="I269">
        <v>18</v>
      </c>
    </row>
    <row r="270" spans="1:10">
      <c r="A270" s="107" t="s">
        <v>651</v>
      </c>
      <c r="B270" s="107" t="s">
        <v>351</v>
      </c>
      <c r="C270" s="107" t="s">
        <v>352</v>
      </c>
      <c r="D270" s="107" t="s">
        <v>353</v>
      </c>
      <c r="E270">
        <v>6925</v>
      </c>
      <c r="F270" s="107" t="s">
        <v>663</v>
      </c>
      <c r="G270" s="107" t="s">
        <v>354</v>
      </c>
      <c r="H270" s="107" t="s">
        <v>379</v>
      </c>
      <c r="I270" s="107" t="s">
        <v>377</v>
      </c>
      <c r="J270" s="107" t="s">
        <v>1105</v>
      </c>
    </row>
    <row r="271" spans="1:10">
      <c r="A271" s="107" t="s">
        <v>651</v>
      </c>
      <c r="B271" s="107" t="s">
        <v>351</v>
      </c>
      <c r="C271" s="107" t="s">
        <v>352</v>
      </c>
      <c r="D271" s="107" t="s">
        <v>353</v>
      </c>
      <c r="E271">
        <v>7282</v>
      </c>
      <c r="F271" s="107" t="s">
        <v>664</v>
      </c>
      <c r="G271" s="107" t="s">
        <v>354</v>
      </c>
      <c r="H271" s="107" t="s">
        <v>405</v>
      </c>
      <c r="I271" s="107" t="s">
        <v>594</v>
      </c>
      <c r="J271" s="107" t="s">
        <v>1106</v>
      </c>
    </row>
    <row r="272" spans="1:10">
      <c r="A272" s="107" t="s">
        <v>651</v>
      </c>
      <c r="B272" s="107" t="s">
        <v>351</v>
      </c>
      <c r="C272" s="107" t="s">
        <v>352</v>
      </c>
      <c r="D272" s="107" t="s">
        <v>353</v>
      </c>
      <c r="E272">
        <v>7510</v>
      </c>
      <c r="F272" s="107" t="s">
        <v>665</v>
      </c>
      <c r="G272" s="107" t="s">
        <v>354</v>
      </c>
      <c r="H272" s="107" t="s">
        <v>360</v>
      </c>
      <c r="I272" s="107">
        <v>212</v>
      </c>
      <c r="J272" s="107"/>
    </row>
    <row r="273" spans="1:10">
      <c r="A273" s="107" t="s">
        <v>651</v>
      </c>
      <c r="B273" s="107" t="s">
        <v>351</v>
      </c>
      <c r="C273" s="107" t="s">
        <v>352</v>
      </c>
      <c r="D273" s="107" t="s">
        <v>353</v>
      </c>
      <c r="E273">
        <v>7600</v>
      </c>
      <c r="F273" s="107" t="s">
        <v>666</v>
      </c>
      <c r="G273" s="107" t="s">
        <v>354</v>
      </c>
      <c r="H273" s="107" t="s">
        <v>621</v>
      </c>
      <c r="I273" s="107">
        <v>616</v>
      </c>
      <c r="J273" s="107"/>
    </row>
    <row r="274" spans="1:10">
      <c r="A274" s="107" t="s">
        <v>651</v>
      </c>
      <c r="B274" s="107" t="s">
        <v>351</v>
      </c>
      <c r="C274" s="107" t="s">
        <v>352</v>
      </c>
      <c r="D274" s="107" t="s">
        <v>353</v>
      </c>
      <c r="E274">
        <v>7838</v>
      </c>
      <c r="F274" s="107" t="s">
        <v>667</v>
      </c>
      <c r="G274" s="107" t="s">
        <v>354</v>
      </c>
      <c r="H274" s="107" t="s">
        <v>376</v>
      </c>
      <c r="I274">
        <v>79</v>
      </c>
    </row>
    <row r="275" spans="1:10">
      <c r="A275" s="107" t="s">
        <v>651</v>
      </c>
      <c r="B275" s="107" t="s">
        <v>351</v>
      </c>
      <c r="C275" s="107" t="s">
        <v>352</v>
      </c>
      <c r="D275" s="107" t="s">
        <v>353</v>
      </c>
      <c r="E275">
        <v>7925</v>
      </c>
      <c r="F275" s="107" t="s">
        <v>668</v>
      </c>
      <c r="G275" s="107" t="s">
        <v>354</v>
      </c>
      <c r="H275" s="107" t="s">
        <v>367</v>
      </c>
      <c r="I275" s="107">
        <v>187</v>
      </c>
      <c r="J275" s="107"/>
    </row>
    <row r="276" spans="1:10">
      <c r="A276" s="107" t="s">
        <v>651</v>
      </c>
      <c r="B276" s="107" t="s">
        <v>351</v>
      </c>
      <c r="C276" s="107" t="s">
        <v>352</v>
      </c>
      <c r="D276" s="107" t="s">
        <v>353</v>
      </c>
      <c r="E276">
        <v>8806</v>
      </c>
      <c r="F276" s="107" t="s">
        <v>669</v>
      </c>
      <c r="G276" s="107" t="s">
        <v>354</v>
      </c>
      <c r="H276" s="107" t="s">
        <v>380</v>
      </c>
      <c r="I276" s="107" t="s">
        <v>409</v>
      </c>
      <c r="J276" s="107" t="s">
        <v>767</v>
      </c>
    </row>
    <row r="277" spans="1:10">
      <c r="A277" s="107" t="s">
        <v>670</v>
      </c>
      <c r="B277" s="107" t="s">
        <v>351</v>
      </c>
      <c r="C277" s="107" t="s">
        <v>352</v>
      </c>
      <c r="D277" s="107" t="s">
        <v>357</v>
      </c>
      <c r="E277">
        <v>1379</v>
      </c>
      <c r="F277" s="107" t="s">
        <v>671</v>
      </c>
      <c r="G277" s="107" t="s">
        <v>354</v>
      </c>
      <c r="H277" s="107" t="s">
        <v>494</v>
      </c>
      <c r="I277" s="107">
        <v>664</v>
      </c>
      <c r="J277" s="107"/>
    </row>
    <row r="278" spans="1:10">
      <c r="A278" s="107" t="s">
        <v>670</v>
      </c>
      <c r="B278" s="107" t="s">
        <v>351</v>
      </c>
      <c r="C278" s="107" t="s">
        <v>352</v>
      </c>
      <c r="D278" s="107" t="s">
        <v>353</v>
      </c>
      <c r="E278">
        <v>2676</v>
      </c>
      <c r="F278" s="107" t="s">
        <v>1107</v>
      </c>
      <c r="G278" s="107" t="s">
        <v>354</v>
      </c>
      <c r="H278" s="107" t="s">
        <v>360</v>
      </c>
      <c r="I278">
        <v>111</v>
      </c>
    </row>
    <row r="279" spans="1:10">
      <c r="A279" s="107" t="s">
        <v>670</v>
      </c>
      <c r="B279" s="107" t="s">
        <v>351</v>
      </c>
      <c r="C279" s="107" t="s">
        <v>352</v>
      </c>
      <c r="D279" s="107" t="s">
        <v>353</v>
      </c>
      <c r="E279">
        <v>2907</v>
      </c>
      <c r="F279" s="107" t="s">
        <v>672</v>
      </c>
      <c r="G279" s="107" t="s">
        <v>362</v>
      </c>
      <c r="H279" s="107" t="s">
        <v>355</v>
      </c>
      <c r="I279">
        <v>63</v>
      </c>
    </row>
    <row r="280" spans="1:10">
      <c r="A280" s="107" t="s">
        <v>670</v>
      </c>
      <c r="B280" s="107" t="s">
        <v>351</v>
      </c>
      <c r="C280" s="107" t="s">
        <v>352</v>
      </c>
      <c r="D280" s="107" t="s">
        <v>353</v>
      </c>
      <c r="E280">
        <v>3024</v>
      </c>
      <c r="F280" s="107" t="s">
        <v>1108</v>
      </c>
      <c r="G280" s="107" t="s">
        <v>358</v>
      </c>
      <c r="H280" s="107" t="s">
        <v>360</v>
      </c>
      <c r="I280" s="107">
        <v>28</v>
      </c>
      <c r="J280" s="107"/>
    </row>
    <row r="281" spans="1:10">
      <c r="A281" s="107" t="s">
        <v>670</v>
      </c>
      <c r="B281" s="107" t="s">
        <v>351</v>
      </c>
      <c r="C281" s="107" t="s">
        <v>352</v>
      </c>
      <c r="D281" s="107" t="s">
        <v>357</v>
      </c>
      <c r="E281">
        <v>3484</v>
      </c>
      <c r="F281" s="107" t="s">
        <v>1109</v>
      </c>
      <c r="G281" s="107" t="s">
        <v>354</v>
      </c>
      <c r="H281" s="107" t="s">
        <v>380</v>
      </c>
      <c r="I281" s="107">
        <v>195</v>
      </c>
      <c r="J281" s="107"/>
    </row>
    <row r="282" spans="1:10">
      <c r="A282" s="107" t="s">
        <v>670</v>
      </c>
      <c r="B282" s="107" t="s">
        <v>351</v>
      </c>
      <c r="C282" s="107" t="s">
        <v>352</v>
      </c>
      <c r="D282" s="107" t="s">
        <v>353</v>
      </c>
      <c r="E282">
        <v>3612</v>
      </c>
      <c r="F282" s="107" t="s">
        <v>673</v>
      </c>
      <c r="G282" s="107" t="s">
        <v>354</v>
      </c>
      <c r="H282" s="107" t="s">
        <v>420</v>
      </c>
      <c r="I282">
        <v>960</v>
      </c>
    </row>
    <row r="283" spans="1:10">
      <c r="A283" s="107" t="s">
        <v>670</v>
      </c>
      <c r="B283" s="107" t="s">
        <v>351</v>
      </c>
      <c r="C283" s="107" t="s">
        <v>352</v>
      </c>
      <c r="D283" s="107" t="s">
        <v>353</v>
      </c>
      <c r="E283">
        <v>4521</v>
      </c>
      <c r="F283" s="107" t="s">
        <v>1110</v>
      </c>
      <c r="G283" s="107" t="s">
        <v>354</v>
      </c>
      <c r="H283" s="107" t="s">
        <v>476</v>
      </c>
      <c r="I283" s="107" t="s">
        <v>377</v>
      </c>
      <c r="J283" s="107" t="s">
        <v>1111</v>
      </c>
    </row>
    <row r="284" spans="1:10">
      <c r="A284" s="107" t="s">
        <v>670</v>
      </c>
      <c r="B284" s="107" t="s">
        <v>351</v>
      </c>
      <c r="C284" s="107" t="s">
        <v>363</v>
      </c>
      <c r="D284" s="107" t="s">
        <v>353</v>
      </c>
      <c r="E284">
        <v>6920</v>
      </c>
      <c r="F284" s="107" t="s">
        <v>980</v>
      </c>
      <c r="G284" s="107" t="s">
        <v>354</v>
      </c>
      <c r="H284" s="107" t="s">
        <v>379</v>
      </c>
      <c r="I284" s="107" t="s">
        <v>505</v>
      </c>
      <c r="J284" s="107" t="s">
        <v>1112</v>
      </c>
    </row>
    <row r="285" spans="1:10">
      <c r="A285" s="107" t="s">
        <v>670</v>
      </c>
      <c r="B285" s="107" t="s">
        <v>351</v>
      </c>
      <c r="C285" s="107" t="s">
        <v>352</v>
      </c>
      <c r="D285" s="107" t="s">
        <v>357</v>
      </c>
      <c r="E285">
        <v>7506</v>
      </c>
      <c r="F285" s="107" t="s">
        <v>674</v>
      </c>
      <c r="G285" s="107" t="s">
        <v>354</v>
      </c>
      <c r="H285" s="107" t="s">
        <v>364</v>
      </c>
      <c r="I285" s="107">
        <v>78</v>
      </c>
      <c r="J285" s="107"/>
    </row>
    <row r="286" spans="1:10">
      <c r="A286" s="107" t="s">
        <v>670</v>
      </c>
      <c r="B286" s="107" t="s">
        <v>351</v>
      </c>
      <c r="C286" s="107" t="s">
        <v>352</v>
      </c>
      <c r="D286" s="107" t="s">
        <v>353</v>
      </c>
      <c r="E286">
        <v>7859</v>
      </c>
      <c r="F286" s="107" t="s">
        <v>675</v>
      </c>
      <c r="G286" s="107" t="s">
        <v>362</v>
      </c>
      <c r="H286" s="107" t="s">
        <v>376</v>
      </c>
      <c r="I286">
        <v>25</v>
      </c>
    </row>
    <row r="287" spans="1:10">
      <c r="A287" s="107" t="s">
        <v>670</v>
      </c>
      <c r="B287" s="107" t="s">
        <v>351</v>
      </c>
      <c r="C287" s="107" t="s">
        <v>352</v>
      </c>
      <c r="D287" s="107" t="s">
        <v>353</v>
      </c>
      <c r="E287">
        <v>9008</v>
      </c>
      <c r="F287" s="107" t="s">
        <v>1113</v>
      </c>
      <c r="G287" s="107" t="s">
        <v>354</v>
      </c>
      <c r="H287" s="107" t="s">
        <v>643</v>
      </c>
      <c r="I287" s="107" t="s">
        <v>623</v>
      </c>
      <c r="J287" s="107" t="s">
        <v>1114</v>
      </c>
    </row>
    <row r="288" spans="1:10">
      <c r="A288" s="107" t="s">
        <v>676</v>
      </c>
      <c r="B288" s="107" t="s">
        <v>574</v>
      </c>
      <c r="C288" s="107" t="s">
        <v>352</v>
      </c>
      <c r="D288" s="107" t="s">
        <v>353</v>
      </c>
      <c r="E288">
        <v>2607</v>
      </c>
      <c r="F288" s="107" t="s">
        <v>1115</v>
      </c>
      <c r="G288" s="107" t="s">
        <v>354</v>
      </c>
      <c r="H288" s="107" t="s">
        <v>355</v>
      </c>
      <c r="I288" s="107" t="s">
        <v>377</v>
      </c>
      <c r="J288" s="107" t="s">
        <v>969</v>
      </c>
    </row>
    <row r="289" spans="1:10">
      <c r="A289" s="107" t="s">
        <v>676</v>
      </c>
      <c r="B289" s="107" t="s">
        <v>574</v>
      </c>
      <c r="C289" s="107" t="s">
        <v>352</v>
      </c>
      <c r="D289" s="107" t="s">
        <v>353</v>
      </c>
      <c r="E289">
        <v>4502</v>
      </c>
      <c r="F289" s="107" t="s">
        <v>677</v>
      </c>
      <c r="G289" s="107" t="s">
        <v>354</v>
      </c>
      <c r="H289" s="107" t="s">
        <v>476</v>
      </c>
      <c r="I289" s="107" t="s">
        <v>1116</v>
      </c>
      <c r="J289" s="107" t="s">
        <v>1117</v>
      </c>
    </row>
    <row r="290" spans="1:10">
      <c r="A290" s="107" t="s">
        <v>676</v>
      </c>
      <c r="B290" s="107" t="s">
        <v>351</v>
      </c>
      <c r="C290" s="107" t="s">
        <v>352</v>
      </c>
      <c r="D290" s="107" t="s">
        <v>353</v>
      </c>
      <c r="E290">
        <v>2117</v>
      </c>
      <c r="F290" s="107" t="s">
        <v>981</v>
      </c>
      <c r="G290" s="107" t="s">
        <v>354</v>
      </c>
      <c r="H290" s="107" t="s">
        <v>355</v>
      </c>
      <c r="I290" s="107">
        <v>458</v>
      </c>
      <c r="J290" s="107"/>
    </row>
    <row r="291" spans="1:10">
      <c r="A291" s="107" t="s">
        <v>676</v>
      </c>
      <c r="B291" s="107" t="s">
        <v>351</v>
      </c>
      <c r="C291" s="107" t="s">
        <v>361</v>
      </c>
      <c r="D291" s="107" t="s">
        <v>357</v>
      </c>
      <c r="E291">
        <v>2268</v>
      </c>
      <c r="F291" s="107" t="s">
        <v>678</v>
      </c>
      <c r="G291" s="107" t="s">
        <v>358</v>
      </c>
      <c r="H291" s="107" t="s">
        <v>355</v>
      </c>
      <c r="I291" s="107">
        <v>388</v>
      </c>
      <c r="J291" s="107"/>
    </row>
    <row r="292" spans="1:10">
      <c r="A292" s="107" t="s">
        <v>676</v>
      </c>
      <c r="B292" s="107" t="s">
        <v>351</v>
      </c>
      <c r="C292" s="107" t="s">
        <v>363</v>
      </c>
      <c r="D292" s="107" t="s">
        <v>357</v>
      </c>
      <c r="E292">
        <v>2428</v>
      </c>
      <c r="F292" s="107" t="s">
        <v>1118</v>
      </c>
      <c r="G292" s="107" t="s">
        <v>354</v>
      </c>
      <c r="H292" s="107" t="s">
        <v>359</v>
      </c>
      <c r="I292" s="107">
        <v>159</v>
      </c>
      <c r="J292" s="107"/>
    </row>
    <row r="293" spans="1:10">
      <c r="A293" s="107" t="s">
        <v>676</v>
      </c>
      <c r="B293" s="107" t="s">
        <v>351</v>
      </c>
      <c r="C293" s="107" t="s">
        <v>352</v>
      </c>
      <c r="D293" s="107" t="s">
        <v>353</v>
      </c>
      <c r="E293">
        <v>2871</v>
      </c>
      <c r="F293" s="107" t="s">
        <v>1119</v>
      </c>
      <c r="G293" s="107" t="s">
        <v>354</v>
      </c>
      <c r="H293" s="107" t="s">
        <v>355</v>
      </c>
      <c r="I293" s="107" t="s">
        <v>594</v>
      </c>
      <c r="J293" s="107" t="s">
        <v>1112</v>
      </c>
    </row>
    <row r="294" spans="1:10">
      <c r="A294" s="107" t="s">
        <v>676</v>
      </c>
      <c r="B294" s="107" t="s">
        <v>351</v>
      </c>
      <c r="C294" s="107" t="s">
        <v>352</v>
      </c>
      <c r="D294" s="107" t="s">
        <v>353</v>
      </c>
      <c r="E294">
        <v>6151</v>
      </c>
      <c r="F294" s="107" t="s">
        <v>679</v>
      </c>
      <c r="G294" s="107" t="s">
        <v>354</v>
      </c>
      <c r="H294" s="107" t="s">
        <v>375</v>
      </c>
      <c r="I294" s="107">
        <v>473</v>
      </c>
      <c r="J294" s="107"/>
    </row>
    <row r="295" spans="1:10">
      <c r="A295" s="107" t="s">
        <v>676</v>
      </c>
      <c r="B295" s="107" t="s">
        <v>351</v>
      </c>
      <c r="C295" s="107" t="s">
        <v>352</v>
      </c>
      <c r="D295" s="107" t="s">
        <v>353</v>
      </c>
      <c r="E295">
        <v>7419</v>
      </c>
      <c r="F295" s="107" t="s">
        <v>680</v>
      </c>
      <c r="G295" s="107" t="s">
        <v>354</v>
      </c>
      <c r="H295" s="107" t="s">
        <v>364</v>
      </c>
      <c r="I295" s="107" t="s">
        <v>409</v>
      </c>
      <c r="J295" s="107" t="s">
        <v>1120</v>
      </c>
    </row>
    <row r="296" spans="1:10">
      <c r="A296" s="107" t="s">
        <v>676</v>
      </c>
      <c r="B296" s="107" t="s">
        <v>351</v>
      </c>
      <c r="C296" s="107" t="s">
        <v>363</v>
      </c>
      <c r="D296" s="107" t="s">
        <v>353</v>
      </c>
      <c r="E296">
        <v>8945</v>
      </c>
      <c r="F296" s="107" t="s">
        <v>983</v>
      </c>
      <c r="G296" s="107" t="s">
        <v>354</v>
      </c>
      <c r="H296" s="107" t="s">
        <v>380</v>
      </c>
      <c r="I296" s="107">
        <v>130</v>
      </c>
      <c r="J296" s="107"/>
    </row>
    <row r="297" spans="1:10">
      <c r="A297" s="107" t="s">
        <v>681</v>
      </c>
      <c r="B297" s="107" t="s">
        <v>351</v>
      </c>
      <c r="C297" s="107" t="s">
        <v>352</v>
      </c>
      <c r="D297" s="107" t="s">
        <v>353</v>
      </c>
      <c r="E297">
        <v>2130</v>
      </c>
      <c r="F297" s="107" t="s">
        <v>682</v>
      </c>
      <c r="G297" s="107" t="s">
        <v>354</v>
      </c>
      <c r="H297" s="107" t="s">
        <v>359</v>
      </c>
      <c r="I297" s="107">
        <v>307</v>
      </c>
      <c r="J297" s="107"/>
    </row>
    <row r="298" spans="1:10">
      <c r="A298" s="107" t="s">
        <v>681</v>
      </c>
      <c r="B298" s="107" t="s">
        <v>351</v>
      </c>
      <c r="C298" s="107" t="s">
        <v>352</v>
      </c>
      <c r="D298" s="107" t="s">
        <v>357</v>
      </c>
      <c r="E298">
        <v>3464</v>
      </c>
      <c r="F298" s="107" t="s">
        <v>841</v>
      </c>
      <c r="G298" s="107" t="s">
        <v>354</v>
      </c>
      <c r="H298" s="107" t="s">
        <v>380</v>
      </c>
      <c r="I298" s="107">
        <v>83</v>
      </c>
      <c r="J298" s="107"/>
    </row>
    <row r="299" spans="1:10">
      <c r="A299" s="107" t="s">
        <v>681</v>
      </c>
      <c r="B299" s="107" t="s">
        <v>351</v>
      </c>
      <c r="C299" s="107" t="s">
        <v>352</v>
      </c>
      <c r="D299" s="107" t="s">
        <v>357</v>
      </c>
      <c r="E299">
        <v>6678</v>
      </c>
      <c r="F299" s="107" t="s">
        <v>683</v>
      </c>
      <c r="G299" s="107" t="s">
        <v>354</v>
      </c>
      <c r="H299" s="107" t="s">
        <v>379</v>
      </c>
      <c r="I299" s="107">
        <v>182</v>
      </c>
      <c r="J299" s="107"/>
    </row>
    <row r="300" spans="1:10">
      <c r="A300" s="107" t="s">
        <v>681</v>
      </c>
      <c r="B300" s="107" t="s">
        <v>351</v>
      </c>
      <c r="C300" s="107" t="s">
        <v>352</v>
      </c>
      <c r="D300" s="107" t="s">
        <v>353</v>
      </c>
      <c r="E300">
        <v>6875</v>
      </c>
      <c r="F300" s="107" t="s">
        <v>684</v>
      </c>
      <c r="G300" s="107" t="s">
        <v>354</v>
      </c>
      <c r="H300" s="107" t="s">
        <v>379</v>
      </c>
      <c r="I300">
        <v>555</v>
      </c>
    </row>
    <row r="301" spans="1:10">
      <c r="A301" s="107" t="s">
        <v>681</v>
      </c>
      <c r="B301" s="107" t="s">
        <v>351</v>
      </c>
      <c r="C301" s="107" t="s">
        <v>363</v>
      </c>
      <c r="D301" s="107" t="s">
        <v>353</v>
      </c>
      <c r="E301">
        <v>7532</v>
      </c>
      <c r="F301" s="107" t="s">
        <v>984</v>
      </c>
      <c r="G301" s="107" t="s">
        <v>354</v>
      </c>
      <c r="H301" s="107" t="s">
        <v>364</v>
      </c>
      <c r="I301" s="107" t="s">
        <v>781</v>
      </c>
      <c r="J301" s="107" t="s">
        <v>1121</v>
      </c>
    </row>
    <row r="302" spans="1:10">
      <c r="A302" s="107" t="s">
        <v>685</v>
      </c>
      <c r="B302" s="107" t="s">
        <v>574</v>
      </c>
      <c r="C302" s="107" t="s">
        <v>361</v>
      </c>
      <c r="D302" s="107" t="s">
        <v>353</v>
      </c>
      <c r="E302">
        <v>2914</v>
      </c>
      <c r="F302" s="107" t="s">
        <v>985</v>
      </c>
      <c r="G302" s="107" t="s">
        <v>354</v>
      </c>
      <c r="H302" s="107" t="s">
        <v>355</v>
      </c>
      <c r="I302" s="107" t="s">
        <v>1122</v>
      </c>
      <c r="J302" s="107" t="s">
        <v>1123</v>
      </c>
    </row>
    <row r="303" spans="1:10">
      <c r="A303" s="107" t="s">
        <v>685</v>
      </c>
      <c r="B303" s="107" t="s">
        <v>574</v>
      </c>
      <c r="C303" s="107" t="s">
        <v>363</v>
      </c>
      <c r="D303" s="107" t="s">
        <v>353</v>
      </c>
      <c r="E303">
        <v>4385</v>
      </c>
      <c r="F303" s="107" t="s">
        <v>1124</v>
      </c>
      <c r="G303" s="107" t="s">
        <v>366</v>
      </c>
      <c r="H303" s="107" t="s">
        <v>365</v>
      </c>
      <c r="I303" s="107" t="s">
        <v>594</v>
      </c>
      <c r="J303" s="107" t="s">
        <v>786</v>
      </c>
    </row>
    <row r="304" spans="1:10">
      <c r="A304" s="107" t="s">
        <v>685</v>
      </c>
      <c r="B304" s="107" t="s">
        <v>351</v>
      </c>
      <c r="C304" s="107" t="s">
        <v>352</v>
      </c>
      <c r="D304" s="107" t="s">
        <v>353</v>
      </c>
      <c r="E304">
        <v>2372</v>
      </c>
      <c r="F304" s="107" t="s">
        <v>686</v>
      </c>
      <c r="G304" s="107" t="s">
        <v>354</v>
      </c>
      <c r="H304" s="107" t="s">
        <v>359</v>
      </c>
      <c r="I304" s="107">
        <v>177</v>
      </c>
      <c r="J304" s="107"/>
    </row>
    <row r="305" spans="1:10">
      <c r="A305" s="107" t="s">
        <v>685</v>
      </c>
      <c r="B305" s="107" t="s">
        <v>351</v>
      </c>
      <c r="C305" s="107" t="s">
        <v>352</v>
      </c>
      <c r="D305" s="107" t="s">
        <v>353</v>
      </c>
      <c r="E305">
        <v>2487</v>
      </c>
      <c r="F305" s="107" t="s">
        <v>1125</v>
      </c>
      <c r="G305" s="107" t="s">
        <v>354</v>
      </c>
      <c r="H305" s="107" t="s">
        <v>359</v>
      </c>
      <c r="I305">
        <v>88</v>
      </c>
    </row>
    <row r="306" spans="1:10">
      <c r="A306" s="107" t="s">
        <v>685</v>
      </c>
      <c r="B306" s="107" t="s">
        <v>351</v>
      </c>
      <c r="C306" s="107" t="s">
        <v>363</v>
      </c>
      <c r="D306" s="107" t="s">
        <v>353</v>
      </c>
      <c r="E306">
        <v>3242</v>
      </c>
      <c r="F306" s="107" t="s">
        <v>687</v>
      </c>
      <c r="G306" s="107" t="s">
        <v>358</v>
      </c>
      <c r="H306" s="107" t="s">
        <v>380</v>
      </c>
      <c r="I306" s="107">
        <v>89</v>
      </c>
      <c r="J306" s="107"/>
    </row>
    <row r="307" spans="1:10">
      <c r="A307" s="107" t="s">
        <v>685</v>
      </c>
      <c r="B307" s="107" t="s">
        <v>351</v>
      </c>
      <c r="C307" s="107" t="s">
        <v>352</v>
      </c>
      <c r="D307" s="107" t="s">
        <v>357</v>
      </c>
      <c r="E307">
        <v>3634</v>
      </c>
      <c r="F307" s="107" t="s">
        <v>1126</v>
      </c>
      <c r="G307" s="107" t="s">
        <v>366</v>
      </c>
      <c r="H307" s="107" t="s">
        <v>365</v>
      </c>
      <c r="I307" s="107">
        <v>30</v>
      </c>
      <c r="J307" s="107"/>
    </row>
    <row r="308" spans="1:10">
      <c r="A308" s="107" t="s">
        <v>685</v>
      </c>
      <c r="B308" s="107" t="s">
        <v>351</v>
      </c>
      <c r="C308" s="107" t="s">
        <v>352</v>
      </c>
      <c r="D308" s="107" t="s">
        <v>357</v>
      </c>
      <c r="E308">
        <v>3837</v>
      </c>
      <c r="F308" s="107" t="s">
        <v>1127</v>
      </c>
      <c r="G308" s="107" t="s">
        <v>354</v>
      </c>
      <c r="H308" s="107" t="s">
        <v>365</v>
      </c>
      <c r="I308">
        <v>218</v>
      </c>
    </row>
    <row r="309" spans="1:10">
      <c r="A309" s="107" t="s">
        <v>685</v>
      </c>
      <c r="B309" s="107" t="s">
        <v>351</v>
      </c>
      <c r="C309" s="107" t="s">
        <v>352</v>
      </c>
      <c r="D309" s="107" t="s">
        <v>353</v>
      </c>
      <c r="E309">
        <v>4626</v>
      </c>
      <c r="F309" s="107" t="s">
        <v>688</v>
      </c>
      <c r="G309" s="107" t="s">
        <v>354</v>
      </c>
      <c r="H309" s="107" t="s">
        <v>367</v>
      </c>
      <c r="I309" s="107" t="s">
        <v>409</v>
      </c>
      <c r="J309" s="107" t="s">
        <v>1128</v>
      </c>
    </row>
    <row r="310" spans="1:10">
      <c r="A310" s="107" t="s">
        <v>685</v>
      </c>
      <c r="B310" s="107" t="s">
        <v>351</v>
      </c>
      <c r="C310" s="107" t="s">
        <v>352</v>
      </c>
      <c r="D310" s="107" t="s">
        <v>353</v>
      </c>
      <c r="E310">
        <v>6569</v>
      </c>
      <c r="F310" s="107" t="s">
        <v>689</v>
      </c>
      <c r="G310" s="107" t="s">
        <v>354</v>
      </c>
      <c r="H310" s="107" t="s">
        <v>359</v>
      </c>
      <c r="I310" s="107">
        <v>367</v>
      </c>
      <c r="J310" s="107"/>
    </row>
    <row r="311" spans="1:10">
      <c r="A311" s="107" t="s">
        <v>685</v>
      </c>
      <c r="B311" s="107" t="s">
        <v>351</v>
      </c>
      <c r="C311" s="107" t="s">
        <v>352</v>
      </c>
      <c r="D311" s="107" t="s">
        <v>353</v>
      </c>
      <c r="E311">
        <v>7703</v>
      </c>
      <c r="F311" s="107" t="s">
        <v>690</v>
      </c>
      <c r="G311" s="107" t="s">
        <v>362</v>
      </c>
      <c r="H311" s="107" t="s">
        <v>621</v>
      </c>
      <c r="I311">
        <v>209</v>
      </c>
    </row>
    <row r="312" spans="1:10">
      <c r="A312" s="107" t="s">
        <v>685</v>
      </c>
      <c r="B312" s="107" t="s">
        <v>351</v>
      </c>
      <c r="C312" s="107" t="s">
        <v>352</v>
      </c>
      <c r="D312" s="107" t="s">
        <v>353</v>
      </c>
      <c r="E312">
        <v>7952</v>
      </c>
      <c r="F312" s="107" t="s">
        <v>691</v>
      </c>
      <c r="G312" s="107" t="s">
        <v>354</v>
      </c>
      <c r="H312" s="107" t="s">
        <v>376</v>
      </c>
      <c r="I312">
        <v>330</v>
      </c>
    </row>
    <row r="313" spans="1:10">
      <c r="A313" s="107" t="s">
        <v>692</v>
      </c>
      <c r="B313" s="107" t="s">
        <v>574</v>
      </c>
      <c r="C313" s="107" t="s">
        <v>352</v>
      </c>
      <c r="D313" s="107" t="s">
        <v>353</v>
      </c>
      <c r="E313">
        <v>8093</v>
      </c>
      <c r="F313" s="107" t="s">
        <v>1129</v>
      </c>
      <c r="G313" s="107" t="s">
        <v>354</v>
      </c>
      <c r="H313" s="107" t="s">
        <v>360</v>
      </c>
      <c r="I313">
        <v>143</v>
      </c>
    </row>
    <row r="314" spans="1:10">
      <c r="A314" s="107" t="s">
        <v>692</v>
      </c>
      <c r="B314" s="107" t="s">
        <v>351</v>
      </c>
      <c r="C314" s="107" t="s">
        <v>352</v>
      </c>
      <c r="D314" s="107" t="s">
        <v>353</v>
      </c>
      <c r="E314">
        <v>1801</v>
      </c>
      <c r="F314" s="107" t="s">
        <v>693</v>
      </c>
      <c r="G314" s="107" t="s">
        <v>354</v>
      </c>
      <c r="H314" s="107" t="s">
        <v>388</v>
      </c>
      <c r="I314" s="107" t="s">
        <v>694</v>
      </c>
      <c r="J314" s="107" t="s">
        <v>1130</v>
      </c>
    </row>
    <row r="315" spans="1:10">
      <c r="A315" s="107" t="s">
        <v>692</v>
      </c>
      <c r="B315" s="107" t="s">
        <v>351</v>
      </c>
      <c r="C315" s="107" t="s">
        <v>352</v>
      </c>
      <c r="D315" s="107" t="s">
        <v>353</v>
      </c>
      <c r="E315">
        <v>1813</v>
      </c>
      <c r="F315" s="107" t="s">
        <v>695</v>
      </c>
      <c r="G315" s="107" t="s">
        <v>354</v>
      </c>
      <c r="H315" s="107" t="s">
        <v>388</v>
      </c>
      <c r="I315" s="107">
        <v>258</v>
      </c>
      <c r="J315" s="107"/>
    </row>
    <row r="316" spans="1:10">
      <c r="A316" s="107" t="s">
        <v>692</v>
      </c>
      <c r="B316" s="107" t="s">
        <v>351</v>
      </c>
      <c r="C316" s="107" t="s">
        <v>352</v>
      </c>
      <c r="D316" s="107" t="s">
        <v>353</v>
      </c>
      <c r="E316">
        <v>1835</v>
      </c>
      <c r="F316" s="107" t="s">
        <v>696</v>
      </c>
      <c r="G316" s="107" t="s">
        <v>354</v>
      </c>
      <c r="H316" s="107" t="s">
        <v>388</v>
      </c>
      <c r="I316" s="107" t="s">
        <v>409</v>
      </c>
      <c r="J316" s="107" t="s">
        <v>1131</v>
      </c>
    </row>
    <row r="317" spans="1:10">
      <c r="A317" s="107" t="s">
        <v>692</v>
      </c>
      <c r="B317" s="107" t="s">
        <v>351</v>
      </c>
      <c r="C317" s="107" t="s">
        <v>352</v>
      </c>
      <c r="D317" s="107" t="s">
        <v>357</v>
      </c>
      <c r="E317">
        <v>1853</v>
      </c>
      <c r="F317" s="107" t="s">
        <v>697</v>
      </c>
      <c r="G317" s="107" t="s">
        <v>362</v>
      </c>
      <c r="H317" s="107" t="s">
        <v>388</v>
      </c>
      <c r="I317" s="107">
        <v>104</v>
      </c>
      <c r="J317" s="107"/>
    </row>
    <row r="318" spans="1:10">
      <c r="A318" s="107" t="s">
        <v>692</v>
      </c>
      <c r="B318" s="107" t="s">
        <v>351</v>
      </c>
      <c r="C318" s="107" t="s">
        <v>352</v>
      </c>
      <c r="D318" s="107" t="s">
        <v>353</v>
      </c>
      <c r="E318">
        <v>1909</v>
      </c>
      <c r="F318" s="107" t="s">
        <v>698</v>
      </c>
      <c r="G318" s="107" t="s">
        <v>354</v>
      </c>
      <c r="H318" s="107" t="s">
        <v>375</v>
      </c>
      <c r="I318">
        <v>113</v>
      </c>
    </row>
    <row r="319" spans="1:10">
      <c r="A319" s="107" t="s">
        <v>692</v>
      </c>
      <c r="B319" s="107" t="s">
        <v>351</v>
      </c>
      <c r="C319" s="107" t="s">
        <v>352</v>
      </c>
      <c r="D319" s="107" t="s">
        <v>353</v>
      </c>
      <c r="E319">
        <v>1961</v>
      </c>
      <c r="F319" s="107" t="s">
        <v>699</v>
      </c>
      <c r="G319" s="107" t="s">
        <v>354</v>
      </c>
      <c r="H319" s="107" t="s">
        <v>388</v>
      </c>
      <c r="I319" s="107">
        <v>904</v>
      </c>
      <c r="J319" s="107"/>
    </row>
    <row r="320" spans="1:10">
      <c r="A320" s="107" t="s">
        <v>692</v>
      </c>
      <c r="B320" s="107" t="s">
        <v>351</v>
      </c>
      <c r="C320" s="107" t="s">
        <v>352</v>
      </c>
      <c r="D320" s="107" t="s">
        <v>353</v>
      </c>
      <c r="E320">
        <v>1969</v>
      </c>
      <c r="F320" s="107" t="s">
        <v>700</v>
      </c>
      <c r="G320" s="107" t="s">
        <v>354</v>
      </c>
      <c r="H320" s="107" t="s">
        <v>388</v>
      </c>
      <c r="I320" s="107" t="s">
        <v>409</v>
      </c>
      <c r="J320" s="107" t="s">
        <v>1132</v>
      </c>
    </row>
    <row r="321" spans="1:10">
      <c r="A321" s="107" t="s">
        <v>692</v>
      </c>
      <c r="B321" s="107" t="s">
        <v>351</v>
      </c>
      <c r="C321" s="107" t="s">
        <v>352</v>
      </c>
      <c r="D321" s="107" t="s">
        <v>353</v>
      </c>
      <c r="E321">
        <v>2307</v>
      </c>
      <c r="F321" s="107" t="s">
        <v>1133</v>
      </c>
      <c r="G321" s="107" t="s">
        <v>354</v>
      </c>
      <c r="H321" s="107" t="s">
        <v>365</v>
      </c>
      <c r="I321" s="107">
        <v>96</v>
      </c>
      <c r="J321" s="107"/>
    </row>
    <row r="322" spans="1:10">
      <c r="A322" s="107" t="s">
        <v>692</v>
      </c>
      <c r="B322" s="107" t="s">
        <v>351</v>
      </c>
      <c r="C322" s="107" t="s">
        <v>352</v>
      </c>
      <c r="D322" s="107" t="s">
        <v>353</v>
      </c>
      <c r="E322">
        <v>2475</v>
      </c>
      <c r="F322" s="107" t="s">
        <v>1134</v>
      </c>
      <c r="G322" s="107" t="s">
        <v>354</v>
      </c>
      <c r="H322" s="107" t="s">
        <v>359</v>
      </c>
      <c r="I322" s="107">
        <v>512</v>
      </c>
      <c r="J322" s="107"/>
    </row>
    <row r="323" spans="1:10">
      <c r="A323" s="107" t="s">
        <v>692</v>
      </c>
      <c r="B323" s="107" t="s">
        <v>351</v>
      </c>
      <c r="C323" s="107" t="s">
        <v>352</v>
      </c>
      <c r="D323" s="107" t="s">
        <v>353</v>
      </c>
      <c r="E323">
        <v>2480</v>
      </c>
      <c r="F323" s="107" t="s">
        <v>1135</v>
      </c>
      <c r="G323" s="107" t="s">
        <v>358</v>
      </c>
      <c r="H323" s="107" t="s">
        <v>359</v>
      </c>
      <c r="I323" s="107">
        <v>63</v>
      </c>
      <c r="J323" s="107"/>
    </row>
    <row r="324" spans="1:10">
      <c r="A324" s="107" t="s">
        <v>692</v>
      </c>
      <c r="B324" s="107" t="s">
        <v>351</v>
      </c>
      <c r="C324" s="107" t="s">
        <v>352</v>
      </c>
      <c r="D324" s="107" t="s">
        <v>353</v>
      </c>
      <c r="E324">
        <v>2815</v>
      </c>
      <c r="F324" s="107" t="s">
        <v>701</v>
      </c>
      <c r="G324" s="107" t="s">
        <v>354</v>
      </c>
      <c r="H324" s="107" t="s">
        <v>355</v>
      </c>
      <c r="I324" s="107" t="s">
        <v>377</v>
      </c>
      <c r="J324" s="107" t="s">
        <v>1136</v>
      </c>
    </row>
    <row r="325" spans="1:10">
      <c r="A325" s="107" t="s">
        <v>692</v>
      </c>
      <c r="B325" s="107" t="s">
        <v>351</v>
      </c>
      <c r="C325" s="107" t="s">
        <v>352</v>
      </c>
      <c r="D325" s="107" t="s">
        <v>353</v>
      </c>
      <c r="E325">
        <v>2911</v>
      </c>
      <c r="F325" s="107" t="s">
        <v>1137</v>
      </c>
      <c r="G325" s="107" t="s">
        <v>362</v>
      </c>
      <c r="H325" s="107" t="s">
        <v>355</v>
      </c>
      <c r="I325" s="107">
        <v>38</v>
      </c>
      <c r="J325" s="107"/>
    </row>
    <row r="326" spans="1:10">
      <c r="A326" s="107" t="s">
        <v>692</v>
      </c>
      <c r="B326" s="107" t="s">
        <v>351</v>
      </c>
      <c r="C326" s="107" t="s">
        <v>352</v>
      </c>
      <c r="D326" s="107" t="s">
        <v>353</v>
      </c>
      <c r="E326">
        <v>3109</v>
      </c>
      <c r="F326" s="107" t="s">
        <v>702</v>
      </c>
      <c r="G326" s="107" t="s">
        <v>354</v>
      </c>
      <c r="H326" s="107" t="s">
        <v>420</v>
      </c>
      <c r="I326">
        <v>112</v>
      </c>
    </row>
    <row r="327" spans="1:10">
      <c r="A327" s="107" t="s">
        <v>692</v>
      </c>
      <c r="B327" s="107" t="s">
        <v>351</v>
      </c>
      <c r="C327" s="107" t="s">
        <v>361</v>
      </c>
      <c r="D327" s="107" t="s">
        <v>353</v>
      </c>
      <c r="E327">
        <v>3482</v>
      </c>
      <c r="F327" s="107" t="s">
        <v>1138</v>
      </c>
      <c r="G327" s="107" t="s">
        <v>366</v>
      </c>
      <c r="H327" s="107" t="s">
        <v>380</v>
      </c>
      <c r="I327" s="107">
        <v>204</v>
      </c>
      <c r="J327" s="107"/>
    </row>
    <row r="328" spans="1:10">
      <c r="A328" s="107" t="s">
        <v>692</v>
      </c>
      <c r="B328" s="107" t="s">
        <v>351</v>
      </c>
      <c r="C328" s="107" t="s">
        <v>356</v>
      </c>
      <c r="D328" s="107" t="s">
        <v>353</v>
      </c>
      <c r="E328">
        <v>3690</v>
      </c>
      <c r="F328" s="107" t="s">
        <v>1139</v>
      </c>
      <c r="G328" s="107" t="s">
        <v>366</v>
      </c>
      <c r="H328" s="107" t="s">
        <v>365</v>
      </c>
      <c r="I328">
        <v>80</v>
      </c>
    </row>
    <row r="329" spans="1:10">
      <c r="A329" s="107" t="s">
        <v>692</v>
      </c>
      <c r="B329" s="107" t="s">
        <v>351</v>
      </c>
      <c r="C329" s="107" t="s">
        <v>352</v>
      </c>
      <c r="D329" s="107" t="s">
        <v>353</v>
      </c>
      <c r="E329">
        <v>3766</v>
      </c>
      <c r="F329" s="107" t="s">
        <v>703</v>
      </c>
      <c r="G329" s="107" t="s">
        <v>358</v>
      </c>
      <c r="H329" s="107" t="s">
        <v>365</v>
      </c>
      <c r="I329">
        <v>25</v>
      </c>
    </row>
    <row r="330" spans="1:10">
      <c r="A330" s="107" t="s">
        <v>692</v>
      </c>
      <c r="B330" s="107" t="s">
        <v>351</v>
      </c>
      <c r="C330" s="107" t="s">
        <v>352</v>
      </c>
      <c r="D330" s="107" t="s">
        <v>353</v>
      </c>
      <c r="E330">
        <v>4540</v>
      </c>
      <c r="F330" s="107" t="s">
        <v>704</v>
      </c>
      <c r="G330" s="107" t="s">
        <v>354</v>
      </c>
      <c r="H330" s="107" t="s">
        <v>476</v>
      </c>
      <c r="I330" s="107" t="s">
        <v>377</v>
      </c>
      <c r="J330" s="107" t="s">
        <v>1140</v>
      </c>
    </row>
    <row r="331" spans="1:10">
      <c r="A331" s="107" t="s">
        <v>692</v>
      </c>
      <c r="B331" s="107" t="s">
        <v>351</v>
      </c>
      <c r="C331" s="107" t="s">
        <v>361</v>
      </c>
      <c r="D331" s="107" t="s">
        <v>357</v>
      </c>
      <c r="E331">
        <v>4588</v>
      </c>
      <c r="F331" s="107" t="s">
        <v>705</v>
      </c>
      <c r="G331" s="107" t="s">
        <v>366</v>
      </c>
      <c r="H331" s="107" t="s">
        <v>476</v>
      </c>
      <c r="I331" s="107">
        <v>274</v>
      </c>
      <c r="J331" s="107"/>
    </row>
    <row r="332" spans="1:10">
      <c r="A332" s="107" t="s">
        <v>692</v>
      </c>
      <c r="B332" s="107" t="s">
        <v>351</v>
      </c>
      <c r="C332" s="107" t="s">
        <v>352</v>
      </c>
      <c r="D332" s="107" t="s">
        <v>353</v>
      </c>
      <c r="E332">
        <v>4777</v>
      </c>
      <c r="F332" s="107" t="s">
        <v>706</v>
      </c>
      <c r="G332" s="107" t="s">
        <v>358</v>
      </c>
      <c r="H332" s="107" t="s">
        <v>365</v>
      </c>
      <c r="I332" s="107">
        <v>52</v>
      </c>
      <c r="J332" s="107"/>
    </row>
    <row r="333" spans="1:10">
      <c r="A333" s="107" t="s">
        <v>692</v>
      </c>
      <c r="B333" s="107" t="s">
        <v>351</v>
      </c>
      <c r="C333" s="107" t="s">
        <v>352</v>
      </c>
      <c r="D333" s="107" t="s">
        <v>357</v>
      </c>
      <c r="E333">
        <v>4970</v>
      </c>
      <c r="F333" s="107" t="s">
        <v>1141</v>
      </c>
      <c r="G333" s="107" t="s">
        <v>358</v>
      </c>
      <c r="H333" s="107" t="s">
        <v>367</v>
      </c>
      <c r="I333">
        <v>287</v>
      </c>
    </row>
    <row r="334" spans="1:10">
      <c r="A334" s="107" t="s">
        <v>692</v>
      </c>
      <c r="B334" s="107" t="s">
        <v>351</v>
      </c>
      <c r="C334" s="107" t="s">
        <v>352</v>
      </c>
      <c r="D334" s="107" t="s">
        <v>353</v>
      </c>
      <c r="E334">
        <v>5602</v>
      </c>
      <c r="F334" s="107" t="s">
        <v>1142</v>
      </c>
      <c r="G334" s="107" t="s">
        <v>354</v>
      </c>
      <c r="H334" s="107" t="s">
        <v>1143</v>
      </c>
      <c r="I334" s="107">
        <v>259</v>
      </c>
      <c r="J334" s="107"/>
    </row>
    <row r="335" spans="1:10">
      <c r="A335" s="107" t="s">
        <v>692</v>
      </c>
      <c r="B335" s="107" t="s">
        <v>351</v>
      </c>
      <c r="C335" s="107" t="s">
        <v>352</v>
      </c>
      <c r="D335" s="107" t="s">
        <v>353</v>
      </c>
      <c r="E335">
        <v>5713</v>
      </c>
      <c r="F335" s="107" t="s">
        <v>707</v>
      </c>
      <c r="G335" s="107" t="s">
        <v>354</v>
      </c>
      <c r="H335" s="107" t="s">
        <v>660</v>
      </c>
      <c r="I335" s="107" t="s">
        <v>694</v>
      </c>
      <c r="J335" s="107" t="s">
        <v>1144</v>
      </c>
    </row>
    <row r="336" spans="1:10">
      <c r="A336" s="107" t="s">
        <v>692</v>
      </c>
      <c r="B336" s="107" t="s">
        <v>351</v>
      </c>
      <c r="C336" s="107" t="s">
        <v>352</v>
      </c>
      <c r="D336" s="107" t="s">
        <v>353</v>
      </c>
      <c r="E336">
        <v>6485</v>
      </c>
      <c r="F336" s="107" t="s">
        <v>708</v>
      </c>
      <c r="G336" s="107" t="s">
        <v>354</v>
      </c>
      <c r="H336" s="107" t="s">
        <v>375</v>
      </c>
      <c r="I336" s="107">
        <v>260</v>
      </c>
      <c r="J336" s="107"/>
    </row>
    <row r="337" spans="1:10">
      <c r="A337" s="107" t="s">
        <v>692</v>
      </c>
      <c r="B337" s="107" t="s">
        <v>351</v>
      </c>
      <c r="C337" s="107" t="s">
        <v>361</v>
      </c>
      <c r="D337" s="107" t="s">
        <v>353</v>
      </c>
      <c r="E337">
        <v>6929</v>
      </c>
      <c r="F337" s="107" t="s">
        <v>709</v>
      </c>
      <c r="G337" s="107" t="s">
        <v>354</v>
      </c>
      <c r="H337" s="107" t="s">
        <v>379</v>
      </c>
      <c r="I337" s="107">
        <v>770</v>
      </c>
      <c r="J337" s="107"/>
    </row>
    <row r="338" spans="1:10">
      <c r="A338" s="107" t="s">
        <v>692</v>
      </c>
      <c r="B338" s="107" t="s">
        <v>351</v>
      </c>
      <c r="C338" s="107" t="s">
        <v>352</v>
      </c>
      <c r="D338" s="107" t="s">
        <v>353</v>
      </c>
      <c r="E338">
        <v>7480</v>
      </c>
      <c r="F338" s="107" t="s">
        <v>710</v>
      </c>
      <c r="G338" s="107" t="s">
        <v>354</v>
      </c>
      <c r="H338" s="107" t="s">
        <v>360</v>
      </c>
      <c r="I338">
        <v>214</v>
      </c>
    </row>
    <row r="339" spans="1:10">
      <c r="A339" s="107" t="s">
        <v>692</v>
      </c>
      <c r="B339" s="107" t="s">
        <v>351</v>
      </c>
      <c r="C339" s="107" t="s">
        <v>352</v>
      </c>
      <c r="D339" s="107" t="s">
        <v>353</v>
      </c>
      <c r="E339">
        <v>9880</v>
      </c>
      <c r="F339" s="107" t="s">
        <v>711</v>
      </c>
      <c r="G339" s="107" t="s">
        <v>354</v>
      </c>
      <c r="H339" s="107" t="s">
        <v>360</v>
      </c>
      <c r="I339" s="107">
        <v>167</v>
      </c>
      <c r="J339" s="107"/>
    </row>
    <row r="340" spans="1:10">
      <c r="A340" s="107" t="s">
        <v>692</v>
      </c>
      <c r="B340" s="107" t="s">
        <v>351</v>
      </c>
      <c r="C340" s="107" t="s">
        <v>352</v>
      </c>
      <c r="D340" s="107" t="s">
        <v>353</v>
      </c>
      <c r="E340">
        <v>9994</v>
      </c>
      <c r="F340" s="107" t="s">
        <v>712</v>
      </c>
      <c r="G340" s="107" t="s">
        <v>354</v>
      </c>
      <c r="H340" s="107" t="s">
        <v>364</v>
      </c>
      <c r="I340">
        <v>241</v>
      </c>
    </row>
    <row r="341" spans="1:10">
      <c r="A341" s="107" t="s">
        <v>713</v>
      </c>
      <c r="B341" s="107" t="s">
        <v>351</v>
      </c>
      <c r="C341" s="107" t="s">
        <v>352</v>
      </c>
      <c r="D341" s="107" t="s">
        <v>353</v>
      </c>
      <c r="E341">
        <v>1979</v>
      </c>
      <c r="F341" s="107" t="s">
        <v>714</v>
      </c>
      <c r="G341" s="107" t="s">
        <v>354</v>
      </c>
      <c r="H341" s="107" t="s">
        <v>388</v>
      </c>
      <c r="I341" s="107" t="s">
        <v>409</v>
      </c>
      <c r="J341" s="107" t="s">
        <v>1145</v>
      </c>
    </row>
    <row r="342" spans="1:10">
      <c r="A342" s="107" t="s">
        <v>713</v>
      </c>
      <c r="B342" s="107" t="s">
        <v>351</v>
      </c>
      <c r="C342" s="107" t="s">
        <v>352</v>
      </c>
      <c r="D342" s="107" t="s">
        <v>353</v>
      </c>
      <c r="E342">
        <v>2201</v>
      </c>
      <c r="F342" s="107" t="s">
        <v>986</v>
      </c>
      <c r="G342" s="107" t="s">
        <v>354</v>
      </c>
      <c r="H342" s="107" t="s">
        <v>355</v>
      </c>
      <c r="I342" s="107" t="s">
        <v>594</v>
      </c>
      <c r="J342" s="107" t="s">
        <v>1146</v>
      </c>
    </row>
    <row r="343" spans="1:10">
      <c r="A343" s="107" t="s">
        <v>713</v>
      </c>
      <c r="B343" s="107" t="s">
        <v>351</v>
      </c>
      <c r="C343" s="107" t="s">
        <v>361</v>
      </c>
      <c r="D343" s="107" t="s">
        <v>353</v>
      </c>
      <c r="E343">
        <v>2384</v>
      </c>
      <c r="F343" s="107" t="s">
        <v>987</v>
      </c>
      <c r="G343" s="107" t="s">
        <v>354</v>
      </c>
      <c r="H343" s="107" t="s">
        <v>643</v>
      </c>
      <c r="I343" s="107">
        <v>778</v>
      </c>
      <c r="J343" s="107"/>
    </row>
    <row r="344" spans="1:10">
      <c r="A344" s="107" t="s">
        <v>713</v>
      </c>
      <c r="B344" s="107" t="s">
        <v>351</v>
      </c>
      <c r="C344" s="107" t="s">
        <v>352</v>
      </c>
      <c r="D344" s="107" t="s">
        <v>353</v>
      </c>
      <c r="E344">
        <v>2398</v>
      </c>
      <c r="F344" s="107" t="s">
        <v>988</v>
      </c>
      <c r="G344" s="107" t="s">
        <v>354</v>
      </c>
      <c r="H344" s="107" t="s">
        <v>359</v>
      </c>
      <c r="I344" s="107">
        <v>409</v>
      </c>
      <c r="J344" s="107"/>
    </row>
    <row r="345" spans="1:10">
      <c r="A345" s="107" t="s">
        <v>713</v>
      </c>
      <c r="B345" s="107" t="s">
        <v>351</v>
      </c>
      <c r="C345" s="107" t="s">
        <v>352</v>
      </c>
      <c r="D345" s="107" t="s">
        <v>353</v>
      </c>
      <c r="E345">
        <v>6324</v>
      </c>
      <c r="F345" s="107" t="s">
        <v>1147</v>
      </c>
      <c r="G345" s="107" t="s">
        <v>358</v>
      </c>
      <c r="H345" s="107" t="s">
        <v>375</v>
      </c>
      <c r="I345" s="107" t="s">
        <v>505</v>
      </c>
      <c r="J345" s="107" t="s">
        <v>1148</v>
      </c>
    </row>
    <row r="346" spans="1:10">
      <c r="A346" s="107" t="s">
        <v>713</v>
      </c>
      <c r="B346" s="107" t="s">
        <v>351</v>
      </c>
      <c r="C346" s="107" t="s">
        <v>363</v>
      </c>
      <c r="D346" s="107" t="s">
        <v>353</v>
      </c>
      <c r="E346">
        <v>7320</v>
      </c>
      <c r="F346" s="107" t="s">
        <v>989</v>
      </c>
      <c r="G346" s="107" t="s">
        <v>366</v>
      </c>
      <c r="H346" s="107" t="s">
        <v>426</v>
      </c>
      <c r="I346" s="107">
        <v>59</v>
      </c>
      <c r="J346" s="107"/>
    </row>
    <row r="347" spans="1:10">
      <c r="A347" s="107" t="s">
        <v>713</v>
      </c>
      <c r="B347" s="107" t="s">
        <v>351</v>
      </c>
      <c r="C347" s="107" t="s">
        <v>352</v>
      </c>
      <c r="D347" s="107" t="s">
        <v>353</v>
      </c>
      <c r="E347">
        <v>8108</v>
      </c>
      <c r="F347" s="107" t="s">
        <v>715</v>
      </c>
      <c r="G347" s="107" t="s">
        <v>716</v>
      </c>
      <c r="H347" s="107" t="s">
        <v>360</v>
      </c>
      <c r="I347" s="107">
        <v>267</v>
      </c>
      <c r="J347" s="107"/>
    </row>
    <row r="348" spans="1:10">
      <c r="A348" s="107" t="s">
        <v>717</v>
      </c>
      <c r="B348" s="107" t="s">
        <v>351</v>
      </c>
      <c r="C348" s="107" t="s">
        <v>352</v>
      </c>
      <c r="D348" s="107" t="s">
        <v>353</v>
      </c>
      <c r="E348">
        <v>1762</v>
      </c>
      <c r="F348" s="107" t="s">
        <v>718</v>
      </c>
      <c r="G348" s="107" t="s">
        <v>354</v>
      </c>
      <c r="H348" s="107" t="s">
        <v>388</v>
      </c>
      <c r="I348" s="107" t="s">
        <v>409</v>
      </c>
      <c r="J348" s="107" t="s">
        <v>1149</v>
      </c>
    </row>
    <row r="349" spans="1:10">
      <c r="A349" s="107" t="s">
        <v>717</v>
      </c>
      <c r="B349" s="107" t="s">
        <v>351</v>
      </c>
      <c r="C349" s="107" t="s">
        <v>352</v>
      </c>
      <c r="D349" s="107" t="s">
        <v>353</v>
      </c>
      <c r="E349">
        <v>1821</v>
      </c>
      <c r="F349" s="107" t="s">
        <v>719</v>
      </c>
      <c r="G349" s="107" t="s">
        <v>354</v>
      </c>
      <c r="H349" s="107" t="s">
        <v>388</v>
      </c>
      <c r="I349" s="107">
        <v>992</v>
      </c>
      <c r="J349" s="107"/>
    </row>
    <row r="350" spans="1:10">
      <c r="A350" s="107" t="s">
        <v>717</v>
      </c>
      <c r="B350" s="107" t="s">
        <v>351</v>
      </c>
      <c r="C350" s="107" t="s">
        <v>352</v>
      </c>
      <c r="D350" s="107" t="s">
        <v>353</v>
      </c>
      <c r="E350">
        <v>2196</v>
      </c>
      <c r="F350" s="107" t="s">
        <v>991</v>
      </c>
      <c r="G350" s="107" t="s">
        <v>354</v>
      </c>
      <c r="H350" s="107" t="s">
        <v>359</v>
      </c>
      <c r="I350" s="107">
        <v>95</v>
      </c>
      <c r="J350" s="107"/>
    </row>
    <row r="351" spans="1:10">
      <c r="A351" s="107" t="s">
        <v>717</v>
      </c>
      <c r="B351" s="107" t="s">
        <v>351</v>
      </c>
      <c r="C351" s="107" t="s">
        <v>361</v>
      </c>
      <c r="D351" s="107" t="s">
        <v>353</v>
      </c>
      <c r="E351">
        <v>2436</v>
      </c>
      <c r="F351" s="107" t="s">
        <v>992</v>
      </c>
      <c r="G351" s="107" t="s">
        <v>358</v>
      </c>
      <c r="H351" s="107" t="s">
        <v>359</v>
      </c>
      <c r="I351" s="107">
        <v>60</v>
      </c>
      <c r="J351" s="107"/>
    </row>
    <row r="352" spans="1:10">
      <c r="A352" s="107" t="s">
        <v>717</v>
      </c>
      <c r="B352" s="107" t="s">
        <v>351</v>
      </c>
      <c r="C352" s="107" t="s">
        <v>352</v>
      </c>
      <c r="D352" s="107" t="s">
        <v>353</v>
      </c>
      <c r="E352">
        <v>2705</v>
      </c>
      <c r="F352" s="107" t="s">
        <v>720</v>
      </c>
      <c r="G352" s="107" t="s">
        <v>358</v>
      </c>
      <c r="H352" s="107" t="s">
        <v>364</v>
      </c>
      <c r="I352" s="107">
        <v>175</v>
      </c>
      <c r="J352" s="107"/>
    </row>
    <row r="353" spans="1:10">
      <c r="A353" s="107" t="s">
        <v>717</v>
      </c>
      <c r="B353" s="107" t="s">
        <v>351</v>
      </c>
      <c r="C353" s="107" t="s">
        <v>361</v>
      </c>
      <c r="D353" s="107" t="s">
        <v>353</v>
      </c>
      <c r="E353">
        <v>3784</v>
      </c>
      <c r="F353" s="107" t="s">
        <v>1150</v>
      </c>
      <c r="G353" s="107" t="s">
        <v>354</v>
      </c>
      <c r="H353" s="107" t="s">
        <v>365</v>
      </c>
      <c r="I353" s="107">
        <v>224</v>
      </c>
      <c r="J353" s="107"/>
    </row>
    <row r="354" spans="1:10">
      <c r="A354" s="107" t="s">
        <v>717</v>
      </c>
      <c r="B354" s="107" t="s">
        <v>351</v>
      </c>
      <c r="C354" s="107" t="s">
        <v>352</v>
      </c>
      <c r="D354" s="107" t="s">
        <v>353</v>
      </c>
      <c r="E354">
        <v>5714</v>
      </c>
      <c r="F354" s="107" t="s">
        <v>721</v>
      </c>
      <c r="G354" s="107" t="s">
        <v>354</v>
      </c>
      <c r="H354" s="107" t="s">
        <v>660</v>
      </c>
      <c r="I354" s="107" t="s">
        <v>377</v>
      </c>
      <c r="J354" s="107" t="s">
        <v>1151</v>
      </c>
    </row>
    <row r="355" spans="1:10">
      <c r="A355" s="107" t="s">
        <v>717</v>
      </c>
      <c r="B355" s="107" t="s">
        <v>351</v>
      </c>
      <c r="C355" s="107" t="s">
        <v>361</v>
      </c>
      <c r="D355" s="107" t="s">
        <v>353</v>
      </c>
      <c r="E355">
        <v>6627</v>
      </c>
      <c r="F355" s="107" t="s">
        <v>1152</v>
      </c>
      <c r="G355" s="107" t="s">
        <v>366</v>
      </c>
      <c r="H355" s="107" t="s">
        <v>379</v>
      </c>
      <c r="I355" s="107">
        <v>72</v>
      </c>
      <c r="J355" s="107"/>
    </row>
    <row r="356" spans="1:10">
      <c r="A356" s="107" t="s">
        <v>717</v>
      </c>
      <c r="B356" s="107" t="s">
        <v>351</v>
      </c>
      <c r="C356" s="107" t="s">
        <v>352</v>
      </c>
      <c r="D356" s="107" t="s">
        <v>353</v>
      </c>
      <c r="E356">
        <v>7294</v>
      </c>
      <c r="F356" s="107" t="s">
        <v>722</v>
      </c>
      <c r="G356" s="107" t="s">
        <v>354</v>
      </c>
      <c r="H356" s="107" t="s">
        <v>405</v>
      </c>
      <c r="I356" s="107">
        <v>364</v>
      </c>
      <c r="J356" s="107"/>
    </row>
    <row r="357" spans="1:10">
      <c r="A357" s="107" t="s">
        <v>717</v>
      </c>
      <c r="B357" s="107" t="s">
        <v>351</v>
      </c>
      <c r="C357" s="107" t="s">
        <v>352</v>
      </c>
      <c r="D357" s="107" t="s">
        <v>353</v>
      </c>
      <c r="E357">
        <v>9964</v>
      </c>
      <c r="F357" s="107" t="s">
        <v>723</v>
      </c>
      <c r="G357" s="107" t="s">
        <v>358</v>
      </c>
      <c r="H357" s="107" t="s">
        <v>360</v>
      </c>
      <c r="I357" s="107">
        <v>201</v>
      </c>
      <c r="J357" s="107"/>
    </row>
    <row r="358" spans="1:10">
      <c r="A358" s="107" t="s">
        <v>724</v>
      </c>
      <c r="B358" s="107" t="s">
        <v>351</v>
      </c>
      <c r="C358" s="107" t="s">
        <v>352</v>
      </c>
      <c r="D358" s="107" t="s">
        <v>353</v>
      </c>
      <c r="E358">
        <v>1384</v>
      </c>
      <c r="F358" s="107" t="s">
        <v>725</v>
      </c>
      <c r="G358" s="107" t="s">
        <v>354</v>
      </c>
      <c r="H358" s="107" t="s">
        <v>494</v>
      </c>
      <c r="I358" s="107">
        <v>56</v>
      </c>
      <c r="J358" s="107"/>
    </row>
    <row r="359" spans="1:10">
      <c r="A359" s="107" t="s">
        <v>724</v>
      </c>
      <c r="B359" s="107" t="s">
        <v>351</v>
      </c>
      <c r="C359" s="107" t="s">
        <v>361</v>
      </c>
      <c r="D359" s="107" t="s">
        <v>353</v>
      </c>
      <c r="E359">
        <v>2150</v>
      </c>
      <c r="F359" s="107" t="s">
        <v>726</v>
      </c>
      <c r="G359" s="107" t="s">
        <v>366</v>
      </c>
      <c r="H359" s="107" t="s">
        <v>359</v>
      </c>
      <c r="I359" s="107">
        <v>88</v>
      </c>
      <c r="J359" s="107"/>
    </row>
    <row r="360" spans="1:10">
      <c r="A360" s="107" t="s">
        <v>724</v>
      </c>
      <c r="B360" s="107" t="s">
        <v>351</v>
      </c>
      <c r="C360" s="107" t="s">
        <v>361</v>
      </c>
      <c r="D360" s="107" t="s">
        <v>353</v>
      </c>
      <c r="E360">
        <v>2170</v>
      </c>
      <c r="F360" s="107" t="s">
        <v>727</v>
      </c>
      <c r="G360" s="107" t="s">
        <v>354</v>
      </c>
      <c r="H360" s="107" t="s">
        <v>359</v>
      </c>
      <c r="I360">
        <v>755</v>
      </c>
    </row>
    <row r="361" spans="1:10">
      <c r="A361" s="107" t="s">
        <v>724</v>
      </c>
      <c r="B361" s="107" t="s">
        <v>351</v>
      </c>
      <c r="C361" s="107" t="s">
        <v>356</v>
      </c>
      <c r="D361" s="107" t="s">
        <v>353</v>
      </c>
      <c r="E361">
        <v>2185</v>
      </c>
      <c r="F361" s="107" t="s">
        <v>993</v>
      </c>
      <c r="G361" s="107" t="s">
        <v>358</v>
      </c>
      <c r="H361" s="107" t="s">
        <v>359</v>
      </c>
      <c r="I361">
        <v>166</v>
      </c>
    </row>
    <row r="362" spans="1:10">
      <c r="A362" s="107" t="s">
        <v>724</v>
      </c>
      <c r="B362" s="107" t="s">
        <v>351</v>
      </c>
      <c r="C362" s="107" t="s">
        <v>352</v>
      </c>
      <c r="D362" s="107" t="s">
        <v>353</v>
      </c>
      <c r="E362">
        <v>2323</v>
      </c>
      <c r="F362" s="107" t="s">
        <v>994</v>
      </c>
      <c r="G362" s="107" t="s">
        <v>358</v>
      </c>
      <c r="H362" s="107" t="s">
        <v>365</v>
      </c>
      <c r="I362" s="107">
        <v>14</v>
      </c>
      <c r="J362" s="107"/>
    </row>
    <row r="363" spans="1:10">
      <c r="A363" s="107" t="s">
        <v>724</v>
      </c>
      <c r="B363" s="107" t="s">
        <v>351</v>
      </c>
      <c r="C363" s="107" t="s">
        <v>352</v>
      </c>
      <c r="D363" s="107" t="s">
        <v>353</v>
      </c>
      <c r="E363">
        <v>2654</v>
      </c>
      <c r="F363" s="107" t="s">
        <v>728</v>
      </c>
      <c r="G363" s="107" t="s">
        <v>362</v>
      </c>
      <c r="H363" s="107" t="s">
        <v>364</v>
      </c>
      <c r="I363">
        <v>84</v>
      </c>
    </row>
    <row r="364" spans="1:10">
      <c r="A364" s="107" t="s">
        <v>724</v>
      </c>
      <c r="B364" s="107" t="s">
        <v>351</v>
      </c>
      <c r="C364" s="107" t="s">
        <v>352</v>
      </c>
      <c r="D364" s="107" t="s">
        <v>353</v>
      </c>
      <c r="E364">
        <v>3182</v>
      </c>
      <c r="F364" s="107" t="s">
        <v>729</v>
      </c>
      <c r="G364" s="107" t="s">
        <v>366</v>
      </c>
      <c r="H364" s="107" t="s">
        <v>364</v>
      </c>
      <c r="I364">
        <v>447</v>
      </c>
    </row>
    <row r="365" spans="1:10">
      <c r="A365" s="107" t="s">
        <v>724</v>
      </c>
      <c r="B365" s="107" t="s">
        <v>351</v>
      </c>
      <c r="C365" s="107" t="s">
        <v>352</v>
      </c>
      <c r="D365" s="107" t="s">
        <v>357</v>
      </c>
      <c r="E365">
        <v>3477</v>
      </c>
      <c r="F365" s="107" t="s">
        <v>1153</v>
      </c>
      <c r="G365" s="107" t="s">
        <v>366</v>
      </c>
      <c r="H365" s="107" t="s">
        <v>380</v>
      </c>
      <c r="I365" s="107">
        <v>20</v>
      </c>
      <c r="J365" s="107"/>
    </row>
    <row r="366" spans="1:10">
      <c r="A366" s="107" t="s">
        <v>724</v>
      </c>
      <c r="B366" s="107" t="s">
        <v>351</v>
      </c>
      <c r="C366" s="107" t="s">
        <v>361</v>
      </c>
      <c r="D366" s="107" t="s">
        <v>353</v>
      </c>
      <c r="E366">
        <v>3649</v>
      </c>
      <c r="F366" s="107" t="s">
        <v>1154</v>
      </c>
      <c r="G366" s="107" t="s">
        <v>354</v>
      </c>
      <c r="H366" s="107" t="s">
        <v>365</v>
      </c>
      <c r="I366" s="107">
        <v>348</v>
      </c>
      <c r="J366" s="107"/>
    </row>
    <row r="367" spans="1:10">
      <c r="A367" s="107" t="s">
        <v>724</v>
      </c>
      <c r="B367" s="107" t="s">
        <v>351</v>
      </c>
      <c r="C367" s="107" t="s">
        <v>361</v>
      </c>
      <c r="D367" s="107" t="s">
        <v>353</v>
      </c>
      <c r="E367">
        <v>3664</v>
      </c>
      <c r="F367" s="107" t="s">
        <v>1155</v>
      </c>
      <c r="G367" s="107" t="s">
        <v>366</v>
      </c>
      <c r="H367" s="107" t="s">
        <v>365</v>
      </c>
      <c r="I367" s="107">
        <v>60</v>
      </c>
      <c r="J367" s="107"/>
    </row>
    <row r="368" spans="1:10">
      <c r="A368" s="107" t="s">
        <v>724</v>
      </c>
      <c r="B368" s="107" t="s">
        <v>351</v>
      </c>
      <c r="C368" s="107" t="s">
        <v>352</v>
      </c>
      <c r="D368" s="107" t="s">
        <v>353</v>
      </c>
      <c r="E368">
        <v>3934</v>
      </c>
      <c r="F368" s="107" t="s">
        <v>730</v>
      </c>
      <c r="G368" s="107" t="s">
        <v>354</v>
      </c>
      <c r="H368" s="107" t="s">
        <v>365</v>
      </c>
      <c r="I368">
        <v>88</v>
      </c>
    </row>
    <row r="369" spans="1:10">
      <c r="A369" s="107" t="s">
        <v>724</v>
      </c>
      <c r="B369" s="107" t="s">
        <v>351</v>
      </c>
      <c r="C369" s="107" t="s">
        <v>363</v>
      </c>
      <c r="D369" s="107" t="s">
        <v>353</v>
      </c>
      <c r="E369">
        <v>3960</v>
      </c>
      <c r="F369" s="107" t="s">
        <v>731</v>
      </c>
      <c r="G369" s="107" t="s">
        <v>366</v>
      </c>
      <c r="H369" s="107" t="s">
        <v>365</v>
      </c>
      <c r="I369" s="107">
        <v>27</v>
      </c>
      <c r="J369" s="107"/>
    </row>
    <row r="370" spans="1:10">
      <c r="A370" s="107" t="s">
        <v>724</v>
      </c>
      <c r="B370" s="107" t="s">
        <v>351</v>
      </c>
      <c r="C370" s="107" t="s">
        <v>361</v>
      </c>
      <c r="D370" s="107" t="s">
        <v>353</v>
      </c>
      <c r="E370">
        <v>4755</v>
      </c>
      <c r="F370" s="107" t="s">
        <v>732</v>
      </c>
      <c r="G370" s="107" t="s">
        <v>354</v>
      </c>
      <c r="H370" s="107" t="s">
        <v>359</v>
      </c>
      <c r="I370" s="107" t="s">
        <v>733</v>
      </c>
      <c r="J370" s="107" t="s">
        <v>1156</v>
      </c>
    </row>
    <row r="371" spans="1:10">
      <c r="A371" s="107" t="s">
        <v>724</v>
      </c>
      <c r="B371" s="107" t="s">
        <v>351</v>
      </c>
      <c r="C371" s="107" t="s">
        <v>352</v>
      </c>
      <c r="D371" s="107" t="s">
        <v>353</v>
      </c>
      <c r="E371">
        <v>5304</v>
      </c>
      <c r="F371" s="107" t="s">
        <v>734</v>
      </c>
      <c r="G371" s="107" t="s">
        <v>362</v>
      </c>
      <c r="H371" s="107" t="s">
        <v>462</v>
      </c>
      <c r="I371" s="107">
        <v>373</v>
      </c>
      <c r="J371" s="107"/>
    </row>
    <row r="372" spans="1:10">
      <c r="A372" s="107" t="s">
        <v>724</v>
      </c>
      <c r="B372" s="107" t="s">
        <v>351</v>
      </c>
      <c r="C372" s="107" t="s">
        <v>352</v>
      </c>
      <c r="D372" s="107" t="s">
        <v>353</v>
      </c>
      <c r="E372">
        <v>6033</v>
      </c>
      <c r="F372" s="107" t="s">
        <v>735</v>
      </c>
      <c r="G372" s="107" t="s">
        <v>366</v>
      </c>
      <c r="H372" s="107" t="s">
        <v>359</v>
      </c>
      <c r="I372" s="107">
        <v>112</v>
      </c>
      <c r="J372" s="107"/>
    </row>
    <row r="373" spans="1:10">
      <c r="A373" s="107" t="s">
        <v>724</v>
      </c>
      <c r="B373" s="107" t="s">
        <v>351</v>
      </c>
      <c r="C373" s="107" t="s">
        <v>352</v>
      </c>
      <c r="D373" s="107" t="s">
        <v>353</v>
      </c>
      <c r="E373">
        <v>6125</v>
      </c>
      <c r="F373" s="107" t="s">
        <v>995</v>
      </c>
      <c r="G373" s="107" t="s">
        <v>362</v>
      </c>
      <c r="H373" s="107" t="s">
        <v>375</v>
      </c>
      <c r="I373">
        <v>148</v>
      </c>
    </row>
    <row r="374" spans="1:10">
      <c r="A374" s="107" t="s">
        <v>724</v>
      </c>
      <c r="B374" s="107" t="s">
        <v>351</v>
      </c>
      <c r="C374" s="107" t="s">
        <v>352</v>
      </c>
      <c r="D374" s="107" t="s">
        <v>353</v>
      </c>
      <c r="E374">
        <v>6303</v>
      </c>
      <c r="F374" s="107" t="s">
        <v>1157</v>
      </c>
      <c r="G374" s="107" t="s">
        <v>362</v>
      </c>
      <c r="H374" s="107" t="s">
        <v>375</v>
      </c>
      <c r="I374" s="107">
        <v>74</v>
      </c>
      <c r="J374" s="107"/>
    </row>
    <row r="375" spans="1:10">
      <c r="A375" s="107" t="s">
        <v>724</v>
      </c>
      <c r="B375" s="107" t="s">
        <v>351</v>
      </c>
      <c r="C375" s="107" t="s">
        <v>352</v>
      </c>
      <c r="D375" s="107" t="s">
        <v>353</v>
      </c>
      <c r="E375">
        <v>7070</v>
      </c>
      <c r="F375" s="107" t="s">
        <v>736</v>
      </c>
      <c r="G375" s="107" t="s">
        <v>358</v>
      </c>
      <c r="H375" s="107" t="s">
        <v>359</v>
      </c>
      <c r="I375">
        <v>42</v>
      </c>
    </row>
    <row r="376" spans="1:10">
      <c r="A376" s="107" t="s">
        <v>724</v>
      </c>
      <c r="B376" s="107" t="s">
        <v>351</v>
      </c>
      <c r="C376" s="107" t="s">
        <v>352</v>
      </c>
      <c r="D376" s="107" t="s">
        <v>353</v>
      </c>
      <c r="E376">
        <v>7780</v>
      </c>
      <c r="F376" s="107" t="s">
        <v>737</v>
      </c>
      <c r="G376" s="107" t="s">
        <v>354</v>
      </c>
      <c r="H376" s="107" t="s">
        <v>621</v>
      </c>
      <c r="I376" s="107" t="s">
        <v>409</v>
      </c>
      <c r="J376" s="107" t="s">
        <v>1158</v>
      </c>
    </row>
    <row r="377" spans="1:10">
      <c r="A377" s="107" t="s">
        <v>724</v>
      </c>
      <c r="B377" s="107" t="s">
        <v>351</v>
      </c>
      <c r="C377" s="107" t="s">
        <v>352</v>
      </c>
      <c r="D377" s="107" t="s">
        <v>353</v>
      </c>
      <c r="E377">
        <v>9707</v>
      </c>
      <c r="F377" s="107" t="s">
        <v>738</v>
      </c>
      <c r="G377" s="107" t="s">
        <v>358</v>
      </c>
      <c r="H377" s="107" t="s">
        <v>359</v>
      </c>
      <c r="I377" s="107">
        <v>131</v>
      </c>
      <c r="J377" s="107"/>
    </row>
    <row r="378" spans="1:10">
      <c r="A378" s="107" t="s">
        <v>739</v>
      </c>
      <c r="B378" s="107" t="s">
        <v>351</v>
      </c>
      <c r="C378" s="107" t="s">
        <v>352</v>
      </c>
      <c r="D378" s="107" t="s">
        <v>353</v>
      </c>
      <c r="E378">
        <v>2181</v>
      </c>
      <c r="F378" s="107" t="s">
        <v>996</v>
      </c>
      <c r="G378" s="107" t="s">
        <v>354</v>
      </c>
      <c r="H378" s="107" t="s">
        <v>359</v>
      </c>
      <c r="I378" s="107" t="s">
        <v>505</v>
      </c>
      <c r="J378" s="107" t="s">
        <v>1159</v>
      </c>
    </row>
    <row r="379" spans="1:10">
      <c r="A379" s="107" t="s">
        <v>739</v>
      </c>
      <c r="B379" s="107" t="s">
        <v>351</v>
      </c>
      <c r="C379" s="107" t="s">
        <v>352</v>
      </c>
      <c r="D379" s="107" t="s">
        <v>357</v>
      </c>
      <c r="E379">
        <v>2334</v>
      </c>
      <c r="F379" s="107" t="s">
        <v>997</v>
      </c>
      <c r="G379" s="107" t="s">
        <v>366</v>
      </c>
      <c r="H379" s="107" t="s">
        <v>359</v>
      </c>
      <c r="I379" s="107">
        <v>53</v>
      </c>
      <c r="J379" s="107"/>
    </row>
    <row r="380" spans="1:10">
      <c r="A380" s="107" t="s">
        <v>739</v>
      </c>
      <c r="B380" s="107" t="s">
        <v>351</v>
      </c>
      <c r="C380" s="107" t="s">
        <v>361</v>
      </c>
      <c r="D380" s="107" t="s">
        <v>353</v>
      </c>
      <c r="E380">
        <v>2492</v>
      </c>
      <c r="F380" s="107" t="s">
        <v>1160</v>
      </c>
      <c r="G380" s="107" t="s">
        <v>354</v>
      </c>
      <c r="H380" s="107" t="s">
        <v>359</v>
      </c>
      <c r="I380" s="107" t="s">
        <v>377</v>
      </c>
      <c r="J380" s="107" t="s">
        <v>1161</v>
      </c>
    </row>
    <row r="381" spans="1:10">
      <c r="A381" s="107" t="s">
        <v>739</v>
      </c>
      <c r="B381" s="107" t="s">
        <v>351</v>
      </c>
      <c r="C381" s="107" t="s">
        <v>363</v>
      </c>
      <c r="D381" s="107" t="s">
        <v>353</v>
      </c>
      <c r="E381">
        <v>3135</v>
      </c>
      <c r="F381" s="107" t="s">
        <v>740</v>
      </c>
      <c r="G381" s="107" t="s">
        <v>366</v>
      </c>
      <c r="H381" s="107" t="s">
        <v>364</v>
      </c>
      <c r="I381" s="107">
        <v>171</v>
      </c>
      <c r="J381" s="107"/>
    </row>
    <row r="382" spans="1:10">
      <c r="A382" s="107" t="s">
        <v>739</v>
      </c>
      <c r="B382" s="107" t="s">
        <v>351</v>
      </c>
      <c r="C382" s="107" t="s">
        <v>352</v>
      </c>
      <c r="D382" s="107" t="s">
        <v>353</v>
      </c>
      <c r="E382">
        <v>3184</v>
      </c>
      <c r="F382" s="107" t="s">
        <v>1162</v>
      </c>
      <c r="G382" s="107" t="s">
        <v>362</v>
      </c>
      <c r="H382" s="107" t="s">
        <v>364</v>
      </c>
      <c r="I382" s="107">
        <v>34</v>
      </c>
      <c r="J382" s="107"/>
    </row>
    <row r="383" spans="1:10">
      <c r="A383" s="107" t="s">
        <v>739</v>
      </c>
      <c r="B383" s="107" t="s">
        <v>351</v>
      </c>
      <c r="C383" s="107" t="s">
        <v>352</v>
      </c>
      <c r="D383" s="107" t="s">
        <v>357</v>
      </c>
      <c r="E383">
        <v>3489</v>
      </c>
      <c r="F383" s="107" t="s">
        <v>1163</v>
      </c>
      <c r="G383" s="107" t="s">
        <v>366</v>
      </c>
      <c r="H383" s="107" t="s">
        <v>380</v>
      </c>
      <c r="I383" s="107">
        <v>64</v>
      </c>
      <c r="J383" s="107"/>
    </row>
    <row r="384" spans="1:10">
      <c r="A384" s="107" t="s">
        <v>739</v>
      </c>
      <c r="B384" s="107" t="s">
        <v>351</v>
      </c>
      <c r="C384" s="107" t="s">
        <v>352</v>
      </c>
      <c r="D384" s="107" t="s">
        <v>353</v>
      </c>
      <c r="E384">
        <v>4620</v>
      </c>
      <c r="F384" s="107" t="s">
        <v>741</v>
      </c>
      <c r="G384" s="107" t="s">
        <v>354</v>
      </c>
      <c r="H384" s="107" t="s">
        <v>367</v>
      </c>
      <c r="I384" s="107">
        <v>186</v>
      </c>
      <c r="J384" s="107"/>
    </row>
    <row r="385" spans="1:10">
      <c r="A385" s="107" t="s">
        <v>739</v>
      </c>
      <c r="B385" s="107" t="s">
        <v>351</v>
      </c>
      <c r="C385" s="107" t="s">
        <v>361</v>
      </c>
      <c r="D385" s="107" t="s">
        <v>353</v>
      </c>
      <c r="E385">
        <v>6141</v>
      </c>
      <c r="F385" s="107" t="s">
        <v>742</v>
      </c>
      <c r="G385" s="107" t="s">
        <v>354</v>
      </c>
      <c r="H385" s="107" t="s">
        <v>375</v>
      </c>
      <c r="I385" s="107" t="s">
        <v>377</v>
      </c>
      <c r="J385" s="107" t="s">
        <v>1164</v>
      </c>
    </row>
    <row r="386" spans="1:10">
      <c r="A386" s="107" t="s">
        <v>739</v>
      </c>
      <c r="B386" s="107" t="s">
        <v>351</v>
      </c>
      <c r="C386" s="107" t="s">
        <v>352</v>
      </c>
      <c r="D386" s="107" t="s">
        <v>353</v>
      </c>
      <c r="E386">
        <v>6247</v>
      </c>
      <c r="F386" s="107" t="s">
        <v>743</v>
      </c>
      <c r="G386" s="107" t="s">
        <v>354</v>
      </c>
      <c r="H386" s="107" t="s">
        <v>375</v>
      </c>
      <c r="I386" s="107">
        <v>326</v>
      </c>
      <c r="J386" s="107"/>
    </row>
    <row r="387" spans="1:10">
      <c r="A387" s="107" t="s">
        <v>739</v>
      </c>
      <c r="B387" s="107" t="s">
        <v>351</v>
      </c>
      <c r="C387" s="107" t="s">
        <v>352</v>
      </c>
      <c r="D387" s="107" t="s">
        <v>353</v>
      </c>
      <c r="E387">
        <v>7199</v>
      </c>
      <c r="F387" s="107" t="s">
        <v>744</v>
      </c>
      <c r="G387" s="107" t="s">
        <v>354</v>
      </c>
      <c r="H387" s="107" t="s">
        <v>426</v>
      </c>
      <c r="I387">
        <v>308</v>
      </c>
    </row>
    <row r="388" spans="1:10">
      <c r="A388" s="107" t="s">
        <v>745</v>
      </c>
      <c r="B388" s="107" t="s">
        <v>351</v>
      </c>
      <c r="C388" s="107" t="s">
        <v>361</v>
      </c>
      <c r="D388" s="107" t="s">
        <v>357</v>
      </c>
      <c r="E388">
        <v>8985</v>
      </c>
      <c r="F388" s="107" t="s">
        <v>746</v>
      </c>
      <c r="G388" s="107" t="s">
        <v>441</v>
      </c>
      <c r="H388" s="107" t="s">
        <v>442</v>
      </c>
      <c r="I388" s="107" t="s">
        <v>594</v>
      </c>
      <c r="J388" s="107" t="s">
        <v>1165</v>
      </c>
    </row>
    <row r="389" spans="1:10">
      <c r="A389" s="107" t="s">
        <v>1166</v>
      </c>
      <c r="B389" s="107" t="s">
        <v>351</v>
      </c>
      <c r="C389" s="107" t="s">
        <v>352</v>
      </c>
      <c r="D389" s="107" t="s">
        <v>353</v>
      </c>
      <c r="E389">
        <v>2593</v>
      </c>
      <c r="F389" s="107" t="s">
        <v>370</v>
      </c>
      <c r="G389" s="107" t="s">
        <v>354</v>
      </c>
      <c r="H389" s="107" t="s">
        <v>355</v>
      </c>
      <c r="I389" s="107" t="s">
        <v>505</v>
      </c>
      <c r="J389" s="107" t="s">
        <v>1167</v>
      </c>
    </row>
    <row r="390" spans="1:10">
      <c r="A390" s="107" t="s">
        <v>1166</v>
      </c>
      <c r="B390" s="107" t="s">
        <v>351</v>
      </c>
      <c r="C390" s="107" t="s">
        <v>363</v>
      </c>
      <c r="D390" s="107" t="s">
        <v>353</v>
      </c>
      <c r="E390">
        <v>6267</v>
      </c>
      <c r="F390" s="107" t="s">
        <v>374</v>
      </c>
      <c r="G390" s="107" t="s">
        <v>358</v>
      </c>
      <c r="H390" s="107" t="s">
        <v>375</v>
      </c>
      <c r="I390" s="107">
        <v>36</v>
      </c>
      <c r="J390" s="107"/>
    </row>
    <row r="391" spans="1:10">
      <c r="A391" s="107" t="s">
        <v>1168</v>
      </c>
      <c r="B391" s="107" t="s">
        <v>351</v>
      </c>
      <c r="C391" s="107" t="s">
        <v>352</v>
      </c>
      <c r="D391" s="107" t="s">
        <v>353</v>
      </c>
      <c r="E391">
        <v>4750</v>
      </c>
      <c r="F391" s="107" t="s">
        <v>368</v>
      </c>
      <c r="G391" s="107" t="s">
        <v>362</v>
      </c>
      <c r="H391" s="107" t="s">
        <v>359</v>
      </c>
      <c r="I391">
        <v>52</v>
      </c>
    </row>
    <row r="392" spans="1:10">
      <c r="A392" s="107" t="s">
        <v>747</v>
      </c>
      <c r="B392" s="107" t="s">
        <v>351</v>
      </c>
      <c r="C392" s="107" t="s">
        <v>352</v>
      </c>
      <c r="D392" s="107" t="s">
        <v>357</v>
      </c>
      <c r="E392">
        <v>1723</v>
      </c>
      <c r="F392" s="107" t="s">
        <v>748</v>
      </c>
      <c r="G392" s="107" t="s">
        <v>358</v>
      </c>
      <c r="H392" s="107" t="s">
        <v>388</v>
      </c>
      <c r="I392">
        <v>250</v>
      </c>
    </row>
    <row r="393" spans="1:10">
      <c r="A393" s="107" t="s">
        <v>747</v>
      </c>
      <c r="B393" s="107" t="s">
        <v>351</v>
      </c>
      <c r="C393" s="107" t="s">
        <v>352</v>
      </c>
      <c r="D393" s="107" t="s">
        <v>353</v>
      </c>
      <c r="E393">
        <v>1941</v>
      </c>
      <c r="F393" s="107" t="s">
        <v>749</v>
      </c>
      <c r="G393" s="107" t="s">
        <v>354</v>
      </c>
      <c r="H393" s="107" t="s">
        <v>388</v>
      </c>
      <c r="I393" s="107" t="s">
        <v>409</v>
      </c>
      <c r="J393" s="107" t="s">
        <v>1169</v>
      </c>
    </row>
    <row r="394" spans="1:10">
      <c r="A394" s="107" t="s">
        <v>747</v>
      </c>
      <c r="B394" s="107" t="s">
        <v>351</v>
      </c>
      <c r="C394" s="107" t="s">
        <v>352</v>
      </c>
      <c r="D394" s="107" t="s">
        <v>353</v>
      </c>
      <c r="E394">
        <v>1946</v>
      </c>
      <c r="F394" s="107" t="s">
        <v>750</v>
      </c>
      <c r="G394" s="107" t="s">
        <v>354</v>
      </c>
      <c r="H394" s="107" t="s">
        <v>388</v>
      </c>
      <c r="I394" s="107">
        <v>703</v>
      </c>
      <c r="J394" s="107"/>
    </row>
    <row r="395" spans="1:10">
      <c r="A395" s="107" t="s">
        <v>747</v>
      </c>
      <c r="B395" s="107" t="s">
        <v>351</v>
      </c>
      <c r="C395" s="107" t="s">
        <v>352</v>
      </c>
      <c r="D395" s="107" t="s">
        <v>353</v>
      </c>
      <c r="E395">
        <v>1959</v>
      </c>
      <c r="F395" s="107" t="s">
        <v>751</v>
      </c>
      <c r="G395" s="107" t="s">
        <v>354</v>
      </c>
      <c r="H395" s="107" t="s">
        <v>388</v>
      </c>
      <c r="I395" s="107" t="s">
        <v>377</v>
      </c>
      <c r="J395" s="107" t="s">
        <v>971</v>
      </c>
    </row>
    <row r="396" spans="1:10">
      <c r="A396" s="107" t="s">
        <v>747</v>
      </c>
      <c r="B396" s="107" t="s">
        <v>351</v>
      </c>
      <c r="C396" s="107" t="s">
        <v>352</v>
      </c>
      <c r="D396" s="107" t="s">
        <v>353</v>
      </c>
      <c r="E396">
        <v>2148</v>
      </c>
      <c r="F396" s="107" t="s">
        <v>998</v>
      </c>
      <c r="G396" s="107" t="s">
        <v>354</v>
      </c>
      <c r="H396" s="107" t="s">
        <v>359</v>
      </c>
      <c r="I396" s="107">
        <v>157</v>
      </c>
      <c r="J396" s="107"/>
    </row>
    <row r="397" spans="1:10">
      <c r="A397" s="107" t="s">
        <v>747</v>
      </c>
      <c r="B397" s="107" t="s">
        <v>351</v>
      </c>
      <c r="C397" s="107" t="s">
        <v>352</v>
      </c>
      <c r="D397" s="107" t="s">
        <v>353</v>
      </c>
      <c r="E397">
        <v>2326</v>
      </c>
      <c r="F397" s="107" t="s">
        <v>999</v>
      </c>
      <c r="G397" s="107" t="s">
        <v>354</v>
      </c>
      <c r="H397" s="107" t="s">
        <v>365</v>
      </c>
      <c r="I397">
        <v>832</v>
      </c>
    </row>
    <row r="398" spans="1:10">
      <c r="A398" s="107" t="s">
        <v>747</v>
      </c>
      <c r="B398" s="107" t="s">
        <v>351</v>
      </c>
      <c r="C398" s="107" t="s">
        <v>352</v>
      </c>
      <c r="D398" s="107" t="s">
        <v>357</v>
      </c>
      <c r="E398">
        <v>2332</v>
      </c>
      <c r="F398" s="107" t="s">
        <v>752</v>
      </c>
      <c r="G398" s="107" t="s">
        <v>358</v>
      </c>
      <c r="H398" s="107" t="s">
        <v>365</v>
      </c>
      <c r="I398" s="107">
        <v>62</v>
      </c>
      <c r="J398" s="107"/>
    </row>
    <row r="399" spans="1:10">
      <c r="A399" s="107" t="s">
        <v>747</v>
      </c>
      <c r="B399" s="107" t="s">
        <v>351</v>
      </c>
      <c r="C399" s="107" t="s">
        <v>352</v>
      </c>
      <c r="D399" s="107" t="s">
        <v>353</v>
      </c>
      <c r="E399">
        <v>3116</v>
      </c>
      <c r="F399" s="107" t="s">
        <v>1170</v>
      </c>
      <c r="G399" s="107" t="s">
        <v>354</v>
      </c>
      <c r="H399" s="107" t="s">
        <v>405</v>
      </c>
      <c r="I399" s="107" t="s">
        <v>594</v>
      </c>
      <c r="J399" s="107" t="s">
        <v>1171</v>
      </c>
    </row>
    <row r="400" spans="1:10">
      <c r="A400" s="107" t="s">
        <v>747</v>
      </c>
      <c r="B400" s="107" t="s">
        <v>351</v>
      </c>
      <c r="C400" s="107" t="s">
        <v>352</v>
      </c>
      <c r="D400" s="107" t="s">
        <v>353</v>
      </c>
      <c r="E400">
        <v>3132</v>
      </c>
      <c r="F400" s="107" t="s">
        <v>1172</v>
      </c>
      <c r="G400" s="107" t="s">
        <v>354</v>
      </c>
      <c r="H400" s="107" t="s">
        <v>360</v>
      </c>
      <c r="I400" s="107" t="s">
        <v>409</v>
      </c>
      <c r="J400" s="107" t="s">
        <v>1173</v>
      </c>
    </row>
    <row r="401" spans="1:10">
      <c r="A401" s="107" t="s">
        <v>747</v>
      </c>
      <c r="B401" s="107" t="s">
        <v>351</v>
      </c>
      <c r="C401" s="107" t="s">
        <v>352</v>
      </c>
      <c r="D401" s="107" t="s">
        <v>357</v>
      </c>
      <c r="E401">
        <v>3177</v>
      </c>
      <c r="F401" s="107" t="s">
        <v>753</v>
      </c>
      <c r="G401" s="107" t="s">
        <v>358</v>
      </c>
      <c r="H401" s="107" t="s">
        <v>364</v>
      </c>
      <c r="I401" s="107">
        <v>22</v>
      </c>
      <c r="J401" s="107"/>
    </row>
    <row r="402" spans="1:10">
      <c r="A402" s="107" t="s">
        <v>747</v>
      </c>
      <c r="B402" s="107" t="s">
        <v>351</v>
      </c>
      <c r="C402" s="107" t="s">
        <v>352</v>
      </c>
      <c r="D402" s="107" t="s">
        <v>353</v>
      </c>
      <c r="E402">
        <v>3231</v>
      </c>
      <c r="F402" s="107" t="s">
        <v>754</v>
      </c>
      <c r="G402" s="107" t="s">
        <v>354</v>
      </c>
      <c r="H402" s="107" t="s">
        <v>380</v>
      </c>
      <c r="I402" s="107" t="s">
        <v>371</v>
      </c>
      <c r="J402" s="107" t="s">
        <v>1174</v>
      </c>
    </row>
    <row r="403" spans="1:10">
      <c r="A403" s="107" t="s">
        <v>747</v>
      </c>
      <c r="B403" s="107" t="s">
        <v>351</v>
      </c>
      <c r="C403" s="107" t="s">
        <v>352</v>
      </c>
      <c r="D403" s="107" t="s">
        <v>357</v>
      </c>
      <c r="E403">
        <v>3564</v>
      </c>
      <c r="F403" s="107" t="s">
        <v>1175</v>
      </c>
      <c r="G403" s="107" t="s">
        <v>354</v>
      </c>
      <c r="H403" s="107" t="s">
        <v>364</v>
      </c>
      <c r="I403" s="107">
        <v>867</v>
      </c>
      <c r="J403" s="107"/>
    </row>
    <row r="404" spans="1:10">
      <c r="A404" s="107" t="s">
        <v>747</v>
      </c>
      <c r="B404" s="107" t="s">
        <v>351</v>
      </c>
      <c r="C404" s="107" t="s">
        <v>352</v>
      </c>
      <c r="D404" s="107" t="s">
        <v>357</v>
      </c>
      <c r="E404">
        <v>3658</v>
      </c>
      <c r="F404" s="107" t="s">
        <v>1176</v>
      </c>
      <c r="G404" s="107" t="s">
        <v>354</v>
      </c>
      <c r="H404" s="107" t="s">
        <v>365</v>
      </c>
      <c r="I404">
        <v>112</v>
      </c>
    </row>
    <row r="405" spans="1:10">
      <c r="A405" s="107" t="s">
        <v>747</v>
      </c>
      <c r="B405" s="107" t="s">
        <v>351</v>
      </c>
      <c r="C405" s="107" t="s">
        <v>352</v>
      </c>
      <c r="D405" s="107" t="s">
        <v>353</v>
      </c>
      <c r="E405">
        <v>3778</v>
      </c>
      <c r="F405" s="107" t="s">
        <v>1177</v>
      </c>
      <c r="G405" s="107" t="s">
        <v>354</v>
      </c>
      <c r="H405" s="107" t="s">
        <v>365</v>
      </c>
      <c r="I405">
        <v>251</v>
      </c>
    </row>
    <row r="406" spans="1:10">
      <c r="A406" s="107" t="s">
        <v>747</v>
      </c>
      <c r="B406" s="107" t="s">
        <v>351</v>
      </c>
      <c r="C406" s="107" t="s">
        <v>352</v>
      </c>
      <c r="D406" s="107" t="s">
        <v>357</v>
      </c>
      <c r="E406">
        <v>4333</v>
      </c>
      <c r="F406" s="107" t="s">
        <v>755</v>
      </c>
      <c r="G406" s="107" t="s">
        <v>354</v>
      </c>
      <c r="H406" s="107" t="s">
        <v>365</v>
      </c>
      <c r="I406">
        <v>133</v>
      </c>
    </row>
    <row r="407" spans="1:10">
      <c r="A407" s="107" t="s">
        <v>747</v>
      </c>
      <c r="B407" s="107" t="s">
        <v>351</v>
      </c>
      <c r="C407" s="107" t="s">
        <v>356</v>
      </c>
      <c r="D407" s="107" t="s">
        <v>357</v>
      </c>
      <c r="E407">
        <v>4393</v>
      </c>
      <c r="F407" s="107" t="s">
        <v>756</v>
      </c>
      <c r="G407" s="107" t="s">
        <v>366</v>
      </c>
      <c r="H407" s="107" t="s">
        <v>365</v>
      </c>
      <c r="I407" s="107">
        <v>115</v>
      </c>
      <c r="J407" s="107"/>
    </row>
    <row r="408" spans="1:10">
      <c r="A408" s="107" t="s">
        <v>747</v>
      </c>
      <c r="B408" s="107" t="s">
        <v>351</v>
      </c>
      <c r="C408" s="107" t="s">
        <v>352</v>
      </c>
      <c r="D408" s="107" t="s">
        <v>353</v>
      </c>
      <c r="E408">
        <v>4557</v>
      </c>
      <c r="F408" s="107" t="s">
        <v>757</v>
      </c>
      <c r="G408" s="107" t="s">
        <v>358</v>
      </c>
      <c r="H408" s="107" t="s">
        <v>476</v>
      </c>
      <c r="I408">
        <v>234</v>
      </c>
    </row>
    <row r="409" spans="1:10">
      <c r="A409" s="107" t="s">
        <v>747</v>
      </c>
      <c r="B409" s="107" t="s">
        <v>351</v>
      </c>
      <c r="C409" s="107" t="s">
        <v>352</v>
      </c>
      <c r="D409" s="107" t="s">
        <v>353</v>
      </c>
      <c r="E409">
        <v>4684</v>
      </c>
      <c r="F409" s="107" t="s">
        <v>758</v>
      </c>
      <c r="G409" s="107" t="s">
        <v>354</v>
      </c>
      <c r="H409" s="107" t="s">
        <v>365</v>
      </c>
      <c r="I409" s="107" t="s">
        <v>759</v>
      </c>
      <c r="J409" s="107" t="s">
        <v>1178</v>
      </c>
    </row>
    <row r="410" spans="1:10">
      <c r="A410" s="107" t="s">
        <v>747</v>
      </c>
      <c r="B410" s="107" t="s">
        <v>351</v>
      </c>
      <c r="C410" s="107" t="s">
        <v>352</v>
      </c>
      <c r="D410" s="107" t="s">
        <v>353</v>
      </c>
      <c r="E410">
        <v>4689</v>
      </c>
      <c r="F410" s="107" t="s">
        <v>760</v>
      </c>
      <c r="G410" s="107" t="s">
        <v>354</v>
      </c>
      <c r="H410" s="107" t="s">
        <v>365</v>
      </c>
      <c r="I410" s="107" t="s">
        <v>761</v>
      </c>
      <c r="J410" s="107" t="s">
        <v>1179</v>
      </c>
    </row>
    <row r="411" spans="1:10">
      <c r="A411" s="107" t="s">
        <v>747</v>
      </c>
      <c r="B411" s="107" t="s">
        <v>351</v>
      </c>
      <c r="C411" s="107" t="s">
        <v>352</v>
      </c>
      <c r="D411" s="107" t="s">
        <v>357</v>
      </c>
      <c r="E411">
        <v>6022</v>
      </c>
      <c r="F411" s="107" t="s">
        <v>762</v>
      </c>
      <c r="G411" s="107" t="s">
        <v>362</v>
      </c>
      <c r="H411" s="107" t="s">
        <v>375</v>
      </c>
      <c r="I411" s="107">
        <v>28</v>
      </c>
      <c r="J411" s="107"/>
    </row>
    <row r="412" spans="1:10">
      <c r="A412" s="107" t="s">
        <v>747</v>
      </c>
      <c r="B412" s="107" t="s">
        <v>351</v>
      </c>
      <c r="C412" s="107" t="s">
        <v>352</v>
      </c>
      <c r="D412" s="107" t="s">
        <v>353</v>
      </c>
      <c r="E412">
        <v>6201</v>
      </c>
      <c r="F412" s="107" t="s">
        <v>763</v>
      </c>
      <c r="G412" s="107" t="s">
        <v>354</v>
      </c>
      <c r="H412" s="107" t="s">
        <v>405</v>
      </c>
      <c r="I412" s="107" t="s">
        <v>1180</v>
      </c>
      <c r="J412" s="107" t="s">
        <v>1181</v>
      </c>
    </row>
    <row r="413" spans="1:10">
      <c r="A413" s="107" t="s">
        <v>747</v>
      </c>
      <c r="B413" s="107" t="s">
        <v>351</v>
      </c>
      <c r="C413" s="107" t="s">
        <v>352</v>
      </c>
      <c r="D413" s="107" t="s">
        <v>353</v>
      </c>
      <c r="E413">
        <v>6301</v>
      </c>
      <c r="F413" s="107" t="s">
        <v>765</v>
      </c>
      <c r="G413" s="107" t="s">
        <v>354</v>
      </c>
      <c r="H413" s="107" t="s">
        <v>375</v>
      </c>
      <c r="I413" s="107" t="s">
        <v>1182</v>
      </c>
      <c r="J413" s="107" t="s">
        <v>1183</v>
      </c>
    </row>
    <row r="414" spans="1:10">
      <c r="A414" s="107" t="s">
        <v>747</v>
      </c>
      <c r="B414" s="107" t="s">
        <v>351</v>
      </c>
      <c r="C414" s="107" t="s">
        <v>352</v>
      </c>
      <c r="D414" s="107" t="s">
        <v>353</v>
      </c>
      <c r="E414">
        <v>6395</v>
      </c>
      <c r="F414" s="107" t="s">
        <v>766</v>
      </c>
      <c r="G414" s="107" t="s">
        <v>354</v>
      </c>
      <c r="H414" s="107" t="s">
        <v>375</v>
      </c>
      <c r="I414" s="107" t="s">
        <v>409</v>
      </c>
      <c r="J414" s="107" t="s">
        <v>1184</v>
      </c>
    </row>
    <row r="415" spans="1:10">
      <c r="A415" s="107" t="s">
        <v>747</v>
      </c>
      <c r="B415" s="107" t="s">
        <v>351</v>
      </c>
      <c r="C415" s="107" t="s">
        <v>352</v>
      </c>
      <c r="D415" s="107" t="s">
        <v>353</v>
      </c>
      <c r="E415">
        <v>6645</v>
      </c>
      <c r="F415" s="107" t="s">
        <v>768</v>
      </c>
      <c r="G415" s="107" t="s">
        <v>354</v>
      </c>
      <c r="H415" s="107" t="s">
        <v>379</v>
      </c>
      <c r="I415" s="107" t="s">
        <v>733</v>
      </c>
      <c r="J415" s="107" t="s">
        <v>775</v>
      </c>
    </row>
    <row r="416" spans="1:10">
      <c r="A416" s="107" t="s">
        <v>747</v>
      </c>
      <c r="B416" s="107" t="s">
        <v>351</v>
      </c>
      <c r="C416" s="107" t="s">
        <v>352</v>
      </c>
      <c r="D416" s="107" t="s">
        <v>353</v>
      </c>
      <c r="E416">
        <v>6788</v>
      </c>
      <c r="F416" s="107" t="s">
        <v>769</v>
      </c>
      <c r="G416" s="107" t="s">
        <v>354</v>
      </c>
      <c r="H416" s="107" t="s">
        <v>379</v>
      </c>
      <c r="I416" s="107">
        <v>419</v>
      </c>
      <c r="J416" s="107"/>
    </row>
    <row r="417" spans="1:10">
      <c r="A417" s="107" t="s">
        <v>747</v>
      </c>
      <c r="B417" s="107" t="s">
        <v>351</v>
      </c>
      <c r="C417" s="107" t="s">
        <v>352</v>
      </c>
      <c r="D417" s="107" t="s">
        <v>353</v>
      </c>
      <c r="E417">
        <v>7278</v>
      </c>
      <c r="F417" s="107" t="s">
        <v>770</v>
      </c>
      <c r="G417" s="107" t="s">
        <v>354</v>
      </c>
      <c r="H417" s="107" t="s">
        <v>405</v>
      </c>
      <c r="I417" s="107" t="s">
        <v>409</v>
      </c>
      <c r="J417" s="107" t="s">
        <v>1185</v>
      </c>
    </row>
    <row r="418" spans="1:10">
      <c r="A418" s="107" t="s">
        <v>747</v>
      </c>
      <c r="B418" s="107" t="s">
        <v>351</v>
      </c>
      <c r="C418" s="107" t="s">
        <v>363</v>
      </c>
      <c r="D418" s="107" t="s">
        <v>357</v>
      </c>
      <c r="E418">
        <v>7500</v>
      </c>
      <c r="F418" s="107" t="s">
        <v>1186</v>
      </c>
      <c r="G418" s="107" t="s">
        <v>358</v>
      </c>
      <c r="H418" s="107" t="s">
        <v>360</v>
      </c>
      <c r="I418" s="107">
        <v>147</v>
      </c>
      <c r="J418" s="107"/>
    </row>
    <row r="419" spans="1:10">
      <c r="A419" s="107" t="s">
        <v>747</v>
      </c>
      <c r="B419" s="107" t="s">
        <v>351</v>
      </c>
      <c r="C419" s="107" t="s">
        <v>352</v>
      </c>
      <c r="D419" s="107" t="s">
        <v>353</v>
      </c>
      <c r="E419">
        <v>7995</v>
      </c>
      <c r="F419" s="107" t="s">
        <v>771</v>
      </c>
      <c r="G419" s="107" t="s">
        <v>354</v>
      </c>
      <c r="H419" s="107" t="s">
        <v>367</v>
      </c>
      <c r="I419">
        <v>488</v>
      </c>
    </row>
    <row r="420" spans="1:10">
      <c r="A420" s="107" t="s">
        <v>747</v>
      </c>
      <c r="B420" s="107" t="s">
        <v>351</v>
      </c>
      <c r="C420" s="107" t="s">
        <v>352</v>
      </c>
      <c r="D420" s="107" t="s">
        <v>353</v>
      </c>
      <c r="E420">
        <v>8242</v>
      </c>
      <c r="F420" s="107" t="s">
        <v>772</v>
      </c>
      <c r="G420" s="107" t="s">
        <v>354</v>
      </c>
      <c r="H420" s="107" t="s">
        <v>364</v>
      </c>
      <c r="I420" s="107" t="s">
        <v>409</v>
      </c>
      <c r="J420" s="107" t="s">
        <v>1187</v>
      </c>
    </row>
    <row r="421" spans="1:10">
      <c r="A421" s="107" t="s">
        <v>747</v>
      </c>
      <c r="B421" s="107" t="s">
        <v>351</v>
      </c>
      <c r="C421" s="107" t="s">
        <v>352</v>
      </c>
      <c r="D421" s="107" t="s">
        <v>353</v>
      </c>
      <c r="E421">
        <v>8304</v>
      </c>
      <c r="F421" s="107" t="s">
        <v>773</v>
      </c>
      <c r="G421" s="107" t="s">
        <v>354</v>
      </c>
      <c r="H421" s="107" t="s">
        <v>774</v>
      </c>
      <c r="I421" s="107" t="s">
        <v>594</v>
      </c>
      <c r="J421" s="107" t="s">
        <v>1188</v>
      </c>
    </row>
    <row r="422" spans="1:10">
      <c r="A422" s="107" t="s">
        <v>747</v>
      </c>
      <c r="B422" s="107" t="s">
        <v>351</v>
      </c>
      <c r="C422" s="107" t="s">
        <v>352</v>
      </c>
      <c r="D422" s="107" t="s">
        <v>353</v>
      </c>
      <c r="E422">
        <v>9202</v>
      </c>
      <c r="F422" s="107" t="s">
        <v>776</v>
      </c>
      <c r="G422" s="107" t="s">
        <v>354</v>
      </c>
      <c r="H422" s="107" t="s">
        <v>777</v>
      </c>
      <c r="I422" s="107" t="s">
        <v>860</v>
      </c>
      <c r="J422" s="107" t="s">
        <v>1189</v>
      </c>
    </row>
    <row r="423" spans="1:10">
      <c r="A423" s="107" t="s">
        <v>747</v>
      </c>
      <c r="B423" s="107" t="s">
        <v>351</v>
      </c>
      <c r="C423" s="107" t="s">
        <v>352</v>
      </c>
      <c r="D423" s="107" t="s">
        <v>353</v>
      </c>
      <c r="E423">
        <v>9474</v>
      </c>
      <c r="F423" s="107" t="s">
        <v>778</v>
      </c>
      <c r="G423" s="107" t="s">
        <v>354</v>
      </c>
      <c r="H423" s="107" t="s">
        <v>365</v>
      </c>
      <c r="I423" s="107" t="s">
        <v>409</v>
      </c>
      <c r="J423" s="107" t="s">
        <v>990</v>
      </c>
    </row>
    <row r="424" spans="1:10">
      <c r="A424" s="107" t="s">
        <v>747</v>
      </c>
      <c r="B424" s="107" t="s">
        <v>351</v>
      </c>
      <c r="C424" s="107" t="s">
        <v>352</v>
      </c>
      <c r="D424" s="107" t="s">
        <v>353</v>
      </c>
      <c r="E424">
        <v>9502</v>
      </c>
      <c r="F424" s="107" t="s">
        <v>779</v>
      </c>
      <c r="G424" s="107" t="s">
        <v>354</v>
      </c>
      <c r="H424" s="107" t="s">
        <v>780</v>
      </c>
      <c r="I424" s="107" t="s">
        <v>781</v>
      </c>
      <c r="J424" s="107" t="s">
        <v>1190</v>
      </c>
    </row>
    <row r="425" spans="1:10">
      <c r="A425" s="107" t="s">
        <v>747</v>
      </c>
      <c r="B425" s="107" t="s">
        <v>351</v>
      </c>
      <c r="C425" s="107" t="s">
        <v>352</v>
      </c>
      <c r="D425" s="107" t="s">
        <v>353</v>
      </c>
      <c r="E425">
        <v>9504</v>
      </c>
      <c r="F425" s="107" t="s">
        <v>782</v>
      </c>
      <c r="G425" s="107" t="s">
        <v>354</v>
      </c>
      <c r="H425" s="107" t="s">
        <v>780</v>
      </c>
      <c r="I425" s="107" t="s">
        <v>371</v>
      </c>
      <c r="J425" s="107" t="s">
        <v>1156</v>
      </c>
    </row>
    <row r="426" spans="1:10">
      <c r="A426" s="107" t="s">
        <v>747</v>
      </c>
      <c r="B426" s="107" t="s">
        <v>351</v>
      </c>
      <c r="C426" s="107" t="s">
        <v>352</v>
      </c>
      <c r="D426" s="107" t="s">
        <v>353</v>
      </c>
      <c r="E426">
        <v>9531</v>
      </c>
      <c r="F426" s="107" t="s">
        <v>783</v>
      </c>
      <c r="G426" s="107" t="s">
        <v>354</v>
      </c>
      <c r="H426" s="107" t="s">
        <v>780</v>
      </c>
      <c r="I426" s="107" t="s">
        <v>781</v>
      </c>
      <c r="J426" s="107" t="s">
        <v>1191</v>
      </c>
    </row>
    <row r="427" spans="1:10">
      <c r="A427" s="107" t="s">
        <v>747</v>
      </c>
      <c r="B427" s="107" t="s">
        <v>351</v>
      </c>
      <c r="C427" s="107" t="s">
        <v>352</v>
      </c>
      <c r="D427" s="107" t="s">
        <v>353</v>
      </c>
      <c r="E427">
        <v>9719</v>
      </c>
      <c r="F427" s="107" t="s">
        <v>784</v>
      </c>
      <c r="G427" s="107" t="s">
        <v>354</v>
      </c>
      <c r="H427" s="107" t="s">
        <v>365</v>
      </c>
      <c r="I427" s="107" t="s">
        <v>564</v>
      </c>
      <c r="J427" s="107" t="s">
        <v>1192</v>
      </c>
    </row>
    <row r="428" spans="1:10">
      <c r="A428" s="107" t="s">
        <v>747</v>
      </c>
      <c r="B428" s="107" t="s">
        <v>351</v>
      </c>
      <c r="C428" s="107" t="s">
        <v>352</v>
      </c>
      <c r="D428" s="107" t="s">
        <v>353</v>
      </c>
      <c r="E428">
        <v>9936</v>
      </c>
      <c r="F428" s="107" t="s">
        <v>785</v>
      </c>
      <c r="G428" s="107" t="s">
        <v>354</v>
      </c>
      <c r="H428" s="107" t="s">
        <v>364</v>
      </c>
      <c r="I428" s="107" t="s">
        <v>409</v>
      </c>
      <c r="J428" s="107" t="s">
        <v>1193</v>
      </c>
    </row>
    <row r="429" spans="1:10">
      <c r="A429" s="107" t="s">
        <v>787</v>
      </c>
      <c r="B429" s="107" t="s">
        <v>351</v>
      </c>
      <c r="C429" s="107" t="s">
        <v>363</v>
      </c>
      <c r="D429" s="107" t="s">
        <v>357</v>
      </c>
      <c r="E429">
        <v>1430</v>
      </c>
      <c r="F429" s="107" t="s">
        <v>788</v>
      </c>
      <c r="G429" s="107" t="s">
        <v>354</v>
      </c>
      <c r="H429" s="107" t="s">
        <v>388</v>
      </c>
      <c r="I429" s="107">
        <v>87</v>
      </c>
      <c r="J429" s="107"/>
    </row>
    <row r="430" spans="1:10">
      <c r="A430" s="107" t="s">
        <v>787</v>
      </c>
      <c r="B430" s="107" t="s">
        <v>351</v>
      </c>
      <c r="C430" s="107" t="s">
        <v>361</v>
      </c>
      <c r="D430" s="107" t="s">
        <v>353</v>
      </c>
      <c r="E430">
        <v>2734</v>
      </c>
      <c r="F430" s="107" t="s">
        <v>789</v>
      </c>
      <c r="G430" s="107" t="s">
        <v>354</v>
      </c>
      <c r="H430" s="107" t="s">
        <v>364</v>
      </c>
      <c r="I430">
        <v>411</v>
      </c>
    </row>
    <row r="431" spans="1:10">
      <c r="A431" s="107" t="s">
        <v>787</v>
      </c>
      <c r="B431" s="107" t="s">
        <v>351</v>
      </c>
      <c r="C431" s="107" t="s">
        <v>356</v>
      </c>
      <c r="D431" s="107" t="s">
        <v>353</v>
      </c>
      <c r="E431">
        <v>3168</v>
      </c>
      <c r="F431" s="107" t="s">
        <v>790</v>
      </c>
      <c r="G431" s="107" t="s">
        <v>354</v>
      </c>
      <c r="H431" s="107" t="s">
        <v>360</v>
      </c>
      <c r="I431">
        <v>65</v>
      </c>
    </row>
    <row r="432" spans="1:10">
      <c r="A432" s="107" t="s">
        <v>787</v>
      </c>
      <c r="B432" s="107" t="s">
        <v>351</v>
      </c>
      <c r="C432" s="107" t="s">
        <v>361</v>
      </c>
      <c r="D432" s="107" t="s">
        <v>353</v>
      </c>
      <c r="E432">
        <v>3186</v>
      </c>
      <c r="F432" s="107" t="s">
        <v>791</v>
      </c>
      <c r="G432" s="107" t="s">
        <v>354</v>
      </c>
      <c r="H432" s="107" t="s">
        <v>364</v>
      </c>
      <c r="I432">
        <v>893</v>
      </c>
    </row>
    <row r="433" spans="1:10">
      <c r="A433" s="107" t="s">
        <v>787</v>
      </c>
      <c r="B433" s="107" t="s">
        <v>351</v>
      </c>
      <c r="C433" s="107" t="s">
        <v>352</v>
      </c>
      <c r="D433" s="107" t="s">
        <v>353</v>
      </c>
      <c r="E433">
        <v>3353</v>
      </c>
      <c r="F433" s="107" t="s">
        <v>792</v>
      </c>
      <c r="G433" s="107" t="s">
        <v>358</v>
      </c>
      <c r="H433" s="107" t="s">
        <v>364</v>
      </c>
      <c r="I433" s="107">
        <v>183</v>
      </c>
      <c r="J433" s="107"/>
    </row>
    <row r="434" spans="1:10">
      <c r="A434" s="107" t="s">
        <v>787</v>
      </c>
      <c r="B434" s="107" t="s">
        <v>351</v>
      </c>
      <c r="C434" s="107" t="s">
        <v>352</v>
      </c>
      <c r="D434" s="107" t="s">
        <v>353</v>
      </c>
      <c r="E434">
        <v>3382</v>
      </c>
      <c r="F434" s="107" t="s">
        <v>793</v>
      </c>
      <c r="G434" s="107" t="s">
        <v>354</v>
      </c>
      <c r="H434" s="107" t="s">
        <v>364</v>
      </c>
      <c r="I434" s="107" t="s">
        <v>794</v>
      </c>
      <c r="J434" s="107" t="s">
        <v>972</v>
      </c>
    </row>
    <row r="435" spans="1:10">
      <c r="A435" s="107" t="s">
        <v>787</v>
      </c>
      <c r="B435" s="107" t="s">
        <v>351</v>
      </c>
      <c r="C435" s="107" t="s">
        <v>361</v>
      </c>
      <c r="D435" s="107" t="s">
        <v>353</v>
      </c>
      <c r="E435">
        <v>3454</v>
      </c>
      <c r="F435" s="107" t="s">
        <v>795</v>
      </c>
      <c r="G435" s="107" t="s">
        <v>354</v>
      </c>
      <c r="H435" s="107" t="s">
        <v>380</v>
      </c>
      <c r="I435" s="107">
        <v>184</v>
      </c>
      <c r="J435" s="107"/>
    </row>
    <row r="436" spans="1:10">
      <c r="A436" s="107" t="s">
        <v>787</v>
      </c>
      <c r="B436" s="107" t="s">
        <v>351</v>
      </c>
      <c r="C436" s="107" t="s">
        <v>352</v>
      </c>
      <c r="D436" s="107" t="s">
        <v>353</v>
      </c>
      <c r="E436">
        <v>4429</v>
      </c>
      <c r="F436" s="107" t="s">
        <v>796</v>
      </c>
      <c r="G436" s="107" t="s">
        <v>366</v>
      </c>
      <c r="H436" s="107" t="s">
        <v>365</v>
      </c>
      <c r="I436">
        <v>242</v>
      </c>
    </row>
    <row r="437" spans="1:10">
      <c r="A437" s="107" t="s">
        <v>787</v>
      </c>
      <c r="B437" s="107" t="s">
        <v>351</v>
      </c>
      <c r="C437" s="107" t="s">
        <v>363</v>
      </c>
      <c r="D437" s="107" t="s">
        <v>357</v>
      </c>
      <c r="E437">
        <v>4430</v>
      </c>
      <c r="F437" s="107" t="s">
        <v>797</v>
      </c>
      <c r="G437" s="107" t="s">
        <v>362</v>
      </c>
      <c r="H437" s="107" t="s">
        <v>365</v>
      </c>
      <c r="I437">
        <v>54</v>
      </c>
    </row>
    <row r="438" spans="1:10">
      <c r="A438" s="107" t="s">
        <v>787</v>
      </c>
      <c r="B438" s="107" t="s">
        <v>351</v>
      </c>
      <c r="C438" s="107" t="s">
        <v>363</v>
      </c>
      <c r="D438" s="107" t="s">
        <v>353</v>
      </c>
      <c r="E438">
        <v>4443</v>
      </c>
      <c r="F438" s="107" t="s">
        <v>798</v>
      </c>
      <c r="G438" s="107" t="s">
        <v>366</v>
      </c>
      <c r="H438" s="107" t="s">
        <v>365</v>
      </c>
      <c r="I438" s="107" t="s">
        <v>409</v>
      </c>
      <c r="J438" s="107" t="s">
        <v>1194</v>
      </c>
    </row>
    <row r="439" spans="1:10">
      <c r="A439" s="107" t="s">
        <v>787</v>
      </c>
      <c r="B439" s="107" t="s">
        <v>351</v>
      </c>
      <c r="C439" s="107" t="s">
        <v>356</v>
      </c>
      <c r="D439" s="107" t="s">
        <v>357</v>
      </c>
      <c r="E439">
        <v>6264</v>
      </c>
      <c r="F439" s="107" t="s">
        <v>800</v>
      </c>
      <c r="G439" s="107" t="s">
        <v>354</v>
      </c>
      <c r="H439" s="107" t="s">
        <v>375</v>
      </c>
      <c r="I439" s="107">
        <v>134</v>
      </c>
      <c r="J439" s="107"/>
    </row>
    <row r="440" spans="1:10">
      <c r="A440" s="107" t="s">
        <v>787</v>
      </c>
      <c r="B440" s="107" t="s">
        <v>351</v>
      </c>
      <c r="C440" s="107" t="s">
        <v>356</v>
      </c>
      <c r="D440" s="107" t="s">
        <v>353</v>
      </c>
      <c r="E440">
        <v>6289</v>
      </c>
      <c r="F440" s="107" t="s">
        <v>1195</v>
      </c>
      <c r="G440" s="107" t="s">
        <v>354</v>
      </c>
      <c r="H440" s="107" t="s">
        <v>375</v>
      </c>
      <c r="I440" s="107" t="s">
        <v>409</v>
      </c>
      <c r="J440" s="107" t="s">
        <v>967</v>
      </c>
    </row>
    <row r="441" spans="1:10">
      <c r="A441" s="107" t="s">
        <v>787</v>
      </c>
      <c r="B441" s="107" t="s">
        <v>351</v>
      </c>
      <c r="C441" s="107" t="s">
        <v>363</v>
      </c>
      <c r="D441" s="107" t="s">
        <v>357</v>
      </c>
      <c r="E441">
        <v>6496</v>
      </c>
      <c r="F441" s="107" t="s">
        <v>801</v>
      </c>
      <c r="G441" s="107" t="s">
        <v>362</v>
      </c>
      <c r="H441" s="107" t="s">
        <v>375</v>
      </c>
      <c r="I441" s="107">
        <v>103</v>
      </c>
      <c r="J441" s="107"/>
    </row>
    <row r="442" spans="1:10">
      <c r="A442" s="107" t="s">
        <v>787</v>
      </c>
      <c r="B442" s="107" t="s">
        <v>351</v>
      </c>
      <c r="C442" s="107" t="s">
        <v>352</v>
      </c>
      <c r="D442" s="107" t="s">
        <v>353</v>
      </c>
      <c r="E442">
        <v>8008</v>
      </c>
      <c r="F442" s="107" t="s">
        <v>802</v>
      </c>
      <c r="G442" s="107" t="s">
        <v>354</v>
      </c>
      <c r="H442" s="107" t="s">
        <v>364</v>
      </c>
      <c r="I442">
        <v>627</v>
      </c>
    </row>
    <row r="443" spans="1:10">
      <c r="A443" s="107" t="s">
        <v>787</v>
      </c>
      <c r="B443" s="107" t="s">
        <v>351</v>
      </c>
      <c r="C443" s="107" t="s">
        <v>352</v>
      </c>
      <c r="D443" s="107" t="s">
        <v>353</v>
      </c>
      <c r="E443">
        <v>8125</v>
      </c>
      <c r="F443" s="107" t="s">
        <v>803</v>
      </c>
      <c r="G443" s="107" t="s">
        <v>354</v>
      </c>
      <c r="H443" s="107" t="s">
        <v>360</v>
      </c>
      <c r="I443">
        <v>563</v>
      </c>
    </row>
    <row r="444" spans="1:10">
      <c r="A444" s="107" t="s">
        <v>804</v>
      </c>
      <c r="B444" s="107" t="s">
        <v>351</v>
      </c>
      <c r="C444" s="107" t="s">
        <v>363</v>
      </c>
      <c r="D444" s="107" t="s">
        <v>353</v>
      </c>
      <c r="E444">
        <v>1377</v>
      </c>
      <c r="F444" s="107" t="s">
        <v>805</v>
      </c>
      <c r="G444" s="107" t="s">
        <v>354</v>
      </c>
      <c r="H444" s="107" t="s">
        <v>494</v>
      </c>
      <c r="I444" s="107" t="s">
        <v>409</v>
      </c>
      <c r="J444" s="107" t="s">
        <v>1196</v>
      </c>
    </row>
    <row r="445" spans="1:10">
      <c r="A445" s="107" t="s">
        <v>804</v>
      </c>
      <c r="B445" s="107" t="s">
        <v>351</v>
      </c>
      <c r="C445" s="107" t="s">
        <v>363</v>
      </c>
      <c r="D445" s="107" t="s">
        <v>353</v>
      </c>
      <c r="E445">
        <v>1887</v>
      </c>
      <c r="F445" s="107" t="s">
        <v>806</v>
      </c>
      <c r="G445" s="107" t="s">
        <v>354</v>
      </c>
      <c r="H445" s="107" t="s">
        <v>388</v>
      </c>
      <c r="I445" s="107">
        <v>608</v>
      </c>
      <c r="J445" s="107"/>
    </row>
    <row r="446" spans="1:10">
      <c r="A446" s="107" t="s">
        <v>804</v>
      </c>
      <c r="B446" s="107" t="s">
        <v>351</v>
      </c>
      <c r="C446" s="107" t="s">
        <v>352</v>
      </c>
      <c r="D446" s="107" t="s">
        <v>357</v>
      </c>
      <c r="E446">
        <v>2294</v>
      </c>
      <c r="F446" s="107" t="s">
        <v>807</v>
      </c>
      <c r="G446" s="107" t="s">
        <v>354</v>
      </c>
      <c r="H446" s="107" t="s">
        <v>355</v>
      </c>
      <c r="I446">
        <v>373</v>
      </c>
    </row>
    <row r="447" spans="1:10">
      <c r="A447" s="107" t="s">
        <v>804</v>
      </c>
      <c r="B447" s="107" t="s">
        <v>351</v>
      </c>
      <c r="C447" s="107" t="s">
        <v>363</v>
      </c>
      <c r="D447" s="107" t="s">
        <v>357</v>
      </c>
      <c r="E447">
        <v>2303</v>
      </c>
      <c r="F447" s="107" t="s">
        <v>808</v>
      </c>
      <c r="G447" s="107" t="s">
        <v>358</v>
      </c>
      <c r="H447" s="107" t="s">
        <v>365</v>
      </c>
      <c r="I447">
        <v>51</v>
      </c>
    </row>
    <row r="448" spans="1:10">
      <c r="A448" s="107" t="s">
        <v>804</v>
      </c>
      <c r="B448" s="107" t="s">
        <v>351</v>
      </c>
      <c r="C448" s="107" t="s">
        <v>363</v>
      </c>
      <c r="D448" s="107" t="s">
        <v>353</v>
      </c>
      <c r="E448">
        <v>2462</v>
      </c>
      <c r="F448" s="107" t="s">
        <v>809</v>
      </c>
      <c r="G448" s="107" t="s">
        <v>354</v>
      </c>
      <c r="H448" s="107" t="s">
        <v>359</v>
      </c>
      <c r="I448">
        <v>343</v>
      </c>
    </row>
    <row r="449" spans="1:10">
      <c r="A449" s="107" t="s">
        <v>804</v>
      </c>
      <c r="B449" s="107" t="s">
        <v>351</v>
      </c>
      <c r="C449" s="107" t="s">
        <v>361</v>
      </c>
      <c r="D449" s="107" t="s">
        <v>353</v>
      </c>
      <c r="E449">
        <v>2698</v>
      </c>
      <c r="F449" s="107" t="s">
        <v>810</v>
      </c>
      <c r="G449" s="107" t="s">
        <v>354</v>
      </c>
      <c r="H449" s="107" t="s">
        <v>364</v>
      </c>
      <c r="I449">
        <v>276</v>
      </c>
    </row>
    <row r="450" spans="1:10">
      <c r="A450" s="107" t="s">
        <v>804</v>
      </c>
      <c r="B450" s="107" t="s">
        <v>351</v>
      </c>
      <c r="C450" s="107" t="s">
        <v>363</v>
      </c>
      <c r="D450" s="107" t="s">
        <v>357</v>
      </c>
      <c r="E450">
        <v>3297</v>
      </c>
      <c r="F450" s="107" t="s">
        <v>811</v>
      </c>
      <c r="G450" s="107" t="s">
        <v>358</v>
      </c>
      <c r="H450" s="107" t="s">
        <v>380</v>
      </c>
      <c r="I450" s="107">
        <v>29</v>
      </c>
      <c r="J450" s="107"/>
    </row>
    <row r="451" spans="1:10">
      <c r="A451" s="107" t="s">
        <v>804</v>
      </c>
      <c r="B451" s="107" t="s">
        <v>351</v>
      </c>
      <c r="C451" s="107" t="s">
        <v>361</v>
      </c>
      <c r="D451" s="107" t="s">
        <v>357</v>
      </c>
      <c r="E451">
        <v>3377</v>
      </c>
      <c r="F451" s="107" t="s">
        <v>812</v>
      </c>
      <c r="G451" s="107" t="s">
        <v>362</v>
      </c>
      <c r="H451" s="107" t="s">
        <v>360</v>
      </c>
      <c r="I451" s="107">
        <v>29</v>
      </c>
      <c r="J451" s="107"/>
    </row>
    <row r="452" spans="1:10">
      <c r="A452" s="107" t="s">
        <v>804</v>
      </c>
      <c r="B452" s="107" t="s">
        <v>351</v>
      </c>
      <c r="C452" s="107" t="s">
        <v>352</v>
      </c>
      <c r="D452" s="107" t="s">
        <v>353</v>
      </c>
      <c r="E452">
        <v>3387</v>
      </c>
      <c r="F452" s="107" t="s">
        <v>813</v>
      </c>
      <c r="G452" s="107" t="s">
        <v>354</v>
      </c>
      <c r="H452" s="107" t="s">
        <v>364</v>
      </c>
      <c r="I452" s="107" t="s">
        <v>409</v>
      </c>
      <c r="J452" s="107" t="s">
        <v>1197</v>
      </c>
    </row>
    <row r="453" spans="1:10">
      <c r="A453" s="107" t="s">
        <v>804</v>
      </c>
      <c r="B453" s="107" t="s">
        <v>351</v>
      </c>
      <c r="C453" s="107" t="s">
        <v>352</v>
      </c>
      <c r="D453" s="107" t="s">
        <v>353</v>
      </c>
      <c r="E453">
        <v>3548</v>
      </c>
      <c r="F453" s="107" t="s">
        <v>814</v>
      </c>
      <c r="G453" s="107" t="s">
        <v>354</v>
      </c>
      <c r="H453" s="107" t="s">
        <v>364</v>
      </c>
      <c r="I453" s="107">
        <v>346</v>
      </c>
      <c r="J453" s="107"/>
    </row>
    <row r="454" spans="1:10">
      <c r="A454" s="107" t="s">
        <v>804</v>
      </c>
      <c r="B454" s="107" t="s">
        <v>351</v>
      </c>
      <c r="C454" s="107" t="s">
        <v>352</v>
      </c>
      <c r="D454" s="107" t="s">
        <v>357</v>
      </c>
      <c r="E454">
        <v>3557</v>
      </c>
      <c r="F454" s="107" t="s">
        <v>815</v>
      </c>
      <c r="G454" s="107" t="s">
        <v>366</v>
      </c>
      <c r="H454" s="107" t="s">
        <v>364</v>
      </c>
      <c r="I454">
        <v>48</v>
      </c>
    </row>
    <row r="455" spans="1:10">
      <c r="A455" s="107" t="s">
        <v>804</v>
      </c>
      <c r="B455" s="107" t="s">
        <v>351</v>
      </c>
      <c r="C455" s="107" t="s">
        <v>352</v>
      </c>
      <c r="D455" s="107" t="s">
        <v>357</v>
      </c>
      <c r="E455">
        <v>3996</v>
      </c>
      <c r="F455" s="107" t="s">
        <v>816</v>
      </c>
      <c r="G455" s="107" t="s">
        <v>354</v>
      </c>
      <c r="H455" s="107" t="s">
        <v>365</v>
      </c>
      <c r="I455">
        <v>244</v>
      </c>
    </row>
    <row r="456" spans="1:10">
      <c r="A456" s="107" t="s">
        <v>804</v>
      </c>
      <c r="B456" s="107" t="s">
        <v>351</v>
      </c>
      <c r="C456" s="107" t="s">
        <v>356</v>
      </c>
      <c r="D456" s="107" t="s">
        <v>353</v>
      </c>
      <c r="E456">
        <v>4433</v>
      </c>
      <c r="F456" s="107" t="s">
        <v>817</v>
      </c>
      <c r="G456" s="107" t="s">
        <v>354</v>
      </c>
      <c r="H456" s="107" t="s">
        <v>365</v>
      </c>
      <c r="I456">
        <v>285</v>
      </c>
    </row>
    <row r="457" spans="1:10">
      <c r="A457" s="107" t="s">
        <v>804</v>
      </c>
      <c r="B457" s="107" t="s">
        <v>351</v>
      </c>
      <c r="C457" s="107" t="s">
        <v>352</v>
      </c>
      <c r="D457" s="107" t="s">
        <v>357</v>
      </c>
      <c r="E457">
        <v>4434</v>
      </c>
      <c r="F457" s="107" t="s">
        <v>818</v>
      </c>
      <c r="G457" s="107" t="s">
        <v>366</v>
      </c>
      <c r="H457" s="107" t="s">
        <v>365</v>
      </c>
      <c r="I457">
        <v>292</v>
      </c>
    </row>
    <row r="458" spans="1:10">
      <c r="A458" s="107" t="s">
        <v>804</v>
      </c>
      <c r="B458" s="107" t="s">
        <v>351</v>
      </c>
      <c r="C458" s="107" t="s">
        <v>356</v>
      </c>
      <c r="D458" s="107" t="s">
        <v>353</v>
      </c>
      <c r="E458">
        <v>4440</v>
      </c>
      <c r="F458" s="107" t="s">
        <v>819</v>
      </c>
      <c r="G458" s="107" t="s">
        <v>366</v>
      </c>
      <c r="H458" s="107" t="s">
        <v>365</v>
      </c>
      <c r="I458">
        <v>97</v>
      </c>
    </row>
    <row r="459" spans="1:10">
      <c r="A459" s="107" t="s">
        <v>804</v>
      </c>
      <c r="B459" s="107" t="s">
        <v>351</v>
      </c>
      <c r="C459" s="107" t="s">
        <v>363</v>
      </c>
      <c r="D459" s="107" t="s">
        <v>353</v>
      </c>
      <c r="E459">
        <v>5967</v>
      </c>
      <c r="F459" s="107" t="s">
        <v>820</v>
      </c>
      <c r="G459" s="107" t="s">
        <v>362</v>
      </c>
      <c r="H459" s="107" t="s">
        <v>369</v>
      </c>
      <c r="I459">
        <v>61</v>
      </c>
    </row>
    <row r="460" spans="1:10">
      <c r="A460" s="107" t="s">
        <v>804</v>
      </c>
      <c r="B460" s="107" t="s">
        <v>351</v>
      </c>
      <c r="C460" s="107" t="s">
        <v>352</v>
      </c>
      <c r="D460" s="107" t="s">
        <v>353</v>
      </c>
      <c r="E460">
        <v>6173</v>
      </c>
      <c r="F460" s="107" t="s">
        <v>821</v>
      </c>
      <c r="G460" s="107" t="s">
        <v>366</v>
      </c>
      <c r="H460" s="107" t="s">
        <v>359</v>
      </c>
      <c r="I460">
        <v>25</v>
      </c>
    </row>
    <row r="461" spans="1:10">
      <c r="A461" s="107" t="s">
        <v>804</v>
      </c>
      <c r="B461" s="107" t="s">
        <v>351</v>
      </c>
      <c r="C461" s="107" t="s">
        <v>363</v>
      </c>
      <c r="D461" s="107" t="s">
        <v>353</v>
      </c>
      <c r="E461">
        <v>6489</v>
      </c>
      <c r="F461" s="107" t="s">
        <v>822</v>
      </c>
      <c r="G461" s="107" t="s">
        <v>354</v>
      </c>
      <c r="H461" s="107" t="s">
        <v>375</v>
      </c>
      <c r="I461" s="107">
        <v>84</v>
      </c>
      <c r="J461" s="107"/>
    </row>
    <row r="462" spans="1:10">
      <c r="A462" s="107" t="s">
        <v>804</v>
      </c>
      <c r="B462" s="107" t="s">
        <v>351</v>
      </c>
      <c r="C462" s="107" t="s">
        <v>352</v>
      </c>
      <c r="D462" s="107" t="s">
        <v>353</v>
      </c>
      <c r="E462">
        <v>6543</v>
      </c>
      <c r="F462" s="107" t="s">
        <v>823</v>
      </c>
      <c r="G462" s="107" t="s">
        <v>358</v>
      </c>
      <c r="H462" s="107" t="s">
        <v>359</v>
      </c>
      <c r="I462">
        <v>26</v>
      </c>
    </row>
    <row r="463" spans="1:10">
      <c r="A463" s="107" t="s">
        <v>804</v>
      </c>
      <c r="B463" s="107" t="s">
        <v>351</v>
      </c>
      <c r="C463" s="107" t="s">
        <v>352</v>
      </c>
      <c r="D463" s="107" t="s">
        <v>353</v>
      </c>
      <c r="E463">
        <v>7049</v>
      </c>
      <c r="F463" s="107" t="s">
        <v>824</v>
      </c>
      <c r="G463" s="107" t="s">
        <v>366</v>
      </c>
      <c r="H463" s="107" t="s">
        <v>359</v>
      </c>
      <c r="I463" s="107">
        <v>129</v>
      </c>
      <c r="J463" s="107"/>
    </row>
    <row r="464" spans="1:10">
      <c r="A464" s="107" t="s">
        <v>804</v>
      </c>
      <c r="B464" s="107" t="s">
        <v>351</v>
      </c>
      <c r="C464" s="107" t="s">
        <v>352</v>
      </c>
      <c r="D464" s="107" t="s">
        <v>353</v>
      </c>
      <c r="E464">
        <v>7058</v>
      </c>
      <c r="F464" s="107" t="s">
        <v>825</v>
      </c>
      <c r="G464" s="107" t="s">
        <v>358</v>
      </c>
      <c r="H464" s="107" t="s">
        <v>359</v>
      </c>
      <c r="I464" s="107">
        <v>75</v>
      </c>
      <c r="J464" s="107"/>
    </row>
    <row r="465" spans="1:10">
      <c r="A465" s="107" t="s">
        <v>804</v>
      </c>
      <c r="B465" s="107" t="s">
        <v>351</v>
      </c>
      <c r="C465" s="107" t="s">
        <v>356</v>
      </c>
      <c r="D465" s="107" t="s">
        <v>353</v>
      </c>
      <c r="E465">
        <v>7065</v>
      </c>
      <c r="F465" s="107" t="s">
        <v>826</v>
      </c>
      <c r="G465" s="107" t="s">
        <v>362</v>
      </c>
      <c r="H465" s="107" t="s">
        <v>359</v>
      </c>
      <c r="I465">
        <v>190</v>
      </c>
    </row>
    <row r="466" spans="1:10">
      <c r="A466" s="107" t="s">
        <v>804</v>
      </c>
      <c r="B466" s="107" t="s">
        <v>351</v>
      </c>
      <c r="C466" s="107" t="s">
        <v>363</v>
      </c>
      <c r="D466" s="107" t="s">
        <v>357</v>
      </c>
      <c r="E466">
        <v>7673</v>
      </c>
      <c r="F466" s="107" t="s">
        <v>827</v>
      </c>
      <c r="G466" s="107" t="s">
        <v>362</v>
      </c>
      <c r="H466" s="107" t="s">
        <v>360</v>
      </c>
      <c r="I466">
        <v>53</v>
      </c>
    </row>
    <row r="467" spans="1:10">
      <c r="A467" s="107" t="s">
        <v>804</v>
      </c>
      <c r="B467" s="107" t="s">
        <v>351</v>
      </c>
      <c r="C467" s="107" t="s">
        <v>352</v>
      </c>
      <c r="D467" s="107" t="s">
        <v>353</v>
      </c>
      <c r="E467">
        <v>7811</v>
      </c>
      <c r="F467" s="107" t="s">
        <v>828</v>
      </c>
      <c r="G467" s="107" t="s">
        <v>354</v>
      </c>
      <c r="H467" s="107" t="s">
        <v>376</v>
      </c>
      <c r="I467">
        <v>123</v>
      </c>
    </row>
    <row r="468" spans="1:10">
      <c r="A468" s="107" t="s">
        <v>829</v>
      </c>
      <c r="B468" s="107" t="s">
        <v>351</v>
      </c>
      <c r="C468" s="107" t="s">
        <v>352</v>
      </c>
      <c r="D468" s="107" t="s">
        <v>353</v>
      </c>
      <c r="E468">
        <v>1719</v>
      </c>
      <c r="F468" s="107" t="s">
        <v>830</v>
      </c>
      <c r="G468" s="107" t="s">
        <v>354</v>
      </c>
      <c r="H468" s="107" t="s">
        <v>388</v>
      </c>
      <c r="I468" s="107" t="s">
        <v>409</v>
      </c>
      <c r="J468" s="107" t="s">
        <v>1198</v>
      </c>
    </row>
    <row r="469" spans="1:10">
      <c r="A469" s="107" t="s">
        <v>829</v>
      </c>
      <c r="B469" s="107" t="s">
        <v>351</v>
      </c>
      <c r="C469" s="107" t="s">
        <v>352</v>
      </c>
      <c r="D469" s="107" t="s">
        <v>353</v>
      </c>
      <c r="E469">
        <v>1812</v>
      </c>
      <c r="F469" s="107" t="s">
        <v>831</v>
      </c>
      <c r="G469" s="107" t="s">
        <v>354</v>
      </c>
      <c r="H469" s="107" t="s">
        <v>388</v>
      </c>
      <c r="I469" s="107" t="s">
        <v>832</v>
      </c>
      <c r="J469" s="107" t="s">
        <v>1199</v>
      </c>
    </row>
    <row r="470" spans="1:10">
      <c r="A470" s="107" t="s">
        <v>829</v>
      </c>
      <c r="B470" s="107" t="s">
        <v>351</v>
      </c>
      <c r="C470" s="107" t="s">
        <v>352</v>
      </c>
      <c r="D470" s="107" t="s">
        <v>353</v>
      </c>
      <c r="E470">
        <v>1824</v>
      </c>
      <c r="F470" s="107" t="s">
        <v>833</v>
      </c>
      <c r="G470" s="107" t="s">
        <v>354</v>
      </c>
      <c r="H470" s="107" t="s">
        <v>388</v>
      </c>
      <c r="I470" s="107" t="s">
        <v>409</v>
      </c>
      <c r="J470" s="107" t="s">
        <v>1200</v>
      </c>
    </row>
    <row r="471" spans="1:10">
      <c r="A471" s="107" t="s">
        <v>829</v>
      </c>
      <c r="B471" s="107" t="s">
        <v>351</v>
      </c>
      <c r="C471" s="107" t="s">
        <v>352</v>
      </c>
      <c r="D471" s="107" t="s">
        <v>353</v>
      </c>
      <c r="E471">
        <v>1860</v>
      </c>
      <c r="F471" s="107" t="s">
        <v>834</v>
      </c>
      <c r="G471" s="107" t="s">
        <v>354</v>
      </c>
      <c r="H471" s="107" t="s">
        <v>388</v>
      </c>
      <c r="I471" s="107" t="s">
        <v>377</v>
      </c>
      <c r="J471" s="107" t="s">
        <v>1067</v>
      </c>
    </row>
    <row r="472" spans="1:10">
      <c r="A472" s="107" t="s">
        <v>829</v>
      </c>
      <c r="B472" s="107" t="s">
        <v>351</v>
      </c>
      <c r="C472" s="107" t="s">
        <v>352</v>
      </c>
      <c r="D472" s="107" t="s">
        <v>353</v>
      </c>
      <c r="E472">
        <v>1964</v>
      </c>
      <c r="F472" s="107" t="s">
        <v>835</v>
      </c>
      <c r="G472" s="107" t="s">
        <v>354</v>
      </c>
      <c r="H472" s="107" t="s">
        <v>388</v>
      </c>
      <c r="I472" s="107">
        <v>134</v>
      </c>
      <c r="J472" s="107"/>
    </row>
    <row r="473" spans="1:10">
      <c r="A473" s="107" t="s">
        <v>829</v>
      </c>
      <c r="B473" s="107" t="s">
        <v>351</v>
      </c>
      <c r="C473" s="107" t="s">
        <v>352</v>
      </c>
      <c r="D473" s="107" t="s">
        <v>353</v>
      </c>
      <c r="E473">
        <v>2108</v>
      </c>
      <c r="F473" s="107" t="s">
        <v>836</v>
      </c>
      <c r="G473" s="107" t="s">
        <v>354</v>
      </c>
      <c r="H473" s="107" t="s">
        <v>355</v>
      </c>
      <c r="I473">
        <v>310</v>
      </c>
    </row>
    <row r="474" spans="1:10">
      <c r="A474" s="107" t="s">
        <v>829</v>
      </c>
      <c r="B474" s="107" t="s">
        <v>351</v>
      </c>
      <c r="C474" s="107" t="s">
        <v>352</v>
      </c>
      <c r="D474" s="107" t="s">
        <v>353</v>
      </c>
      <c r="E474">
        <v>2173</v>
      </c>
      <c r="F474" s="107" t="s">
        <v>1001</v>
      </c>
      <c r="G474" s="107" t="s">
        <v>358</v>
      </c>
      <c r="H474" s="107" t="s">
        <v>359</v>
      </c>
      <c r="I474">
        <v>58</v>
      </c>
    </row>
    <row r="475" spans="1:10">
      <c r="A475" s="107" t="s">
        <v>829</v>
      </c>
      <c r="B475" s="107" t="s">
        <v>351</v>
      </c>
      <c r="C475" s="107" t="s">
        <v>363</v>
      </c>
      <c r="D475" s="107" t="s">
        <v>353</v>
      </c>
      <c r="E475">
        <v>2180</v>
      </c>
      <c r="F475" s="107" t="s">
        <v>837</v>
      </c>
      <c r="G475" s="107" t="s">
        <v>354</v>
      </c>
      <c r="H475" s="107" t="s">
        <v>359</v>
      </c>
      <c r="I475">
        <v>176</v>
      </c>
    </row>
    <row r="476" spans="1:10">
      <c r="A476" s="107" t="s">
        <v>829</v>
      </c>
      <c r="B476" s="107" t="s">
        <v>351</v>
      </c>
      <c r="C476" s="107" t="s">
        <v>352</v>
      </c>
      <c r="D476" s="107" t="s">
        <v>353</v>
      </c>
      <c r="E476">
        <v>2288</v>
      </c>
      <c r="F476" s="107" t="s">
        <v>838</v>
      </c>
      <c r="G476" s="107" t="s">
        <v>354</v>
      </c>
      <c r="H476" s="107" t="s">
        <v>355</v>
      </c>
      <c r="I476">
        <v>626</v>
      </c>
    </row>
    <row r="477" spans="1:10">
      <c r="A477" s="107" t="s">
        <v>829</v>
      </c>
      <c r="B477" s="107" t="s">
        <v>351</v>
      </c>
      <c r="C477" s="107" t="s">
        <v>352</v>
      </c>
      <c r="D477" s="107" t="s">
        <v>353</v>
      </c>
      <c r="E477">
        <v>2349</v>
      </c>
      <c r="F477" s="107" t="s">
        <v>1002</v>
      </c>
      <c r="G477" s="107" t="s">
        <v>358</v>
      </c>
      <c r="H477" s="107" t="s">
        <v>365</v>
      </c>
      <c r="I477">
        <v>177</v>
      </c>
    </row>
    <row r="478" spans="1:10">
      <c r="A478" s="107" t="s">
        <v>829</v>
      </c>
      <c r="B478" s="107" t="s">
        <v>351</v>
      </c>
      <c r="C478" s="107" t="s">
        <v>352</v>
      </c>
      <c r="D478" s="107" t="s">
        <v>353</v>
      </c>
      <c r="E478">
        <v>2454</v>
      </c>
      <c r="F478" s="107" t="s">
        <v>1201</v>
      </c>
      <c r="G478" s="107" t="s">
        <v>358</v>
      </c>
      <c r="H478" s="107" t="s">
        <v>359</v>
      </c>
      <c r="I478">
        <v>96</v>
      </c>
    </row>
    <row r="479" spans="1:10">
      <c r="A479" s="107" t="s">
        <v>829</v>
      </c>
      <c r="B479" s="107" t="s">
        <v>351</v>
      </c>
      <c r="C479" s="107" t="s">
        <v>361</v>
      </c>
      <c r="D479" s="107" t="s">
        <v>353</v>
      </c>
      <c r="E479">
        <v>2675</v>
      </c>
      <c r="F479" s="107" t="s">
        <v>839</v>
      </c>
      <c r="G479" s="107" t="s">
        <v>362</v>
      </c>
      <c r="H479" s="107" t="s">
        <v>364</v>
      </c>
      <c r="I479">
        <v>117</v>
      </c>
    </row>
    <row r="480" spans="1:10">
      <c r="A480" s="107" t="s">
        <v>829</v>
      </c>
      <c r="B480" s="107" t="s">
        <v>351</v>
      </c>
      <c r="C480" s="107" t="s">
        <v>352</v>
      </c>
      <c r="D480" s="107" t="s">
        <v>353</v>
      </c>
      <c r="E480">
        <v>2733</v>
      </c>
      <c r="F480" s="107" t="s">
        <v>1202</v>
      </c>
      <c r="G480" s="107" t="s">
        <v>354</v>
      </c>
      <c r="H480" s="107" t="s">
        <v>360</v>
      </c>
      <c r="I480">
        <v>779</v>
      </c>
    </row>
    <row r="481" spans="1:10">
      <c r="A481" s="107" t="s">
        <v>829</v>
      </c>
      <c r="B481" s="107" t="s">
        <v>351</v>
      </c>
      <c r="C481" s="107" t="s">
        <v>352</v>
      </c>
      <c r="D481" s="107" t="s">
        <v>353</v>
      </c>
      <c r="E481">
        <v>2768</v>
      </c>
      <c r="F481" s="107" t="s">
        <v>1203</v>
      </c>
      <c r="G481" s="107" t="s">
        <v>354</v>
      </c>
      <c r="H481" s="107" t="s">
        <v>360</v>
      </c>
      <c r="I481" s="107" t="s">
        <v>505</v>
      </c>
      <c r="J481" s="107" t="s">
        <v>1204</v>
      </c>
    </row>
    <row r="482" spans="1:10">
      <c r="A482" s="107" t="s">
        <v>829</v>
      </c>
      <c r="B482" s="107" t="s">
        <v>351</v>
      </c>
      <c r="C482" s="107" t="s">
        <v>352</v>
      </c>
      <c r="D482" s="107" t="s">
        <v>353</v>
      </c>
      <c r="E482">
        <v>2812</v>
      </c>
      <c r="F482" s="107" t="s">
        <v>1205</v>
      </c>
      <c r="G482" s="107" t="s">
        <v>354</v>
      </c>
      <c r="H482" s="107" t="s">
        <v>355</v>
      </c>
      <c r="I482" s="107">
        <v>136</v>
      </c>
      <c r="J482" s="107"/>
    </row>
    <row r="483" spans="1:10">
      <c r="A483" s="107" t="s">
        <v>829</v>
      </c>
      <c r="B483" s="107" t="s">
        <v>351</v>
      </c>
      <c r="C483" s="107" t="s">
        <v>352</v>
      </c>
      <c r="D483" s="107" t="s">
        <v>353</v>
      </c>
      <c r="E483">
        <v>2903</v>
      </c>
      <c r="F483" s="107" t="s">
        <v>1206</v>
      </c>
      <c r="G483" s="107" t="s">
        <v>362</v>
      </c>
      <c r="H483" s="107" t="s">
        <v>355</v>
      </c>
      <c r="I483">
        <v>94</v>
      </c>
    </row>
    <row r="484" spans="1:10">
      <c r="A484" s="107" t="s">
        <v>829</v>
      </c>
      <c r="B484" s="107" t="s">
        <v>351</v>
      </c>
      <c r="C484" s="107" t="s">
        <v>352</v>
      </c>
      <c r="D484" s="107" t="s">
        <v>353</v>
      </c>
      <c r="E484">
        <v>2915</v>
      </c>
      <c r="F484" s="107" t="s">
        <v>1207</v>
      </c>
      <c r="G484" s="107" t="s">
        <v>354</v>
      </c>
      <c r="H484" s="107" t="s">
        <v>355</v>
      </c>
      <c r="I484">
        <v>424</v>
      </c>
    </row>
    <row r="485" spans="1:10">
      <c r="A485" s="107" t="s">
        <v>829</v>
      </c>
      <c r="B485" s="107" t="s">
        <v>351</v>
      </c>
      <c r="C485" s="107" t="s">
        <v>352</v>
      </c>
      <c r="D485" s="107" t="s">
        <v>353</v>
      </c>
      <c r="E485">
        <v>3284</v>
      </c>
      <c r="F485" s="107" t="s">
        <v>1208</v>
      </c>
      <c r="G485" s="107" t="s">
        <v>354</v>
      </c>
      <c r="H485" s="107" t="s">
        <v>380</v>
      </c>
      <c r="I485">
        <v>413</v>
      </c>
    </row>
    <row r="486" spans="1:10">
      <c r="A486" s="107" t="s">
        <v>829</v>
      </c>
      <c r="B486" s="107" t="s">
        <v>351</v>
      </c>
      <c r="C486" s="107" t="s">
        <v>352</v>
      </c>
      <c r="D486" s="107" t="s">
        <v>353</v>
      </c>
      <c r="E486">
        <v>3289</v>
      </c>
      <c r="F486" s="107" t="s">
        <v>1209</v>
      </c>
      <c r="G486" s="107" t="s">
        <v>354</v>
      </c>
      <c r="H486" s="107" t="s">
        <v>380</v>
      </c>
      <c r="I486" s="107" t="s">
        <v>371</v>
      </c>
      <c r="J486" s="107" t="s">
        <v>1210</v>
      </c>
    </row>
    <row r="487" spans="1:10">
      <c r="A487" s="107" t="s">
        <v>829</v>
      </c>
      <c r="B487" s="107" t="s">
        <v>351</v>
      </c>
      <c r="C487" s="107" t="s">
        <v>352</v>
      </c>
      <c r="D487" s="107" t="s">
        <v>353</v>
      </c>
      <c r="E487">
        <v>3401</v>
      </c>
      <c r="F487" s="107" t="s">
        <v>1211</v>
      </c>
      <c r="G487" s="107" t="s">
        <v>354</v>
      </c>
      <c r="H487" s="107" t="s">
        <v>420</v>
      </c>
      <c r="I487" s="107" t="s">
        <v>505</v>
      </c>
      <c r="J487" s="107" t="s">
        <v>1212</v>
      </c>
    </row>
    <row r="488" spans="1:10">
      <c r="A488" s="107" t="s">
        <v>829</v>
      </c>
      <c r="B488" s="107" t="s">
        <v>351</v>
      </c>
      <c r="C488" s="107" t="s">
        <v>352</v>
      </c>
      <c r="D488" s="107" t="s">
        <v>353</v>
      </c>
      <c r="E488">
        <v>3447</v>
      </c>
      <c r="F488" s="107" t="s">
        <v>840</v>
      </c>
      <c r="G488" s="107" t="s">
        <v>354</v>
      </c>
      <c r="H488" s="107" t="s">
        <v>369</v>
      </c>
      <c r="I488" s="107">
        <v>151</v>
      </c>
      <c r="J488" s="107"/>
    </row>
    <row r="489" spans="1:10">
      <c r="A489" s="107" t="s">
        <v>829</v>
      </c>
      <c r="B489" s="107" t="s">
        <v>351</v>
      </c>
      <c r="C489" s="107" t="s">
        <v>352</v>
      </c>
      <c r="D489" s="107" t="s">
        <v>357</v>
      </c>
      <c r="E489">
        <v>3467</v>
      </c>
      <c r="F489" s="107" t="s">
        <v>842</v>
      </c>
      <c r="G489" s="107" t="s">
        <v>354</v>
      </c>
      <c r="H489" s="107" t="s">
        <v>380</v>
      </c>
      <c r="I489">
        <v>30</v>
      </c>
    </row>
    <row r="490" spans="1:10">
      <c r="A490" s="107" t="s">
        <v>829</v>
      </c>
      <c r="B490" s="107" t="s">
        <v>351</v>
      </c>
      <c r="C490" s="107" t="s">
        <v>352</v>
      </c>
      <c r="D490" s="107" t="s">
        <v>353</v>
      </c>
      <c r="E490">
        <v>3571</v>
      </c>
      <c r="F490" s="107" t="s">
        <v>1213</v>
      </c>
      <c r="G490" s="107" t="s">
        <v>354</v>
      </c>
      <c r="H490" s="107" t="s">
        <v>420</v>
      </c>
      <c r="I490" s="107">
        <v>135</v>
      </c>
      <c r="J490" s="107"/>
    </row>
    <row r="491" spans="1:10">
      <c r="A491" s="107" t="s">
        <v>829</v>
      </c>
      <c r="B491" s="107" t="s">
        <v>351</v>
      </c>
      <c r="C491" s="107" t="s">
        <v>352</v>
      </c>
      <c r="D491" s="107" t="s">
        <v>353</v>
      </c>
      <c r="E491">
        <v>3600</v>
      </c>
      <c r="F491" s="107" t="s">
        <v>1214</v>
      </c>
      <c r="G491" s="107" t="s">
        <v>362</v>
      </c>
      <c r="H491" s="107" t="s">
        <v>420</v>
      </c>
      <c r="I491">
        <v>26</v>
      </c>
    </row>
    <row r="492" spans="1:10">
      <c r="A492" s="107" t="s">
        <v>829</v>
      </c>
      <c r="B492" s="107" t="s">
        <v>351</v>
      </c>
      <c r="C492" s="107" t="s">
        <v>352</v>
      </c>
      <c r="D492" s="107" t="s">
        <v>353</v>
      </c>
      <c r="E492">
        <v>3622</v>
      </c>
      <c r="F492" s="107" t="s">
        <v>1215</v>
      </c>
      <c r="G492" s="107" t="s">
        <v>366</v>
      </c>
      <c r="H492" s="107" t="s">
        <v>365</v>
      </c>
      <c r="I492" s="107">
        <v>43</v>
      </c>
      <c r="J492" s="107"/>
    </row>
    <row r="493" spans="1:10">
      <c r="A493" s="107" t="s">
        <v>829</v>
      </c>
      <c r="B493" s="107" t="s">
        <v>351</v>
      </c>
      <c r="C493" s="107" t="s">
        <v>352</v>
      </c>
      <c r="D493" s="107" t="s">
        <v>353</v>
      </c>
      <c r="E493">
        <v>3626</v>
      </c>
      <c r="F493" s="107" t="s">
        <v>1216</v>
      </c>
      <c r="G493" s="107" t="s">
        <v>354</v>
      </c>
      <c r="H493" s="107" t="s">
        <v>365</v>
      </c>
      <c r="I493" s="107" t="s">
        <v>371</v>
      </c>
      <c r="J493" s="107" t="s">
        <v>1217</v>
      </c>
    </row>
    <row r="494" spans="1:10">
      <c r="A494" s="107" t="s">
        <v>829</v>
      </c>
      <c r="B494" s="107" t="s">
        <v>351</v>
      </c>
      <c r="C494" s="107" t="s">
        <v>352</v>
      </c>
      <c r="D494" s="107" t="s">
        <v>357</v>
      </c>
      <c r="E494">
        <v>3741</v>
      </c>
      <c r="F494" s="107" t="s">
        <v>1218</v>
      </c>
      <c r="G494" s="107" t="s">
        <v>354</v>
      </c>
      <c r="H494" s="107" t="s">
        <v>365</v>
      </c>
      <c r="I494" s="107">
        <v>199</v>
      </c>
      <c r="J494" s="107"/>
    </row>
    <row r="495" spans="1:10">
      <c r="A495" s="107" t="s">
        <v>829</v>
      </c>
      <c r="B495" s="107" t="s">
        <v>351</v>
      </c>
      <c r="C495" s="107" t="s">
        <v>352</v>
      </c>
      <c r="D495" s="107" t="s">
        <v>353</v>
      </c>
      <c r="E495">
        <v>3943</v>
      </c>
      <c r="F495" s="107" t="s">
        <v>843</v>
      </c>
      <c r="G495" s="107" t="s">
        <v>716</v>
      </c>
      <c r="H495" s="107" t="s">
        <v>422</v>
      </c>
      <c r="I495">
        <v>79</v>
      </c>
    </row>
    <row r="496" spans="1:10">
      <c r="A496" s="107" t="s">
        <v>829</v>
      </c>
      <c r="B496" s="107" t="s">
        <v>351</v>
      </c>
      <c r="C496" s="107" t="s">
        <v>352</v>
      </c>
      <c r="D496" s="107" t="s">
        <v>353</v>
      </c>
      <c r="E496">
        <v>4046</v>
      </c>
      <c r="F496" s="107" t="s">
        <v>844</v>
      </c>
      <c r="G496" s="107" t="s">
        <v>354</v>
      </c>
      <c r="H496" s="107" t="s">
        <v>367</v>
      </c>
      <c r="I496" s="107">
        <v>829</v>
      </c>
      <c r="J496" s="107"/>
    </row>
    <row r="497" spans="1:10">
      <c r="A497" s="107" t="s">
        <v>829</v>
      </c>
      <c r="B497" s="107" t="s">
        <v>351</v>
      </c>
      <c r="C497" s="107" t="s">
        <v>352</v>
      </c>
      <c r="D497" s="107" t="s">
        <v>357</v>
      </c>
      <c r="E497">
        <v>4080</v>
      </c>
      <c r="F497" s="107" t="s">
        <v>845</v>
      </c>
      <c r="G497" s="107" t="s">
        <v>358</v>
      </c>
      <c r="H497" s="107" t="s">
        <v>367</v>
      </c>
      <c r="I497">
        <v>316</v>
      </c>
    </row>
    <row r="498" spans="1:10">
      <c r="A498" s="107" t="s">
        <v>829</v>
      </c>
      <c r="B498" s="107" t="s">
        <v>351</v>
      </c>
      <c r="C498" s="107" t="s">
        <v>356</v>
      </c>
      <c r="D498" s="107" t="s">
        <v>357</v>
      </c>
      <c r="E498">
        <v>4447</v>
      </c>
      <c r="F498" s="107" t="s">
        <v>846</v>
      </c>
      <c r="G498" s="107" t="s">
        <v>716</v>
      </c>
      <c r="H498" s="107" t="s">
        <v>365</v>
      </c>
      <c r="I498">
        <v>25</v>
      </c>
    </row>
    <row r="499" spans="1:10">
      <c r="A499" s="107" t="s">
        <v>829</v>
      </c>
      <c r="B499" s="107" t="s">
        <v>351</v>
      </c>
      <c r="C499" s="107" t="s">
        <v>352</v>
      </c>
      <c r="D499" s="107" t="s">
        <v>353</v>
      </c>
      <c r="E499">
        <v>4548</v>
      </c>
      <c r="F499" s="107" t="s">
        <v>847</v>
      </c>
      <c r="G499" s="107" t="s">
        <v>354</v>
      </c>
      <c r="H499" s="107" t="s">
        <v>476</v>
      </c>
      <c r="I499" s="107">
        <v>715</v>
      </c>
      <c r="J499" s="107"/>
    </row>
    <row r="500" spans="1:10">
      <c r="A500" s="107" t="s">
        <v>829</v>
      </c>
      <c r="B500" s="107" t="s">
        <v>351</v>
      </c>
      <c r="C500" s="107" t="s">
        <v>352</v>
      </c>
      <c r="D500" s="107" t="s">
        <v>353</v>
      </c>
      <c r="E500">
        <v>5192</v>
      </c>
      <c r="F500" s="107" t="s">
        <v>848</v>
      </c>
      <c r="G500" s="107" t="s">
        <v>354</v>
      </c>
      <c r="H500" s="107" t="s">
        <v>849</v>
      </c>
      <c r="I500">
        <v>687</v>
      </c>
    </row>
    <row r="501" spans="1:10">
      <c r="A501" s="107" t="s">
        <v>829</v>
      </c>
      <c r="B501" s="107" t="s">
        <v>351</v>
      </c>
      <c r="C501" s="107" t="s">
        <v>352</v>
      </c>
      <c r="D501" s="107" t="s">
        <v>353</v>
      </c>
      <c r="E501">
        <v>5964</v>
      </c>
      <c r="F501" s="107" t="s">
        <v>850</v>
      </c>
      <c r="G501" s="107" t="s">
        <v>362</v>
      </c>
      <c r="H501" s="107" t="s">
        <v>369</v>
      </c>
      <c r="I501">
        <v>22</v>
      </c>
    </row>
    <row r="502" spans="1:10">
      <c r="A502" s="107" t="s">
        <v>829</v>
      </c>
      <c r="B502" s="107" t="s">
        <v>351</v>
      </c>
      <c r="C502" s="107" t="s">
        <v>352</v>
      </c>
      <c r="D502" s="107" t="s">
        <v>353</v>
      </c>
      <c r="E502">
        <v>5989</v>
      </c>
      <c r="F502" s="107" t="s">
        <v>851</v>
      </c>
      <c r="G502" s="107" t="s">
        <v>354</v>
      </c>
      <c r="H502" s="107" t="s">
        <v>369</v>
      </c>
      <c r="I502">
        <v>245</v>
      </c>
    </row>
    <row r="503" spans="1:10">
      <c r="A503" s="107" t="s">
        <v>829</v>
      </c>
      <c r="B503" s="107" t="s">
        <v>351</v>
      </c>
      <c r="C503" s="107" t="s">
        <v>352</v>
      </c>
      <c r="D503" s="107" t="s">
        <v>353</v>
      </c>
      <c r="E503">
        <v>6240</v>
      </c>
      <c r="F503" s="107" t="s">
        <v>852</v>
      </c>
      <c r="G503" s="107" t="s">
        <v>354</v>
      </c>
      <c r="H503" s="107" t="s">
        <v>375</v>
      </c>
      <c r="I503">
        <v>601</v>
      </c>
    </row>
    <row r="504" spans="1:10">
      <c r="A504" s="107" t="s">
        <v>829</v>
      </c>
      <c r="B504" s="107" t="s">
        <v>351</v>
      </c>
      <c r="C504" s="107" t="s">
        <v>361</v>
      </c>
      <c r="D504" s="107" t="s">
        <v>353</v>
      </c>
      <c r="E504">
        <v>6537</v>
      </c>
      <c r="F504" s="107" t="s">
        <v>853</v>
      </c>
      <c r="G504" s="107" t="s">
        <v>366</v>
      </c>
      <c r="H504" s="107" t="s">
        <v>359</v>
      </c>
      <c r="I504">
        <v>68</v>
      </c>
    </row>
    <row r="505" spans="1:10">
      <c r="A505" s="107" t="s">
        <v>829</v>
      </c>
      <c r="B505" s="107" t="s">
        <v>351</v>
      </c>
      <c r="C505" s="107" t="s">
        <v>363</v>
      </c>
      <c r="D505" s="107" t="s">
        <v>353</v>
      </c>
      <c r="E505">
        <v>6662</v>
      </c>
      <c r="F505" s="107" t="s">
        <v>1003</v>
      </c>
      <c r="G505" s="107" t="s">
        <v>358</v>
      </c>
      <c r="H505" s="107" t="s">
        <v>379</v>
      </c>
      <c r="I505">
        <v>43</v>
      </c>
    </row>
    <row r="506" spans="1:10">
      <c r="A506" s="107" t="s">
        <v>829</v>
      </c>
      <c r="B506" s="107" t="s">
        <v>351</v>
      </c>
      <c r="C506" s="107" t="s">
        <v>352</v>
      </c>
      <c r="D506" s="107" t="s">
        <v>353</v>
      </c>
      <c r="E506">
        <v>6832</v>
      </c>
      <c r="F506" s="107" t="s">
        <v>854</v>
      </c>
      <c r="G506" s="107" t="s">
        <v>362</v>
      </c>
      <c r="H506" s="107" t="s">
        <v>379</v>
      </c>
      <c r="I506">
        <v>301</v>
      </c>
    </row>
    <row r="507" spans="1:10">
      <c r="A507" s="107" t="s">
        <v>829</v>
      </c>
      <c r="B507" s="107" t="s">
        <v>351</v>
      </c>
      <c r="C507" s="107" t="s">
        <v>352</v>
      </c>
      <c r="D507" s="107" t="s">
        <v>353</v>
      </c>
      <c r="E507">
        <v>7057</v>
      </c>
      <c r="F507" s="107" t="s">
        <v>855</v>
      </c>
      <c r="G507" s="107" t="s">
        <v>358</v>
      </c>
      <c r="H507" s="107" t="s">
        <v>359</v>
      </c>
      <c r="I507">
        <v>40</v>
      </c>
    </row>
    <row r="508" spans="1:10">
      <c r="A508" s="107" t="s">
        <v>829</v>
      </c>
      <c r="B508" s="107" t="s">
        <v>351</v>
      </c>
      <c r="C508" s="107" t="s">
        <v>352</v>
      </c>
      <c r="D508" s="107" t="s">
        <v>357</v>
      </c>
      <c r="E508">
        <v>7164</v>
      </c>
      <c r="F508" s="107" t="s">
        <v>856</v>
      </c>
      <c r="G508" s="107" t="s">
        <v>354</v>
      </c>
      <c r="H508" s="107" t="s">
        <v>426</v>
      </c>
      <c r="I508" s="107" t="s">
        <v>594</v>
      </c>
      <c r="J508" s="107" t="s">
        <v>1219</v>
      </c>
    </row>
    <row r="509" spans="1:10">
      <c r="A509" s="107" t="s">
        <v>829</v>
      </c>
      <c r="B509" s="107" t="s">
        <v>351</v>
      </c>
      <c r="C509" s="107" t="s">
        <v>352</v>
      </c>
      <c r="D509" s="107" t="s">
        <v>353</v>
      </c>
      <c r="E509">
        <v>7230</v>
      </c>
      <c r="F509" s="107" t="s">
        <v>857</v>
      </c>
      <c r="G509" s="107" t="s">
        <v>354</v>
      </c>
      <c r="H509" s="107" t="s">
        <v>405</v>
      </c>
      <c r="I509" s="107" t="s">
        <v>409</v>
      </c>
      <c r="J509" s="107" t="s">
        <v>1220</v>
      </c>
    </row>
    <row r="510" spans="1:10">
      <c r="A510" s="107" t="s">
        <v>829</v>
      </c>
      <c r="B510" s="107" t="s">
        <v>351</v>
      </c>
      <c r="C510" s="107" t="s">
        <v>352</v>
      </c>
      <c r="D510" s="107" t="s">
        <v>353</v>
      </c>
      <c r="E510">
        <v>7259</v>
      </c>
      <c r="F510" s="107" t="s">
        <v>859</v>
      </c>
      <c r="G510" s="107" t="s">
        <v>354</v>
      </c>
      <c r="H510" s="107" t="s">
        <v>405</v>
      </c>
      <c r="I510" s="107" t="s">
        <v>860</v>
      </c>
      <c r="J510" s="107" t="s">
        <v>1221</v>
      </c>
    </row>
    <row r="511" spans="1:10">
      <c r="A511" s="107" t="s">
        <v>829</v>
      </c>
      <c r="B511" s="107" t="s">
        <v>351</v>
      </c>
      <c r="C511" s="107" t="s">
        <v>352</v>
      </c>
      <c r="D511" s="107" t="s">
        <v>357</v>
      </c>
      <c r="E511">
        <v>7481</v>
      </c>
      <c r="F511" s="107" t="s">
        <v>861</v>
      </c>
      <c r="G511" s="107" t="s">
        <v>354</v>
      </c>
      <c r="H511" s="107" t="s">
        <v>360</v>
      </c>
      <c r="I511" s="107">
        <v>126</v>
      </c>
      <c r="J511" s="107"/>
    </row>
    <row r="512" spans="1:10">
      <c r="A512" s="107" t="s">
        <v>829</v>
      </c>
      <c r="B512" s="107" t="s">
        <v>351</v>
      </c>
      <c r="C512" s="107" t="s">
        <v>352</v>
      </c>
      <c r="D512" s="107" t="s">
        <v>353</v>
      </c>
      <c r="E512">
        <v>7702</v>
      </c>
      <c r="F512" s="107" t="s">
        <v>862</v>
      </c>
      <c r="G512" s="107" t="s">
        <v>354</v>
      </c>
      <c r="H512" s="107" t="s">
        <v>621</v>
      </c>
      <c r="I512">
        <v>190</v>
      </c>
    </row>
    <row r="513" spans="1:10">
      <c r="A513" s="107" t="s">
        <v>829</v>
      </c>
      <c r="B513" s="107" t="s">
        <v>351</v>
      </c>
      <c r="C513" s="107" t="s">
        <v>363</v>
      </c>
      <c r="D513" s="107" t="s">
        <v>353</v>
      </c>
      <c r="E513">
        <v>7813</v>
      </c>
      <c r="F513" s="107" t="s">
        <v>863</v>
      </c>
      <c r="G513" s="107" t="s">
        <v>366</v>
      </c>
      <c r="H513" s="107" t="s">
        <v>376</v>
      </c>
      <c r="I513">
        <v>51</v>
      </c>
    </row>
    <row r="514" spans="1:10">
      <c r="A514" s="107" t="s">
        <v>829</v>
      </c>
      <c r="B514" s="107" t="s">
        <v>351</v>
      </c>
      <c r="C514" s="107" t="s">
        <v>361</v>
      </c>
      <c r="D514" s="107" t="s">
        <v>353</v>
      </c>
      <c r="E514">
        <v>7963</v>
      </c>
      <c r="F514" s="107" t="s">
        <v>864</v>
      </c>
      <c r="G514" s="107" t="s">
        <v>358</v>
      </c>
      <c r="H514" s="107" t="s">
        <v>376</v>
      </c>
      <c r="I514">
        <v>68</v>
      </c>
    </row>
    <row r="515" spans="1:10">
      <c r="A515" s="107" t="s">
        <v>829</v>
      </c>
      <c r="B515" s="107" t="s">
        <v>351</v>
      </c>
      <c r="C515" s="107" t="s">
        <v>352</v>
      </c>
      <c r="D515" s="107" t="s">
        <v>353</v>
      </c>
      <c r="E515">
        <v>8138</v>
      </c>
      <c r="F515" s="107" t="s">
        <v>865</v>
      </c>
      <c r="G515" s="107" t="s">
        <v>362</v>
      </c>
      <c r="H515" s="107" t="s">
        <v>360</v>
      </c>
      <c r="I515">
        <v>43</v>
      </c>
    </row>
    <row r="516" spans="1:10">
      <c r="A516" s="107" t="s">
        <v>829</v>
      </c>
      <c r="B516" s="107" t="s">
        <v>351</v>
      </c>
      <c r="C516" s="107" t="s">
        <v>352</v>
      </c>
      <c r="D516" s="107" t="s">
        <v>353</v>
      </c>
      <c r="E516">
        <v>8153</v>
      </c>
      <c r="F516" s="107" t="s">
        <v>866</v>
      </c>
      <c r="G516" s="107" t="s">
        <v>354</v>
      </c>
      <c r="H516" s="107" t="s">
        <v>360</v>
      </c>
      <c r="I516">
        <v>978</v>
      </c>
    </row>
    <row r="517" spans="1:10">
      <c r="A517" s="107" t="s">
        <v>829</v>
      </c>
      <c r="B517" s="107" t="s">
        <v>351</v>
      </c>
      <c r="C517" s="107" t="s">
        <v>352</v>
      </c>
      <c r="D517" s="107" t="s">
        <v>353</v>
      </c>
      <c r="E517">
        <v>8226</v>
      </c>
      <c r="F517" s="107" t="s">
        <v>867</v>
      </c>
      <c r="G517" s="107" t="s">
        <v>362</v>
      </c>
      <c r="H517" s="107" t="s">
        <v>360</v>
      </c>
      <c r="I517">
        <v>30</v>
      </c>
    </row>
    <row r="518" spans="1:10">
      <c r="A518" s="107" t="s">
        <v>829</v>
      </c>
      <c r="B518" s="107" t="s">
        <v>351</v>
      </c>
      <c r="C518" s="107" t="s">
        <v>352</v>
      </c>
      <c r="D518" s="107" t="s">
        <v>353</v>
      </c>
      <c r="E518">
        <v>8281</v>
      </c>
      <c r="F518" s="107" t="s">
        <v>868</v>
      </c>
      <c r="G518" s="107" t="s">
        <v>354</v>
      </c>
      <c r="H518" s="107" t="s">
        <v>364</v>
      </c>
      <c r="I518">
        <v>629</v>
      </c>
    </row>
    <row r="519" spans="1:10">
      <c r="A519" s="107" t="s">
        <v>829</v>
      </c>
      <c r="B519" s="107" t="s">
        <v>351</v>
      </c>
      <c r="C519" s="107" t="s">
        <v>352</v>
      </c>
      <c r="D519" s="107" t="s">
        <v>353</v>
      </c>
      <c r="E519">
        <v>9001</v>
      </c>
      <c r="F519" s="107" t="s">
        <v>869</v>
      </c>
      <c r="G519" s="107" t="s">
        <v>354</v>
      </c>
      <c r="H519" s="107" t="s">
        <v>643</v>
      </c>
      <c r="I519" s="107" t="s">
        <v>623</v>
      </c>
      <c r="J519" s="107" t="s">
        <v>1222</v>
      </c>
    </row>
    <row r="520" spans="1:10">
      <c r="A520" s="107" t="s">
        <v>829</v>
      </c>
      <c r="B520" s="107" t="s">
        <v>351</v>
      </c>
      <c r="C520" s="107" t="s">
        <v>361</v>
      </c>
      <c r="D520" s="107" t="s">
        <v>357</v>
      </c>
      <c r="E520">
        <v>9284</v>
      </c>
      <c r="F520" s="107" t="s">
        <v>1006</v>
      </c>
      <c r="G520" s="107" t="s">
        <v>441</v>
      </c>
      <c r="H520" s="107" t="s">
        <v>442</v>
      </c>
      <c r="I520" s="107">
        <v>286</v>
      </c>
      <c r="J520" s="107"/>
    </row>
    <row r="521" spans="1:10">
      <c r="A521" s="107" t="s">
        <v>829</v>
      </c>
      <c r="B521" s="107" t="s">
        <v>351</v>
      </c>
      <c r="C521" s="107" t="s">
        <v>352</v>
      </c>
      <c r="D521" s="107" t="s">
        <v>353</v>
      </c>
      <c r="E521">
        <v>9364</v>
      </c>
      <c r="F521" s="107" t="s">
        <v>870</v>
      </c>
      <c r="G521" s="107" t="s">
        <v>354</v>
      </c>
      <c r="H521" s="107" t="s">
        <v>871</v>
      </c>
      <c r="I521" s="107" t="s">
        <v>594</v>
      </c>
      <c r="J521" s="107" t="s">
        <v>1223</v>
      </c>
    </row>
    <row r="522" spans="1:10">
      <c r="A522" s="107" t="s">
        <v>829</v>
      </c>
      <c r="B522" s="107" t="s">
        <v>351</v>
      </c>
      <c r="C522" s="107" t="s">
        <v>352</v>
      </c>
      <c r="D522" s="107" t="s">
        <v>353</v>
      </c>
      <c r="E522">
        <v>9613</v>
      </c>
      <c r="F522" s="107" t="s">
        <v>872</v>
      </c>
      <c r="G522" s="107" t="s">
        <v>354</v>
      </c>
      <c r="H522" s="107" t="s">
        <v>365</v>
      </c>
      <c r="I522" s="107" t="s">
        <v>764</v>
      </c>
      <c r="J522" s="107" t="s">
        <v>1037</v>
      </c>
    </row>
    <row r="523" spans="1:10">
      <c r="A523" s="107" t="s">
        <v>829</v>
      </c>
      <c r="B523" s="107" t="s">
        <v>351</v>
      </c>
      <c r="C523" s="107" t="s">
        <v>352</v>
      </c>
      <c r="D523" s="107" t="s">
        <v>353</v>
      </c>
      <c r="E523">
        <v>9671</v>
      </c>
      <c r="F523" s="107" t="s">
        <v>873</v>
      </c>
      <c r="G523" s="107" t="s">
        <v>354</v>
      </c>
      <c r="H523" s="107" t="s">
        <v>359</v>
      </c>
      <c r="I523" s="107">
        <v>382</v>
      </c>
      <c r="J523" s="107"/>
    </row>
    <row r="524" spans="1:10">
      <c r="A524" s="107" t="s">
        <v>829</v>
      </c>
      <c r="B524" s="107" t="s">
        <v>351</v>
      </c>
      <c r="C524" s="107" t="s">
        <v>352</v>
      </c>
      <c r="D524" s="107" t="s">
        <v>353</v>
      </c>
      <c r="E524">
        <v>9887</v>
      </c>
      <c r="F524" s="107" t="s">
        <v>874</v>
      </c>
      <c r="G524" s="107" t="s">
        <v>354</v>
      </c>
      <c r="H524" s="107" t="s">
        <v>364</v>
      </c>
      <c r="I524" s="107">
        <v>871</v>
      </c>
      <c r="J524" s="107"/>
    </row>
    <row r="525" spans="1:10">
      <c r="A525" s="107" t="s">
        <v>829</v>
      </c>
      <c r="B525" s="107" t="s">
        <v>351</v>
      </c>
      <c r="C525" s="107" t="s">
        <v>352</v>
      </c>
      <c r="D525" s="107" t="s">
        <v>353</v>
      </c>
      <c r="E525">
        <v>9896</v>
      </c>
      <c r="F525" s="107" t="s">
        <v>875</v>
      </c>
      <c r="G525" s="107" t="s">
        <v>354</v>
      </c>
      <c r="H525" s="107" t="s">
        <v>360</v>
      </c>
      <c r="I525">
        <v>205</v>
      </c>
    </row>
    <row r="526" spans="1:10">
      <c r="A526" s="107" t="s">
        <v>876</v>
      </c>
      <c r="B526" s="107" t="s">
        <v>351</v>
      </c>
      <c r="C526" s="107" t="s">
        <v>352</v>
      </c>
      <c r="D526" s="107" t="s">
        <v>357</v>
      </c>
      <c r="E526">
        <v>1450</v>
      </c>
      <c r="F526" s="107" t="s">
        <v>877</v>
      </c>
      <c r="G526" s="107" t="s">
        <v>358</v>
      </c>
      <c r="H526" s="107" t="s">
        <v>388</v>
      </c>
      <c r="I526">
        <v>53</v>
      </c>
    </row>
    <row r="527" spans="1:10">
      <c r="A527" s="107" t="s">
        <v>876</v>
      </c>
      <c r="B527" s="107" t="s">
        <v>351</v>
      </c>
      <c r="C527" s="107" t="s">
        <v>352</v>
      </c>
      <c r="D527" s="107" t="s">
        <v>353</v>
      </c>
      <c r="E527">
        <v>1451</v>
      </c>
      <c r="F527" s="107" t="s">
        <v>878</v>
      </c>
      <c r="G527" s="107" t="s">
        <v>362</v>
      </c>
      <c r="H527" s="107" t="s">
        <v>388</v>
      </c>
      <c r="I527" s="107">
        <v>31</v>
      </c>
      <c r="J527" s="107"/>
    </row>
    <row r="528" spans="1:10">
      <c r="A528" s="107" t="s">
        <v>876</v>
      </c>
      <c r="B528" s="107" t="s">
        <v>351</v>
      </c>
      <c r="C528" s="107" t="s">
        <v>361</v>
      </c>
      <c r="D528" s="107" t="s">
        <v>353</v>
      </c>
      <c r="E528">
        <v>1605</v>
      </c>
      <c r="F528" s="107" t="s">
        <v>879</v>
      </c>
      <c r="G528" s="107" t="s">
        <v>354</v>
      </c>
      <c r="H528" s="107" t="s">
        <v>880</v>
      </c>
      <c r="I528" s="107" t="s">
        <v>881</v>
      </c>
      <c r="J528" s="107" t="s">
        <v>858</v>
      </c>
    </row>
    <row r="529" spans="1:10">
      <c r="A529" s="107" t="s">
        <v>876</v>
      </c>
      <c r="B529" s="107" t="s">
        <v>351</v>
      </c>
      <c r="C529" s="107" t="s">
        <v>352</v>
      </c>
      <c r="D529" s="107" t="s">
        <v>353</v>
      </c>
      <c r="E529">
        <v>1866</v>
      </c>
      <c r="F529" s="107" t="s">
        <v>882</v>
      </c>
      <c r="G529" s="107" t="s">
        <v>354</v>
      </c>
      <c r="H529" s="107" t="s">
        <v>388</v>
      </c>
      <c r="I529" s="107">
        <v>179</v>
      </c>
      <c r="J529" s="107"/>
    </row>
    <row r="530" spans="1:10">
      <c r="A530" s="107" t="s">
        <v>876</v>
      </c>
      <c r="B530" s="107" t="s">
        <v>351</v>
      </c>
      <c r="C530" s="107" t="s">
        <v>361</v>
      </c>
      <c r="D530" s="107" t="s">
        <v>353</v>
      </c>
      <c r="E530">
        <v>1899</v>
      </c>
      <c r="F530" s="107" t="s">
        <v>883</v>
      </c>
      <c r="G530" s="107" t="s">
        <v>354</v>
      </c>
      <c r="H530" s="107" t="s">
        <v>388</v>
      </c>
      <c r="I530" s="107">
        <v>442</v>
      </c>
      <c r="J530" s="107"/>
    </row>
    <row r="531" spans="1:10">
      <c r="A531" s="107" t="s">
        <v>876</v>
      </c>
      <c r="B531" s="107" t="s">
        <v>351</v>
      </c>
      <c r="C531" s="107" t="s">
        <v>352</v>
      </c>
      <c r="D531" s="107" t="s">
        <v>353</v>
      </c>
      <c r="E531">
        <v>1952</v>
      </c>
      <c r="F531" s="107" t="s">
        <v>884</v>
      </c>
      <c r="G531" s="107" t="s">
        <v>354</v>
      </c>
      <c r="H531" s="107" t="s">
        <v>388</v>
      </c>
      <c r="I531">
        <v>543</v>
      </c>
    </row>
    <row r="532" spans="1:10">
      <c r="A532" s="107" t="s">
        <v>876</v>
      </c>
      <c r="B532" s="107" t="s">
        <v>351</v>
      </c>
      <c r="C532" s="107" t="s">
        <v>352</v>
      </c>
      <c r="D532" s="107" t="s">
        <v>353</v>
      </c>
      <c r="E532">
        <v>2134</v>
      </c>
      <c r="F532" s="107" t="s">
        <v>885</v>
      </c>
      <c r="G532" s="107" t="s">
        <v>358</v>
      </c>
      <c r="H532" s="107" t="s">
        <v>359</v>
      </c>
      <c r="I532">
        <v>45</v>
      </c>
    </row>
    <row r="533" spans="1:10">
      <c r="A533" s="107" t="s">
        <v>876</v>
      </c>
      <c r="B533" s="107" t="s">
        <v>351</v>
      </c>
      <c r="C533" s="107" t="s">
        <v>352</v>
      </c>
      <c r="D533" s="107" t="s">
        <v>353</v>
      </c>
      <c r="E533">
        <v>2831</v>
      </c>
      <c r="F533" s="107" t="s">
        <v>1224</v>
      </c>
      <c r="G533" s="107" t="s">
        <v>362</v>
      </c>
      <c r="H533" s="107" t="s">
        <v>355</v>
      </c>
      <c r="I533">
        <v>270</v>
      </c>
    </row>
    <row r="534" spans="1:10">
      <c r="A534" s="107" t="s">
        <v>876</v>
      </c>
      <c r="B534" s="107" t="s">
        <v>351</v>
      </c>
      <c r="C534" s="107" t="s">
        <v>356</v>
      </c>
      <c r="D534" s="107" t="s">
        <v>353</v>
      </c>
      <c r="E534">
        <v>2974</v>
      </c>
      <c r="F534" s="107" t="s">
        <v>886</v>
      </c>
      <c r="G534" s="107" t="s">
        <v>716</v>
      </c>
      <c r="H534" s="107" t="s">
        <v>380</v>
      </c>
      <c r="I534">
        <v>35</v>
      </c>
    </row>
    <row r="535" spans="1:10">
      <c r="A535" s="107" t="s">
        <v>876</v>
      </c>
      <c r="B535" s="107" t="s">
        <v>351</v>
      </c>
      <c r="C535" s="107" t="s">
        <v>352</v>
      </c>
      <c r="D535" s="107" t="s">
        <v>353</v>
      </c>
      <c r="E535">
        <v>2976</v>
      </c>
      <c r="F535" s="107" t="s">
        <v>887</v>
      </c>
      <c r="G535" s="107" t="s">
        <v>888</v>
      </c>
      <c r="H535" s="107" t="s">
        <v>380</v>
      </c>
      <c r="I535">
        <v>14</v>
      </c>
    </row>
    <row r="536" spans="1:10">
      <c r="A536" s="107" t="s">
        <v>876</v>
      </c>
      <c r="B536" s="107" t="s">
        <v>351</v>
      </c>
      <c r="C536" s="107" t="s">
        <v>352</v>
      </c>
      <c r="D536" s="107" t="s">
        <v>353</v>
      </c>
      <c r="E536">
        <v>3291</v>
      </c>
      <c r="F536" s="107" t="s">
        <v>1225</v>
      </c>
      <c r="G536" s="107" t="s">
        <v>354</v>
      </c>
      <c r="H536" s="107" t="s">
        <v>380</v>
      </c>
      <c r="I536" s="107" t="s">
        <v>371</v>
      </c>
      <c r="J536" s="107" t="s">
        <v>1226</v>
      </c>
    </row>
    <row r="537" spans="1:10">
      <c r="A537" s="107" t="s">
        <v>876</v>
      </c>
      <c r="B537" s="107" t="s">
        <v>351</v>
      </c>
      <c r="C537" s="107" t="s">
        <v>352</v>
      </c>
      <c r="D537" s="107" t="s">
        <v>353</v>
      </c>
      <c r="E537">
        <v>3372</v>
      </c>
      <c r="F537" s="107" t="s">
        <v>1227</v>
      </c>
      <c r="G537" s="107" t="s">
        <v>362</v>
      </c>
      <c r="H537" s="107" t="s">
        <v>364</v>
      </c>
      <c r="I537" s="107">
        <v>52</v>
      </c>
      <c r="J537" s="107"/>
    </row>
    <row r="538" spans="1:10">
      <c r="A538" s="107" t="s">
        <v>876</v>
      </c>
      <c r="B538" s="107" t="s">
        <v>351</v>
      </c>
      <c r="C538" s="107" t="s">
        <v>361</v>
      </c>
      <c r="D538" s="107" t="s">
        <v>353</v>
      </c>
      <c r="E538">
        <v>3606</v>
      </c>
      <c r="F538" s="107" t="s">
        <v>889</v>
      </c>
      <c r="G538" s="107" t="s">
        <v>354</v>
      </c>
      <c r="H538" s="107" t="s">
        <v>420</v>
      </c>
      <c r="I538">
        <v>114</v>
      </c>
    </row>
    <row r="539" spans="1:10">
      <c r="A539" s="107" t="s">
        <v>876</v>
      </c>
      <c r="B539" s="107" t="s">
        <v>351</v>
      </c>
      <c r="C539" s="107" t="s">
        <v>352</v>
      </c>
      <c r="D539" s="107" t="s">
        <v>357</v>
      </c>
      <c r="E539">
        <v>3652</v>
      </c>
      <c r="F539" s="107" t="s">
        <v>1228</v>
      </c>
      <c r="G539" s="107" t="s">
        <v>366</v>
      </c>
      <c r="H539" s="107" t="s">
        <v>365</v>
      </c>
      <c r="I539">
        <v>132</v>
      </c>
    </row>
    <row r="540" spans="1:10">
      <c r="A540" s="107" t="s">
        <v>876</v>
      </c>
      <c r="B540" s="107" t="s">
        <v>351</v>
      </c>
      <c r="C540" s="107" t="s">
        <v>361</v>
      </c>
      <c r="D540" s="107" t="s">
        <v>357</v>
      </c>
      <c r="E540">
        <v>3719</v>
      </c>
      <c r="F540" s="107" t="s">
        <v>1229</v>
      </c>
      <c r="G540" s="107" t="s">
        <v>358</v>
      </c>
      <c r="H540" s="107" t="s">
        <v>365</v>
      </c>
      <c r="I540">
        <v>26</v>
      </c>
    </row>
    <row r="541" spans="1:10">
      <c r="A541" s="107" t="s">
        <v>876</v>
      </c>
      <c r="B541" s="107" t="s">
        <v>351</v>
      </c>
      <c r="C541" s="107" t="s">
        <v>363</v>
      </c>
      <c r="D541" s="107" t="s">
        <v>353</v>
      </c>
      <c r="E541">
        <v>3856</v>
      </c>
      <c r="F541" s="107" t="s">
        <v>890</v>
      </c>
      <c r="G541" s="107" t="s">
        <v>362</v>
      </c>
      <c r="H541" s="107" t="s">
        <v>379</v>
      </c>
      <c r="I541">
        <v>30</v>
      </c>
    </row>
    <row r="542" spans="1:10">
      <c r="A542" s="107" t="s">
        <v>876</v>
      </c>
      <c r="B542" s="107" t="s">
        <v>351</v>
      </c>
      <c r="C542" s="107" t="s">
        <v>352</v>
      </c>
      <c r="D542" s="107" t="s">
        <v>353</v>
      </c>
      <c r="E542">
        <v>3896</v>
      </c>
      <c r="F542" s="107" t="s">
        <v>891</v>
      </c>
      <c r="G542" s="107" t="s">
        <v>354</v>
      </c>
      <c r="H542" s="107" t="s">
        <v>422</v>
      </c>
      <c r="I542">
        <v>71</v>
      </c>
    </row>
    <row r="543" spans="1:10">
      <c r="A543" s="107" t="s">
        <v>876</v>
      </c>
      <c r="B543" s="107" t="s">
        <v>351</v>
      </c>
      <c r="C543" s="107" t="s">
        <v>361</v>
      </c>
      <c r="D543" s="107" t="s">
        <v>353</v>
      </c>
      <c r="E543">
        <v>3902</v>
      </c>
      <c r="F543" s="107" t="s">
        <v>892</v>
      </c>
      <c r="G543" s="107" t="s">
        <v>354</v>
      </c>
      <c r="H543" s="107" t="s">
        <v>365</v>
      </c>
      <c r="I543">
        <v>387</v>
      </c>
    </row>
    <row r="544" spans="1:10">
      <c r="A544" s="107" t="s">
        <v>876</v>
      </c>
      <c r="B544" s="107" t="s">
        <v>351</v>
      </c>
      <c r="C544" s="107" t="s">
        <v>352</v>
      </c>
      <c r="D544" s="107" t="s">
        <v>353</v>
      </c>
      <c r="E544">
        <v>3963</v>
      </c>
      <c r="F544" s="107" t="s">
        <v>893</v>
      </c>
      <c r="G544" s="107" t="s">
        <v>354</v>
      </c>
      <c r="H544" s="107" t="s">
        <v>365</v>
      </c>
      <c r="I544">
        <v>143</v>
      </c>
    </row>
    <row r="545" spans="1:10">
      <c r="A545" s="107" t="s">
        <v>876</v>
      </c>
      <c r="B545" s="107" t="s">
        <v>351</v>
      </c>
      <c r="C545" s="107" t="s">
        <v>361</v>
      </c>
      <c r="D545" s="107" t="s">
        <v>353</v>
      </c>
      <c r="E545">
        <v>4245</v>
      </c>
      <c r="F545" s="107" t="s">
        <v>894</v>
      </c>
      <c r="G545" s="107" t="s">
        <v>354</v>
      </c>
      <c r="H545" s="107" t="s">
        <v>367</v>
      </c>
      <c r="I545">
        <v>129</v>
      </c>
    </row>
    <row r="546" spans="1:10">
      <c r="A546" s="107" t="s">
        <v>876</v>
      </c>
      <c r="B546" s="107" t="s">
        <v>351</v>
      </c>
      <c r="C546" s="107" t="s">
        <v>361</v>
      </c>
      <c r="D546" s="107" t="s">
        <v>353</v>
      </c>
      <c r="E546">
        <v>4251</v>
      </c>
      <c r="F546" s="107" t="s">
        <v>895</v>
      </c>
      <c r="G546" s="107" t="s">
        <v>362</v>
      </c>
      <c r="H546" s="107" t="s">
        <v>367</v>
      </c>
      <c r="I546">
        <v>81</v>
      </c>
    </row>
    <row r="547" spans="1:10">
      <c r="A547" s="107" t="s">
        <v>876</v>
      </c>
      <c r="B547" s="107" t="s">
        <v>351</v>
      </c>
      <c r="C547" s="107" t="s">
        <v>352</v>
      </c>
      <c r="D547" s="107" t="s">
        <v>353</v>
      </c>
      <c r="E547">
        <v>4425</v>
      </c>
      <c r="F547" s="107" t="s">
        <v>896</v>
      </c>
      <c r="G547" s="107" t="s">
        <v>366</v>
      </c>
      <c r="H547" s="107" t="s">
        <v>365</v>
      </c>
      <c r="I547">
        <v>622</v>
      </c>
    </row>
    <row r="548" spans="1:10">
      <c r="A548" s="107" t="s">
        <v>876</v>
      </c>
      <c r="B548" s="107" t="s">
        <v>351</v>
      </c>
      <c r="C548" s="107" t="s">
        <v>352</v>
      </c>
      <c r="D548" s="107" t="s">
        <v>357</v>
      </c>
      <c r="E548">
        <v>4435</v>
      </c>
      <c r="F548" s="107" t="s">
        <v>897</v>
      </c>
      <c r="G548" s="107" t="s">
        <v>366</v>
      </c>
      <c r="H548" s="107" t="s">
        <v>365</v>
      </c>
      <c r="I548">
        <v>450</v>
      </c>
    </row>
    <row r="549" spans="1:10">
      <c r="A549" s="107" t="s">
        <v>876</v>
      </c>
      <c r="B549" s="107" t="s">
        <v>351</v>
      </c>
      <c r="C549" s="107" t="s">
        <v>352</v>
      </c>
      <c r="D549" s="107" t="s">
        <v>353</v>
      </c>
      <c r="E549">
        <v>4442</v>
      </c>
      <c r="F549" s="107" t="s">
        <v>898</v>
      </c>
      <c r="G549" s="107" t="s">
        <v>366</v>
      </c>
      <c r="H549" s="107" t="s">
        <v>365</v>
      </c>
      <c r="I549">
        <v>117</v>
      </c>
    </row>
    <row r="550" spans="1:10">
      <c r="A550" s="107" t="s">
        <v>876</v>
      </c>
      <c r="B550" s="107" t="s">
        <v>351</v>
      </c>
      <c r="C550" s="107" t="s">
        <v>361</v>
      </c>
      <c r="D550" s="107" t="s">
        <v>357</v>
      </c>
      <c r="E550">
        <v>4448</v>
      </c>
      <c r="F550" s="107" t="s">
        <v>899</v>
      </c>
      <c r="G550" s="107" t="s">
        <v>366</v>
      </c>
      <c r="H550" s="107" t="s">
        <v>365</v>
      </c>
      <c r="I550">
        <v>422</v>
      </c>
    </row>
    <row r="551" spans="1:10">
      <c r="A551" s="107" t="s">
        <v>876</v>
      </c>
      <c r="B551" s="107" t="s">
        <v>351</v>
      </c>
      <c r="C551" s="107" t="s">
        <v>361</v>
      </c>
      <c r="D551" s="107" t="s">
        <v>353</v>
      </c>
      <c r="E551">
        <v>4449</v>
      </c>
      <c r="F551" s="107" t="s">
        <v>900</v>
      </c>
      <c r="G551" s="107" t="s">
        <v>366</v>
      </c>
      <c r="H551" s="107" t="s">
        <v>365</v>
      </c>
      <c r="I551">
        <v>457</v>
      </c>
    </row>
    <row r="552" spans="1:10">
      <c r="A552" s="107" t="s">
        <v>876</v>
      </c>
      <c r="B552" s="107" t="s">
        <v>351</v>
      </c>
      <c r="C552" s="107" t="s">
        <v>361</v>
      </c>
      <c r="D552" s="107" t="s">
        <v>357</v>
      </c>
      <c r="E552">
        <v>4450</v>
      </c>
      <c r="F552" s="107" t="s">
        <v>901</v>
      </c>
      <c r="G552" s="107" t="s">
        <v>366</v>
      </c>
      <c r="H552" s="107" t="s">
        <v>365</v>
      </c>
      <c r="I552">
        <v>59</v>
      </c>
    </row>
    <row r="553" spans="1:10">
      <c r="A553" s="107" t="s">
        <v>876</v>
      </c>
      <c r="B553" s="107" t="s">
        <v>351</v>
      </c>
      <c r="C553" s="107" t="s">
        <v>356</v>
      </c>
      <c r="D553" s="107" t="s">
        <v>353</v>
      </c>
      <c r="E553">
        <v>4475</v>
      </c>
      <c r="F553" s="107" t="s">
        <v>902</v>
      </c>
      <c r="G553" s="107" t="s">
        <v>366</v>
      </c>
      <c r="H553" s="107" t="s">
        <v>365</v>
      </c>
      <c r="I553">
        <v>269</v>
      </c>
    </row>
    <row r="554" spans="1:10">
      <c r="A554" s="107" t="s">
        <v>876</v>
      </c>
      <c r="B554" s="107" t="s">
        <v>351</v>
      </c>
      <c r="C554" s="107" t="s">
        <v>361</v>
      </c>
      <c r="D554" s="107" t="s">
        <v>357</v>
      </c>
      <c r="E554">
        <v>4476</v>
      </c>
      <c r="F554" s="107" t="s">
        <v>903</v>
      </c>
      <c r="G554" s="107" t="s">
        <v>366</v>
      </c>
      <c r="H554" s="107" t="s">
        <v>365</v>
      </c>
      <c r="I554">
        <v>101</v>
      </c>
    </row>
    <row r="555" spans="1:10">
      <c r="A555" s="107" t="s">
        <v>876</v>
      </c>
      <c r="B555" s="107" t="s">
        <v>351</v>
      </c>
      <c r="C555" s="107" t="s">
        <v>361</v>
      </c>
      <c r="D555" s="107" t="s">
        <v>353</v>
      </c>
      <c r="E555">
        <v>4477</v>
      </c>
      <c r="F555" s="107" t="s">
        <v>904</v>
      </c>
      <c r="G555" s="107" t="s">
        <v>366</v>
      </c>
      <c r="H555" s="107" t="s">
        <v>365</v>
      </c>
      <c r="I555">
        <v>393</v>
      </c>
    </row>
    <row r="556" spans="1:10">
      <c r="A556" s="107" t="s">
        <v>876</v>
      </c>
      <c r="B556" s="107" t="s">
        <v>351</v>
      </c>
      <c r="C556" s="107" t="s">
        <v>361</v>
      </c>
      <c r="D556" s="107" t="s">
        <v>353</v>
      </c>
      <c r="E556">
        <v>4631</v>
      </c>
      <c r="F556" s="107" t="s">
        <v>905</v>
      </c>
      <c r="G556" s="107" t="s">
        <v>354</v>
      </c>
      <c r="H556" s="107" t="s">
        <v>367</v>
      </c>
      <c r="I556" s="107" t="s">
        <v>377</v>
      </c>
      <c r="J556" s="107" t="s">
        <v>1230</v>
      </c>
    </row>
    <row r="557" spans="1:10">
      <c r="A557" s="107" t="s">
        <v>876</v>
      </c>
      <c r="B557" s="107" t="s">
        <v>351</v>
      </c>
      <c r="C557" s="107" t="s">
        <v>352</v>
      </c>
      <c r="D557" s="107" t="s">
        <v>353</v>
      </c>
      <c r="E557">
        <v>4691</v>
      </c>
      <c r="F557" s="107" t="s">
        <v>906</v>
      </c>
      <c r="G557" s="107" t="s">
        <v>362</v>
      </c>
      <c r="H557" s="107" t="s">
        <v>359</v>
      </c>
      <c r="I557" s="107">
        <v>167</v>
      </c>
      <c r="J557" s="107"/>
    </row>
    <row r="558" spans="1:10">
      <c r="A558" s="107" t="s">
        <v>876</v>
      </c>
      <c r="B558" s="107" t="s">
        <v>351</v>
      </c>
      <c r="C558" s="107" t="s">
        <v>363</v>
      </c>
      <c r="D558" s="107" t="s">
        <v>353</v>
      </c>
      <c r="E558">
        <v>4845</v>
      </c>
      <c r="F558" s="107" t="s">
        <v>907</v>
      </c>
      <c r="G558" s="107" t="s">
        <v>354</v>
      </c>
      <c r="H558" s="107" t="s">
        <v>365</v>
      </c>
      <c r="I558">
        <v>136</v>
      </c>
    </row>
    <row r="559" spans="1:10">
      <c r="A559" s="107" t="s">
        <v>876</v>
      </c>
      <c r="B559" s="107" t="s">
        <v>351</v>
      </c>
      <c r="C559" s="107" t="s">
        <v>352</v>
      </c>
      <c r="D559" s="107" t="s">
        <v>353</v>
      </c>
      <c r="E559">
        <v>6082</v>
      </c>
      <c r="F559" s="107" t="s">
        <v>908</v>
      </c>
      <c r="G559" s="107" t="s">
        <v>354</v>
      </c>
      <c r="H559" s="107" t="s">
        <v>359</v>
      </c>
      <c r="I559">
        <v>218</v>
      </c>
    </row>
    <row r="560" spans="1:10">
      <c r="A560" s="107" t="s">
        <v>876</v>
      </c>
      <c r="B560" s="107" t="s">
        <v>351</v>
      </c>
      <c r="C560" s="107" t="s">
        <v>352</v>
      </c>
      <c r="D560" s="107" t="s">
        <v>353</v>
      </c>
      <c r="E560">
        <v>6408</v>
      </c>
      <c r="F560" s="107" t="s">
        <v>909</v>
      </c>
      <c r="G560" s="107" t="s">
        <v>358</v>
      </c>
      <c r="H560" s="107" t="s">
        <v>375</v>
      </c>
      <c r="I560">
        <v>48</v>
      </c>
    </row>
    <row r="561" spans="1:9">
      <c r="A561" s="107" t="s">
        <v>876</v>
      </c>
      <c r="B561" s="107" t="s">
        <v>351</v>
      </c>
      <c r="C561" s="107" t="s">
        <v>352</v>
      </c>
      <c r="D561" s="107" t="s">
        <v>353</v>
      </c>
      <c r="E561">
        <v>6424</v>
      </c>
      <c r="F561" s="107" t="s">
        <v>910</v>
      </c>
      <c r="G561" s="107" t="s">
        <v>358</v>
      </c>
      <c r="H561" s="107" t="s">
        <v>375</v>
      </c>
      <c r="I561">
        <v>61</v>
      </c>
    </row>
    <row r="562" spans="1:9">
      <c r="A562" s="107" t="s">
        <v>876</v>
      </c>
      <c r="B562" s="107" t="s">
        <v>351</v>
      </c>
      <c r="C562" s="107" t="s">
        <v>352</v>
      </c>
      <c r="D562" s="107" t="s">
        <v>353</v>
      </c>
      <c r="E562">
        <v>6517</v>
      </c>
      <c r="F562" s="107" t="s">
        <v>911</v>
      </c>
      <c r="G562" s="107" t="s">
        <v>354</v>
      </c>
      <c r="H562" s="107" t="s">
        <v>379</v>
      </c>
      <c r="I562">
        <v>507</v>
      </c>
    </row>
    <row r="563" spans="1:9">
      <c r="A563" s="107" t="s">
        <v>876</v>
      </c>
      <c r="B563" s="107" t="s">
        <v>351</v>
      </c>
      <c r="C563" s="107" t="s">
        <v>352</v>
      </c>
      <c r="D563" s="107" t="s">
        <v>353</v>
      </c>
      <c r="E563">
        <v>6574</v>
      </c>
      <c r="F563" s="107" t="s">
        <v>912</v>
      </c>
      <c r="G563" s="107" t="s">
        <v>366</v>
      </c>
      <c r="H563" s="107" t="s">
        <v>359</v>
      </c>
      <c r="I563">
        <v>32</v>
      </c>
    </row>
    <row r="564" spans="1:9">
      <c r="A564" s="107" t="s">
        <v>876</v>
      </c>
      <c r="B564" s="107" t="s">
        <v>351</v>
      </c>
      <c r="C564" s="107" t="s">
        <v>363</v>
      </c>
      <c r="D564" s="107" t="s">
        <v>357</v>
      </c>
      <c r="E564">
        <v>6597</v>
      </c>
      <c r="F564" s="107" t="s">
        <v>913</v>
      </c>
      <c r="G564" s="107" t="s">
        <v>366</v>
      </c>
      <c r="H564" s="107" t="s">
        <v>379</v>
      </c>
      <c r="I564">
        <v>78</v>
      </c>
    </row>
    <row r="565" spans="1:9">
      <c r="A565" s="107" t="s">
        <v>876</v>
      </c>
      <c r="B565" s="107" t="s">
        <v>351</v>
      </c>
      <c r="C565" s="107" t="s">
        <v>352</v>
      </c>
      <c r="D565" s="107" t="s">
        <v>353</v>
      </c>
      <c r="E565">
        <v>6706</v>
      </c>
      <c r="F565" s="107" t="s">
        <v>914</v>
      </c>
      <c r="G565" s="107" t="s">
        <v>354</v>
      </c>
      <c r="H565" s="107" t="s">
        <v>379</v>
      </c>
      <c r="I565">
        <v>446</v>
      </c>
    </row>
    <row r="566" spans="1:9">
      <c r="A566" s="107" t="s">
        <v>876</v>
      </c>
      <c r="B566" s="107" t="s">
        <v>351</v>
      </c>
      <c r="C566" s="107" t="s">
        <v>352</v>
      </c>
      <c r="D566" s="107" t="s">
        <v>353</v>
      </c>
      <c r="E566">
        <v>6819</v>
      </c>
      <c r="F566" s="107" t="s">
        <v>915</v>
      </c>
      <c r="G566" s="107" t="s">
        <v>358</v>
      </c>
      <c r="H566" s="107" t="s">
        <v>359</v>
      </c>
      <c r="I566">
        <v>36</v>
      </c>
    </row>
    <row r="567" spans="1:9">
      <c r="A567" s="107" t="s">
        <v>876</v>
      </c>
      <c r="B567" s="107" t="s">
        <v>351</v>
      </c>
      <c r="C567" s="107" t="s">
        <v>361</v>
      </c>
      <c r="D567" s="107" t="s">
        <v>353</v>
      </c>
      <c r="E567">
        <v>6870</v>
      </c>
      <c r="F567" s="107" t="s">
        <v>916</v>
      </c>
      <c r="G567" s="107" t="s">
        <v>362</v>
      </c>
      <c r="H567" s="107" t="s">
        <v>379</v>
      </c>
      <c r="I567">
        <v>90</v>
      </c>
    </row>
    <row r="568" spans="1:9">
      <c r="A568" s="107" t="s">
        <v>876</v>
      </c>
      <c r="B568" s="107" t="s">
        <v>351</v>
      </c>
      <c r="C568" s="107" t="s">
        <v>352</v>
      </c>
      <c r="D568" s="107" t="s">
        <v>353</v>
      </c>
      <c r="E568">
        <v>7059</v>
      </c>
      <c r="F568" s="107" t="s">
        <v>1231</v>
      </c>
      <c r="G568" s="107" t="s">
        <v>366</v>
      </c>
      <c r="H568" s="107" t="s">
        <v>359</v>
      </c>
      <c r="I568">
        <v>141</v>
      </c>
    </row>
    <row r="569" spans="1:9">
      <c r="A569" s="107" t="s">
        <v>876</v>
      </c>
      <c r="B569" s="107" t="s">
        <v>351</v>
      </c>
      <c r="C569" s="107" t="s">
        <v>352</v>
      </c>
      <c r="D569" s="107" t="s">
        <v>353</v>
      </c>
      <c r="E569">
        <v>7060</v>
      </c>
      <c r="F569" s="107" t="s">
        <v>917</v>
      </c>
      <c r="G569" s="107" t="s">
        <v>366</v>
      </c>
      <c r="H569" s="107" t="s">
        <v>359</v>
      </c>
      <c r="I569">
        <v>176</v>
      </c>
    </row>
    <row r="570" spans="1:9">
      <c r="A570" s="107" t="s">
        <v>876</v>
      </c>
      <c r="B570" s="107" t="s">
        <v>351</v>
      </c>
      <c r="C570" s="107" t="s">
        <v>363</v>
      </c>
      <c r="D570" s="107" t="s">
        <v>353</v>
      </c>
      <c r="E570">
        <v>7063</v>
      </c>
      <c r="F570" s="107" t="s">
        <v>918</v>
      </c>
      <c r="G570" s="107" t="s">
        <v>366</v>
      </c>
      <c r="H570" s="107" t="s">
        <v>359</v>
      </c>
      <c r="I570">
        <v>67</v>
      </c>
    </row>
    <row r="571" spans="1:9">
      <c r="A571" s="107" t="s">
        <v>876</v>
      </c>
      <c r="B571" s="107" t="s">
        <v>351</v>
      </c>
      <c r="C571" s="107" t="s">
        <v>352</v>
      </c>
      <c r="D571" s="107" t="s">
        <v>353</v>
      </c>
      <c r="E571">
        <v>7067</v>
      </c>
      <c r="F571" s="107" t="s">
        <v>919</v>
      </c>
      <c r="G571" s="107" t="s">
        <v>366</v>
      </c>
      <c r="H571" s="107" t="s">
        <v>359</v>
      </c>
      <c r="I571">
        <v>37</v>
      </c>
    </row>
    <row r="572" spans="1:9">
      <c r="A572" s="107" t="s">
        <v>876</v>
      </c>
      <c r="B572" s="107" t="s">
        <v>351</v>
      </c>
      <c r="C572" s="107" t="s">
        <v>356</v>
      </c>
      <c r="D572" s="107" t="s">
        <v>357</v>
      </c>
      <c r="E572">
        <v>7072</v>
      </c>
      <c r="F572" s="107" t="s">
        <v>920</v>
      </c>
      <c r="G572" s="107" t="s">
        <v>366</v>
      </c>
      <c r="H572" s="107" t="s">
        <v>359</v>
      </c>
      <c r="I572">
        <v>78</v>
      </c>
    </row>
    <row r="573" spans="1:9">
      <c r="A573" s="107" t="s">
        <v>876</v>
      </c>
      <c r="B573" s="107" t="s">
        <v>351</v>
      </c>
      <c r="C573" s="107" t="s">
        <v>352</v>
      </c>
      <c r="D573" s="107" t="s">
        <v>353</v>
      </c>
      <c r="E573">
        <v>7239</v>
      </c>
      <c r="F573" s="107" t="s">
        <v>921</v>
      </c>
      <c r="G573" s="107" t="s">
        <v>354</v>
      </c>
      <c r="H573" s="107" t="s">
        <v>405</v>
      </c>
      <c r="I573">
        <v>513</v>
      </c>
    </row>
    <row r="574" spans="1:9">
      <c r="A574" s="107" t="s">
        <v>876</v>
      </c>
      <c r="B574" s="107" t="s">
        <v>351</v>
      </c>
      <c r="C574" s="107" t="s">
        <v>352</v>
      </c>
      <c r="D574" s="107" t="s">
        <v>353</v>
      </c>
      <c r="E574">
        <v>7242</v>
      </c>
      <c r="F574" s="107" t="s">
        <v>922</v>
      </c>
      <c r="G574" s="107" t="s">
        <v>354</v>
      </c>
      <c r="H574" s="107" t="s">
        <v>405</v>
      </c>
      <c r="I574">
        <v>855</v>
      </c>
    </row>
    <row r="575" spans="1:9">
      <c r="A575" s="107" t="s">
        <v>876</v>
      </c>
      <c r="B575" s="107" t="s">
        <v>351</v>
      </c>
      <c r="C575" s="107" t="s">
        <v>363</v>
      </c>
      <c r="D575" s="107" t="s">
        <v>353</v>
      </c>
      <c r="E575">
        <v>7325</v>
      </c>
      <c r="F575" s="107" t="s">
        <v>1008</v>
      </c>
      <c r="G575" s="107" t="s">
        <v>366</v>
      </c>
      <c r="H575" s="107" t="s">
        <v>1009</v>
      </c>
      <c r="I575">
        <v>116</v>
      </c>
    </row>
    <row r="576" spans="1:9">
      <c r="A576" s="107" t="s">
        <v>876</v>
      </c>
      <c r="B576" s="107" t="s">
        <v>351</v>
      </c>
      <c r="C576" s="107" t="s">
        <v>352</v>
      </c>
      <c r="D576" s="107" t="s">
        <v>353</v>
      </c>
      <c r="E576">
        <v>7593</v>
      </c>
      <c r="F576" s="107" t="s">
        <v>1232</v>
      </c>
      <c r="G576" s="107" t="s">
        <v>354</v>
      </c>
      <c r="H576" s="107" t="s">
        <v>364</v>
      </c>
      <c r="I576">
        <v>566</v>
      </c>
    </row>
    <row r="577" spans="1:10">
      <c r="A577" s="107" t="s">
        <v>876</v>
      </c>
      <c r="B577" s="107" t="s">
        <v>351</v>
      </c>
      <c r="C577" s="107" t="s">
        <v>363</v>
      </c>
      <c r="D577" s="107" t="s">
        <v>357</v>
      </c>
      <c r="E577">
        <v>7674</v>
      </c>
      <c r="F577" s="107" t="s">
        <v>923</v>
      </c>
      <c r="G577" s="107" t="s">
        <v>366</v>
      </c>
      <c r="H577" s="107" t="s">
        <v>364</v>
      </c>
      <c r="I577">
        <v>74</v>
      </c>
    </row>
    <row r="578" spans="1:10">
      <c r="A578" s="107" t="s">
        <v>876</v>
      </c>
      <c r="B578" s="107" t="s">
        <v>351</v>
      </c>
      <c r="C578" s="107" t="s">
        <v>356</v>
      </c>
      <c r="D578" s="107" t="s">
        <v>357</v>
      </c>
      <c r="E578">
        <v>7676</v>
      </c>
      <c r="F578" s="107" t="s">
        <v>924</v>
      </c>
      <c r="G578" s="107" t="s">
        <v>366</v>
      </c>
      <c r="H578" s="107" t="s">
        <v>364</v>
      </c>
      <c r="I578">
        <v>45</v>
      </c>
    </row>
    <row r="579" spans="1:10">
      <c r="A579" s="107" t="s">
        <v>876</v>
      </c>
      <c r="B579" s="107" t="s">
        <v>351</v>
      </c>
      <c r="C579" s="107" t="s">
        <v>352</v>
      </c>
      <c r="D579" s="107" t="s">
        <v>353</v>
      </c>
      <c r="E579">
        <v>7677</v>
      </c>
      <c r="F579" s="107" t="s">
        <v>925</v>
      </c>
      <c r="G579" s="107" t="s">
        <v>362</v>
      </c>
      <c r="H579" s="107" t="s">
        <v>360</v>
      </c>
      <c r="I579">
        <v>52</v>
      </c>
    </row>
    <row r="580" spans="1:10">
      <c r="A580" s="107" t="s">
        <v>876</v>
      </c>
      <c r="B580" s="107" t="s">
        <v>351</v>
      </c>
      <c r="C580" s="107" t="s">
        <v>356</v>
      </c>
      <c r="D580" s="107" t="s">
        <v>353</v>
      </c>
      <c r="E580">
        <v>7681</v>
      </c>
      <c r="F580" s="107" t="s">
        <v>926</v>
      </c>
      <c r="G580" s="107" t="s">
        <v>362</v>
      </c>
      <c r="H580" s="107" t="s">
        <v>360</v>
      </c>
      <c r="I580">
        <v>66</v>
      </c>
    </row>
    <row r="581" spans="1:10">
      <c r="A581" s="107" t="s">
        <v>876</v>
      </c>
      <c r="B581" s="107" t="s">
        <v>351</v>
      </c>
      <c r="C581" s="107" t="s">
        <v>352</v>
      </c>
      <c r="D581" s="107" t="s">
        <v>353</v>
      </c>
      <c r="E581">
        <v>7749</v>
      </c>
      <c r="F581" s="107" t="s">
        <v>927</v>
      </c>
      <c r="G581" s="107" t="s">
        <v>358</v>
      </c>
      <c r="H581" s="107" t="s">
        <v>621</v>
      </c>
      <c r="I581">
        <v>661</v>
      </c>
    </row>
    <row r="582" spans="1:10">
      <c r="A582" s="107" t="s">
        <v>876</v>
      </c>
      <c r="B582" s="107" t="s">
        <v>351</v>
      </c>
      <c r="C582" s="107" t="s">
        <v>356</v>
      </c>
      <c r="D582" s="107" t="s">
        <v>357</v>
      </c>
      <c r="E582">
        <v>7800</v>
      </c>
      <c r="F582" s="107" t="s">
        <v>928</v>
      </c>
      <c r="G582" s="107" t="s">
        <v>358</v>
      </c>
      <c r="H582" s="107" t="s">
        <v>376</v>
      </c>
      <c r="I582">
        <v>33</v>
      </c>
    </row>
    <row r="583" spans="1:10">
      <c r="A583" s="107" t="s">
        <v>876</v>
      </c>
      <c r="B583" s="107" t="s">
        <v>351</v>
      </c>
      <c r="C583" s="107" t="s">
        <v>352</v>
      </c>
      <c r="D583" s="107" t="s">
        <v>353</v>
      </c>
      <c r="E583">
        <v>8152</v>
      </c>
      <c r="F583" s="107" t="s">
        <v>929</v>
      </c>
      <c r="G583" s="107" t="s">
        <v>362</v>
      </c>
      <c r="H583" s="107" t="s">
        <v>360</v>
      </c>
      <c r="I583">
        <v>35</v>
      </c>
    </row>
    <row r="584" spans="1:10">
      <c r="A584" s="107" t="s">
        <v>876</v>
      </c>
      <c r="B584" s="107" t="s">
        <v>351</v>
      </c>
      <c r="C584" s="107" t="s">
        <v>363</v>
      </c>
      <c r="D584" s="107" t="s">
        <v>353</v>
      </c>
      <c r="E584">
        <v>8928</v>
      </c>
      <c r="F584" s="107" t="s">
        <v>1010</v>
      </c>
      <c r="G584" s="107" t="s">
        <v>354</v>
      </c>
      <c r="H584" s="107" t="s">
        <v>380</v>
      </c>
      <c r="I584">
        <v>194</v>
      </c>
    </row>
    <row r="585" spans="1:10">
      <c r="A585" s="107" t="s">
        <v>876</v>
      </c>
      <c r="B585" s="107" t="s">
        <v>351</v>
      </c>
      <c r="C585" s="107" t="s">
        <v>361</v>
      </c>
      <c r="D585" s="107" t="s">
        <v>353</v>
      </c>
      <c r="E585">
        <v>9672</v>
      </c>
      <c r="F585" s="107" t="s">
        <v>930</v>
      </c>
      <c r="G585" s="107" t="s">
        <v>354</v>
      </c>
      <c r="H585" s="107" t="s">
        <v>359</v>
      </c>
      <c r="I585">
        <v>998</v>
      </c>
    </row>
    <row r="586" spans="1:10">
      <c r="A586" s="107" t="s">
        <v>1233</v>
      </c>
      <c r="B586" s="107" t="s">
        <v>351</v>
      </c>
      <c r="C586" s="107" t="s">
        <v>352</v>
      </c>
      <c r="D586" s="107" t="s">
        <v>353</v>
      </c>
      <c r="E586">
        <v>2910</v>
      </c>
      <c r="F586" s="107" t="s">
        <v>372</v>
      </c>
      <c r="G586" s="107" t="s">
        <v>354</v>
      </c>
      <c r="H586" s="107" t="s">
        <v>355</v>
      </c>
      <c r="I586">
        <v>407</v>
      </c>
    </row>
    <row r="587" spans="1:10">
      <c r="A587" s="107" t="s">
        <v>1233</v>
      </c>
      <c r="B587" s="107" t="s">
        <v>351</v>
      </c>
      <c r="C587" s="107" t="s">
        <v>352</v>
      </c>
      <c r="D587" s="107" t="s">
        <v>353</v>
      </c>
      <c r="E587">
        <v>3770</v>
      </c>
      <c r="F587" s="107" t="s">
        <v>373</v>
      </c>
      <c r="G587" s="107" t="s">
        <v>354</v>
      </c>
      <c r="H587" s="107" t="s">
        <v>365</v>
      </c>
      <c r="I587">
        <v>56</v>
      </c>
    </row>
    <row r="588" spans="1:10">
      <c r="A588" s="107" t="s">
        <v>931</v>
      </c>
      <c r="B588" s="107" t="s">
        <v>351</v>
      </c>
      <c r="C588" s="107" t="s">
        <v>361</v>
      </c>
      <c r="D588" s="107" t="s">
        <v>357</v>
      </c>
      <c r="E588">
        <v>3282</v>
      </c>
      <c r="F588" s="107" t="s">
        <v>932</v>
      </c>
      <c r="G588" s="107" t="s">
        <v>441</v>
      </c>
      <c r="H588" s="107" t="s">
        <v>442</v>
      </c>
      <c r="I588" s="107" t="s">
        <v>377</v>
      </c>
      <c r="J588" s="107" t="s">
        <v>979</v>
      </c>
    </row>
    <row r="589" spans="1:10">
      <c r="A589" s="107" t="s">
        <v>931</v>
      </c>
      <c r="B589" s="107" t="s">
        <v>351</v>
      </c>
      <c r="C589" s="107" t="s">
        <v>361</v>
      </c>
      <c r="D589" s="107" t="s">
        <v>357</v>
      </c>
      <c r="E589">
        <v>3463</v>
      </c>
      <c r="F589" s="107" t="s">
        <v>933</v>
      </c>
      <c r="G589" s="107" t="s">
        <v>441</v>
      </c>
      <c r="H589" s="107" t="s">
        <v>442</v>
      </c>
      <c r="I589" s="107">
        <v>338</v>
      </c>
      <c r="J589" s="107"/>
    </row>
    <row r="590" spans="1:10">
      <c r="A590" s="107" t="s">
        <v>934</v>
      </c>
      <c r="B590" s="107" t="s">
        <v>351</v>
      </c>
      <c r="C590" s="107" t="s">
        <v>361</v>
      </c>
      <c r="D590" s="107" t="s">
        <v>357</v>
      </c>
      <c r="E590">
        <v>3281</v>
      </c>
      <c r="F590" s="107" t="s">
        <v>935</v>
      </c>
      <c r="G590" s="107" t="s">
        <v>441</v>
      </c>
      <c r="H590" s="107" t="s">
        <v>442</v>
      </c>
      <c r="I590" s="107" t="s">
        <v>371</v>
      </c>
      <c r="J590" s="107" t="s">
        <v>799</v>
      </c>
    </row>
    <row r="591" spans="1:10">
      <c r="A591" s="107" t="s">
        <v>934</v>
      </c>
      <c r="B591" s="107" t="s">
        <v>351</v>
      </c>
      <c r="C591" s="107" t="s">
        <v>361</v>
      </c>
      <c r="D591" s="107" t="s">
        <v>357</v>
      </c>
      <c r="E591">
        <v>3466</v>
      </c>
      <c r="F591" s="107" t="s">
        <v>936</v>
      </c>
      <c r="G591" s="107" t="s">
        <v>441</v>
      </c>
      <c r="H591" s="107" t="s">
        <v>442</v>
      </c>
      <c r="I591" s="107" t="s">
        <v>377</v>
      </c>
      <c r="J591" s="107" t="s">
        <v>1234</v>
      </c>
    </row>
    <row r="592" spans="1:10">
      <c r="A592" s="107" t="s">
        <v>937</v>
      </c>
      <c r="B592" s="107" t="s">
        <v>351</v>
      </c>
      <c r="C592" s="107" t="s">
        <v>352</v>
      </c>
      <c r="D592" s="107" t="s">
        <v>353</v>
      </c>
      <c r="E592">
        <v>2354</v>
      </c>
      <c r="F592" s="107" t="s">
        <v>938</v>
      </c>
      <c r="G592" s="107" t="s">
        <v>362</v>
      </c>
      <c r="H592" s="107" t="s">
        <v>365</v>
      </c>
      <c r="I592" s="107">
        <v>103</v>
      </c>
      <c r="J592" s="107"/>
    </row>
    <row r="593" spans="1:10">
      <c r="A593" s="107" t="s">
        <v>937</v>
      </c>
      <c r="B593" s="107" t="s">
        <v>351</v>
      </c>
      <c r="C593" s="107" t="s">
        <v>363</v>
      </c>
      <c r="D593" s="107" t="s">
        <v>353</v>
      </c>
      <c r="E593">
        <v>3160</v>
      </c>
      <c r="F593" s="107" t="s">
        <v>939</v>
      </c>
      <c r="G593" s="107" t="s">
        <v>354</v>
      </c>
      <c r="H593" s="107" t="s">
        <v>360</v>
      </c>
      <c r="I593">
        <v>91</v>
      </c>
    </row>
    <row r="594" spans="1:10">
      <c r="A594" s="107" t="s">
        <v>937</v>
      </c>
      <c r="B594" s="107" t="s">
        <v>351</v>
      </c>
      <c r="C594" s="107" t="s">
        <v>352</v>
      </c>
      <c r="D594" s="107" t="s">
        <v>353</v>
      </c>
      <c r="E594">
        <v>7630</v>
      </c>
      <c r="F594" s="107" t="s">
        <v>940</v>
      </c>
      <c r="G594" s="107" t="s">
        <v>354</v>
      </c>
      <c r="H594" s="107" t="s">
        <v>364</v>
      </c>
      <c r="I594" s="107" t="s">
        <v>409</v>
      </c>
      <c r="J594" s="107" t="s">
        <v>1235</v>
      </c>
    </row>
    <row r="595" spans="1:10">
      <c r="A595" s="107" t="s">
        <v>937</v>
      </c>
      <c r="B595" s="107" t="s">
        <v>351</v>
      </c>
      <c r="C595" s="107" t="s">
        <v>363</v>
      </c>
      <c r="D595" s="107" t="s">
        <v>357</v>
      </c>
      <c r="E595">
        <v>8155</v>
      </c>
      <c r="F595" s="107" t="s">
        <v>941</v>
      </c>
      <c r="G595" s="107" t="s">
        <v>354</v>
      </c>
      <c r="H595" s="107" t="s">
        <v>369</v>
      </c>
      <c r="I595" s="107">
        <v>709</v>
      </c>
      <c r="J595" s="107"/>
    </row>
    <row r="596" spans="1:10">
      <c r="A596" s="107" t="s">
        <v>937</v>
      </c>
      <c r="B596" s="107" t="s">
        <v>351</v>
      </c>
      <c r="C596" s="107" t="s">
        <v>352</v>
      </c>
      <c r="D596" s="107" t="s">
        <v>353</v>
      </c>
      <c r="E596">
        <v>8217</v>
      </c>
      <c r="F596" s="107" t="s">
        <v>942</v>
      </c>
      <c r="G596" s="107" t="s">
        <v>354</v>
      </c>
      <c r="H596" s="107" t="s">
        <v>364</v>
      </c>
      <c r="I596">
        <v>637</v>
      </c>
    </row>
    <row r="597" spans="1:10">
      <c r="A597" s="107" t="s">
        <v>944</v>
      </c>
      <c r="B597" s="107" t="s">
        <v>351</v>
      </c>
      <c r="C597" s="107" t="s">
        <v>352</v>
      </c>
      <c r="D597" s="107" t="s">
        <v>353</v>
      </c>
      <c r="E597">
        <v>6757</v>
      </c>
      <c r="F597" s="107" t="s">
        <v>945</v>
      </c>
      <c r="G597" s="107" t="s">
        <v>358</v>
      </c>
      <c r="H597" s="107" t="s">
        <v>379</v>
      </c>
      <c r="I597">
        <v>127</v>
      </c>
    </row>
    <row r="598" spans="1:10">
      <c r="A598" s="107" t="s">
        <v>946</v>
      </c>
      <c r="B598" s="107" t="s">
        <v>351</v>
      </c>
      <c r="C598" s="107" t="s">
        <v>363</v>
      </c>
      <c r="D598" s="107" t="s">
        <v>353</v>
      </c>
      <c r="E598">
        <v>6905</v>
      </c>
      <c r="F598" s="107" t="s">
        <v>947</v>
      </c>
      <c r="G598" s="107" t="s">
        <v>354</v>
      </c>
      <c r="H598" s="107" t="s">
        <v>379</v>
      </c>
      <c r="I598">
        <v>444</v>
      </c>
    </row>
    <row r="599" spans="1:10">
      <c r="A599" s="107"/>
      <c r="B599" s="107"/>
      <c r="C599" s="107"/>
      <c r="D599" s="107"/>
      <c r="F599" s="107"/>
      <c r="G599" s="107"/>
      <c r="H599" s="107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G1058"/>
  <sheetViews>
    <sheetView topLeftCell="A619" workbookViewId="0">
      <selection activeCell="A639" sqref="A1:A1048576"/>
    </sheetView>
  </sheetViews>
  <sheetFormatPr defaultRowHeight="14.25"/>
  <sheetData>
    <row r="1" spans="1:7">
      <c r="A1" s="107" t="s">
        <v>1351</v>
      </c>
      <c r="B1" s="107" t="s">
        <v>1352</v>
      </c>
      <c r="C1" s="193">
        <v>43811</v>
      </c>
      <c r="D1" s="193">
        <v>43810</v>
      </c>
      <c r="E1" s="193">
        <v>43809</v>
      </c>
      <c r="F1" s="193">
        <v>43808</v>
      </c>
      <c r="G1" s="193">
        <v>43805</v>
      </c>
    </row>
    <row r="2" spans="1:7">
      <c r="A2" s="107">
        <v>1301</v>
      </c>
      <c r="B2" s="107" t="s">
        <v>1353</v>
      </c>
      <c r="C2" s="193">
        <v>0</v>
      </c>
      <c r="D2" s="193">
        <v>0</v>
      </c>
      <c r="E2" s="193">
        <v>0</v>
      </c>
      <c r="F2" s="193">
        <v>0</v>
      </c>
      <c r="G2" s="193">
        <v>0</v>
      </c>
    </row>
    <row r="3" spans="1:7">
      <c r="A3">
        <v>1379</v>
      </c>
      <c r="B3" s="107" t="s">
        <v>1354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>
      <c r="A4">
        <v>1419</v>
      </c>
      <c r="B4" s="107" t="s">
        <v>1355</v>
      </c>
      <c r="C4">
        <v>0.05</v>
      </c>
      <c r="D4">
        <v>0.3</v>
      </c>
      <c r="E4">
        <v>0.05</v>
      </c>
      <c r="F4">
        <v>0.05</v>
      </c>
      <c r="G4">
        <v>0.05</v>
      </c>
    </row>
    <row r="5" spans="1:7">
      <c r="A5">
        <v>1420</v>
      </c>
      <c r="B5" s="107" t="s">
        <v>1356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>
      <c r="A6">
        <v>1430</v>
      </c>
      <c r="B6" s="107" t="s">
        <v>1357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>
      <c r="A7">
        <v>1433</v>
      </c>
      <c r="B7" s="107" t="s">
        <v>1358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1605</v>
      </c>
      <c r="B8" s="107" t="s">
        <v>1359</v>
      </c>
      <c r="C8">
        <v>0</v>
      </c>
      <c r="D8">
        <v>0</v>
      </c>
      <c r="E8">
        <v>0.05</v>
      </c>
      <c r="F8">
        <v>0</v>
      </c>
      <c r="G8">
        <v>0</v>
      </c>
    </row>
    <row r="9" spans="1:7">
      <c r="A9">
        <v>1662</v>
      </c>
      <c r="B9" s="107" t="s">
        <v>1360</v>
      </c>
      <c r="C9">
        <v>0.05</v>
      </c>
      <c r="D9">
        <v>0.15</v>
      </c>
      <c r="E9">
        <v>0.05</v>
      </c>
      <c r="F9">
        <v>0.05</v>
      </c>
      <c r="G9">
        <v>0</v>
      </c>
    </row>
    <row r="10" spans="1:7">
      <c r="A10">
        <v>1663</v>
      </c>
      <c r="B10" s="107" t="s">
        <v>1361</v>
      </c>
      <c r="C10">
        <v>0.05</v>
      </c>
      <c r="D10">
        <v>0.15</v>
      </c>
      <c r="E10">
        <v>0.05</v>
      </c>
      <c r="F10">
        <v>0.05</v>
      </c>
      <c r="G10">
        <v>0.05</v>
      </c>
    </row>
    <row r="11" spans="1:7">
      <c r="A11">
        <v>1719</v>
      </c>
      <c r="B11" s="107" t="s">
        <v>1317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>
        <v>1722</v>
      </c>
      <c r="B12" s="107" t="s">
        <v>1362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>
      <c r="A13">
        <v>1766</v>
      </c>
      <c r="B13" s="107" t="s">
        <v>1363</v>
      </c>
      <c r="C13">
        <v>0.15</v>
      </c>
      <c r="D13">
        <v>0.45</v>
      </c>
      <c r="E13">
        <v>0.15</v>
      </c>
      <c r="F13">
        <v>0.15</v>
      </c>
      <c r="G13">
        <v>0.15</v>
      </c>
    </row>
    <row r="14" spans="1:7">
      <c r="A14">
        <v>1768</v>
      </c>
      <c r="B14" s="107" t="s">
        <v>1364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>
        <v>1780</v>
      </c>
      <c r="B15" s="107" t="s">
        <v>1365</v>
      </c>
      <c r="C15">
        <v>0.05</v>
      </c>
      <c r="D15">
        <v>0.15</v>
      </c>
      <c r="E15">
        <v>0.05</v>
      </c>
      <c r="F15">
        <v>0.05</v>
      </c>
      <c r="G15">
        <v>0.05</v>
      </c>
    </row>
    <row r="16" spans="1:7">
      <c r="A16">
        <v>1801</v>
      </c>
      <c r="B16" s="107" t="s">
        <v>1366</v>
      </c>
      <c r="C16">
        <v>0</v>
      </c>
      <c r="D16" s="107" t="s">
        <v>235</v>
      </c>
      <c r="E16" s="107" t="s">
        <v>235</v>
      </c>
      <c r="F16" s="107" t="s">
        <v>235</v>
      </c>
      <c r="G16" s="107" t="s">
        <v>235</v>
      </c>
    </row>
    <row r="17" spans="1:7">
      <c r="A17">
        <v>1803</v>
      </c>
      <c r="B17" s="107" t="s">
        <v>1318</v>
      </c>
      <c r="C17">
        <v>0</v>
      </c>
      <c r="D17" s="107">
        <v>0</v>
      </c>
      <c r="E17" s="107" t="s">
        <v>235</v>
      </c>
      <c r="F17" s="107" t="s">
        <v>235</v>
      </c>
      <c r="G17" s="107">
        <v>0</v>
      </c>
    </row>
    <row r="18" spans="1:7">
      <c r="A18">
        <v>1808</v>
      </c>
      <c r="B18" s="107" t="s">
        <v>1367</v>
      </c>
      <c r="C18">
        <v>0.05</v>
      </c>
      <c r="D18">
        <v>0.15</v>
      </c>
      <c r="E18" s="107">
        <v>0.05</v>
      </c>
      <c r="F18" s="107">
        <v>0.05</v>
      </c>
      <c r="G18">
        <v>0.05</v>
      </c>
    </row>
    <row r="19" spans="1:7">
      <c r="A19">
        <v>1810</v>
      </c>
      <c r="B19" s="107" t="s">
        <v>1368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>
        <v>1811</v>
      </c>
      <c r="B20" s="107" t="s">
        <v>1369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>
        <v>1814</v>
      </c>
      <c r="B21" s="107" t="s">
        <v>1370</v>
      </c>
      <c r="C21">
        <v>0</v>
      </c>
      <c r="D21" s="107" t="s">
        <v>235</v>
      </c>
      <c r="E21" s="107" t="s">
        <v>235</v>
      </c>
      <c r="F21" s="107" t="s">
        <v>235</v>
      </c>
      <c r="G21" s="107" t="s">
        <v>235</v>
      </c>
    </row>
    <row r="22" spans="1:7">
      <c r="A22">
        <v>1820</v>
      </c>
      <c r="B22" s="107" t="s">
        <v>122</v>
      </c>
      <c r="C22">
        <v>0</v>
      </c>
      <c r="D22" s="107">
        <v>0</v>
      </c>
      <c r="E22" s="107">
        <v>0</v>
      </c>
      <c r="F22" s="107">
        <v>0</v>
      </c>
      <c r="G22" s="107">
        <v>0</v>
      </c>
    </row>
    <row r="23" spans="1:7">
      <c r="A23">
        <v>1826</v>
      </c>
      <c r="B23" s="107" t="s">
        <v>1371</v>
      </c>
      <c r="C23">
        <v>0</v>
      </c>
      <c r="D23">
        <v>0</v>
      </c>
      <c r="E23">
        <v>0</v>
      </c>
      <c r="F23" s="107" t="s">
        <v>235</v>
      </c>
      <c r="G23" s="107" t="s">
        <v>235</v>
      </c>
    </row>
    <row r="24" spans="1:7">
      <c r="A24">
        <v>1848</v>
      </c>
      <c r="B24" s="107" t="s">
        <v>1372</v>
      </c>
      <c r="C24">
        <v>0</v>
      </c>
      <c r="D24">
        <v>0</v>
      </c>
      <c r="E24">
        <v>0</v>
      </c>
      <c r="F24" s="107">
        <v>0</v>
      </c>
      <c r="G24" s="107">
        <v>0.05</v>
      </c>
    </row>
    <row r="25" spans="1:7">
      <c r="A25">
        <v>1860</v>
      </c>
      <c r="B25" s="107" t="s">
        <v>111</v>
      </c>
      <c r="C25">
        <v>0</v>
      </c>
      <c r="D25">
        <v>0</v>
      </c>
      <c r="E25" s="107" t="s">
        <v>235</v>
      </c>
      <c r="F25" s="107" t="s">
        <v>235</v>
      </c>
      <c r="G25" s="107" t="s">
        <v>235</v>
      </c>
    </row>
    <row r="26" spans="1:7">
      <c r="A26">
        <v>1866</v>
      </c>
      <c r="B26" s="107" t="s">
        <v>1373</v>
      </c>
      <c r="C26">
        <v>0</v>
      </c>
      <c r="D26">
        <v>0</v>
      </c>
      <c r="E26" s="107">
        <v>0</v>
      </c>
      <c r="F26" s="107">
        <v>0</v>
      </c>
      <c r="G26" s="107">
        <v>0</v>
      </c>
    </row>
    <row r="27" spans="1:7">
      <c r="A27">
        <v>1867</v>
      </c>
      <c r="B27" s="107" t="s">
        <v>1374</v>
      </c>
      <c r="C27">
        <v>0</v>
      </c>
      <c r="D27" s="107" t="s">
        <v>235</v>
      </c>
      <c r="E27">
        <v>0.05</v>
      </c>
      <c r="F27" s="107" t="s">
        <v>235</v>
      </c>
      <c r="G27">
        <v>0.05</v>
      </c>
    </row>
    <row r="28" spans="1:7">
      <c r="A28">
        <v>1870</v>
      </c>
      <c r="B28" s="107" t="s">
        <v>1375</v>
      </c>
      <c r="C28">
        <v>0</v>
      </c>
      <c r="D28" s="107">
        <v>0</v>
      </c>
      <c r="E28">
        <v>0</v>
      </c>
      <c r="F28" s="107">
        <v>0</v>
      </c>
      <c r="G28" s="107" t="s">
        <v>235</v>
      </c>
    </row>
    <row r="29" spans="1:7">
      <c r="A29">
        <v>1878</v>
      </c>
      <c r="B29" s="107" t="s">
        <v>1376</v>
      </c>
      <c r="C29">
        <v>0.25</v>
      </c>
      <c r="D29">
        <v>0.75</v>
      </c>
      <c r="E29">
        <v>0.25</v>
      </c>
      <c r="F29">
        <v>0.25</v>
      </c>
      <c r="G29" s="107">
        <v>0.25</v>
      </c>
    </row>
    <row r="30" spans="1:7">
      <c r="A30">
        <v>1881</v>
      </c>
      <c r="B30" s="107" t="s">
        <v>1377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>
        <v>1883</v>
      </c>
      <c r="B31" s="107" t="s">
        <v>1378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>
      <c r="A32">
        <v>1884</v>
      </c>
      <c r="B32" s="107" t="s">
        <v>1379</v>
      </c>
      <c r="C32">
        <v>0.15</v>
      </c>
      <c r="D32">
        <v>0.45</v>
      </c>
      <c r="E32">
        <v>0.15</v>
      </c>
      <c r="F32">
        <v>0.15</v>
      </c>
      <c r="G32">
        <v>0.15</v>
      </c>
    </row>
    <row r="33" spans="1:7">
      <c r="A33">
        <v>1921</v>
      </c>
      <c r="B33" s="107" t="s">
        <v>1380</v>
      </c>
      <c r="C33">
        <v>0</v>
      </c>
      <c r="D33" s="107" t="s">
        <v>235</v>
      </c>
      <c r="E33">
        <v>0</v>
      </c>
      <c r="F33" s="107" t="s">
        <v>235</v>
      </c>
      <c r="G33">
        <v>0</v>
      </c>
    </row>
    <row r="34" spans="1:7">
      <c r="A34">
        <v>1928</v>
      </c>
      <c r="B34" s="107" t="s">
        <v>302</v>
      </c>
      <c r="C34">
        <v>0.05</v>
      </c>
      <c r="D34" s="107">
        <v>0.15</v>
      </c>
      <c r="E34">
        <v>0.05</v>
      </c>
      <c r="F34" s="107">
        <v>0.05</v>
      </c>
      <c r="G34">
        <v>0.05</v>
      </c>
    </row>
    <row r="35" spans="1:7">
      <c r="A35">
        <v>1929</v>
      </c>
      <c r="B35" s="107" t="s">
        <v>1381</v>
      </c>
      <c r="C35">
        <v>0</v>
      </c>
      <c r="D35" s="107" t="s">
        <v>235</v>
      </c>
      <c r="E35">
        <v>0</v>
      </c>
      <c r="F35" s="107" t="s">
        <v>235</v>
      </c>
      <c r="G35" s="107" t="s">
        <v>235</v>
      </c>
    </row>
    <row r="36" spans="1:7">
      <c r="A36">
        <v>1930</v>
      </c>
      <c r="B36" s="107" t="s">
        <v>1382</v>
      </c>
      <c r="C36">
        <v>0</v>
      </c>
      <c r="D36" s="107">
        <v>0</v>
      </c>
      <c r="E36">
        <v>0</v>
      </c>
      <c r="F36" s="107">
        <v>0</v>
      </c>
      <c r="G36" s="107">
        <v>0</v>
      </c>
    </row>
    <row r="37" spans="1:7">
      <c r="A37">
        <v>1939</v>
      </c>
      <c r="B37" s="107" t="s">
        <v>1383</v>
      </c>
      <c r="C37">
        <v>0.05</v>
      </c>
      <c r="D37" s="107" t="s">
        <v>235</v>
      </c>
      <c r="E37" s="107" t="s">
        <v>235</v>
      </c>
      <c r="F37">
        <v>0.05</v>
      </c>
      <c r="G37">
        <v>0.05</v>
      </c>
    </row>
    <row r="38" spans="1:7">
      <c r="A38">
        <v>1941</v>
      </c>
      <c r="B38" s="107" t="s">
        <v>1316</v>
      </c>
      <c r="C38">
        <v>0</v>
      </c>
      <c r="D38" s="107">
        <v>0</v>
      </c>
      <c r="E38" s="107" t="s">
        <v>235</v>
      </c>
      <c r="F38">
        <v>0</v>
      </c>
      <c r="G38">
        <v>0</v>
      </c>
    </row>
    <row r="39" spans="1:7">
      <c r="A39">
        <v>1944</v>
      </c>
      <c r="B39" s="107" t="s">
        <v>1384</v>
      </c>
      <c r="C39">
        <v>0</v>
      </c>
      <c r="D39">
        <v>0</v>
      </c>
      <c r="E39" s="107">
        <v>0</v>
      </c>
      <c r="F39">
        <v>0</v>
      </c>
      <c r="G39">
        <v>0</v>
      </c>
    </row>
    <row r="40" spans="1:7">
      <c r="A40">
        <v>1949</v>
      </c>
      <c r="B40" s="107" t="s">
        <v>1385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>
      <c r="A41">
        <v>1952</v>
      </c>
      <c r="B41" s="107" t="s">
        <v>1386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>
      <c r="A42">
        <v>1954</v>
      </c>
      <c r="B42" s="107" t="s">
        <v>1387</v>
      </c>
      <c r="C42">
        <v>0.1</v>
      </c>
      <c r="D42">
        <v>0.3</v>
      </c>
      <c r="E42">
        <v>0.1</v>
      </c>
      <c r="F42">
        <v>0.1</v>
      </c>
      <c r="G42">
        <v>0.1</v>
      </c>
    </row>
    <row r="43" spans="1:7">
      <c r="A43">
        <v>1961</v>
      </c>
      <c r="B43" s="107" t="s">
        <v>1388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1963</v>
      </c>
      <c r="B44" s="107" t="s">
        <v>1389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>
      <c r="A45">
        <v>1964</v>
      </c>
      <c r="B45" s="107" t="s">
        <v>1390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>
      <c r="A46">
        <v>1969</v>
      </c>
      <c r="B46" s="107" t="s">
        <v>1391</v>
      </c>
      <c r="C46">
        <v>0.05</v>
      </c>
      <c r="D46">
        <v>0.15</v>
      </c>
      <c r="E46">
        <v>0.05</v>
      </c>
      <c r="F46">
        <v>0</v>
      </c>
      <c r="G46">
        <v>0</v>
      </c>
    </row>
    <row r="47" spans="1:7">
      <c r="A47">
        <v>1975</v>
      </c>
      <c r="B47" s="107" t="s">
        <v>1392</v>
      </c>
      <c r="C47">
        <v>0</v>
      </c>
      <c r="D47">
        <v>0</v>
      </c>
      <c r="E47" s="107" t="s">
        <v>235</v>
      </c>
      <c r="F47">
        <v>0</v>
      </c>
      <c r="G47">
        <v>0</v>
      </c>
    </row>
    <row r="48" spans="1:7">
      <c r="A48">
        <v>1976</v>
      </c>
      <c r="B48" s="107" t="s">
        <v>1393</v>
      </c>
      <c r="C48">
        <v>0.05</v>
      </c>
      <c r="D48">
        <v>0.15</v>
      </c>
      <c r="E48" s="107">
        <v>0.05</v>
      </c>
      <c r="F48">
        <v>0.05</v>
      </c>
      <c r="G48">
        <v>0.05</v>
      </c>
    </row>
    <row r="49" spans="1:7">
      <c r="A49">
        <v>1979</v>
      </c>
      <c r="B49" s="107" t="s">
        <v>1394</v>
      </c>
      <c r="C49">
        <v>0</v>
      </c>
      <c r="D49">
        <v>0</v>
      </c>
      <c r="E49">
        <v>0.1</v>
      </c>
      <c r="F49">
        <v>0.1</v>
      </c>
      <c r="G49">
        <v>0.1</v>
      </c>
    </row>
    <row r="50" spans="1:7">
      <c r="A50">
        <v>1980</v>
      </c>
      <c r="B50" s="107" t="s">
        <v>1395</v>
      </c>
      <c r="C50">
        <v>0.05</v>
      </c>
      <c r="D50" s="107" t="s">
        <v>235</v>
      </c>
      <c r="E50" s="107" t="s">
        <v>235</v>
      </c>
      <c r="F50" s="107" t="s">
        <v>235</v>
      </c>
      <c r="G50" s="107" t="s">
        <v>235</v>
      </c>
    </row>
    <row r="51" spans="1:7">
      <c r="A51">
        <v>1982</v>
      </c>
      <c r="B51" s="107" t="s">
        <v>1396</v>
      </c>
      <c r="C51">
        <v>0</v>
      </c>
      <c r="D51" s="107" t="s">
        <v>235</v>
      </c>
      <c r="E51" s="107">
        <v>0</v>
      </c>
      <c r="F51" s="107" t="s">
        <v>235</v>
      </c>
      <c r="G51" s="107">
        <v>0</v>
      </c>
    </row>
    <row r="52" spans="1:7">
      <c r="A52">
        <v>1983</v>
      </c>
      <c r="B52" s="107" t="s">
        <v>1397</v>
      </c>
      <c r="C52">
        <v>0.05</v>
      </c>
      <c r="D52" s="107">
        <v>0.15</v>
      </c>
      <c r="E52">
        <v>0.05</v>
      </c>
      <c r="F52" s="107">
        <v>0.05</v>
      </c>
      <c r="G52" s="107" t="s">
        <v>235</v>
      </c>
    </row>
    <row r="53" spans="1:7">
      <c r="A53">
        <v>2004</v>
      </c>
      <c r="B53" s="107" t="s">
        <v>1398</v>
      </c>
      <c r="C53">
        <v>0.05</v>
      </c>
      <c r="D53">
        <v>0.15</v>
      </c>
      <c r="E53">
        <v>0.05</v>
      </c>
      <c r="F53">
        <v>0.05</v>
      </c>
      <c r="G53" s="107">
        <v>0.05</v>
      </c>
    </row>
    <row r="54" spans="1:7">
      <c r="A54">
        <v>2130</v>
      </c>
      <c r="B54" s="107" t="s">
        <v>1399</v>
      </c>
      <c r="C54">
        <v>0.05</v>
      </c>
      <c r="D54">
        <v>0</v>
      </c>
      <c r="E54">
        <v>0.05</v>
      </c>
      <c r="F54">
        <v>0.05</v>
      </c>
      <c r="G54">
        <v>0.05</v>
      </c>
    </row>
    <row r="55" spans="1:7">
      <c r="A55">
        <v>2139</v>
      </c>
      <c r="B55" s="107" t="s">
        <v>1400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>
      <c r="A56">
        <v>2146</v>
      </c>
      <c r="B56" s="107" t="s">
        <v>1401</v>
      </c>
      <c r="C56">
        <v>0.05</v>
      </c>
      <c r="D56">
        <v>0.15</v>
      </c>
      <c r="E56">
        <v>0.05</v>
      </c>
      <c r="F56">
        <v>0.05</v>
      </c>
      <c r="G56">
        <v>0.05</v>
      </c>
    </row>
    <row r="57" spans="1:7">
      <c r="A57">
        <v>2168</v>
      </c>
      <c r="B57" s="107" t="s">
        <v>1402</v>
      </c>
      <c r="C57">
        <v>0</v>
      </c>
      <c r="D57">
        <v>0.15</v>
      </c>
      <c r="E57">
        <v>0.05</v>
      </c>
      <c r="F57" s="107" t="s">
        <v>235</v>
      </c>
      <c r="G57">
        <v>0.05</v>
      </c>
    </row>
    <row r="58" spans="1:7">
      <c r="A58">
        <v>2170</v>
      </c>
      <c r="B58" s="107" t="s">
        <v>1403</v>
      </c>
      <c r="C58">
        <v>0.05</v>
      </c>
      <c r="D58">
        <v>0.15</v>
      </c>
      <c r="E58">
        <v>0.05</v>
      </c>
      <c r="F58" s="107">
        <v>0.05</v>
      </c>
      <c r="G58">
        <v>0.05</v>
      </c>
    </row>
    <row r="59" spans="1:7">
      <c r="A59">
        <v>2175</v>
      </c>
      <c r="B59" s="107" t="s">
        <v>327</v>
      </c>
      <c r="C59">
        <v>0.05</v>
      </c>
      <c r="D59">
        <v>0.15</v>
      </c>
      <c r="E59">
        <v>0.05</v>
      </c>
      <c r="F59">
        <v>0.05</v>
      </c>
      <c r="G59">
        <v>0.05</v>
      </c>
    </row>
    <row r="60" spans="1:7">
      <c r="A60">
        <v>2181</v>
      </c>
      <c r="B60" s="107" t="s">
        <v>1404</v>
      </c>
      <c r="C60">
        <v>0</v>
      </c>
      <c r="D60">
        <v>0</v>
      </c>
      <c r="E60">
        <v>0</v>
      </c>
      <c r="F60" s="107" t="s">
        <v>235</v>
      </c>
      <c r="G60" s="107" t="s">
        <v>235</v>
      </c>
    </row>
    <row r="61" spans="1:7">
      <c r="A61">
        <v>2193</v>
      </c>
      <c r="B61" s="107" t="s">
        <v>1405</v>
      </c>
      <c r="C61">
        <v>0.05</v>
      </c>
      <c r="D61">
        <v>0</v>
      </c>
      <c r="E61">
        <v>0.05</v>
      </c>
      <c r="F61" s="107">
        <v>0</v>
      </c>
      <c r="G61" s="107">
        <v>0.05</v>
      </c>
    </row>
    <row r="62" spans="1:7">
      <c r="A62">
        <v>2198</v>
      </c>
      <c r="B62" s="107" t="s">
        <v>1406</v>
      </c>
      <c r="C62">
        <v>0.05</v>
      </c>
      <c r="D62">
        <v>0.15</v>
      </c>
      <c r="E62">
        <v>0.05</v>
      </c>
      <c r="F62">
        <v>0.05</v>
      </c>
      <c r="G62">
        <v>0.05</v>
      </c>
    </row>
    <row r="63" spans="1:7">
      <c r="A63">
        <v>2201</v>
      </c>
      <c r="B63" s="107" t="s">
        <v>1407</v>
      </c>
      <c r="C63">
        <v>0.1</v>
      </c>
      <c r="D63">
        <v>0.3</v>
      </c>
      <c r="E63">
        <v>0.1</v>
      </c>
      <c r="F63">
        <v>0.1</v>
      </c>
      <c r="G63">
        <v>0.1</v>
      </c>
    </row>
    <row r="64" spans="1:7">
      <c r="A64">
        <v>2204</v>
      </c>
      <c r="B64" s="107" t="s">
        <v>1408</v>
      </c>
      <c r="C64">
        <v>0.1</v>
      </c>
      <c r="D64">
        <v>0.3</v>
      </c>
      <c r="E64">
        <v>0.1</v>
      </c>
      <c r="F64">
        <v>0.1</v>
      </c>
      <c r="G64">
        <v>0.1</v>
      </c>
    </row>
    <row r="65" spans="1:7">
      <c r="A65">
        <v>2206</v>
      </c>
      <c r="B65" s="107" t="s">
        <v>1409</v>
      </c>
      <c r="C65">
        <v>0</v>
      </c>
      <c r="D65">
        <v>0</v>
      </c>
      <c r="E65">
        <v>0</v>
      </c>
      <c r="F65">
        <v>0</v>
      </c>
      <c r="G65">
        <v>0.1</v>
      </c>
    </row>
    <row r="66" spans="1:7">
      <c r="A66">
        <v>2211</v>
      </c>
      <c r="B66" s="107" t="s">
        <v>1410</v>
      </c>
      <c r="C66">
        <v>0.05</v>
      </c>
      <c r="D66" s="107" t="s">
        <v>235</v>
      </c>
      <c r="E66">
        <v>0.05</v>
      </c>
      <c r="F66" s="107" t="s">
        <v>235</v>
      </c>
      <c r="G66">
        <v>0.05</v>
      </c>
    </row>
    <row r="67" spans="1:7">
      <c r="A67">
        <v>2212</v>
      </c>
      <c r="B67" s="107" t="s">
        <v>1411</v>
      </c>
      <c r="C67">
        <v>0.05</v>
      </c>
      <c r="D67" s="107">
        <v>0.15</v>
      </c>
      <c r="E67">
        <v>0.05</v>
      </c>
      <c r="F67" s="107">
        <v>0.05</v>
      </c>
      <c r="G67">
        <v>0.05</v>
      </c>
    </row>
    <row r="68" spans="1:7">
      <c r="A68">
        <v>2215</v>
      </c>
      <c r="B68" s="107" t="s">
        <v>1412</v>
      </c>
      <c r="C68">
        <v>0.05</v>
      </c>
      <c r="D68">
        <v>0.15</v>
      </c>
      <c r="E68">
        <v>0.05</v>
      </c>
      <c r="F68">
        <v>0</v>
      </c>
      <c r="G68">
        <v>0</v>
      </c>
    </row>
    <row r="69" spans="1:7">
      <c r="A69">
        <v>2217</v>
      </c>
      <c r="B69" s="107" t="s">
        <v>1413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>
      <c r="A70">
        <v>2220</v>
      </c>
      <c r="B70" s="107" t="s">
        <v>1414</v>
      </c>
      <c r="C70">
        <v>0</v>
      </c>
      <c r="D70">
        <v>0</v>
      </c>
      <c r="E70">
        <v>0</v>
      </c>
      <c r="F70" s="107" t="s">
        <v>235</v>
      </c>
      <c r="G70" s="107" t="s">
        <v>235</v>
      </c>
    </row>
    <row r="71" spans="1:7">
      <c r="A71">
        <v>2222</v>
      </c>
      <c r="B71" s="107" t="s">
        <v>1415</v>
      </c>
      <c r="C71">
        <v>0.15</v>
      </c>
      <c r="D71">
        <v>0.45</v>
      </c>
      <c r="E71">
        <v>0.15</v>
      </c>
      <c r="F71" s="107">
        <v>0.15</v>
      </c>
      <c r="G71" s="107">
        <v>0.15</v>
      </c>
    </row>
    <row r="72" spans="1:7">
      <c r="A72">
        <v>2229</v>
      </c>
      <c r="B72" s="107" t="s">
        <v>1416</v>
      </c>
      <c r="C72">
        <v>0.1</v>
      </c>
      <c r="D72">
        <v>0.3</v>
      </c>
      <c r="E72">
        <v>0.1</v>
      </c>
      <c r="F72">
        <v>0.1</v>
      </c>
      <c r="G72">
        <v>0.1</v>
      </c>
    </row>
    <row r="73" spans="1:7">
      <c r="A73">
        <v>2266</v>
      </c>
      <c r="B73" s="107" t="s">
        <v>1417</v>
      </c>
      <c r="C73">
        <v>0.05</v>
      </c>
      <c r="D73">
        <v>0.15</v>
      </c>
      <c r="E73">
        <v>0</v>
      </c>
      <c r="F73">
        <v>0.05</v>
      </c>
      <c r="G73">
        <v>0</v>
      </c>
    </row>
    <row r="74" spans="1:7">
      <c r="A74">
        <v>2281</v>
      </c>
      <c r="B74" s="107" t="s">
        <v>1418</v>
      </c>
      <c r="C74">
        <v>0.05</v>
      </c>
      <c r="D74" s="107" t="s">
        <v>235</v>
      </c>
      <c r="E74" s="107" t="s">
        <v>235</v>
      </c>
      <c r="F74" s="107" t="s">
        <v>235</v>
      </c>
      <c r="G74">
        <v>0.05</v>
      </c>
    </row>
    <row r="75" spans="1:7">
      <c r="A75">
        <v>2282</v>
      </c>
      <c r="B75" s="107" t="s">
        <v>1419</v>
      </c>
      <c r="C75">
        <v>0.1</v>
      </c>
      <c r="D75" s="107">
        <v>0.3</v>
      </c>
      <c r="E75" s="107">
        <v>0.1</v>
      </c>
      <c r="F75" s="107">
        <v>0.1</v>
      </c>
      <c r="G75">
        <v>0.1</v>
      </c>
    </row>
    <row r="76" spans="1:7">
      <c r="A76">
        <v>2288</v>
      </c>
      <c r="B76" s="107" t="s">
        <v>1420</v>
      </c>
      <c r="C76">
        <v>0.05</v>
      </c>
      <c r="D76" s="107" t="s">
        <v>235</v>
      </c>
      <c r="E76">
        <v>0.05</v>
      </c>
      <c r="F76" s="107" t="s">
        <v>235</v>
      </c>
      <c r="G76">
        <v>0.05</v>
      </c>
    </row>
    <row r="77" spans="1:7">
      <c r="A77">
        <v>2294</v>
      </c>
      <c r="B77" s="107" t="s">
        <v>1421</v>
      </c>
      <c r="C77">
        <v>0.05</v>
      </c>
      <c r="D77" s="107" t="s">
        <v>235</v>
      </c>
      <c r="E77">
        <v>0.05</v>
      </c>
      <c r="F77" s="107" t="s">
        <v>235</v>
      </c>
      <c r="G77">
        <v>0.1</v>
      </c>
    </row>
    <row r="78" spans="1:7">
      <c r="A78">
        <v>2296</v>
      </c>
      <c r="B78" s="107" t="s">
        <v>1422</v>
      </c>
      <c r="C78">
        <v>0</v>
      </c>
      <c r="D78" s="107">
        <v>0</v>
      </c>
      <c r="E78">
        <v>0</v>
      </c>
      <c r="F78" s="107">
        <v>0</v>
      </c>
      <c r="G78">
        <v>0</v>
      </c>
    </row>
    <row r="79" spans="1:7">
      <c r="A79">
        <v>2301</v>
      </c>
      <c r="B79" s="107" t="s">
        <v>1423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>
      <c r="A80">
        <v>2305</v>
      </c>
      <c r="B80" s="107" t="s">
        <v>1424</v>
      </c>
      <c r="C80">
        <v>0.05</v>
      </c>
      <c r="D80">
        <v>0.15</v>
      </c>
      <c r="E80">
        <v>0.05</v>
      </c>
      <c r="F80">
        <v>0.05</v>
      </c>
      <c r="G80">
        <v>0.05</v>
      </c>
    </row>
    <row r="81" spans="1:7">
      <c r="A81">
        <v>2325</v>
      </c>
      <c r="B81" s="107" t="s">
        <v>1425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2327</v>
      </c>
      <c r="B82" s="107" t="s">
        <v>1426</v>
      </c>
      <c r="C82">
        <v>0</v>
      </c>
      <c r="D82" s="107" t="s">
        <v>235</v>
      </c>
      <c r="E82" s="107" t="s">
        <v>235</v>
      </c>
      <c r="F82" s="107" t="s">
        <v>235</v>
      </c>
      <c r="G82" s="107" t="s">
        <v>235</v>
      </c>
    </row>
    <row r="83" spans="1:7">
      <c r="A83">
        <v>2337</v>
      </c>
      <c r="B83" s="107" t="s">
        <v>1427</v>
      </c>
      <c r="C83">
        <v>0.05</v>
      </c>
      <c r="D83" s="107">
        <v>0.15</v>
      </c>
      <c r="E83" s="107">
        <v>0.05</v>
      </c>
      <c r="F83" s="107">
        <v>0.05</v>
      </c>
      <c r="G83" s="107">
        <v>0.05</v>
      </c>
    </row>
    <row r="84" spans="1:7">
      <c r="A84">
        <v>2371</v>
      </c>
      <c r="B84" s="107" t="s">
        <v>1428</v>
      </c>
      <c r="C84">
        <v>0.05</v>
      </c>
      <c r="D84">
        <v>0.15</v>
      </c>
      <c r="E84">
        <v>0.05</v>
      </c>
      <c r="F84">
        <v>0.05</v>
      </c>
      <c r="G84">
        <v>0</v>
      </c>
    </row>
    <row r="85" spans="1:7">
      <c r="A85">
        <v>2379</v>
      </c>
      <c r="B85" s="107" t="s">
        <v>1027</v>
      </c>
      <c r="C85">
        <v>0.1</v>
      </c>
      <c r="D85">
        <v>0.3</v>
      </c>
      <c r="E85">
        <v>0.1</v>
      </c>
      <c r="F85">
        <v>0.1</v>
      </c>
      <c r="G85">
        <v>0.1</v>
      </c>
    </row>
    <row r="86" spans="1:7">
      <c r="A86">
        <v>2384</v>
      </c>
      <c r="B86" s="107" t="s">
        <v>1429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>
      <c r="A87">
        <v>2395</v>
      </c>
      <c r="B87" s="107" t="s">
        <v>1430</v>
      </c>
      <c r="C87">
        <v>0</v>
      </c>
      <c r="D87" s="107" t="s">
        <v>235</v>
      </c>
      <c r="E87">
        <v>0</v>
      </c>
      <c r="F87" s="107" t="s">
        <v>235</v>
      </c>
      <c r="G87">
        <v>0</v>
      </c>
    </row>
    <row r="88" spans="1:7">
      <c r="A88">
        <v>2410</v>
      </c>
      <c r="B88" s="107" t="s">
        <v>1431</v>
      </c>
      <c r="C88">
        <v>0</v>
      </c>
      <c r="D88" s="107" t="s">
        <v>235</v>
      </c>
      <c r="E88">
        <v>0</v>
      </c>
      <c r="F88" s="107" t="s">
        <v>235</v>
      </c>
      <c r="G88">
        <v>0</v>
      </c>
    </row>
    <row r="89" spans="1:7">
      <c r="A89">
        <v>2412</v>
      </c>
      <c r="B89" s="107" t="s">
        <v>1432</v>
      </c>
      <c r="C89">
        <v>0</v>
      </c>
      <c r="D89" s="107">
        <v>0</v>
      </c>
      <c r="E89">
        <v>0.05</v>
      </c>
      <c r="F89" s="107">
        <v>0</v>
      </c>
      <c r="G89">
        <v>0</v>
      </c>
    </row>
    <row r="90" spans="1:7">
      <c r="A90">
        <v>2413</v>
      </c>
      <c r="B90" s="107" t="s">
        <v>1271</v>
      </c>
      <c r="C90">
        <v>0.05</v>
      </c>
      <c r="D90">
        <v>0.15</v>
      </c>
      <c r="E90">
        <v>0.05</v>
      </c>
      <c r="F90">
        <v>0.05</v>
      </c>
      <c r="G90">
        <v>0.05</v>
      </c>
    </row>
    <row r="91" spans="1:7">
      <c r="A91">
        <v>2428</v>
      </c>
      <c r="B91" s="107" t="s">
        <v>1433</v>
      </c>
      <c r="C91">
        <v>0.05</v>
      </c>
      <c r="D91">
        <v>0</v>
      </c>
      <c r="E91">
        <v>0.05</v>
      </c>
      <c r="F91">
        <v>0.05</v>
      </c>
      <c r="G91">
        <v>0.05</v>
      </c>
    </row>
    <row r="92" spans="1:7">
      <c r="A92">
        <v>2433</v>
      </c>
      <c r="B92" s="107" t="s">
        <v>1434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>
      <c r="A93">
        <v>2440</v>
      </c>
      <c r="B93" s="107" t="s">
        <v>1435</v>
      </c>
      <c r="C93">
        <v>0.05</v>
      </c>
      <c r="D93">
        <v>0.15</v>
      </c>
      <c r="E93">
        <v>0.05</v>
      </c>
      <c r="F93">
        <v>0.05</v>
      </c>
      <c r="G93">
        <v>0.05</v>
      </c>
    </row>
    <row r="94" spans="1:7">
      <c r="A94">
        <v>2462</v>
      </c>
      <c r="B94" s="107" t="s">
        <v>1436</v>
      </c>
      <c r="C94">
        <v>0</v>
      </c>
      <c r="D94">
        <v>0</v>
      </c>
      <c r="E94">
        <v>0</v>
      </c>
      <c r="F94">
        <v>0.05</v>
      </c>
      <c r="G94">
        <v>0.05</v>
      </c>
    </row>
    <row r="95" spans="1:7">
      <c r="A95">
        <v>2471</v>
      </c>
      <c r="B95" s="107" t="s">
        <v>1437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>
      <c r="A96">
        <v>2487</v>
      </c>
      <c r="B96" s="107" t="s">
        <v>1438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>
      <c r="A97">
        <v>2492</v>
      </c>
      <c r="B97" s="107" t="s">
        <v>1439</v>
      </c>
      <c r="C97">
        <v>0.05</v>
      </c>
      <c r="D97">
        <v>0.15</v>
      </c>
      <c r="E97">
        <v>0.05</v>
      </c>
      <c r="F97">
        <v>0.05</v>
      </c>
      <c r="G97">
        <v>0.05</v>
      </c>
    </row>
    <row r="98" spans="1:7">
      <c r="A98">
        <v>2501</v>
      </c>
      <c r="B98" s="107" t="s">
        <v>1440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>
      <c r="A99">
        <v>2502</v>
      </c>
      <c r="B99" s="107" t="s">
        <v>1441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2590</v>
      </c>
      <c r="B100" s="107" t="s">
        <v>1442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>
      <c r="A101">
        <v>2593</v>
      </c>
      <c r="B101" s="107" t="s">
        <v>1443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>
      <c r="A102">
        <v>2594</v>
      </c>
      <c r="B102" s="107" t="s">
        <v>1444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>
      <c r="A103">
        <v>2599</v>
      </c>
      <c r="B103" s="107" t="s">
        <v>1445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>
      <c r="A104">
        <v>2602</v>
      </c>
      <c r="B104" s="107" t="s">
        <v>1331</v>
      </c>
      <c r="C104">
        <v>0.1</v>
      </c>
      <c r="D104">
        <v>0.3</v>
      </c>
      <c r="E104">
        <v>0.1</v>
      </c>
      <c r="F104">
        <v>0.1</v>
      </c>
      <c r="G104">
        <v>0.1</v>
      </c>
    </row>
    <row r="105" spans="1:7">
      <c r="A105">
        <v>2613</v>
      </c>
      <c r="B105" s="107" t="s">
        <v>1446</v>
      </c>
      <c r="C105">
        <v>0.1</v>
      </c>
      <c r="D105">
        <v>0.3</v>
      </c>
      <c r="E105">
        <v>0.1</v>
      </c>
      <c r="F105">
        <v>0</v>
      </c>
      <c r="G105">
        <v>0.05</v>
      </c>
    </row>
    <row r="106" spans="1:7">
      <c r="A106">
        <v>2651</v>
      </c>
      <c r="B106" s="107" t="s">
        <v>1447</v>
      </c>
      <c r="C106">
        <v>0.1</v>
      </c>
      <c r="D106">
        <v>0.3</v>
      </c>
      <c r="E106">
        <v>0.1</v>
      </c>
      <c r="F106">
        <v>0.1</v>
      </c>
      <c r="G106">
        <v>0.1</v>
      </c>
    </row>
    <row r="107" spans="1:7">
      <c r="A107">
        <v>2659</v>
      </c>
      <c r="B107" s="107" t="s">
        <v>1448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>
      <c r="A108">
        <v>2664</v>
      </c>
      <c r="B108" s="107" t="s">
        <v>1449</v>
      </c>
      <c r="C108">
        <v>0</v>
      </c>
      <c r="D108">
        <v>0</v>
      </c>
      <c r="E108">
        <v>0.05</v>
      </c>
      <c r="F108">
        <v>0</v>
      </c>
      <c r="G108">
        <v>0.05</v>
      </c>
    </row>
    <row r="109" spans="1:7">
      <c r="A109">
        <v>2670</v>
      </c>
      <c r="B109" s="107" t="s">
        <v>1450</v>
      </c>
      <c r="C109">
        <v>0.15</v>
      </c>
      <c r="D109">
        <v>0.45</v>
      </c>
      <c r="E109">
        <v>0.15</v>
      </c>
      <c r="F109">
        <v>0.15</v>
      </c>
      <c r="G109">
        <v>0.15</v>
      </c>
    </row>
    <row r="110" spans="1:7">
      <c r="A110">
        <v>2674</v>
      </c>
      <c r="B110" s="107" t="s">
        <v>1451</v>
      </c>
      <c r="C110">
        <v>0</v>
      </c>
      <c r="D110" s="107" t="s">
        <v>235</v>
      </c>
      <c r="E110" s="107" t="s">
        <v>235</v>
      </c>
      <c r="F110">
        <v>0</v>
      </c>
      <c r="G110">
        <v>0</v>
      </c>
    </row>
    <row r="111" spans="1:7">
      <c r="A111">
        <v>2678</v>
      </c>
      <c r="B111" s="107" t="s">
        <v>1452</v>
      </c>
      <c r="C111">
        <v>0.05</v>
      </c>
      <c r="D111" s="107">
        <v>0.15</v>
      </c>
      <c r="E111" s="107">
        <v>0.05</v>
      </c>
      <c r="F111">
        <v>0.05</v>
      </c>
      <c r="G111">
        <v>0.05</v>
      </c>
    </row>
    <row r="112" spans="1:7">
      <c r="A112">
        <v>2685</v>
      </c>
      <c r="B112" s="107" t="s">
        <v>1453</v>
      </c>
      <c r="C112">
        <v>0</v>
      </c>
      <c r="D112">
        <v>0.15</v>
      </c>
      <c r="E112">
        <v>0.05</v>
      </c>
      <c r="F112">
        <v>0</v>
      </c>
      <c r="G112">
        <v>0.05</v>
      </c>
    </row>
    <row r="113" spans="1:7">
      <c r="A113">
        <v>2687</v>
      </c>
      <c r="B113" s="107" t="s">
        <v>1454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>
      <c r="A114">
        <v>2692</v>
      </c>
      <c r="B114" s="107" t="s">
        <v>1455</v>
      </c>
      <c r="C114">
        <v>0.1</v>
      </c>
      <c r="D114">
        <v>0.3</v>
      </c>
      <c r="E114">
        <v>0.1</v>
      </c>
      <c r="F114">
        <v>0.1</v>
      </c>
      <c r="G114">
        <v>0.1</v>
      </c>
    </row>
    <row r="115" spans="1:7">
      <c r="A115">
        <v>2695</v>
      </c>
      <c r="B115" s="107" t="s">
        <v>1456</v>
      </c>
      <c r="C115">
        <v>0.1</v>
      </c>
      <c r="D115">
        <v>0</v>
      </c>
      <c r="E115">
        <v>0.1</v>
      </c>
      <c r="F115">
        <v>0</v>
      </c>
      <c r="G115">
        <v>0</v>
      </c>
    </row>
    <row r="116" spans="1:7">
      <c r="A116">
        <v>2698</v>
      </c>
      <c r="B116" s="107" t="s">
        <v>1457</v>
      </c>
      <c r="C116">
        <v>0.05</v>
      </c>
      <c r="D116">
        <v>0.15</v>
      </c>
      <c r="E116">
        <v>0.05</v>
      </c>
      <c r="F116">
        <v>0.05</v>
      </c>
      <c r="G116">
        <v>0.05</v>
      </c>
    </row>
    <row r="117" spans="1:7">
      <c r="A117">
        <v>2715</v>
      </c>
      <c r="B117" s="107" t="s">
        <v>1458</v>
      </c>
      <c r="C117">
        <v>0.05</v>
      </c>
      <c r="D117">
        <v>0</v>
      </c>
      <c r="E117">
        <v>0</v>
      </c>
      <c r="F117">
        <v>0</v>
      </c>
      <c r="G117">
        <v>0</v>
      </c>
    </row>
    <row r="118" spans="1:7">
      <c r="A118">
        <v>2729</v>
      </c>
      <c r="B118" s="107" t="s">
        <v>1459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>
      <c r="A119">
        <v>2730</v>
      </c>
      <c r="B119" s="107" t="s">
        <v>1460</v>
      </c>
      <c r="C119">
        <v>0.05</v>
      </c>
      <c r="D119">
        <v>0.15</v>
      </c>
      <c r="E119">
        <v>0.05</v>
      </c>
      <c r="F119">
        <v>0.05</v>
      </c>
      <c r="G119">
        <v>0.05</v>
      </c>
    </row>
    <row r="120" spans="1:7">
      <c r="A120">
        <v>2792</v>
      </c>
      <c r="B120" s="107" t="s">
        <v>1461</v>
      </c>
      <c r="C120">
        <v>0.05</v>
      </c>
      <c r="D120">
        <v>0.15</v>
      </c>
      <c r="E120">
        <v>0.05</v>
      </c>
      <c r="F120">
        <v>0.05</v>
      </c>
      <c r="G120">
        <v>0.05</v>
      </c>
    </row>
    <row r="121" spans="1:7">
      <c r="A121">
        <v>2801</v>
      </c>
      <c r="B121" s="107" t="s">
        <v>1462</v>
      </c>
      <c r="C121">
        <v>0.1</v>
      </c>
      <c r="D121">
        <v>0.3</v>
      </c>
      <c r="E121">
        <v>0.1</v>
      </c>
      <c r="F121">
        <v>0.1</v>
      </c>
      <c r="G121">
        <v>0.1</v>
      </c>
    </row>
    <row r="122" spans="1:7">
      <c r="A122">
        <v>2815</v>
      </c>
      <c r="B122" s="107" t="s">
        <v>1463</v>
      </c>
      <c r="C122">
        <v>0</v>
      </c>
      <c r="D122">
        <v>0</v>
      </c>
      <c r="E122">
        <v>0</v>
      </c>
      <c r="F122">
        <v>0.15</v>
      </c>
      <c r="G122">
        <v>0</v>
      </c>
    </row>
    <row r="123" spans="1:7">
      <c r="A123">
        <v>2819</v>
      </c>
      <c r="B123" s="107" t="s">
        <v>1464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>
      <c r="A124">
        <v>2875</v>
      </c>
      <c r="B124" s="107" t="s">
        <v>1465</v>
      </c>
      <c r="C124">
        <v>0.1</v>
      </c>
      <c r="D124">
        <v>0.3</v>
      </c>
      <c r="E124">
        <v>0.1</v>
      </c>
      <c r="F124">
        <v>0.1</v>
      </c>
      <c r="G124">
        <v>0.1</v>
      </c>
    </row>
    <row r="125" spans="1:7">
      <c r="A125">
        <v>2882</v>
      </c>
      <c r="B125" s="107" t="s">
        <v>1466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>
      <c r="A126">
        <v>2884</v>
      </c>
      <c r="B126" s="107" t="s">
        <v>1467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>
      <c r="A127">
        <v>2897</v>
      </c>
      <c r="B127" s="107" t="s">
        <v>1468</v>
      </c>
      <c r="C127">
        <v>0.15</v>
      </c>
      <c r="D127">
        <v>0.45</v>
      </c>
      <c r="E127">
        <v>0.15</v>
      </c>
      <c r="F127">
        <v>0.15</v>
      </c>
      <c r="G127">
        <v>0.15</v>
      </c>
    </row>
    <row r="128" spans="1:7">
      <c r="A128">
        <v>2904</v>
      </c>
      <c r="B128" s="107" t="s">
        <v>1469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>
      <c r="A129">
        <v>2908</v>
      </c>
      <c r="B129" s="107" t="s">
        <v>1470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>
      <c r="A130">
        <v>2910</v>
      </c>
      <c r="B130" s="107" t="s">
        <v>1471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>
      <c r="A131">
        <v>2914</v>
      </c>
      <c r="B131" s="107" t="s">
        <v>96</v>
      </c>
      <c r="C131">
        <v>0</v>
      </c>
      <c r="D131" s="107" t="s">
        <v>235</v>
      </c>
      <c r="E131">
        <v>0</v>
      </c>
      <c r="F131" s="107" t="s">
        <v>235</v>
      </c>
      <c r="G131" s="107" t="s">
        <v>235</v>
      </c>
    </row>
    <row r="132" spans="1:7">
      <c r="A132">
        <v>2915</v>
      </c>
      <c r="B132" s="107" t="s">
        <v>1472</v>
      </c>
      <c r="C132">
        <v>0.05</v>
      </c>
      <c r="D132" s="107">
        <v>0.15</v>
      </c>
      <c r="E132">
        <v>0.05</v>
      </c>
      <c r="F132" s="107">
        <v>0.05</v>
      </c>
      <c r="G132" s="107">
        <v>0.05</v>
      </c>
    </row>
    <row r="133" spans="1:7">
      <c r="A133">
        <v>2918</v>
      </c>
      <c r="B133" s="107" t="s">
        <v>1473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2922</v>
      </c>
      <c r="B134" s="107" t="s">
        <v>1474</v>
      </c>
      <c r="C134">
        <v>0.05</v>
      </c>
      <c r="D134">
        <v>0.15</v>
      </c>
      <c r="E134">
        <v>0.05</v>
      </c>
      <c r="F134">
        <v>0.05</v>
      </c>
      <c r="G134">
        <v>0.05</v>
      </c>
    </row>
    <row r="135" spans="1:7">
      <c r="A135">
        <v>2924</v>
      </c>
      <c r="B135" s="107" t="s">
        <v>1475</v>
      </c>
      <c r="C135">
        <v>0.05</v>
      </c>
      <c r="D135" s="107" t="s">
        <v>235</v>
      </c>
      <c r="E135">
        <v>0.05</v>
      </c>
      <c r="F135">
        <v>0</v>
      </c>
      <c r="G135" s="107" t="s">
        <v>235</v>
      </c>
    </row>
    <row r="136" spans="1:7">
      <c r="A136">
        <v>2930</v>
      </c>
      <c r="B136" s="107" t="s">
        <v>1476</v>
      </c>
      <c r="C136">
        <v>0</v>
      </c>
      <c r="D136" s="107">
        <v>0</v>
      </c>
      <c r="E136">
        <v>0</v>
      </c>
      <c r="F136">
        <v>0</v>
      </c>
      <c r="G136" s="107">
        <v>0</v>
      </c>
    </row>
    <row r="137" spans="1:7">
      <c r="A137">
        <v>2931</v>
      </c>
      <c r="B137" s="107" t="s">
        <v>1477</v>
      </c>
      <c r="C137">
        <v>0.05</v>
      </c>
      <c r="D137">
        <v>0.15</v>
      </c>
      <c r="E137">
        <v>0.05</v>
      </c>
      <c r="F137">
        <v>0.05</v>
      </c>
      <c r="G137">
        <v>0.05</v>
      </c>
    </row>
    <row r="138" spans="1:7">
      <c r="A138">
        <v>2975</v>
      </c>
      <c r="B138" s="107" t="s">
        <v>1478</v>
      </c>
      <c r="C138">
        <v>0.05</v>
      </c>
      <c r="D138">
        <v>0.15</v>
      </c>
      <c r="E138">
        <v>0.05</v>
      </c>
      <c r="F138">
        <v>0.05</v>
      </c>
      <c r="G138">
        <v>0.05</v>
      </c>
    </row>
    <row r="139" spans="1:7">
      <c r="A139">
        <v>3002</v>
      </c>
      <c r="B139" s="107" t="s">
        <v>1479</v>
      </c>
      <c r="C139">
        <v>0</v>
      </c>
      <c r="D139" s="107" t="s">
        <v>235</v>
      </c>
      <c r="E139">
        <v>0.1</v>
      </c>
      <c r="F139">
        <v>0.1</v>
      </c>
      <c r="G139" s="107" t="s">
        <v>235</v>
      </c>
    </row>
    <row r="140" spans="1:7">
      <c r="A140">
        <v>3003</v>
      </c>
      <c r="B140" s="107" t="s">
        <v>1329</v>
      </c>
      <c r="C140">
        <v>0.05</v>
      </c>
      <c r="D140" s="107">
        <v>0.15</v>
      </c>
      <c r="E140">
        <v>0.05</v>
      </c>
      <c r="F140">
        <v>0.05</v>
      </c>
      <c r="G140" s="107">
        <v>0.05</v>
      </c>
    </row>
    <row r="141" spans="1:7">
      <c r="A141">
        <v>3004</v>
      </c>
      <c r="B141" s="107" t="s">
        <v>1480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>
      <c r="A142">
        <v>3046</v>
      </c>
      <c r="B142" s="107" t="s">
        <v>1481</v>
      </c>
      <c r="C142">
        <v>0.15</v>
      </c>
      <c r="D142">
        <v>0.45</v>
      </c>
      <c r="E142">
        <v>0.15</v>
      </c>
      <c r="F142">
        <v>0.15</v>
      </c>
      <c r="G142">
        <v>0.15</v>
      </c>
    </row>
    <row r="143" spans="1:7">
      <c r="A143">
        <v>3048</v>
      </c>
      <c r="B143" s="107" t="s">
        <v>1482</v>
      </c>
      <c r="C143">
        <v>0</v>
      </c>
      <c r="D143">
        <v>0</v>
      </c>
      <c r="E143" s="107" t="s">
        <v>235</v>
      </c>
      <c r="F143" s="107" t="s">
        <v>235</v>
      </c>
      <c r="G143" s="107" t="s">
        <v>235</v>
      </c>
    </row>
    <row r="144" spans="1:7">
      <c r="A144">
        <v>3064</v>
      </c>
      <c r="B144" s="107" t="s">
        <v>1483</v>
      </c>
      <c r="C144">
        <v>0</v>
      </c>
      <c r="D144">
        <v>0</v>
      </c>
      <c r="E144" s="107">
        <v>0.05</v>
      </c>
      <c r="F144" s="107">
        <v>0.05</v>
      </c>
      <c r="G144" s="107">
        <v>0.05</v>
      </c>
    </row>
    <row r="145" spans="1:7">
      <c r="A145">
        <v>3067</v>
      </c>
      <c r="B145" s="107" t="s">
        <v>1484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>
      <c r="A146">
        <v>3079</v>
      </c>
      <c r="B146" s="107" t="s">
        <v>1485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>
      <c r="A147">
        <v>3082</v>
      </c>
      <c r="B147" s="107" t="s">
        <v>1486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>
      <c r="A148">
        <v>3086</v>
      </c>
      <c r="B148" s="107" t="s">
        <v>1487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>
      <c r="A149">
        <v>3088</v>
      </c>
      <c r="B149" s="107" t="s">
        <v>1488</v>
      </c>
      <c r="C149">
        <v>0.1</v>
      </c>
      <c r="D149">
        <v>0.3</v>
      </c>
      <c r="E149">
        <v>0.1</v>
      </c>
      <c r="F149">
        <v>0.1</v>
      </c>
      <c r="G149">
        <v>0.1</v>
      </c>
    </row>
    <row r="150" spans="1:7">
      <c r="A150">
        <v>3092</v>
      </c>
      <c r="B150" s="107" t="s">
        <v>1489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>
      <c r="A151">
        <v>3099</v>
      </c>
      <c r="B151" s="107" t="s">
        <v>64</v>
      </c>
      <c r="C151">
        <v>0</v>
      </c>
      <c r="D151">
        <v>0.15</v>
      </c>
      <c r="E151">
        <v>0</v>
      </c>
      <c r="F151">
        <v>0.05</v>
      </c>
      <c r="G151">
        <v>0</v>
      </c>
    </row>
    <row r="152" spans="1:7">
      <c r="A152">
        <v>3101</v>
      </c>
      <c r="B152" s="107" t="s">
        <v>1326</v>
      </c>
      <c r="C152">
        <v>0.05</v>
      </c>
      <c r="D152">
        <v>0.15</v>
      </c>
      <c r="E152">
        <v>0.05</v>
      </c>
      <c r="F152">
        <v>0</v>
      </c>
      <c r="G152">
        <v>0.05</v>
      </c>
    </row>
    <row r="153" spans="1:7">
      <c r="A153">
        <v>3103</v>
      </c>
      <c r="B153" s="107" t="s">
        <v>1490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>
      <c r="A154">
        <v>3104</v>
      </c>
      <c r="B154" s="107" t="s">
        <v>1491</v>
      </c>
      <c r="C154">
        <v>0.1</v>
      </c>
      <c r="D154">
        <v>0.3</v>
      </c>
      <c r="E154">
        <v>0.05</v>
      </c>
      <c r="F154">
        <v>0.1</v>
      </c>
      <c r="G154">
        <v>0.1</v>
      </c>
    </row>
    <row r="155" spans="1:7">
      <c r="A155">
        <v>3105</v>
      </c>
      <c r="B155" s="107" t="s">
        <v>90</v>
      </c>
      <c r="C155">
        <v>0</v>
      </c>
      <c r="D155">
        <v>0</v>
      </c>
      <c r="E155" s="107" t="s">
        <v>235</v>
      </c>
      <c r="F155" s="107" t="s">
        <v>235</v>
      </c>
      <c r="G155">
        <v>0.05</v>
      </c>
    </row>
    <row r="156" spans="1:7">
      <c r="A156">
        <v>3106</v>
      </c>
      <c r="B156" s="107" t="s">
        <v>1492</v>
      </c>
      <c r="C156">
        <v>0.05</v>
      </c>
      <c r="D156">
        <v>0.15</v>
      </c>
      <c r="E156" s="107">
        <v>0.05</v>
      </c>
      <c r="F156" s="107">
        <v>0.05</v>
      </c>
      <c r="G156">
        <v>0.05</v>
      </c>
    </row>
    <row r="157" spans="1:7">
      <c r="A157">
        <v>3110</v>
      </c>
      <c r="B157" s="107" t="s">
        <v>1305</v>
      </c>
      <c r="C157">
        <v>0.1</v>
      </c>
      <c r="D157">
        <v>0.3</v>
      </c>
      <c r="E157">
        <v>0.1</v>
      </c>
      <c r="F157">
        <v>0.1</v>
      </c>
      <c r="G157">
        <v>0.1</v>
      </c>
    </row>
    <row r="158" spans="1:7">
      <c r="A158">
        <v>3116</v>
      </c>
      <c r="B158" s="107" t="s">
        <v>125</v>
      </c>
      <c r="C158">
        <v>0.05</v>
      </c>
      <c r="D158">
        <v>0.15</v>
      </c>
      <c r="E158">
        <v>0.05</v>
      </c>
      <c r="F158">
        <v>0.05</v>
      </c>
      <c r="G158">
        <v>0.05</v>
      </c>
    </row>
    <row r="159" spans="1:7">
      <c r="A159">
        <v>3132</v>
      </c>
      <c r="B159" s="107" t="s">
        <v>1493</v>
      </c>
      <c r="C159">
        <v>0.05</v>
      </c>
      <c r="D159">
        <v>0.15</v>
      </c>
      <c r="E159">
        <v>0.05</v>
      </c>
      <c r="F159">
        <v>0.05</v>
      </c>
      <c r="G159">
        <v>0.05</v>
      </c>
    </row>
    <row r="160" spans="1:7">
      <c r="A160">
        <v>3141</v>
      </c>
      <c r="B160" s="107" t="s">
        <v>1494</v>
      </c>
      <c r="C160">
        <v>0.15</v>
      </c>
      <c r="D160">
        <v>0.45</v>
      </c>
      <c r="E160">
        <v>0.15</v>
      </c>
      <c r="F160">
        <v>0.15</v>
      </c>
      <c r="G160">
        <v>0.15</v>
      </c>
    </row>
    <row r="161" spans="1:7">
      <c r="A161">
        <v>3148</v>
      </c>
      <c r="B161" s="107" t="s">
        <v>1495</v>
      </c>
      <c r="C161">
        <v>0.05</v>
      </c>
      <c r="D161">
        <v>0.15</v>
      </c>
      <c r="E161">
        <v>0.05</v>
      </c>
      <c r="F161">
        <v>0.05</v>
      </c>
      <c r="G161">
        <v>0.05</v>
      </c>
    </row>
    <row r="162" spans="1:7">
      <c r="A162">
        <v>3151</v>
      </c>
      <c r="B162" s="107" t="s">
        <v>1496</v>
      </c>
      <c r="C162">
        <v>0.05</v>
      </c>
      <c r="D162">
        <v>0</v>
      </c>
      <c r="E162">
        <v>0.05</v>
      </c>
      <c r="F162">
        <v>0</v>
      </c>
      <c r="G162">
        <v>0</v>
      </c>
    </row>
    <row r="163" spans="1:7">
      <c r="A163">
        <v>3154</v>
      </c>
      <c r="B163" s="107" t="s">
        <v>1497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>
      <c r="A164">
        <v>3159</v>
      </c>
      <c r="B164" s="107" t="s">
        <v>1498</v>
      </c>
      <c r="C164">
        <v>0.05</v>
      </c>
      <c r="D164">
        <v>0.15</v>
      </c>
      <c r="E164">
        <v>0.05</v>
      </c>
      <c r="F164">
        <v>0.05</v>
      </c>
      <c r="G164">
        <v>0.05</v>
      </c>
    </row>
    <row r="165" spans="1:7">
      <c r="A165">
        <v>3160</v>
      </c>
      <c r="B165" s="107" t="s">
        <v>1499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>
      <c r="A166">
        <v>3166</v>
      </c>
      <c r="B166" s="107" t="s">
        <v>1500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>
      <c r="A167">
        <v>3167</v>
      </c>
      <c r="B167" s="107" t="s">
        <v>1501</v>
      </c>
      <c r="C167">
        <v>0.05</v>
      </c>
      <c r="D167">
        <v>0.15</v>
      </c>
      <c r="E167">
        <v>0.05</v>
      </c>
      <c r="F167">
        <v>0</v>
      </c>
      <c r="G167">
        <v>0</v>
      </c>
    </row>
    <row r="168" spans="1:7">
      <c r="A168">
        <v>3168</v>
      </c>
      <c r="B168" s="107" t="s">
        <v>1502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>
      <c r="A169">
        <v>3176</v>
      </c>
      <c r="B169" s="107" t="s">
        <v>1503</v>
      </c>
      <c r="C169">
        <v>0</v>
      </c>
      <c r="D169" s="107" t="s">
        <v>235</v>
      </c>
      <c r="E169">
        <v>0</v>
      </c>
      <c r="F169" s="107" t="s">
        <v>235</v>
      </c>
      <c r="G169" s="107" t="s">
        <v>235</v>
      </c>
    </row>
    <row r="170" spans="1:7">
      <c r="A170">
        <v>3178</v>
      </c>
      <c r="B170" s="107" t="s">
        <v>1504</v>
      </c>
      <c r="C170">
        <v>0</v>
      </c>
      <c r="D170" s="107">
        <v>0</v>
      </c>
      <c r="E170">
        <v>0</v>
      </c>
      <c r="F170" s="107">
        <v>0</v>
      </c>
      <c r="G170" s="107">
        <v>0</v>
      </c>
    </row>
    <row r="171" spans="1:7">
      <c r="A171">
        <v>3179</v>
      </c>
      <c r="B171" s="107" t="s">
        <v>1505</v>
      </c>
      <c r="C171">
        <v>0</v>
      </c>
      <c r="D171">
        <v>0</v>
      </c>
      <c r="E171">
        <v>0</v>
      </c>
      <c r="F171">
        <v>0</v>
      </c>
      <c r="G171" s="107" t="s">
        <v>235</v>
      </c>
    </row>
    <row r="172" spans="1:7">
      <c r="A172">
        <v>3180</v>
      </c>
      <c r="B172" s="107" t="s">
        <v>1506</v>
      </c>
      <c r="C172">
        <v>0</v>
      </c>
      <c r="D172">
        <v>0.15</v>
      </c>
      <c r="E172">
        <v>0.05</v>
      </c>
      <c r="F172">
        <v>0.05</v>
      </c>
      <c r="G172" s="107" t="s">
        <v>235</v>
      </c>
    </row>
    <row r="173" spans="1:7">
      <c r="A173">
        <v>3183</v>
      </c>
      <c r="B173" s="107" t="s">
        <v>1507</v>
      </c>
      <c r="C173">
        <v>0.05</v>
      </c>
      <c r="D173">
        <v>0.15</v>
      </c>
      <c r="E173">
        <v>0.05</v>
      </c>
      <c r="F173">
        <v>0.05</v>
      </c>
      <c r="G173" s="107">
        <v>0.05</v>
      </c>
    </row>
    <row r="174" spans="1:7">
      <c r="A174">
        <v>3186</v>
      </c>
      <c r="B174" s="107" t="s">
        <v>1508</v>
      </c>
      <c r="C174">
        <v>0.05</v>
      </c>
      <c r="D174">
        <v>0</v>
      </c>
      <c r="E174">
        <v>0.05</v>
      </c>
      <c r="F174">
        <v>0</v>
      </c>
      <c r="G174">
        <v>0.05</v>
      </c>
    </row>
    <row r="175" spans="1:7">
      <c r="A175">
        <v>3191</v>
      </c>
      <c r="B175" s="107" t="s">
        <v>1509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>
      <c r="A176">
        <v>3193</v>
      </c>
      <c r="B176" s="107" t="s">
        <v>1510</v>
      </c>
      <c r="C176">
        <v>0.5</v>
      </c>
      <c r="D176">
        <v>1.65</v>
      </c>
      <c r="E176">
        <v>0.1</v>
      </c>
      <c r="F176">
        <v>0.05</v>
      </c>
      <c r="G176">
        <v>0</v>
      </c>
    </row>
    <row r="177" spans="1:7">
      <c r="A177">
        <v>3197</v>
      </c>
      <c r="B177" s="107" t="s">
        <v>1511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>
      <c r="A178">
        <v>3201</v>
      </c>
      <c r="B178" s="107" t="s">
        <v>1512</v>
      </c>
      <c r="C178">
        <v>0.05</v>
      </c>
      <c r="D178">
        <v>0.15</v>
      </c>
      <c r="E178">
        <v>0.05</v>
      </c>
      <c r="F178">
        <v>0.05</v>
      </c>
      <c r="G178">
        <v>0.05</v>
      </c>
    </row>
    <row r="179" spans="1:7">
      <c r="A179">
        <v>3204</v>
      </c>
      <c r="B179" s="107" t="s">
        <v>1513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>
      <c r="A180">
        <v>3205</v>
      </c>
      <c r="B180" s="107" t="s">
        <v>1514</v>
      </c>
      <c r="C180">
        <v>0.05</v>
      </c>
      <c r="D180">
        <v>0.15</v>
      </c>
      <c r="E180">
        <v>0</v>
      </c>
      <c r="F180">
        <v>0.05</v>
      </c>
      <c r="G180">
        <v>0</v>
      </c>
    </row>
    <row r="181" spans="1:7">
      <c r="A181">
        <v>3222</v>
      </c>
      <c r="B181" s="107" t="s">
        <v>1515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>
      <c r="A182">
        <v>3231</v>
      </c>
      <c r="B182" s="107" t="s">
        <v>963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>
      <c r="A183">
        <v>3232</v>
      </c>
      <c r="B183" s="107" t="s">
        <v>1516</v>
      </c>
      <c r="C183">
        <v>0.05</v>
      </c>
      <c r="D183">
        <v>0.15</v>
      </c>
      <c r="E183">
        <v>0.05</v>
      </c>
      <c r="F183">
        <v>0</v>
      </c>
      <c r="G183">
        <v>0.05</v>
      </c>
    </row>
    <row r="184" spans="1:7">
      <c r="A184">
        <v>3244</v>
      </c>
      <c r="B184" s="107" t="s">
        <v>1517</v>
      </c>
      <c r="C184">
        <v>0</v>
      </c>
      <c r="D184" s="107" t="s">
        <v>235</v>
      </c>
      <c r="E184">
        <v>0</v>
      </c>
      <c r="F184">
        <v>0</v>
      </c>
      <c r="G184">
        <v>0</v>
      </c>
    </row>
    <row r="185" spans="1:7">
      <c r="A185">
        <v>3254</v>
      </c>
      <c r="B185" s="107" t="s">
        <v>1518</v>
      </c>
      <c r="C185">
        <v>0.05</v>
      </c>
      <c r="D185" s="107">
        <v>0.15</v>
      </c>
      <c r="E185">
        <v>0.05</v>
      </c>
      <c r="F185">
        <v>0.05</v>
      </c>
      <c r="G185">
        <v>0.05</v>
      </c>
    </row>
    <row r="186" spans="1:7">
      <c r="A186">
        <v>3271</v>
      </c>
      <c r="B186" s="107" t="s">
        <v>1519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3276</v>
      </c>
      <c r="B187" s="107" t="s">
        <v>1520</v>
      </c>
      <c r="C187">
        <v>0.05</v>
      </c>
      <c r="D187">
        <v>0.15</v>
      </c>
      <c r="E187">
        <v>0.05</v>
      </c>
      <c r="F187">
        <v>0.05</v>
      </c>
      <c r="G187">
        <v>0.05</v>
      </c>
    </row>
    <row r="188" spans="1:7">
      <c r="A188">
        <v>3284</v>
      </c>
      <c r="B188" s="107" t="s">
        <v>1521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>
      <c r="A189">
        <v>3289</v>
      </c>
      <c r="B189" s="107" t="s">
        <v>1522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>
      <c r="A190">
        <v>3291</v>
      </c>
      <c r="B190" s="107" t="s">
        <v>113</v>
      </c>
      <c r="C190">
        <v>0.05</v>
      </c>
      <c r="D190">
        <v>0.15</v>
      </c>
      <c r="E190">
        <v>0.05</v>
      </c>
      <c r="F190">
        <v>0.05</v>
      </c>
      <c r="G190">
        <v>0.05</v>
      </c>
    </row>
    <row r="191" spans="1:7">
      <c r="A191">
        <v>3294</v>
      </c>
      <c r="B191" s="107" t="s">
        <v>1523</v>
      </c>
      <c r="C191">
        <v>0</v>
      </c>
      <c r="D191" s="107" t="s">
        <v>235</v>
      </c>
      <c r="E191">
        <v>0</v>
      </c>
      <c r="F191" s="107" t="s">
        <v>235</v>
      </c>
      <c r="G191">
        <v>0</v>
      </c>
    </row>
    <row r="192" spans="1:7">
      <c r="A192">
        <v>3299</v>
      </c>
      <c r="B192" s="107" t="s">
        <v>1524</v>
      </c>
      <c r="C192">
        <v>0.05</v>
      </c>
      <c r="D192" s="107">
        <v>0.15</v>
      </c>
      <c r="E192">
        <v>0.05</v>
      </c>
      <c r="F192" s="107">
        <v>0.05</v>
      </c>
      <c r="G192">
        <v>0.05</v>
      </c>
    </row>
    <row r="193" spans="1:7">
      <c r="A193">
        <v>3349</v>
      </c>
      <c r="B193" s="107" t="s">
        <v>1525</v>
      </c>
      <c r="C193">
        <v>0.45</v>
      </c>
      <c r="D193">
        <v>1.35</v>
      </c>
      <c r="E193">
        <v>0.45</v>
      </c>
      <c r="F193">
        <v>0.4</v>
      </c>
      <c r="G193">
        <v>0.4</v>
      </c>
    </row>
    <row r="194" spans="1:7">
      <c r="A194">
        <v>3371</v>
      </c>
      <c r="B194" s="107" t="s">
        <v>1526</v>
      </c>
      <c r="C194">
        <v>0</v>
      </c>
      <c r="D194">
        <v>0</v>
      </c>
      <c r="E194" s="107" t="s">
        <v>235</v>
      </c>
      <c r="F194">
        <v>0</v>
      </c>
      <c r="G194" s="107" t="s">
        <v>235</v>
      </c>
    </row>
    <row r="195" spans="1:7">
      <c r="A195">
        <v>3382</v>
      </c>
      <c r="B195" s="107" t="s">
        <v>1527</v>
      </c>
      <c r="C195">
        <v>0</v>
      </c>
      <c r="D195">
        <v>0.3</v>
      </c>
      <c r="E195" s="107">
        <v>0</v>
      </c>
      <c r="F195">
        <v>0</v>
      </c>
      <c r="G195" s="107">
        <v>0</v>
      </c>
    </row>
    <row r="196" spans="1:7">
      <c r="A196">
        <v>3387</v>
      </c>
      <c r="B196" s="107" t="s">
        <v>1528</v>
      </c>
      <c r="C196">
        <v>0.05</v>
      </c>
      <c r="D196">
        <v>0.15</v>
      </c>
      <c r="E196">
        <v>0.05</v>
      </c>
      <c r="F196">
        <v>0.05</v>
      </c>
      <c r="G196">
        <v>0.05</v>
      </c>
    </row>
    <row r="197" spans="1:7">
      <c r="A197">
        <v>3391</v>
      </c>
      <c r="B197" s="107" t="s">
        <v>1529</v>
      </c>
      <c r="C197">
        <v>0.25</v>
      </c>
      <c r="D197">
        <v>0.75</v>
      </c>
      <c r="E197">
        <v>0.25</v>
      </c>
      <c r="F197">
        <v>0.25</v>
      </c>
      <c r="G197">
        <v>0.25</v>
      </c>
    </row>
    <row r="198" spans="1:7">
      <c r="A198">
        <v>3393</v>
      </c>
      <c r="B198" s="107" t="s">
        <v>1530</v>
      </c>
      <c r="C198">
        <v>0</v>
      </c>
      <c r="D198" s="107" t="s">
        <v>235</v>
      </c>
      <c r="E198" s="107" t="s">
        <v>235</v>
      </c>
      <c r="F198" s="107" t="s">
        <v>235</v>
      </c>
      <c r="G198" s="107" t="s">
        <v>235</v>
      </c>
    </row>
    <row r="199" spans="1:7">
      <c r="A199">
        <v>3397</v>
      </c>
      <c r="B199" s="107" t="s">
        <v>1531</v>
      </c>
      <c r="C199">
        <v>0.05</v>
      </c>
      <c r="D199" s="107">
        <v>0.15</v>
      </c>
      <c r="E199" s="107">
        <v>0.05</v>
      </c>
      <c r="F199" s="107">
        <v>0.05</v>
      </c>
      <c r="G199" s="107">
        <v>0.05</v>
      </c>
    </row>
    <row r="200" spans="1:7">
      <c r="A200">
        <v>3401</v>
      </c>
      <c r="B200" s="107" t="s">
        <v>1532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>
      <c r="A201">
        <v>3407</v>
      </c>
      <c r="B201" s="107" t="s">
        <v>1342</v>
      </c>
      <c r="C201">
        <v>0</v>
      </c>
      <c r="D201">
        <v>0</v>
      </c>
      <c r="E201">
        <v>0</v>
      </c>
      <c r="F201">
        <v>0</v>
      </c>
      <c r="G201" s="107" t="s">
        <v>235</v>
      </c>
    </row>
    <row r="202" spans="1:7">
      <c r="A202">
        <v>3415</v>
      </c>
      <c r="B202" s="107" t="s">
        <v>1533</v>
      </c>
      <c r="C202">
        <v>0</v>
      </c>
      <c r="D202">
        <v>0</v>
      </c>
      <c r="E202">
        <v>0</v>
      </c>
      <c r="F202">
        <v>0</v>
      </c>
      <c r="G202" s="107">
        <v>0</v>
      </c>
    </row>
    <row r="203" spans="1:7">
      <c r="A203">
        <v>3433</v>
      </c>
      <c r="B203" s="107" t="s">
        <v>1534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>
      <c r="A204">
        <v>3436</v>
      </c>
      <c r="B204" s="107" t="s">
        <v>1535</v>
      </c>
      <c r="C204">
        <v>0</v>
      </c>
      <c r="D204">
        <v>0</v>
      </c>
      <c r="E204" s="107" t="s">
        <v>235</v>
      </c>
      <c r="F204">
        <v>0</v>
      </c>
      <c r="G204" s="107" t="s">
        <v>235</v>
      </c>
    </row>
    <row r="205" spans="1:7">
      <c r="A205">
        <v>3454</v>
      </c>
      <c r="B205" s="107" t="s">
        <v>1536</v>
      </c>
      <c r="C205">
        <v>0</v>
      </c>
      <c r="D205">
        <v>0</v>
      </c>
      <c r="E205" s="107">
        <v>0</v>
      </c>
      <c r="F205">
        <v>0</v>
      </c>
      <c r="G205" s="107">
        <v>0</v>
      </c>
    </row>
    <row r="206" spans="1:7">
      <c r="A206">
        <v>3457</v>
      </c>
      <c r="B206" s="107" t="s">
        <v>1537</v>
      </c>
      <c r="C206">
        <v>0</v>
      </c>
      <c r="D206" s="107" t="s">
        <v>235</v>
      </c>
      <c r="E206">
        <v>0</v>
      </c>
      <c r="F206" s="107" t="s">
        <v>235</v>
      </c>
      <c r="G206" s="107" t="s">
        <v>235</v>
      </c>
    </row>
    <row r="207" spans="1:7">
      <c r="A207">
        <v>3484</v>
      </c>
      <c r="B207" s="107" t="s">
        <v>1538</v>
      </c>
      <c r="C207">
        <v>0.05</v>
      </c>
      <c r="D207" s="107">
        <v>0.15</v>
      </c>
      <c r="E207">
        <v>0.05</v>
      </c>
      <c r="F207" s="107">
        <v>0.05</v>
      </c>
      <c r="G207" s="107">
        <v>0.05</v>
      </c>
    </row>
    <row r="208" spans="1:7">
      <c r="A208">
        <v>3501</v>
      </c>
      <c r="B208" s="107" t="s">
        <v>1539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>
      <c r="A209">
        <v>3529</v>
      </c>
      <c r="B209" s="107" t="s">
        <v>1540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>
      <c r="A210">
        <v>3538</v>
      </c>
      <c r="B210" s="107" t="s">
        <v>1541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>
      <c r="A211">
        <v>3539</v>
      </c>
      <c r="B211" s="107" t="s">
        <v>1542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>
      <c r="A212">
        <v>3544</v>
      </c>
      <c r="B212" s="107" t="s">
        <v>1543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>
      <c r="A213">
        <v>3547</v>
      </c>
      <c r="B213" s="107" t="s">
        <v>1544</v>
      </c>
      <c r="C213">
        <v>0.05</v>
      </c>
      <c r="D213">
        <v>0.15</v>
      </c>
      <c r="E213">
        <v>0.05</v>
      </c>
      <c r="F213">
        <v>0.05</v>
      </c>
      <c r="G213">
        <v>0.05</v>
      </c>
    </row>
    <row r="214" spans="1:7">
      <c r="A214">
        <v>3549</v>
      </c>
      <c r="B214" s="107" t="s">
        <v>1545</v>
      </c>
      <c r="C214">
        <v>0</v>
      </c>
      <c r="D214">
        <v>0.15</v>
      </c>
      <c r="E214">
        <v>0.15</v>
      </c>
      <c r="F214">
        <v>0.15</v>
      </c>
      <c r="G214">
        <v>0.15</v>
      </c>
    </row>
    <row r="215" spans="1:7">
      <c r="A215">
        <v>3569</v>
      </c>
      <c r="B215" s="107" t="s">
        <v>1546</v>
      </c>
      <c r="C215">
        <v>0</v>
      </c>
      <c r="D215">
        <v>0</v>
      </c>
      <c r="E215">
        <v>0.05</v>
      </c>
      <c r="F215">
        <v>0.05</v>
      </c>
      <c r="G215">
        <v>0.05</v>
      </c>
    </row>
    <row r="216" spans="1:7">
      <c r="A216">
        <v>3571</v>
      </c>
      <c r="B216" s="107" t="s">
        <v>1547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>
      <c r="A217">
        <v>3580</v>
      </c>
      <c r="B217" s="107" t="s">
        <v>1548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>
      <c r="A218">
        <v>3591</v>
      </c>
      <c r="B218" s="107" t="s">
        <v>1549</v>
      </c>
      <c r="C218">
        <v>0.05</v>
      </c>
      <c r="D218">
        <v>0.15</v>
      </c>
      <c r="E218">
        <v>0.05</v>
      </c>
      <c r="F218">
        <v>0.05</v>
      </c>
      <c r="G218">
        <v>0.05</v>
      </c>
    </row>
    <row r="219" spans="1:7">
      <c r="A219">
        <v>3593</v>
      </c>
      <c r="B219" s="107" t="s">
        <v>1550</v>
      </c>
      <c r="C219">
        <v>0.1</v>
      </c>
      <c r="D219">
        <v>0.3</v>
      </c>
      <c r="E219">
        <v>0.1</v>
      </c>
      <c r="F219">
        <v>0.1</v>
      </c>
      <c r="G219">
        <v>0.1</v>
      </c>
    </row>
    <row r="220" spans="1:7">
      <c r="A220">
        <v>3606</v>
      </c>
      <c r="B220" s="107" t="s">
        <v>1551</v>
      </c>
      <c r="C220">
        <v>0</v>
      </c>
      <c r="D220">
        <v>0</v>
      </c>
      <c r="E220">
        <v>0</v>
      </c>
      <c r="F220">
        <v>0</v>
      </c>
      <c r="G220" s="107" t="s">
        <v>235</v>
      </c>
    </row>
    <row r="221" spans="1:7">
      <c r="A221">
        <v>3612</v>
      </c>
      <c r="B221" s="107" t="s">
        <v>1552</v>
      </c>
      <c r="C221">
        <v>0</v>
      </c>
      <c r="D221">
        <v>0.15</v>
      </c>
      <c r="E221">
        <v>0</v>
      </c>
      <c r="F221">
        <v>0.05</v>
      </c>
      <c r="G221" s="107">
        <v>0</v>
      </c>
    </row>
    <row r="222" spans="1:7">
      <c r="A222">
        <v>3627</v>
      </c>
      <c r="B222" s="107" t="s">
        <v>1553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>
      <c r="A223">
        <v>3632</v>
      </c>
      <c r="B223" s="107" t="s">
        <v>1554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>
      <c r="A224">
        <v>3635</v>
      </c>
      <c r="B224" s="107" t="s">
        <v>85</v>
      </c>
      <c r="C224">
        <v>0.05</v>
      </c>
      <c r="D224">
        <v>0.15</v>
      </c>
      <c r="E224">
        <v>0.05</v>
      </c>
      <c r="F224">
        <v>0.05</v>
      </c>
      <c r="G224" s="107" t="s">
        <v>235</v>
      </c>
    </row>
    <row r="225" spans="1:7">
      <c r="A225">
        <v>3639</v>
      </c>
      <c r="B225" s="107" t="s">
        <v>1555</v>
      </c>
      <c r="C225">
        <v>0</v>
      </c>
      <c r="D225" s="107" t="s">
        <v>235</v>
      </c>
      <c r="E225">
        <v>0</v>
      </c>
      <c r="F225">
        <v>0</v>
      </c>
      <c r="G225" s="107">
        <v>0</v>
      </c>
    </row>
    <row r="226" spans="1:7">
      <c r="A226">
        <v>3640</v>
      </c>
      <c r="B226" s="107" t="s">
        <v>1556</v>
      </c>
      <c r="C226">
        <v>0.05</v>
      </c>
      <c r="D226" s="107">
        <v>0.15</v>
      </c>
      <c r="E226">
        <v>0.05</v>
      </c>
      <c r="F226">
        <v>0.05</v>
      </c>
      <c r="G226">
        <v>0.05</v>
      </c>
    </row>
    <row r="227" spans="1:7">
      <c r="A227">
        <v>3648</v>
      </c>
      <c r="B227" s="107" t="s">
        <v>1557</v>
      </c>
      <c r="C227">
        <v>0</v>
      </c>
      <c r="D227">
        <v>0.15</v>
      </c>
      <c r="E227">
        <v>0</v>
      </c>
      <c r="F227">
        <v>0</v>
      </c>
      <c r="G227">
        <v>0</v>
      </c>
    </row>
    <row r="228" spans="1:7">
      <c r="A228">
        <v>3655</v>
      </c>
      <c r="B228" s="107" t="s">
        <v>1558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>
      <c r="A229">
        <v>3656</v>
      </c>
      <c r="B229" s="107" t="s">
        <v>1559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>
      <c r="A230">
        <v>3659</v>
      </c>
      <c r="B230" s="107" t="s">
        <v>1560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3660</v>
      </c>
      <c r="B231" s="107" t="s">
        <v>1561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>
      <c r="A232">
        <v>3661</v>
      </c>
      <c r="B232" s="107" t="s">
        <v>1562</v>
      </c>
      <c r="C232">
        <v>0.05</v>
      </c>
      <c r="D232">
        <v>0.3</v>
      </c>
      <c r="E232">
        <v>0.05</v>
      </c>
      <c r="F232">
        <v>0.05</v>
      </c>
      <c r="G232">
        <v>0.05</v>
      </c>
    </row>
    <row r="233" spans="1:7">
      <c r="A233">
        <v>3662</v>
      </c>
      <c r="B233" s="107" t="s">
        <v>1563</v>
      </c>
      <c r="C233">
        <v>0</v>
      </c>
      <c r="D233" s="107" t="s">
        <v>235</v>
      </c>
      <c r="E233">
        <v>0.05</v>
      </c>
      <c r="F233">
        <v>0</v>
      </c>
      <c r="G233">
        <v>0</v>
      </c>
    </row>
    <row r="234" spans="1:7">
      <c r="A234">
        <v>3668</v>
      </c>
      <c r="B234" s="107" t="s">
        <v>1564</v>
      </c>
      <c r="C234">
        <v>0.05</v>
      </c>
      <c r="D234" s="107">
        <v>0.15</v>
      </c>
      <c r="E234">
        <v>0.05</v>
      </c>
      <c r="F234">
        <v>0.05</v>
      </c>
      <c r="G234">
        <v>0.05</v>
      </c>
    </row>
    <row r="235" spans="1:7">
      <c r="A235">
        <v>3678</v>
      </c>
      <c r="B235" s="107" t="s">
        <v>1565</v>
      </c>
      <c r="C235">
        <v>0.1</v>
      </c>
      <c r="D235">
        <v>0.3</v>
      </c>
      <c r="E235">
        <v>0.1</v>
      </c>
      <c r="F235">
        <v>0.1</v>
      </c>
      <c r="G235">
        <v>0.1</v>
      </c>
    </row>
    <row r="236" spans="1:7">
      <c r="A236">
        <v>3681</v>
      </c>
      <c r="B236" s="107" t="s">
        <v>1566</v>
      </c>
      <c r="C236">
        <v>0.05</v>
      </c>
      <c r="D236">
        <v>0</v>
      </c>
      <c r="E236">
        <v>0.05</v>
      </c>
      <c r="F236">
        <v>0.05</v>
      </c>
      <c r="G236">
        <v>0.05</v>
      </c>
    </row>
    <row r="237" spans="1:7">
      <c r="A237">
        <v>3683</v>
      </c>
      <c r="B237" s="107" t="s">
        <v>1567</v>
      </c>
      <c r="C237">
        <v>0</v>
      </c>
      <c r="D237" s="107" t="s">
        <v>235</v>
      </c>
      <c r="E237">
        <v>0</v>
      </c>
      <c r="F237" s="107" t="s">
        <v>235</v>
      </c>
      <c r="G237" s="107" t="s">
        <v>235</v>
      </c>
    </row>
    <row r="238" spans="1:7">
      <c r="A238">
        <v>3694</v>
      </c>
      <c r="B238" s="107" t="s">
        <v>1568</v>
      </c>
      <c r="C238">
        <v>0.05</v>
      </c>
      <c r="D238" s="107">
        <v>0.15</v>
      </c>
      <c r="E238">
        <v>0.05</v>
      </c>
      <c r="F238" s="107">
        <v>0.1</v>
      </c>
      <c r="G238" s="107">
        <v>0.05</v>
      </c>
    </row>
    <row r="239" spans="1:7">
      <c r="A239">
        <v>3697</v>
      </c>
      <c r="B239" s="107" t="s">
        <v>1569</v>
      </c>
      <c r="C239">
        <v>0.15</v>
      </c>
      <c r="D239">
        <v>0.6</v>
      </c>
      <c r="E239">
        <v>0.15</v>
      </c>
      <c r="F239">
        <v>0.15</v>
      </c>
      <c r="G239">
        <v>0.15</v>
      </c>
    </row>
    <row r="240" spans="1:7">
      <c r="A240">
        <v>3708</v>
      </c>
      <c r="B240" s="107" t="s">
        <v>1570</v>
      </c>
      <c r="C240">
        <v>0.1</v>
      </c>
      <c r="D240">
        <v>0.3</v>
      </c>
      <c r="E240">
        <v>0.1</v>
      </c>
      <c r="F240">
        <v>0.1</v>
      </c>
      <c r="G240">
        <v>0.1</v>
      </c>
    </row>
    <row r="241" spans="1:7">
      <c r="A241">
        <v>3738</v>
      </c>
      <c r="B241" s="107" t="s">
        <v>1571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>
      <c r="A242">
        <v>3774</v>
      </c>
      <c r="B242" s="107" t="s">
        <v>1572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>
      <c r="A243">
        <v>3778</v>
      </c>
      <c r="B243" s="107" t="s">
        <v>1573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>
      <c r="A244">
        <v>3822</v>
      </c>
      <c r="B244" s="107" t="s">
        <v>1574</v>
      </c>
      <c r="C244">
        <v>0.05</v>
      </c>
      <c r="D244">
        <v>0.3</v>
      </c>
      <c r="E244">
        <v>0.05</v>
      </c>
      <c r="F244">
        <v>0.05</v>
      </c>
      <c r="G244">
        <v>0</v>
      </c>
    </row>
    <row r="245" spans="1:7">
      <c r="A245">
        <v>3844</v>
      </c>
      <c r="B245" s="107" t="s">
        <v>1575</v>
      </c>
      <c r="C245">
        <v>0</v>
      </c>
      <c r="D245" s="107" t="s">
        <v>235</v>
      </c>
      <c r="E245" s="107" t="s">
        <v>235</v>
      </c>
      <c r="F245" s="107" t="s">
        <v>235</v>
      </c>
      <c r="G245" s="107" t="s">
        <v>235</v>
      </c>
    </row>
    <row r="246" spans="1:7">
      <c r="A246">
        <v>3861</v>
      </c>
      <c r="B246" s="107" t="s">
        <v>65</v>
      </c>
      <c r="C246">
        <v>0</v>
      </c>
      <c r="D246" s="107">
        <v>0</v>
      </c>
      <c r="E246" s="107">
        <v>0</v>
      </c>
      <c r="F246" s="107">
        <v>0</v>
      </c>
      <c r="G246" s="107">
        <v>0</v>
      </c>
    </row>
    <row r="247" spans="1:7">
      <c r="A247">
        <v>3865</v>
      </c>
      <c r="B247" s="107" t="s">
        <v>1576</v>
      </c>
      <c r="C247">
        <v>0</v>
      </c>
      <c r="D247">
        <v>0</v>
      </c>
      <c r="E247">
        <v>0</v>
      </c>
      <c r="F247">
        <v>0</v>
      </c>
      <c r="G247" s="107" t="s">
        <v>235</v>
      </c>
    </row>
    <row r="248" spans="1:7">
      <c r="A248">
        <v>3877</v>
      </c>
      <c r="B248" s="107" t="s">
        <v>1577</v>
      </c>
      <c r="C248">
        <v>0</v>
      </c>
      <c r="D248">
        <v>0</v>
      </c>
      <c r="E248">
        <v>0</v>
      </c>
      <c r="F248">
        <v>0</v>
      </c>
      <c r="G248" s="107" t="s">
        <v>235</v>
      </c>
    </row>
    <row r="249" spans="1:7">
      <c r="A249">
        <v>3878</v>
      </c>
      <c r="B249" s="107" t="s">
        <v>1578</v>
      </c>
      <c r="C249">
        <v>0</v>
      </c>
      <c r="D249">
        <v>0.15</v>
      </c>
      <c r="E249">
        <v>0.05</v>
      </c>
      <c r="F249">
        <v>0.05</v>
      </c>
      <c r="G249" s="107">
        <v>0.05</v>
      </c>
    </row>
    <row r="250" spans="1:7">
      <c r="A250">
        <v>3921</v>
      </c>
      <c r="B250" s="107" t="s">
        <v>1579</v>
      </c>
      <c r="C250">
        <v>0</v>
      </c>
      <c r="D250" s="107" t="s">
        <v>235</v>
      </c>
      <c r="E250" s="107" t="s">
        <v>235</v>
      </c>
      <c r="F250" s="107" t="s">
        <v>235</v>
      </c>
      <c r="G250" s="107" t="s">
        <v>235</v>
      </c>
    </row>
    <row r="251" spans="1:7">
      <c r="A251">
        <v>3946</v>
      </c>
      <c r="B251" s="107" t="s">
        <v>1580</v>
      </c>
      <c r="C251">
        <v>0</v>
      </c>
      <c r="D251" s="107">
        <v>0</v>
      </c>
      <c r="E251" s="107" t="s">
        <v>235</v>
      </c>
      <c r="F251" s="107">
        <v>0</v>
      </c>
      <c r="G251" s="107" t="s">
        <v>235</v>
      </c>
    </row>
    <row r="252" spans="1:7">
      <c r="A252">
        <v>3964</v>
      </c>
      <c r="B252" s="107" t="s">
        <v>1581</v>
      </c>
      <c r="C252">
        <v>0.05</v>
      </c>
      <c r="D252">
        <v>0.15</v>
      </c>
      <c r="E252" s="107">
        <v>0.05</v>
      </c>
      <c r="F252">
        <v>0.05</v>
      </c>
      <c r="G252" s="107">
        <v>0.05</v>
      </c>
    </row>
    <row r="253" spans="1:7">
      <c r="A253">
        <v>3968</v>
      </c>
      <c r="B253" s="107" t="s">
        <v>1582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>
      <c r="A254">
        <v>3975</v>
      </c>
      <c r="B254" s="107" t="s">
        <v>1583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>
      <c r="A255">
        <v>3983</v>
      </c>
      <c r="B255" s="107" t="s">
        <v>1584</v>
      </c>
      <c r="C255">
        <v>0.1</v>
      </c>
      <c r="D255">
        <v>1.65</v>
      </c>
      <c r="E255">
        <v>0.1</v>
      </c>
      <c r="F255">
        <v>0.1</v>
      </c>
      <c r="G255">
        <v>0.1</v>
      </c>
    </row>
    <row r="256" spans="1:7">
      <c r="A256">
        <v>3996</v>
      </c>
      <c r="B256" s="107" t="s">
        <v>1585</v>
      </c>
      <c r="C256">
        <v>9.8000000000000007</v>
      </c>
      <c r="D256">
        <v>55.5</v>
      </c>
      <c r="E256">
        <v>20.8</v>
      </c>
      <c r="F256">
        <v>20.8</v>
      </c>
      <c r="G256">
        <v>22.4</v>
      </c>
    </row>
    <row r="257" spans="1:7">
      <c r="A257">
        <v>4022</v>
      </c>
      <c r="B257" s="107" t="s">
        <v>1586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>
      <c r="A258">
        <v>4025</v>
      </c>
      <c r="B258" s="107" t="s">
        <v>1587</v>
      </c>
      <c r="C258">
        <v>0.05</v>
      </c>
      <c r="D258">
        <v>0.15</v>
      </c>
      <c r="E258">
        <v>0.05</v>
      </c>
      <c r="F258">
        <v>0.1</v>
      </c>
      <c r="G258">
        <v>0.05</v>
      </c>
    </row>
    <row r="259" spans="1:7">
      <c r="A259">
        <v>4031</v>
      </c>
      <c r="B259" s="107" t="s">
        <v>1588</v>
      </c>
      <c r="C259">
        <v>0</v>
      </c>
      <c r="D259">
        <v>0</v>
      </c>
      <c r="E259" s="107" t="s">
        <v>235</v>
      </c>
      <c r="F259" s="107" t="s">
        <v>235</v>
      </c>
      <c r="G259" s="107" t="s">
        <v>235</v>
      </c>
    </row>
    <row r="260" spans="1:7">
      <c r="A260">
        <v>4041</v>
      </c>
      <c r="B260" s="107" t="s">
        <v>1589</v>
      </c>
      <c r="C260">
        <v>0.05</v>
      </c>
      <c r="D260">
        <v>0.15</v>
      </c>
      <c r="E260" s="107">
        <v>0</v>
      </c>
      <c r="F260" s="107">
        <v>0.05</v>
      </c>
      <c r="G260" s="107">
        <v>0.05</v>
      </c>
    </row>
    <row r="261" spans="1:7">
      <c r="A261">
        <v>4042</v>
      </c>
      <c r="B261" s="107" t="s">
        <v>1314</v>
      </c>
      <c r="C261">
        <v>0</v>
      </c>
      <c r="D261">
        <v>0.15</v>
      </c>
      <c r="E261">
        <v>0.05</v>
      </c>
      <c r="F261">
        <v>0.05</v>
      </c>
      <c r="G261">
        <v>0.05</v>
      </c>
    </row>
    <row r="262" spans="1:7">
      <c r="A262">
        <v>4043</v>
      </c>
      <c r="B262" s="107" t="s">
        <v>1590</v>
      </c>
      <c r="C262">
        <v>0.05</v>
      </c>
      <c r="D262">
        <v>0.15</v>
      </c>
      <c r="E262">
        <v>0</v>
      </c>
      <c r="F262">
        <v>0.05</v>
      </c>
      <c r="G262">
        <v>0.05</v>
      </c>
    </row>
    <row r="263" spans="1:7">
      <c r="A263">
        <v>4044</v>
      </c>
      <c r="B263" s="107" t="s">
        <v>1591</v>
      </c>
      <c r="C263">
        <v>0.05</v>
      </c>
      <c r="D263">
        <v>0</v>
      </c>
      <c r="E263">
        <v>0</v>
      </c>
      <c r="F263">
        <v>0.05</v>
      </c>
      <c r="G263">
        <v>0.05</v>
      </c>
    </row>
    <row r="264" spans="1:7">
      <c r="A264">
        <v>4045</v>
      </c>
      <c r="B264" s="107" t="s">
        <v>1592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>
      <c r="A265">
        <v>4046</v>
      </c>
      <c r="B265" s="107" t="s">
        <v>1593</v>
      </c>
      <c r="C265">
        <v>0.05</v>
      </c>
      <c r="D265" s="107" t="s">
        <v>235</v>
      </c>
      <c r="E265" s="107" t="s">
        <v>235</v>
      </c>
      <c r="F265" s="107" t="s">
        <v>235</v>
      </c>
      <c r="G265" s="107" t="s">
        <v>235</v>
      </c>
    </row>
    <row r="266" spans="1:7">
      <c r="A266">
        <v>4047</v>
      </c>
      <c r="B266" s="107" t="s">
        <v>1594</v>
      </c>
      <c r="C266">
        <v>0.05</v>
      </c>
      <c r="D266" s="107">
        <v>0</v>
      </c>
      <c r="E266" s="107">
        <v>0.05</v>
      </c>
      <c r="F266" s="107">
        <v>0.05</v>
      </c>
      <c r="G266" s="107">
        <v>0.05</v>
      </c>
    </row>
    <row r="267" spans="1:7">
      <c r="A267">
        <v>4062</v>
      </c>
      <c r="B267" s="107" t="s">
        <v>326</v>
      </c>
      <c r="C267">
        <v>0.05</v>
      </c>
      <c r="D267">
        <v>0.15</v>
      </c>
      <c r="E267">
        <v>0.05</v>
      </c>
      <c r="F267">
        <v>0.05</v>
      </c>
      <c r="G267">
        <v>0.05</v>
      </c>
    </row>
    <row r="268" spans="1:7">
      <c r="A268">
        <v>4091</v>
      </c>
      <c r="B268" s="107" t="s">
        <v>1595</v>
      </c>
      <c r="C268">
        <v>0.05</v>
      </c>
      <c r="D268">
        <v>0</v>
      </c>
      <c r="E268">
        <v>0</v>
      </c>
      <c r="F268">
        <v>0.05</v>
      </c>
      <c r="G268">
        <v>0</v>
      </c>
    </row>
    <row r="269" spans="1:7">
      <c r="A269">
        <v>4092</v>
      </c>
      <c r="B269" s="107" t="s">
        <v>1596</v>
      </c>
      <c r="C269">
        <v>0</v>
      </c>
      <c r="D269">
        <v>0.15</v>
      </c>
      <c r="E269" s="107" t="s">
        <v>235</v>
      </c>
      <c r="F269">
        <v>0.05</v>
      </c>
      <c r="G269">
        <v>0</v>
      </c>
    </row>
    <row r="270" spans="1:7">
      <c r="A270">
        <v>4097</v>
      </c>
      <c r="B270" s="107" t="s">
        <v>1597</v>
      </c>
      <c r="C270">
        <v>0.05</v>
      </c>
      <c r="D270" s="107" t="s">
        <v>235</v>
      </c>
      <c r="E270" s="107" t="s">
        <v>235</v>
      </c>
      <c r="F270" s="107" t="s">
        <v>235</v>
      </c>
      <c r="G270" s="107" t="s">
        <v>235</v>
      </c>
    </row>
    <row r="271" spans="1:7">
      <c r="A271">
        <v>4100</v>
      </c>
      <c r="B271" s="107" t="s">
        <v>1598</v>
      </c>
      <c r="C271">
        <v>0</v>
      </c>
      <c r="D271" s="107">
        <v>0</v>
      </c>
      <c r="E271" s="107">
        <v>0</v>
      </c>
      <c r="F271" s="107">
        <v>0</v>
      </c>
      <c r="G271" s="107">
        <v>0</v>
      </c>
    </row>
    <row r="272" spans="1:7">
      <c r="A272">
        <v>4112</v>
      </c>
      <c r="B272" s="107" t="s">
        <v>1599</v>
      </c>
      <c r="C272">
        <v>0.1</v>
      </c>
      <c r="D272">
        <v>0.3</v>
      </c>
      <c r="E272">
        <v>0.1</v>
      </c>
      <c r="F272">
        <v>0.1</v>
      </c>
      <c r="G272">
        <v>0.1</v>
      </c>
    </row>
    <row r="273" spans="1:7">
      <c r="A273">
        <v>4114</v>
      </c>
      <c r="B273" s="107" t="s">
        <v>1600</v>
      </c>
      <c r="C273">
        <v>0.1</v>
      </c>
      <c r="D273">
        <v>0</v>
      </c>
      <c r="E273">
        <v>0</v>
      </c>
      <c r="F273">
        <v>0</v>
      </c>
      <c r="G273" s="107" t="s">
        <v>235</v>
      </c>
    </row>
    <row r="274" spans="1:7">
      <c r="A274">
        <v>4116</v>
      </c>
      <c r="B274" s="107" t="s">
        <v>1601</v>
      </c>
      <c r="C274">
        <v>0</v>
      </c>
      <c r="D274">
        <v>0</v>
      </c>
      <c r="E274">
        <v>0</v>
      </c>
      <c r="F274">
        <v>0</v>
      </c>
      <c r="G274" s="107">
        <v>0</v>
      </c>
    </row>
    <row r="275" spans="1:7">
      <c r="A275">
        <v>4151</v>
      </c>
      <c r="B275" s="107" t="s">
        <v>1602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>
      <c r="A276">
        <v>4182</v>
      </c>
      <c r="B276" s="107" t="s">
        <v>88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>
      <c r="A277">
        <v>4183</v>
      </c>
      <c r="B277" s="107" t="s">
        <v>301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>
      <c r="A278">
        <v>4186</v>
      </c>
      <c r="B278" s="107" t="s">
        <v>1603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>
      <c r="A279">
        <v>4189</v>
      </c>
      <c r="B279" s="107" t="s">
        <v>1604</v>
      </c>
      <c r="C279">
        <v>0</v>
      </c>
      <c r="D279">
        <v>0</v>
      </c>
      <c r="E279">
        <v>0</v>
      </c>
      <c r="F279">
        <v>0</v>
      </c>
      <c r="G279" s="107" t="s">
        <v>235</v>
      </c>
    </row>
    <row r="280" spans="1:7">
      <c r="A280">
        <v>4202</v>
      </c>
      <c r="B280" s="107" t="s">
        <v>89</v>
      </c>
      <c r="C280">
        <v>0.05</v>
      </c>
      <c r="D280">
        <v>0</v>
      </c>
      <c r="E280">
        <v>0</v>
      </c>
      <c r="F280">
        <v>0</v>
      </c>
      <c r="G280" s="107">
        <v>0</v>
      </c>
    </row>
    <row r="281" spans="1:7">
      <c r="A281">
        <v>4203</v>
      </c>
      <c r="B281" s="107" t="s">
        <v>1605</v>
      </c>
      <c r="C281">
        <v>0.1</v>
      </c>
      <c r="D281">
        <v>0.3</v>
      </c>
      <c r="E281">
        <v>0.1</v>
      </c>
      <c r="F281">
        <v>0.1</v>
      </c>
      <c r="G281">
        <v>0.1</v>
      </c>
    </row>
    <row r="282" spans="1:7">
      <c r="A282">
        <v>4204</v>
      </c>
      <c r="B282" s="107" t="s">
        <v>324</v>
      </c>
      <c r="C282">
        <v>0.05</v>
      </c>
      <c r="D282">
        <v>0</v>
      </c>
      <c r="E282">
        <v>0.05</v>
      </c>
      <c r="F282">
        <v>0</v>
      </c>
      <c r="G282">
        <v>0.05</v>
      </c>
    </row>
    <row r="283" spans="1:7">
      <c r="A283">
        <v>4205</v>
      </c>
      <c r="B283" s="107" t="s">
        <v>1606</v>
      </c>
      <c r="C283">
        <v>0.05</v>
      </c>
      <c r="D283">
        <v>0.15</v>
      </c>
      <c r="E283">
        <v>0.05</v>
      </c>
      <c r="F283">
        <v>0.05</v>
      </c>
      <c r="G283">
        <v>0.05</v>
      </c>
    </row>
    <row r="284" spans="1:7">
      <c r="A284">
        <v>4208</v>
      </c>
      <c r="B284" s="107" t="s">
        <v>98</v>
      </c>
      <c r="C284">
        <v>0.05</v>
      </c>
      <c r="D284">
        <v>0.15</v>
      </c>
      <c r="E284">
        <v>0</v>
      </c>
      <c r="F284">
        <v>0.05</v>
      </c>
      <c r="G284">
        <v>0.05</v>
      </c>
    </row>
    <row r="285" spans="1:7">
      <c r="A285">
        <v>4212</v>
      </c>
      <c r="B285" s="107" t="s">
        <v>1607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>
      <c r="A286">
        <v>4216</v>
      </c>
      <c r="B286" s="107" t="s">
        <v>1608</v>
      </c>
      <c r="C286">
        <v>0.05</v>
      </c>
      <c r="D286">
        <v>0.15</v>
      </c>
      <c r="E286">
        <v>0.05</v>
      </c>
      <c r="F286">
        <v>0.05</v>
      </c>
      <c r="G286">
        <v>0</v>
      </c>
    </row>
    <row r="287" spans="1:7">
      <c r="A287">
        <v>4217</v>
      </c>
      <c r="B287" s="107" t="s">
        <v>1609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4218</v>
      </c>
      <c r="B288" s="107" t="s">
        <v>1610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>
      <c r="A289">
        <v>4272</v>
      </c>
      <c r="B289" s="107" t="s">
        <v>1611</v>
      </c>
      <c r="C289">
        <v>0</v>
      </c>
      <c r="D289">
        <v>0</v>
      </c>
      <c r="E289">
        <v>0</v>
      </c>
      <c r="F289">
        <v>0</v>
      </c>
      <c r="G289">
        <v>0.05</v>
      </c>
    </row>
    <row r="290" spans="1:7">
      <c r="A290">
        <v>4286</v>
      </c>
      <c r="B290" s="107" t="s">
        <v>1612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>
      <c r="A291">
        <v>4290</v>
      </c>
      <c r="B291" s="107" t="s">
        <v>1613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>
      <c r="A292">
        <v>4299</v>
      </c>
      <c r="B292" s="107" t="s">
        <v>1614</v>
      </c>
      <c r="C292">
        <v>0.05</v>
      </c>
      <c r="D292">
        <v>0.15</v>
      </c>
      <c r="E292">
        <v>0.05</v>
      </c>
      <c r="F292">
        <v>0.05</v>
      </c>
      <c r="G292">
        <v>0.05</v>
      </c>
    </row>
    <row r="293" spans="1:7">
      <c r="A293">
        <v>4307</v>
      </c>
      <c r="B293" s="107" t="s">
        <v>1615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>
      <c r="A294">
        <v>4310</v>
      </c>
      <c r="B294" s="107" t="s">
        <v>1616</v>
      </c>
      <c r="C294">
        <v>0.05</v>
      </c>
      <c r="D294">
        <v>0.15</v>
      </c>
      <c r="E294">
        <v>0.05</v>
      </c>
      <c r="F294">
        <v>0</v>
      </c>
      <c r="G294">
        <v>0</v>
      </c>
    </row>
    <row r="295" spans="1:7">
      <c r="A295">
        <v>4321</v>
      </c>
      <c r="B295" s="107" t="s">
        <v>1617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>
      <c r="A296">
        <v>4324</v>
      </c>
      <c r="B296" s="107" t="s">
        <v>1618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>
      <c r="A297">
        <v>4337</v>
      </c>
      <c r="B297" s="107" t="s">
        <v>1619</v>
      </c>
      <c r="C297">
        <v>0.1</v>
      </c>
      <c r="D297">
        <v>0.3</v>
      </c>
      <c r="E297">
        <v>0.1</v>
      </c>
      <c r="F297">
        <v>0.1</v>
      </c>
      <c r="G297">
        <v>0.1</v>
      </c>
    </row>
    <row r="298" spans="1:7">
      <c r="A298">
        <v>4344</v>
      </c>
      <c r="B298" s="107" t="s">
        <v>1620</v>
      </c>
      <c r="C298">
        <v>0.05</v>
      </c>
      <c r="D298">
        <v>0.15</v>
      </c>
      <c r="E298">
        <v>0.05</v>
      </c>
      <c r="F298">
        <v>0.05</v>
      </c>
      <c r="G298">
        <v>0.05</v>
      </c>
    </row>
    <row r="299" spans="1:7">
      <c r="A299">
        <v>4345</v>
      </c>
      <c r="B299" s="107" t="s">
        <v>1621</v>
      </c>
      <c r="C299">
        <v>0</v>
      </c>
      <c r="D299">
        <v>0</v>
      </c>
      <c r="E299">
        <v>0</v>
      </c>
      <c r="F299">
        <v>0</v>
      </c>
      <c r="G299" s="107" t="s">
        <v>235</v>
      </c>
    </row>
    <row r="300" spans="1:7">
      <c r="A300">
        <v>4368</v>
      </c>
      <c r="B300" s="107" t="s">
        <v>1622</v>
      </c>
      <c r="C300">
        <v>0.05</v>
      </c>
      <c r="D300">
        <v>0.15</v>
      </c>
      <c r="E300">
        <v>0.05</v>
      </c>
      <c r="F300">
        <v>0.05</v>
      </c>
      <c r="G300" s="107">
        <v>0.05</v>
      </c>
    </row>
    <row r="301" spans="1:7">
      <c r="A301">
        <v>4401</v>
      </c>
      <c r="B301" s="107" t="s">
        <v>317</v>
      </c>
      <c r="C301">
        <v>0.05</v>
      </c>
      <c r="D301">
        <v>0.15</v>
      </c>
      <c r="E301">
        <v>0.05</v>
      </c>
      <c r="F301">
        <v>0.05</v>
      </c>
      <c r="G301">
        <v>0.05</v>
      </c>
    </row>
    <row r="302" spans="1:7">
      <c r="A302">
        <v>4403</v>
      </c>
      <c r="B302" s="107" t="s">
        <v>1623</v>
      </c>
      <c r="C302">
        <v>0.05</v>
      </c>
      <c r="D302">
        <v>0</v>
      </c>
      <c r="E302" s="107" t="s">
        <v>235</v>
      </c>
      <c r="F302">
        <v>0.05</v>
      </c>
      <c r="G302">
        <v>0</v>
      </c>
    </row>
    <row r="303" spans="1:7">
      <c r="A303">
        <v>4404</v>
      </c>
      <c r="B303" s="107" t="s">
        <v>1624</v>
      </c>
      <c r="C303">
        <v>0</v>
      </c>
      <c r="D303">
        <v>0</v>
      </c>
      <c r="E303" s="107">
        <v>0</v>
      </c>
      <c r="F303">
        <v>0</v>
      </c>
      <c r="G303">
        <v>0</v>
      </c>
    </row>
    <row r="304" spans="1:7">
      <c r="A304">
        <v>4410</v>
      </c>
      <c r="B304" s="107" t="s">
        <v>1625</v>
      </c>
      <c r="C304">
        <v>0</v>
      </c>
      <c r="D304">
        <v>0</v>
      </c>
      <c r="E304">
        <v>0.05</v>
      </c>
      <c r="F304">
        <v>0.05</v>
      </c>
      <c r="G304">
        <v>0.05</v>
      </c>
    </row>
    <row r="305" spans="1:7">
      <c r="A305">
        <v>4452</v>
      </c>
      <c r="B305" s="107" t="s">
        <v>1626</v>
      </c>
      <c r="C305">
        <v>0</v>
      </c>
      <c r="D305" s="107" t="s">
        <v>235</v>
      </c>
      <c r="E305">
        <v>0.15</v>
      </c>
      <c r="F305">
        <v>0.15</v>
      </c>
      <c r="G305">
        <v>0</v>
      </c>
    </row>
    <row r="306" spans="1:7">
      <c r="A306">
        <v>4461</v>
      </c>
      <c r="B306" s="107" t="s">
        <v>1627</v>
      </c>
      <c r="C306">
        <v>0.1</v>
      </c>
      <c r="D306" s="107">
        <v>0.75</v>
      </c>
      <c r="E306">
        <v>0.55000000000000004</v>
      </c>
      <c r="F306">
        <v>0.1</v>
      </c>
      <c r="G306">
        <v>0.1</v>
      </c>
    </row>
    <row r="307" spans="1:7">
      <c r="A307">
        <v>4462</v>
      </c>
      <c r="B307" s="107" t="s">
        <v>1628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>
      <c r="A308">
        <v>4503</v>
      </c>
      <c r="B308" s="107" t="s">
        <v>1629</v>
      </c>
      <c r="C308">
        <v>0.05</v>
      </c>
      <c r="D308">
        <v>0.15</v>
      </c>
      <c r="E308">
        <v>0.05</v>
      </c>
      <c r="F308">
        <v>0.05</v>
      </c>
      <c r="G308">
        <v>0.05</v>
      </c>
    </row>
    <row r="309" spans="1:7">
      <c r="A309">
        <v>4512</v>
      </c>
      <c r="B309" s="107" t="s">
        <v>1630</v>
      </c>
      <c r="C309">
        <v>0</v>
      </c>
      <c r="D309">
        <v>0</v>
      </c>
      <c r="E309">
        <v>0.05</v>
      </c>
      <c r="F309">
        <v>0.05</v>
      </c>
      <c r="G309">
        <v>0.05</v>
      </c>
    </row>
    <row r="310" spans="1:7">
      <c r="A310">
        <v>4519</v>
      </c>
      <c r="B310" s="107" t="s">
        <v>954</v>
      </c>
      <c r="C310">
        <v>0.2</v>
      </c>
      <c r="D310">
        <v>0.6</v>
      </c>
      <c r="E310">
        <v>0.2</v>
      </c>
      <c r="F310">
        <v>0.2</v>
      </c>
      <c r="G310">
        <v>0.2</v>
      </c>
    </row>
    <row r="311" spans="1:7">
      <c r="A311">
        <v>4521</v>
      </c>
      <c r="B311" s="107" t="s">
        <v>1631</v>
      </c>
      <c r="C311">
        <v>0.1</v>
      </c>
      <c r="D311">
        <v>0.3</v>
      </c>
      <c r="E311">
        <v>0.1</v>
      </c>
      <c r="F311">
        <v>0.1</v>
      </c>
      <c r="G311">
        <v>0.1</v>
      </c>
    </row>
    <row r="312" spans="1:7">
      <c r="A312">
        <v>4526</v>
      </c>
      <c r="B312" s="107" t="s">
        <v>1632</v>
      </c>
      <c r="C312">
        <v>0.1</v>
      </c>
      <c r="D312">
        <v>0.3</v>
      </c>
      <c r="E312">
        <v>0.1</v>
      </c>
      <c r="F312">
        <v>0.1</v>
      </c>
      <c r="G312">
        <v>0.1</v>
      </c>
    </row>
    <row r="313" spans="1:7">
      <c r="A313">
        <v>4527</v>
      </c>
      <c r="B313" s="107" t="s">
        <v>1633</v>
      </c>
      <c r="C313">
        <v>0</v>
      </c>
      <c r="D313">
        <v>0</v>
      </c>
      <c r="E313">
        <v>0</v>
      </c>
      <c r="F313">
        <v>0</v>
      </c>
      <c r="G313">
        <v>0.1</v>
      </c>
    </row>
    <row r="314" spans="1:7">
      <c r="A314">
        <v>4528</v>
      </c>
      <c r="B314" s="107" t="s">
        <v>1634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>
      <c r="A315">
        <v>4531</v>
      </c>
      <c r="B315" s="107" t="s">
        <v>1635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>
      <c r="A316">
        <v>4534</v>
      </c>
      <c r="B316" s="107" t="s">
        <v>1636</v>
      </c>
      <c r="C316">
        <v>0.1</v>
      </c>
      <c r="D316">
        <v>0.3</v>
      </c>
      <c r="E316">
        <v>0.1</v>
      </c>
      <c r="F316">
        <v>0</v>
      </c>
      <c r="G316">
        <v>0</v>
      </c>
    </row>
    <row r="317" spans="1:7">
      <c r="A317">
        <v>4536</v>
      </c>
      <c r="B317" s="107" t="s">
        <v>1637</v>
      </c>
      <c r="C317">
        <v>0.05</v>
      </c>
      <c r="D317">
        <v>0.15</v>
      </c>
      <c r="E317">
        <v>0.05</v>
      </c>
      <c r="F317">
        <v>0.05</v>
      </c>
      <c r="G317">
        <v>0.05</v>
      </c>
    </row>
    <row r="318" spans="1:7">
      <c r="A318">
        <v>4538</v>
      </c>
      <c r="B318" s="107" t="s">
        <v>1638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4540</v>
      </c>
      <c r="B319" s="107" t="s">
        <v>1639</v>
      </c>
      <c r="C319">
        <v>0.05</v>
      </c>
      <c r="D319">
        <v>0</v>
      </c>
      <c r="E319">
        <v>0.05</v>
      </c>
      <c r="F319" s="107" t="s">
        <v>235</v>
      </c>
      <c r="G319">
        <v>0</v>
      </c>
    </row>
    <row r="320" spans="1:7">
      <c r="A320">
        <v>4543</v>
      </c>
      <c r="B320" s="107" t="s">
        <v>1640</v>
      </c>
      <c r="C320">
        <v>0</v>
      </c>
      <c r="D320">
        <v>0</v>
      </c>
      <c r="E320">
        <v>0</v>
      </c>
      <c r="F320" s="107" t="s">
        <v>235</v>
      </c>
      <c r="G320">
        <v>0</v>
      </c>
    </row>
    <row r="321" spans="1:7">
      <c r="A321">
        <v>4547</v>
      </c>
      <c r="B321" s="107" t="s">
        <v>1641</v>
      </c>
      <c r="C321">
        <v>0.1</v>
      </c>
      <c r="D321">
        <v>0.15</v>
      </c>
      <c r="E321">
        <v>0.05</v>
      </c>
      <c r="F321" s="107">
        <v>0.05</v>
      </c>
      <c r="G321">
        <v>0.05</v>
      </c>
    </row>
    <row r="322" spans="1:7">
      <c r="A322">
        <v>4553</v>
      </c>
      <c r="B322" s="107" t="s">
        <v>1642</v>
      </c>
      <c r="C322">
        <v>0.05</v>
      </c>
      <c r="D322">
        <v>0</v>
      </c>
      <c r="E322">
        <v>0.05</v>
      </c>
      <c r="F322">
        <v>0</v>
      </c>
      <c r="G322">
        <v>0.05</v>
      </c>
    </row>
    <row r="323" spans="1:7">
      <c r="A323">
        <v>4554</v>
      </c>
      <c r="B323" s="107" t="s">
        <v>1643</v>
      </c>
      <c r="C323">
        <v>0.05</v>
      </c>
      <c r="D323">
        <v>0.15</v>
      </c>
      <c r="E323">
        <v>0.05</v>
      </c>
      <c r="F323">
        <v>0.05</v>
      </c>
      <c r="G323">
        <v>0.05</v>
      </c>
    </row>
    <row r="324" spans="1:7">
      <c r="A324">
        <v>4555</v>
      </c>
      <c r="B324" s="107" t="s">
        <v>1644</v>
      </c>
      <c r="C324">
        <v>0.15</v>
      </c>
      <c r="D324">
        <v>0.45</v>
      </c>
      <c r="E324">
        <v>0.15</v>
      </c>
      <c r="F324">
        <v>0.15</v>
      </c>
      <c r="G324">
        <v>0.15</v>
      </c>
    </row>
    <row r="325" spans="1:7">
      <c r="A325">
        <v>4559</v>
      </c>
      <c r="B325" s="107" t="s">
        <v>1645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>
      <c r="A326">
        <v>4568</v>
      </c>
      <c r="B326" s="107" t="s">
        <v>1646</v>
      </c>
      <c r="C326">
        <v>0.15</v>
      </c>
      <c r="D326">
        <v>0.45</v>
      </c>
      <c r="E326">
        <v>0.15</v>
      </c>
      <c r="F326" s="107" t="s">
        <v>235</v>
      </c>
      <c r="G326">
        <v>0</v>
      </c>
    </row>
    <row r="327" spans="1:7">
      <c r="A327">
        <v>4574</v>
      </c>
      <c r="B327" s="107" t="s">
        <v>1647</v>
      </c>
      <c r="C327">
        <v>0.05</v>
      </c>
      <c r="D327">
        <v>0.3</v>
      </c>
      <c r="E327">
        <v>0.1</v>
      </c>
      <c r="F327" s="107">
        <v>0.1</v>
      </c>
      <c r="G327">
        <v>0.1</v>
      </c>
    </row>
    <row r="328" spans="1:7">
      <c r="A328">
        <v>4578</v>
      </c>
      <c r="B328" s="107" t="s">
        <v>1648</v>
      </c>
      <c r="C328">
        <v>0.1</v>
      </c>
      <c r="D328">
        <v>0.3</v>
      </c>
      <c r="E328">
        <v>0</v>
      </c>
      <c r="F328">
        <v>0</v>
      </c>
      <c r="G328">
        <v>0.1</v>
      </c>
    </row>
    <row r="329" spans="1:7">
      <c r="A329">
        <v>4612</v>
      </c>
      <c r="B329" s="107" t="s">
        <v>1649</v>
      </c>
      <c r="C329">
        <v>0.1</v>
      </c>
      <c r="D329">
        <v>0.3</v>
      </c>
      <c r="E329">
        <v>0.1</v>
      </c>
      <c r="F329">
        <v>0.1</v>
      </c>
      <c r="G329">
        <v>0.1</v>
      </c>
    </row>
    <row r="330" spans="1:7">
      <c r="A330">
        <v>4613</v>
      </c>
      <c r="B330" s="107" t="s">
        <v>320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>
      <c r="A331">
        <v>4617</v>
      </c>
      <c r="B331" s="107" t="s">
        <v>1650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>
      <c r="A332">
        <v>4620</v>
      </c>
      <c r="B332" s="107" t="s">
        <v>1651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>
      <c r="A333">
        <v>4633</v>
      </c>
      <c r="B333" s="107" t="s">
        <v>1652</v>
      </c>
      <c r="C333">
        <v>0.05</v>
      </c>
      <c r="D333">
        <v>0.15</v>
      </c>
      <c r="E333">
        <v>0.05</v>
      </c>
      <c r="F333">
        <v>0.05</v>
      </c>
      <c r="G333">
        <v>0.05</v>
      </c>
    </row>
    <row r="334" spans="1:7">
      <c r="A334">
        <v>4634</v>
      </c>
      <c r="B334" s="107" t="s">
        <v>140</v>
      </c>
      <c r="C334">
        <v>0.05</v>
      </c>
      <c r="D334">
        <v>0.15</v>
      </c>
      <c r="E334">
        <v>0.05</v>
      </c>
      <c r="F334">
        <v>0.05</v>
      </c>
      <c r="G334">
        <v>0.05</v>
      </c>
    </row>
    <row r="335" spans="1:7">
      <c r="A335">
        <v>4658</v>
      </c>
      <c r="B335" s="107" t="s">
        <v>1653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>
      <c r="A336">
        <v>4665</v>
      </c>
      <c r="B336" s="107" t="s">
        <v>1654</v>
      </c>
      <c r="C336">
        <v>0.05</v>
      </c>
      <c r="D336">
        <v>0.15</v>
      </c>
      <c r="E336">
        <v>0.05</v>
      </c>
      <c r="F336">
        <v>0.05</v>
      </c>
      <c r="G336">
        <v>0.05</v>
      </c>
    </row>
    <row r="337" spans="1:7">
      <c r="A337">
        <v>4666</v>
      </c>
      <c r="B337" s="107" t="s">
        <v>1655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>
      <c r="A338">
        <v>4668</v>
      </c>
      <c r="B338" s="107" t="s">
        <v>1656</v>
      </c>
      <c r="C338">
        <v>0.05</v>
      </c>
      <c r="D338">
        <v>0</v>
      </c>
      <c r="E338">
        <v>0.05</v>
      </c>
      <c r="F338">
        <v>0.05</v>
      </c>
      <c r="G338">
        <v>0.05</v>
      </c>
    </row>
    <row r="339" spans="1:7">
      <c r="A339">
        <v>4671</v>
      </c>
      <c r="B339" s="107" t="s">
        <v>1657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>
      <c r="A340">
        <v>4676</v>
      </c>
      <c r="B340" s="107" t="s">
        <v>1658</v>
      </c>
      <c r="C340">
        <v>0.05</v>
      </c>
      <c r="D340">
        <v>0</v>
      </c>
      <c r="E340">
        <v>0</v>
      </c>
      <c r="F340">
        <v>0</v>
      </c>
      <c r="G340">
        <v>0</v>
      </c>
    </row>
    <row r="341" spans="1:7">
      <c r="A341">
        <v>4681</v>
      </c>
      <c r="B341" s="107" t="s">
        <v>1659</v>
      </c>
      <c r="C341">
        <v>0.05</v>
      </c>
      <c r="D341">
        <v>0.15</v>
      </c>
      <c r="E341">
        <v>0.05</v>
      </c>
      <c r="F341">
        <v>0.05</v>
      </c>
      <c r="G341">
        <v>0.05</v>
      </c>
    </row>
    <row r="342" spans="1:7">
      <c r="A342">
        <v>4687</v>
      </c>
      <c r="B342" s="107" t="s">
        <v>1660</v>
      </c>
      <c r="C342">
        <v>0</v>
      </c>
      <c r="D342" s="107" t="s">
        <v>235</v>
      </c>
      <c r="E342">
        <v>0</v>
      </c>
      <c r="F342" s="107" t="s">
        <v>235</v>
      </c>
      <c r="G342">
        <v>0</v>
      </c>
    </row>
    <row r="343" spans="1:7">
      <c r="A343">
        <v>4696</v>
      </c>
      <c r="B343" s="107" t="s">
        <v>1661</v>
      </c>
      <c r="C343">
        <v>0</v>
      </c>
      <c r="D343" s="107">
        <v>0</v>
      </c>
      <c r="E343">
        <v>0</v>
      </c>
      <c r="F343" s="107">
        <v>0</v>
      </c>
      <c r="G343">
        <v>0</v>
      </c>
    </row>
    <row r="344" spans="1:7">
      <c r="A344">
        <v>4716</v>
      </c>
      <c r="B344" s="107" t="s">
        <v>1662</v>
      </c>
      <c r="C344">
        <v>0.2</v>
      </c>
      <c r="D344">
        <v>0.6</v>
      </c>
      <c r="E344">
        <v>0.2</v>
      </c>
      <c r="F344">
        <v>0.2</v>
      </c>
      <c r="G344">
        <v>0.2</v>
      </c>
    </row>
    <row r="345" spans="1:7">
      <c r="A345">
        <v>4719</v>
      </c>
      <c r="B345" s="107" t="s">
        <v>1663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>
      <c r="A346">
        <v>4725</v>
      </c>
      <c r="B346" s="107" t="s">
        <v>1664</v>
      </c>
      <c r="C346">
        <v>0.05</v>
      </c>
      <c r="D346">
        <v>0.15</v>
      </c>
      <c r="E346">
        <v>0.05</v>
      </c>
      <c r="F346">
        <v>0.05</v>
      </c>
      <c r="G346" s="107" t="s">
        <v>235</v>
      </c>
    </row>
    <row r="347" spans="1:7">
      <c r="A347">
        <v>4732</v>
      </c>
      <c r="B347" s="107" t="s">
        <v>1665</v>
      </c>
      <c r="C347">
        <v>0.05</v>
      </c>
      <c r="D347">
        <v>0.15</v>
      </c>
      <c r="E347">
        <v>0.05</v>
      </c>
      <c r="F347">
        <v>0.05</v>
      </c>
      <c r="G347" s="107">
        <v>0.05</v>
      </c>
    </row>
    <row r="348" spans="1:7">
      <c r="A348">
        <v>4812</v>
      </c>
      <c r="B348" s="107" t="s">
        <v>1666</v>
      </c>
      <c r="C348">
        <v>0</v>
      </c>
      <c r="D348">
        <v>0</v>
      </c>
      <c r="E348">
        <v>0</v>
      </c>
      <c r="F348">
        <v>0</v>
      </c>
      <c r="G348">
        <v>0.05</v>
      </c>
    </row>
    <row r="349" spans="1:7">
      <c r="A349">
        <v>4820</v>
      </c>
      <c r="B349" s="107" t="s">
        <v>1667</v>
      </c>
      <c r="C349">
        <v>0.05</v>
      </c>
      <c r="D349">
        <v>0.45</v>
      </c>
      <c r="E349">
        <v>0.05</v>
      </c>
      <c r="F349">
        <v>0.05</v>
      </c>
      <c r="G349">
        <v>0.05</v>
      </c>
    </row>
    <row r="350" spans="1:7">
      <c r="A350">
        <v>4825</v>
      </c>
      <c r="B350" s="107" t="s">
        <v>1668</v>
      </c>
      <c r="C350">
        <v>0.1</v>
      </c>
      <c r="D350">
        <v>0.3</v>
      </c>
      <c r="E350">
        <v>0.1</v>
      </c>
      <c r="F350">
        <v>0.1</v>
      </c>
      <c r="G350">
        <v>0.1</v>
      </c>
    </row>
    <row r="351" spans="1:7">
      <c r="A351">
        <v>4826</v>
      </c>
      <c r="B351" s="107" t="s">
        <v>1669</v>
      </c>
      <c r="C351">
        <v>0.05</v>
      </c>
      <c r="D351">
        <v>0</v>
      </c>
      <c r="E351">
        <v>0.05</v>
      </c>
      <c r="F351">
        <v>0</v>
      </c>
      <c r="G351">
        <v>0.05</v>
      </c>
    </row>
    <row r="352" spans="1:7">
      <c r="A352">
        <v>4828</v>
      </c>
      <c r="B352" s="107" t="s">
        <v>1670</v>
      </c>
      <c r="C352">
        <v>0</v>
      </c>
      <c r="D352" s="107" t="s">
        <v>235</v>
      </c>
      <c r="E352" s="107" t="s">
        <v>235</v>
      </c>
      <c r="F352">
        <v>0</v>
      </c>
      <c r="G352">
        <v>0</v>
      </c>
    </row>
    <row r="353" spans="1:7">
      <c r="A353">
        <v>4839</v>
      </c>
      <c r="B353" s="107" t="s">
        <v>1671</v>
      </c>
      <c r="C353">
        <v>0</v>
      </c>
      <c r="D353" s="107">
        <v>0</v>
      </c>
      <c r="E353" s="107">
        <v>0</v>
      </c>
      <c r="F353">
        <v>0</v>
      </c>
      <c r="G353">
        <v>0</v>
      </c>
    </row>
    <row r="354" spans="1:7">
      <c r="A354">
        <v>4848</v>
      </c>
      <c r="B354" s="107" t="s">
        <v>1672</v>
      </c>
      <c r="C354">
        <v>0.05</v>
      </c>
      <c r="D354">
        <v>0.3</v>
      </c>
      <c r="E354">
        <v>0.05</v>
      </c>
      <c r="F354">
        <v>0.05</v>
      </c>
      <c r="G354">
        <v>0.05</v>
      </c>
    </row>
    <row r="355" spans="1:7">
      <c r="A355">
        <v>4849</v>
      </c>
      <c r="B355" s="107" t="s">
        <v>1321</v>
      </c>
      <c r="C355">
        <v>0.1</v>
      </c>
      <c r="D355">
        <v>0.3</v>
      </c>
      <c r="E355">
        <v>0.1</v>
      </c>
      <c r="F355">
        <v>0.1</v>
      </c>
      <c r="G355">
        <v>0.1</v>
      </c>
    </row>
    <row r="356" spans="1:7">
      <c r="A356">
        <v>4917</v>
      </c>
      <c r="B356" s="107" t="s">
        <v>1673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>
      <c r="A357">
        <v>4919</v>
      </c>
      <c r="B357" s="107" t="s">
        <v>1674</v>
      </c>
      <c r="C357">
        <v>0.1</v>
      </c>
      <c r="D357">
        <v>0.3</v>
      </c>
      <c r="E357">
        <v>0.1</v>
      </c>
      <c r="F357">
        <v>0.1</v>
      </c>
      <c r="G357">
        <v>0.1</v>
      </c>
    </row>
    <row r="358" spans="1:7">
      <c r="A358">
        <v>4928</v>
      </c>
      <c r="B358" s="107" t="s">
        <v>1675</v>
      </c>
      <c r="C358">
        <v>0.05</v>
      </c>
      <c r="D358" s="107" t="s">
        <v>235</v>
      </c>
      <c r="E358" s="107" t="s">
        <v>235</v>
      </c>
      <c r="F358" s="107" t="s">
        <v>235</v>
      </c>
      <c r="G358">
        <v>0.1</v>
      </c>
    </row>
    <row r="359" spans="1:7">
      <c r="A359">
        <v>4929</v>
      </c>
      <c r="B359" s="107" t="s">
        <v>1676</v>
      </c>
      <c r="C359">
        <v>0.05</v>
      </c>
      <c r="D359" s="107">
        <v>0.15</v>
      </c>
      <c r="E359" s="107">
        <v>0.05</v>
      </c>
      <c r="F359" s="107">
        <v>0.05</v>
      </c>
      <c r="G359">
        <v>0.05</v>
      </c>
    </row>
    <row r="360" spans="1:7">
      <c r="A360">
        <v>4951</v>
      </c>
      <c r="B360" s="107" t="s">
        <v>1677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4955</v>
      </c>
      <c r="B361" s="107" t="s">
        <v>1678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>
      <c r="A362">
        <v>4958</v>
      </c>
      <c r="B362" s="107" t="s">
        <v>1679</v>
      </c>
      <c r="C362">
        <v>0.05</v>
      </c>
      <c r="D362">
        <v>0.15</v>
      </c>
      <c r="E362">
        <v>0.05</v>
      </c>
      <c r="F362">
        <v>0.05</v>
      </c>
      <c r="G362">
        <v>0.05</v>
      </c>
    </row>
    <row r="363" spans="1:7">
      <c r="A363">
        <v>4963</v>
      </c>
      <c r="B363" s="107" t="s">
        <v>1680</v>
      </c>
      <c r="C363">
        <v>0</v>
      </c>
      <c r="D363" s="107" t="s">
        <v>235</v>
      </c>
      <c r="E363">
        <v>0</v>
      </c>
      <c r="F363" s="107" t="s">
        <v>235</v>
      </c>
      <c r="G363">
        <v>0</v>
      </c>
    </row>
    <row r="364" spans="1:7">
      <c r="A364">
        <v>4967</v>
      </c>
      <c r="B364" s="107" t="s">
        <v>1681</v>
      </c>
      <c r="C364">
        <v>0.15</v>
      </c>
      <c r="D364" s="107">
        <v>0.45</v>
      </c>
      <c r="E364">
        <v>0.15</v>
      </c>
      <c r="F364" s="107">
        <v>0.15</v>
      </c>
      <c r="G364">
        <v>0.15</v>
      </c>
    </row>
    <row r="365" spans="1:7">
      <c r="A365">
        <v>4968</v>
      </c>
      <c r="B365" s="107" t="s">
        <v>1682</v>
      </c>
      <c r="C365">
        <v>0</v>
      </c>
      <c r="D365">
        <v>0</v>
      </c>
      <c r="E365">
        <v>0</v>
      </c>
      <c r="F365" s="107" t="s">
        <v>235</v>
      </c>
      <c r="G365">
        <v>0</v>
      </c>
    </row>
    <row r="366" spans="1:7">
      <c r="A366">
        <v>4971</v>
      </c>
      <c r="B366" s="107" t="s">
        <v>1683</v>
      </c>
      <c r="C366">
        <v>0.05</v>
      </c>
      <c r="D366">
        <v>0.15</v>
      </c>
      <c r="E366">
        <v>0.05</v>
      </c>
      <c r="F366" s="107">
        <v>0.05</v>
      </c>
      <c r="G366">
        <v>0.05</v>
      </c>
    </row>
    <row r="367" spans="1:7">
      <c r="A367">
        <v>4975</v>
      </c>
      <c r="B367" s="107" t="s">
        <v>1684</v>
      </c>
      <c r="C367">
        <v>0.1</v>
      </c>
      <c r="D367">
        <v>0.15</v>
      </c>
      <c r="E367">
        <v>0.1</v>
      </c>
      <c r="F367">
        <v>0.1</v>
      </c>
      <c r="G367">
        <v>0.05</v>
      </c>
    </row>
    <row r="368" spans="1:7">
      <c r="A368">
        <v>4977</v>
      </c>
      <c r="B368" s="107" t="s">
        <v>1685</v>
      </c>
      <c r="C368">
        <v>0</v>
      </c>
      <c r="D368" s="107" t="s">
        <v>235</v>
      </c>
      <c r="E368" s="107" t="s">
        <v>235</v>
      </c>
      <c r="F368" s="107" t="s">
        <v>235</v>
      </c>
      <c r="G368" s="107" t="s">
        <v>235</v>
      </c>
    </row>
    <row r="369" spans="1:7">
      <c r="A369">
        <v>4985</v>
      </c>
      <c r="B369" s="107" t="s">
        <v>1686</v>
      </c>
      <c r="C369">
        <v>0.1</v>
      </c>
      <c r="D369" s="107">
        <v>0.3</v>
      </c>
      <c r="E369" s="107">
        <v>0.1</v>
      </c>
      <c r="F369" s="107">
        <v>0.1</v>
      </c>
      <c r="G369" s="107">
        <v>0.1</v>
      </c>
    </row>
    <row r="370" spans="1:7">
      <c r="A370">
        <v>4994</v>
      </c>
      <c r="B370" s="107" t="s">
        <v>1687</v>
      </c>
      <c r="C370">
        <v>0.05</v>
      </c>
      <c r="D370" s="107" t="s">
        <v>235</v>
      </c>
      <c r="E370">
        <v>0.05</v>
      </c>
      <c r="F370" s="107" t="s">
        <v>235</v>
      </c>
      <c r="G370" s="107" t="s">
        <v>235</v>
      </c>
    </row>
    <row r="371" spans="1:7">
      <c r="A371">
        <v>4996</v>
      </c>
      <c r="B371" s="107" t="s">
        <v>328</v>
      </c>
      <c r="C371">
        <v>0.05</v>
      </c>
      <c r="D371" s="107">
        <v>0</v>
      </c>
      <c r="E371">
        <v>0.05</v>
      </c>
      <c r="F371" s="107">
        <v>0</v>
      </c>
      <c r="G371" s="107">
        <v>0.05</v>
      </c>
    </row>
    <row r="372" spans="1:7">
      <c r="A372">
        <v>4997</v>
      </c>
      <c r="B372" s="107" t="s">
        <v>1688</v>
      </c>
      <c r="C372">
        <v>0</v>
      </c>
      <c r="D372">
        <v>0.15</v>
      </c>
      <c r="E372">
        <v>0.05</v>
      </c>
      <c r="F372">
        <v>0.05</v>
      </c>
      <c r="G372">
        <v>0.05</v>
      </c>
    </row>
    <row r="373" spans="1:7">
      <c r="A373">
        <v>5009</v>
      </c>
      <c r="B373" s="107" t="s">
        <v>1689</v>
      </c>
      <c r="C373">
        <v>0</v>
      </c>
      <c r="D373">
        <v>0</v>
      </c>
      <c r="E373" s="107" t="s">
        <v>235</v>
      </c>
      <c r="F373">
        <v>0</v>
      </c>
      <c r="G373" s="107" t="s">
        <v>235</v>
      </c>
    </row>
    <row r="374" spans="1:7">
      <c r="A374">
        <v>5018</v>
      </c>
      <c r="B374" s="107" t="s">
        <v>1690</v>
      </c>
      <c r="C374">
        <v>0</v>
      </c>
      <c r="D374">
        <v>0</v>
      </c>
      <c r="E374" s="107">
        <v>0</v>
      </c>
      <c r="F374">
        <v>0</v>
      </c>
      <c r="G374" s="107">
        <v>0</v>
      </c>
    </row>
    <row r="375" spans="1:7">
      <c r="A375">
        <v>5021</v>
      </c>
      <c r="B375" s="107" t="s">
        <v>1691</v>
      </c>
      <c r="C375">
        <v>0</v>
      </c>
      <c r="D375">
        <v>0</v>
      </c>
      <c r="E375" s="107" t="s">
        <v>235</v>
      </c>
      <c r="F375">
        <v>0.05</v>
      </c>
      <c r="G375">
        <v>0</v>
      </c>
    </row>
    <row r="376" spans="1:7">
      <c r="A376">
        <v>5105</v>
      </c>
      <c r="B376" s="107" t="s">
        <v>1692</v>
      </c>
      <c r="C376">
        <v>0.05</v>
      </c>
      <c r="D376">
        <v>0.15</v>
      </c>
      <c r="E376" s="107">
        <v>0.05</v>
      </c>
      <c r="F376">
        <v>0.05</v>
      </c>
      <c r="G376">
        <v>0.05</v>
      </c>
    </row>
    <row r="377" spans="1:7">
      <c r="A377">
        <v>5108</v>
      </c>
      <c r="B377" s="107" t="s">
        <v>1693</v>
      </c>
      <c r="C377">
        <v>0</v>
      </c>
      <c r="D377">
        <v>0</v>
      </c>
      <c r="E377">
        <v>0</v>
      </c>
      <c r="F377" s="107" t="s">
        <v>235</v>
      </c>
      <c r="G377" s="107" t="s">
        <v>235</v>
      </c>
    </row>
    <row r="378" spans="1:7">
      <c r="A378">
        <v>5110</v>
      </c>
      <c r="B378" s="107" t="s">
        <v>128</v>
      </c>
      <c r="C378">
        <v>0</v>
      </c>
      <c r="D378">
        <v>0</v>
      </c>
      <c r="E378">
        <v>0.05</v>
      </c>
      <c r="F378" s="107">
        <v>0.05</v>
      </c>
      <c r="G378" s="107">
        <v>0</v>
      </c>
    </row>
    <row r="379" spans="1:7">
      <c r="A379">
        <v>5121</v>
      </c>
      <c r="B379" s="107" t="s">
        <v>1694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>
      <c r="A380">
        <v>5142</v>
      </c>
      <c r="B380" s="107" t="s">
        <v>1695</v>
      </c>
      <c r="C380">
        <v>0.05</v>
      </c>
      <c r="D380" s="107" t="s">
        <v>235</v>
      </c>
      <c r="E380">
        <v>0.05</v>
      </c>
      <c r="F380" s="107" t="s">
        <v>235</v>
      </c>
      <c r="G380">
        <v>0.05</v>
      </c>
    </row>
    <row r="381" spans="1:7">
      <c r="A381">
        <v>5185</v>
      </c>
      <c r="B381" s="107" t="s">
        <v>1696</v>
      </c>
      <c r="C381">
        <v>0.05</v>
      </c>
      <c r="D381" s="107">
        <v>0</v>
      </c>
      <c r="E381">
        <v>0.05</v>
      </c>
      <c r="F381" s="107">
        <v>0</v>
      </c>
      <c r="G381">
        <v>0.05</v>
      </c>
    </row>
    <row r="382" spans="1:7">
      <c r="A382">
        <v>5186</v>
      </c>
      <c r="B382" s="107" t="s">
        <v>1697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>
      <c r="A383">
        <v>5191</v>
      </c>
      <c r="B383" s="107" t="s">
        <v>1698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>
      <c r="A384">
        <v>5192</v>
      </c>
      <c r="B384" s="107" t="s">
        <v>1699</v>
      </c>
      <c r="C384">
        <v>0.05</v>
      </c>
      <c r="D384">
        <v>0.15</v>
      </c>
      <c r="E384">
        <v>0.05</v>
      </c>
      <c r="F384">
        <v>0.05</v>
      </c>
      <c r="G384">
        <v>0.05</v>
      </c>
    </row>
    <row r="385" spans="1:7">
      <c r="A385">
        <v>5195</v>
      </c>
      <c r="B385" s="107" t="s">
        <v>1700</v>
      </c>
      <c r="C385">
        <v>0</v>
      </c>
      <c r="D385" s="107" t="s">
        <v>235</v>
      </c>
      <c r="E385" s="107" t="s">
        <v>235</v>
      </c>
      <c r="F385">
        <v>0</v>
      </c>
      <c r="G385">
        <v>0</v>
      </c>
    </row>
    <row r="386" spans="1:7">
      <c r="A386">
        <v>5201</v>
      </c>
      <c r="B386" s="107" t="s">
        <v>1701</v>
      </c>
      <c r="C386">
        <v>0.1</v>
      </c>
      <c r="D386" s="107">
        <v>0.3</v>
      </c>
      <c r="E386" s="107">
        <v>0.1</v>
      </c>
      <c r="F386">
        <v>0.1</v>
      </c>
      <c r="G386">
        <v>0.1</v>
      </c>
    </row>
    <row r="387" spans="1:7">
      <c r="A387">
        <v>5202</v>
      </c>
      <c r="B387" s="107" t="s">
        <v>1702</v>
      </c>
      <c r="C387">
        <v>0</v>
      </c>
      <c r="D387">
        <v>0</v>
      </c>
      <c r="E387">
        <v>0</v>
      </c>
      <c r="F387" s="107" t="s">
        <v>235</v>
      </c>
      <c r="G387">
        <v>0</v>
      </c>
    </row>
    <row r="388" spans="1:7">
      <c r="A388">
        <v>5204</v>
      </c>
      <c r="B388" s="107" t="s">
        <v>1703</v>
      </c>
      <c r="C388">
        <v>0</v>
      </c>
      <c r="D388">
        <v>0</v>
      </c>
      <c r="E388" s="107" t="s">
        <v>235</v>
      </c>
      <c r="F388" s="107" t="s">
        <v>235</v>
      </c>
      <c r="G388" s="107" t="s">
        <v>235</v>
      </c>
    </row>
    <row r="389" spans="1:7">
      <c r="A389">
        <v>5208</v>
      </c>
      <c r="B389" s="107" t="s">
        <v>1704</v>
      </c>
      <c r="C389">
        <v>0</v>
      </c>
      <c r="D389">
        <v>0</v>
      </c>
      <c r="E389" s="107" t="s">
        <v>235</v>
      </c>
      <c r="F389" s="107" t="s">
        <v>235</v>
      </c>
      <c r="G389" s="107" t="s">
        <v>235</v>
      </c>
    </row>
    <row r="390" spans="1:7">
      <c r="A390">
        <v>5210</v>
      </c>
      <c r="B390" s="107" t="s">
        <v>1705</v>
      </c>
      <c r="C390">
        <v>0</v>
      </c>
      <c r="D390">
        <v>0</v>
      </c>
      <c r="E390" s="107">
        <v>0</v>
      </c>
      <c r="F390" s="107">
        <v>0</v>
      </c>
      <c r="G390" s="107">
        <v>0</v>
      </c>
    </row>
    <row r="391" spans="1:7">
      <c r="A391">
        <v>5218</v>
      </c>
      <c r="B391" s="107" t="s">
        <v>1706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5232</v>
      </c>
      <c r="B392" s="107" t="s">
        <v>1707</v>
      </c>
      <c r="C392">
        <v>0.1</v>
      </c>
      <c r="D392">
        <v>0.3</v>
      </c>
      <c r="E392">
        <v>0.1</v>
      </c>
      <c r="F392">
        <v>0.1</v>
      </c>
      <c r="G392">
        <v>0.1</v>
      </c>
    </row>
    <row r="393" spans="1:7">
      <c r="A393">
        <v>5273</v>
      </c>
      <c r="B393" s="107" t="s">
        <v>1708</v>
      </c>
      <c r="C393">
        <v>0.1</v>
      </c>
      <c r="D393">
        <v>0.3</v>
      </c>
      <c r="E393">
        <v>0.1</v>
      </c>
      <c r="F393">
        <v>0.1</v>
      </c>
      <c r="G393">
        <v>0.1</v>
      </c>
    </row>
    <row r="394" spans="1:7">
      <c r="A394">
        <v>5301</v>
      </c>
      <c r="B394" s="107" t="s">
        <v>1709</v>
      </c>
      <c r="C394">
        <v>0.05</v>
      </c>
      <c r="D394">
        <v>0.15</v>
      </c>
      <c r="E394">
        <v>0.05</v>
      </c>
      <c r="F394">
        <v>0.05</v>
      </c>
      <c r="G394">
        <v>0.05</v>
      </c>
    </row>
    <row r="395" spans="1:7">
      <c r="A395">
        <v>5302</v>
      </c>
      <c r="B395" s="107" t="s">
        <v>1710</v>
      </c>
      <c r="C395">
        <v>0.1</v>
      </c>
      <c r="D395">
        <v>0.3</v>
      </c>
      <c r="E395">
        <v>0.15</v>
      </c>
      <c r="F395">
        <v>0.1</v>
      </c>
      <c r="G395">
        <v>0.1</v>
      </c>
    </row>
    <row r="396" spans="1:7">
      <c r="A396">
        <v>5310</v>
      </c>
      <c r="B396" s="107" t="s">
        <v>1711</v>
      </c>
      <c r="C396">
        <v>0</v>
      </c>
      <c r="D396">
        <v>0</v>
      </c>
      <c r="E396">
        <v>0</v>
      </c>
      <c r="F396">
        <v>0</v>
      </c>
      <c r="G396" s="107" t="s">
        <v>235</v>
      </c>
    </row>
    <row r="397" spans="1:7">
      <c r="A397">
        <v>5332</v>
      </c>
      <c r="B397" s="107" t="s">
        <v>1712</v>
      </c>
      <c r="C397">
        <v>0.1</v>
      </c>
      <c r="D397">
        <v>0.3</v>
      </c>
      <c r="E397">
        <v>0.1</v>
      </c>
      <c r="F397">
        <v>0.1</v>
      </c>
      <c r="G397" s="107">
        <v>0.1</v>
      </c>
    </row>
    <row r="398" spans="1:7">
      <c r="A398">
        <v>5344</v>
      </c>
      <c r="B398" s="107" t="s">
        <v>1713</v>
      </c>
      <c r="C398">
        <v>0.15</v>
      </c>
      <c r="D398">
        <v>0.45</v>
      </c>
      <c r="E398">
        <v>0.15</v>
      </c>
      <c r="F398">
        <v>0.15</v>
      </c>
      <c r="G398">
        <v>0.15</v>
      </c>
    </row>
    <row r="399" spans="1:7">
      <c r="A399">
        <v>5352</v>
      </c>
      <c r="B399" s="107" t="s">
        <v>1714</v>
      </c>
      <c r="C399">
        <v>0.15</v>
      </c>
      <c r="D399">
        <v>0.45</v>
      </c>
      <c r="E399">
        <v>0.15</v>
      </c>
      <c r="F399">
        <v>0.15</v>
      </c>
      <c r="G399">
        <v>0.15</v>
      </c>
    </row>
    <row r="400" spans="1:7">
      <c r="A400">
        <v>5358</v>
      </c>
      <c r="B400" s="107" t="s">
        <v>1715</v>
      </c>
      <c r="C400">
        <v>0</v>
      </c>
      <c r="D400">
        <v>0</v>
      </c>
      <c r="E400">
        <v>0</v>
      </c>
      <c r="F400">
        <v>0</v>
      </c>
      <c r="G400">
        <v>0.05</v>
      </c>
    </row>
    <row r="401" spans="1:7">
      <c r="A401">
        <v>5363</v>
      </c>
      <c r="B401" s="107" t="s">
        <v>1716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5384</v>
      </c>
      <c r="B402" s="107" t="s">
        <v>1717</v>
      </c>
      <c r="C402">
        <v>0.05</v>
      </c>
      <c r="D402">
        <v>0</v>
      </c>
      <c r="E402">
        <v>0</v>
      </c>
      <c r="F402">
        <v>0</v>
      </c>
      <c r="G402">
        <v>0</v>
      </c>
    </row>
    <row r="403" spans="1:7">
      <c r="A403">
        <v>5393</v>
      </c>
      <c r="B403" s="107" t="s">
        <v>333</v>
      </c>
      <c r="C403">
        <v>0.05</v>
      </c>
      <c r="D403">
        <v>0.15</v>
      </c>
      <c r="E403">
        <v>0.05</v>
      </c>
      <c r="F403">
        <v>0.05</v>
      </c>
      <c r="G403">
        <v>0.05</v>
      </c>
    </row>
    <row r="404" spans="1:7">
      <c r="A404">
        <v>5401</v>
      </c>
      <c r="B404" s="107" t="s">
        <v>1718</v>
      </c>
      <c r="C404">
        <v>0</v>
      </c>
      <c r="D404" s="107" t="s">
        <v>235</v>
      </c>
      <c r="E404">
        <v>0.05</v>
      </c>
      <c r="F404">
        <v>0</v>
      </c>
      <c r="G404">
        <v>0</v>
      </c>
    </row>
    <row r="405" spans="1:7">
      <c r="A405">
        <v>5406</v>
      </c>
      <c r="B405" s="107" t="s">
        <v>1719</v>
      </c>
      <c r="C405">
        <v>0</v>
      </c>
      <c r="D405" s="107">
        <v>0</v>
      </c>
      <c r="E405">
        <v>0</v>
      </c>
      <c r="F405">
        <v>0</v>
      </c>
      <c r="G405">
        <v>0</v>
      </c>
    </row>
    <row r="406" spans="1:7">
      <c r="A406">
        <v>5408</v>
      </c>
      <c r="B406" s="107" t="s">
        <v>1720</v>
      </c>
      <c r="C406">
        <v>0</v>
      </c>
      <c r="D406">
        <v>0</v>
      </c>
      <c r="E406">
        <v>0</v>
      </c>
      <c r="F406" s="107" t="s">
        <v>235</v>
      </c>
      <c r="G406" s="107" t="s">
        <v>235</v>
      </c>
    </row>
    <row r="407" spans="1:7">
      <c r="A407">
        <v>5410</v>
      </c>
      <c r="B407" s="107" t="s">
        <v>1721</v>
      </c>
      <c r="C407">
        <v>0.05</v>
      </c>
      <c r="D407">
        <v>0.15</v>
      </c>
      <c r="E407">
        <v>0.05</v>
      </c>
      <c r="F407" s="107">
        <v>0.05</v>
      </c>
      <c r="G407" s="107">
        <v>0.05</v>
      </c>
    </row>
    <row r="408" spans="1:7">
      <c r="A408">
        <v>5411</v>
      </c>
      <c r="B408" s="107" t="s">
        <v>1722</v>
      </c>
      <c r="C408">
        <v>0</v>
      </c>
      <c r="D408">
        <v>0</v>
      </c>
      <c r="E408" s="107" t="s">
        <v>235</v>
      </c>
      <c r="F408">
        <v>0</v>
      </c>
      <c r="G408">
        <v>0</v>
      </c>
    </row>
    <row r="409" spans="1:7">
      <c r="A409">
        <v>5440</v>
      </c>
      <c r="B409" s="107" t="s">
        <v>1723</v>
      </c>
      <c r="C409">
        <v>0</v>
      </c>
      <c r="D409">
        <v>0</v>
      </c>
      <c r="E409" s="107">
        <v>0.05</v>
      </c>
      <c r="F409">
        <v>0</v>
      </c>
      <c r="G409">
        <v>0</v>
      </c>
    </row>
    <row r="410" spans="1:7">
      <c r="A410">
        <v>5451</v>
      </c>
      <c r="B410" s="107" t="s">
        <v>1724</v>
      </c>
      <c r="C410">
        <v>0.05</v>
      </c>
      <c r="D410">
        <v>0.15</v>
      </c>
      <c r="E410">
        <v>0.05</v>
      </c>
      <c r="F410">
        <v>0.05</v>
      </c>
      <c r="G410">
        <v>0.05</v>
      </c>
    </row>
    <row r="411" spans="1:7">
      <c r="A411">
        <v>5463</v>
      </c>
      <c r="B411" s="107" t="s">
        <v>142</v>
      </c>
      <c r="C411">
        <v>0.05</v>
      </c>
      <c r="D411">
        <v>0.15</v>
      </c>
      <c r="E411">
        <v>0.05</v>
      </c>
      <c r="F411">
        <v>0.05</v>
      </c>
      <c r="G411">
        <v>0.05</v>
      </c>
    </row>
    <row r="412" spans="1:7">
      <c r="A412">
        <v>5464</v>
      </c>
      <c r="B412" s="107" t="s">
        <v>1725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>
      <c r="A413">
        <v>5471</v>
      </c>
      <c r="B413" s="107" t="s">
        <v>303</v>
      </c>
      <c r="C413">
        <v>0.1</v>
      </c>
      <c r="D413">
        <v>0.3</v>
      </c>
      <c r="E413">
        <v>0.1</v>
      </c>
      <c r="F413">
        <v>0.1</v>
      </c>
      <c r="G413">
        <v>0.1</v>
      </c>
    </row>
    <row r="414" spans="1:7">
      <c r="A414">
        <v>5476</v>
      </c>
      <c r="B414" s="107" t="s">
        <v>1726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>
      <c r="A415">
        <v>5480</v>
      </c>
      <c r="B415" s="107" t="s">
        <v>1727</v>
      </c>
      <c r="C415">
        <v>0.05</v>
      </c>
      <c r="D415">
        <v>0</v>
      </c>
      <c r="E415">
        <v>0.05</v>
      </c>
      <c r="F415" s="107" t="s">
        <v>235</v>
      </c>
      <c r="G415">
        <v>0.05</v>
      </c>
    </row>
    <row r="416" spans="1:7">
      <c r="A416">
        <v>5481</v>
      </c>
      <c r="B416" s="107" t="s">
        <v>1728</v>
      </c>
      <c r="C416">
        <v>0</v>
      </c>
      <c r="D416">
        <v>0</v>
      </c>
      <c r="E416">
        <v>0</v>
      </c>
      <c r="F416" s="107">
        <v>0</v>
      </c>
      <c r="G416" s="107" t="s">
        <v>235</v>
      </c>
    </row>
    <row r="417" spans="1:7">
      <c r="A417">
        <v>5482</v>
      </c>
      <c r="B417" s="107" t="s">
        <v>1729</v>
      </c>
      <c r="C417">
        <v>0</v>
      </c>
      <c r="D417">
        <v>0</v>
      </c>
      <c r="E417">
        <v>0</v>
      </c>
      <c r="F417">
        <v>0</v>
      </c>
      <c r="G417" s="107">
        <v>0</v>
      </c>
    </row>
    <row r="418" spans="1:7">
      <c r="A418">
        <v>5486</v>
      </c>
      <c r="B418" s="107" t="s">
        <v>1730</v>
      </c>
      <c r="C418">
        <v>0.05</v>
      </c>
      <c r="D418">
        <v>0.15</v>
      </c>
      <c r="E418">
        <v>0.05</v>
      </c>
      <c r="F418">
        <v>0.05</v>
      </c>
      <c r="G418">
        <v>0.05</v>
      </c>
    </row>
    <row r="419" spans="1:7">
      <c r="A419">
        <v>5602</v>
      </c>
      <c r="B419" s="107" t="s">
        <v>1731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>
      <c r="A420">
        <v>5603</v>
      </c>
      <c r="B420" s="107" t="s">
        <v>1732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>
      <c r="A421">
        <v>5631</v>
      </c>
      <c r="B421" s="107" t="s">
        <v>1733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>
      <c r="A422">
        <v>5632</v>
      </c>
      <c r="B422" s="107" t="s">
        <v>1734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>
      <c r="A423">
        <v>5659</v>
      </c>
      <c r="B423" s="107" t="s">
        <v>1735</v>
      </c>
      <c r="C423">
        <v>0</v>
      </c>
      <c r="D423">
        <v>0</v>
      </c>
      <c r="E423">
        <v>0.05</v>
      </c>
      <c r="F423">
        <v>0.05</v>
      </c>
      <c r="G423">
        <v>0.05</v>
      </c>
    </row>
    <row r="424" spans="1:7">
      <c r="A424">
        <v>5706</v>
      </c>
      <c r="B424" s="107" t="s">
        <v>1736</v>
      </c>
      <c r="C424">
        <v>0</v>
      </c>
      <c r="D424">
        <v>0</v>
      </c>
      <c r="E424">
        <v>0</v>
      </c>
      <c r="F424">
        <v>0</v>
      </c>
      <c r="G424" s="107" t="s">
        <v>235</v>
      </c>
    </row>
    <row r="425" spans="1:7">
      <c r="A425">
        <v>5711</v>
      </c>
      <c r="B425" s="107" t="s">
        <v>1737</v>
      </c>
      <c r="C425">
        <v>0.05</v>
      </c>
      <c r="D425" s="107" t="s">
        <v>235</v>
      </c>
      <c r="E425">
        <v>0.05</v>
      </c>
      <c r="F425" s="107" t="s">
        <v>235</v>
      </c>
      <c r="G425" s="107">
        <v>0.05</v>
      </c>
    </row>
    <row r="426" spans="1:7">
      <c r="A426">
        <v>5714</v>
      </c>
      <c r="B426" s="107" t="s">
        <v>1738</v>
      </c>
      <c r="C426">
        <v>0</v>
      </c>
      <c r="D426" s="107">
        <v>0</v>
      </c>
      <c r="E426">
        <v>0.1</v>
      </c>
      <c r="F426" s="107">
        <v>0</v>
      </c>
      <c r="G426">
        <v>0</v>
      </c>
    </row>
    <row r="427" spans="1:7">
      <c r="A427">
        <v>5741</v>
      </c>
      <c r="B427" s="107" t="s">
        <v>1739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>
      <c r="A428">
        <v>5803</v>
      </c>
      <c r="B428" s="107" t="s">
        <v>28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5805</v>
      </c>
      <c r="B429" s="107" t="s">
        <v>1740</v>
      </c>
      <c r="C429">
        <v>0.05</v>
      </c>
      <c r="D429">
        <v>0.15</v>
      </c>
      <c r="E429">
        <v>0.05</v>
      </c>
      <c r="F429">
        <v>0.05</v>
      </c>
      <c r="G429">
        <v>0</v>
      </c>
    </row>
    <row r="430" spans="1:7">
      <c r="A430">
        <v>5807</v>
      </c>
      <c r="B430" s="107" t="s">
        <v>1741</v>
      </c>
      <c r="C430">
        <v>0.05</v>
      </c>
      <c r="D430">
        <v>0.15</v>
      </c>
      <c r="E430">
        <v>0.05</v>
      </c>
      <c r="F430">
        <v>0.05</v>
      </c>
      <c r="G430">
        <v>0.05</v>
      </c>
    </row>
    <row r="431" spans="1:7">
      <c r="A431">
        <v>5809</v>
      </c>
      <c r="B431" s="107" t="s">
        <v>1742</v>
      </c>
      <c r="C431">
        <v>0</v>
      </c>
      <c r="D431">
        <v>0</v>
      </c>
      <c r="E431">
        <v>0</v>
      </c>
      <c r="F431" s="107" t="s">
        <v>235</v>
      </c>
      <c r="G431" s="107" t="s">
        <v>235</v>
      </c>
    </row>
    <row r="432" spans="1:7">
      <c r="A432">
        <v>5852</v>
      </c>
      <c r="B432" s="107" t="s">
        <v>1743</v>
      </c>
      <c r="C432">
        <v>0</v>
      </c>
      <c r="D432">
        <v>0</v>
      </c>
      <c r="E432">
        <v>0</v>
      </c>
      <c r="F432" s="107" t="s">
        <v>235</v>
      </c>
      <c r="G432" s="107" t="s">
        <v>235</v>
      </c>
    </row>
    <row r="433" spans="1:7">
      <c r="A433">
        <v>5902</v>
      </c>
      <c r="B433" s="107" t="s">
        <v>1744</v>
      </c>
      <c r="C433">
        <v>0.05</v>
      </c>
      <c r="D433">
        <v>0.15</v>
      </c>
      <c r="E433">
        <v>0.05</v>
      </c>
      <c r="F433" s="107">
        <v>0.05</v>
      </c>
      <c r="G433" s="107">
        <v>0.05</v>
      </c>
    </row>
    <row r="434" spans="1:7">
      <c r="A434">
        <v>5911</v>
      </c>
      <c r="B434" s="107" t="s">
        <v>1745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>
      <c r="A435">
        <v>5932</v>
      </c>
      <c r="B435" s="107" t="s">
        <v>1746</v>
      </c>
      <c r="C435">
        <v>0.05</v>
      </c>
      <c r="D435">
        <v>0.15</v>
      </c>
      <c r="E435">
        <v>0.05</v>
      </c>
      <c r="F435">
        <v>0.05</v>
      </c>
      <c r="G435">
        <v>0.05</v>
      </c>
    </row>
    <row r="436" spans="1:7">
      <c r="A436">
        <v>5933</v>
      </c>
      <c r="B436" s="107" t="s">
        <v>1747</v>
      </c>
      <c r="C436">
        <v>0</v>
      </c>
      <c r="D436">
        <v>0</v>
      </c>
      <c r="E436">
        <v>0</v>
      </c>
      <c r="F436">
        <v>0</v>
      </c>
      <c r="G436" s="107" t="s">
        <v>235</v>
      </c>
    </row>
    <row r="437" spans="1:7">
      <c r="A437">
        <v>5936</v>
      </c>
      <c r="B437" s="107" t="s">
        <v>1748</v>
      </c>
      <c r="C437">
        <v>0</v>
      </c>
      <c r="D437" s="107" t="s">
        <v>235</v>
      </c>
      <c r="E437" s="107" t="s">
        <v>235</v>
      </c>
      <c r="F437" s="107" t="s">
        <v>235</v>
      </c>
      <c r="G437" s="107" t="s">
        <v>235</v>
      </c>
    </row>
    <row r="438" spans="1:7">
      <c r="A438">
        <v>5938</v>
      </c>
      <c r="B438" s="107" t="s">
        <v>1749</v>
      </c>
      <c r="C438">
        <v>0.05</v>
      </c>
      <c r="D438" s="107">
        <v>0</v>
      </c>
      <c r="E438" s="107" t="s">
        <v>235</v>
      </c>
      <c r="F438" s="107">
        <v>0.05</v>
      </c>
      <c r="G438" s="107" t="s">
        <v>235</v>
      </c>
    </row>
    <row r="439" spans="1:7">
      <c r="A439">
        <v>5943</v>
      </c>
      <c r="B439" s="107" t="s">
        <v>1750</v>
      </c>
      <c r="C439">
        <v>0.05</v>
      </c>
      <c r="D439" s="107" t="s">
        <v>235</v>
      </c>
      <c r="E439" s="107">
        <v>0.05</v>
      </c>
      <c r="F439">
        <v>0</v>
      </c>
      <c r="G439" s="107">
        <v>0</v>
      </c>
    </row>
    <row r="440" spans="1:7">
      <c r="A440">
        <v>5946</v>
      </c>
      <c r="B440" s="107" t="s">
        <v>1751</v>
      </c>
      <c r="C440">
        <v>0</v>
      </c>
      <c r="D440" s="107">
        <v>0</v>
      </c>
      <c r="E440">
        <v>0.05</v>
      </c>
      <c r="F440">
        <v>0.05</v>
      </c>
      <c r="G440">
        <v>0.05</v>
      </c>
    </row>
    <row r="441" spans="1:7">
      <c r="A441">
        <v>5947</v>
      </c>
      <c r="B441" s="107" t="s">
        <v>325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>
      <c r="A442">
        <v>5949</v>
      </c>
      <c r="B442" s="107" t="s">
        <v>1752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>
      <c r="A443">
        <v>5951</v>
      </c>
      <c r="B443" s="107" t="s">
        <v>1753</v>
      </c>
      <c r="C443">
        <v>0.05</v>
      </c>
      <c r="D443">
        <v>0.15</v>
      </c>
      <c r="E443">
        <v>0.05</v>
      </c>
      <c r="F443">
        <v>0.05</v>
      </c>
      <c r="G443">
        <v>0.05</v>
      </c>
    </row>
    <row r="444" spans="1:7">
      <c r="A444">
        <v>5957</v>
      </c>
      <c r="B444" s="107" t="s">
        <v>1754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>
      <c r="A445">
        <v>5958</v>
      </c>
      <c r="B445" s="107" t="s">
        <v>1755</v>
      </c>
      <c r="C445">
        <v>0</v>
      </c>
      <c r="D445">
        <v>0</v>
      </c>
      <c r="E445">
        <v>0</v>
      </c>
      <c r="F445">
        <v>0</v>
      </c>
      <c r="G445" s="107" t="s">
        <v>235</v>
      </c>
    </row>
    <row r="446" spans="1:7">
      <c r="A446">
        <v>5976</v>
      </c>
      <c r="B446" s="107" t="s">
        <v>1756</v>
      </c>
      <c r="C446">
        <v>0</v>
      </c>
      <c r="D446">
        <v>0</v>
      </c>
      <c r="E446">
        <v>0</v>
      </c>
      <c r="F446">
        <v>0</v>
      </c>
      <c r="G446" s="107">
        <v>0</v>
      </c>
    </row>
    <row r="447" spans="1:7">
      <c r="A447">
        <v>5981</v>
      </c>
      <c r="B447" s="107" t="s">
        <v>1757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>
      <c r="A448">
        <v>5988</v>
      </c>
      <c r="B448" s="107" t="s">
        <v>1758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>
      <c r="A449">
        <v>5991</v>
      </c>
      <c r="B449" s="107" t="s">
        <v>1759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>
      <c r="A450">
        <v>5998</v>
      </c>
      <c r="B450" s="107" t="s">
        <v>1760</v>
      </c>
      <c r="C450">
        <v>0</v>
      </c>
      <c r="D450">
        <v>0.15</v>
      </c>
      <c r="E450">
        <v>0</v>
      </c>
      <c r="F450">
        <v>0.05</v>
      </c>
      <c r="G450">
        <v>0</v>
      </c>
    </row>
    <row r="451" spans="1:7">
      <c r="A451">
        <v>6005</v>
      </c>
      <c r="B451" s="107" t="s">
        <v>1761</v>
      </c>
      <c r="C451">
        <v>0.1</v>
      </c>
      <c r="D451">
        <v>0.3</v>
      </c>
      <c r="E451">
        <v>0.1</v>
      </c>
      <c r="F451">
        <v>0.1</v>
      </c>
      <c r="G451">
        <v>0.1</v>
      </c>
    </row>
    <row r="452" spans="1:7">
      <c r="A452">
        <v>6028</v>
      </c>
      <c r="B452" s="107" t="s">
        <v>1333</v>
      </c>
      <c r="C452">
        <v>0.15</v>
      </c>
      <c r="D452">
        <v>0.45</v>
      </c>
      <c r="E452">
        <v>0.15</v>
      </c>
      <c r="F452">
        <v>0.15</v>
      </c>
      <c r="G452">
        <v>0.15</v>
      </c>
    </row>
    <row r="453" spans="1:7">
      <c r="A453">
        <v>6037</v>
      </c>
      <c r="B453" s="107" t="s">
        <v>1762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>
      <c r="A454">
        <v>6047</v>
      </c>
      <c r="B454" s="107" t="s">
        <v>1763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6048</v>
      </c>
      <c r="B455" s="107" t="s">
        <v>1764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6054</v>
      </c>
      <c r="B456" s="107" t="s">
        <v>1765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6055</v>
      </c>
      <c r="B457" s="107" t="s">
        <v>1766</v>
      </c>
      <c r="C457">
        <v>0.05</v>
      </c>
      <c r="D457" s="107" t="s">
        <v>235</v>
      </c>
      <c r="E457">
        <v>0</v>
      </c>
      <c r="F457">
        <v>0</v>
      </c>
      <c r="G457" s="107" t="s">
        <v>235</v>
      </c>
    </row>
    <row r="458" spans="1:7">
      <c r="A458">
        <v>6058</v>
      </c>
      <c r="B458" s="107" t="s">
        <v>1767</v>
      </c>
      <c r="C458">
        <v>0.05</v>
      </c>
      <c r="D458" s="107">
        <v>0.15</v>
      </c>
      <c r="E458">
        <v>0.05</v>
      </c>
      <c r="F458">
        <v>0.05</v>
      </c>
      <c r="G458" s="107">
        <v>0.05</v>
      </c>
    </row>
    <row r="459" spans="1:7">
      <c r="A459">
        <v>6071</v>
      </c>
      <c r="B459" s="107" t="s">
        <v>1768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>
      <c r="A460">
        <v>6073</v>
      </c>
      <c r="B460" s="107" t="s">
        <v>1769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>
      <c r="A461">
        <v>6088</v>
      </c>
      <c r="B461" s="107" t="s">
        <v>1770</v>
      </c>
      <c r="C461">
        <v>0.05</v>
      </c>
      <c r="D461">
        <v>1.65</v>
      </c>
      <c r="E461">
        <v>0.05</v>
      </c>
      <c r="F461">
        <v>0.05</v>
      </c>
      <c r="G461">
        <v>0.05</v>
      </c>
    </row>
    <row r="462" spans="1:7">
      <c r="A462">
        <v>6093</v>
      </c>
      <c r="B462" s="107" t="s">
        <v>1771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6098</v>
      </c>
      <c r="B463" s="107" t="s">
        <v>339</v>
      </c>
      <c r="C463">
        <v>0.1</v>
      </c>
      <c r="D463">
        <v>0.3</v>
      </c>
      <c r="E463">
        <v>0.1</v>
      </c>
      <c r="F463">
        <v>0.1</v>
      </c>
      <c r="G463">
        <v>0.1</v>
      </c>
    </row>
    <row r="464" spans="1:7">
      <c r="A464">
        <v>6099</v>
      </c>
      <c r="B464" s="107" t="s">
        <v>1772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>
      <c r="A465">
        <v>6101</v>
      </c>
      <c r="B465" s="107" t="s">
        <v>1773</v>
      </c>
      <c r="C465">
        <v>0.05</v>
      </c>
      <c r="D465">
        <v>0.15</v>
      </c>
      <c r="E465">
        <v>0.05</v>
      </c>
      <c r="F465">
        <v>0.05</v>
      </c>
      <c r="G465">
        <v>0.05</v>
      </c>
    </row>
    <row r="466" spans="1:7">
      <c r="A466">
        <v>6103</v>
      </c>
      <c r="B466" s="107" t="s">
        <v>1774</v>
      </c>
      <c r="C466">
        <v>0.1</v>
      </c>
      <c r="D466">
        <v>0.3</v>
      </c>
      <c r="E466">
        <v>0.15</v>
      </c>
      <c r="F466">
        <v>0.15</v>
      </c>
      <c r="G466">
        <v>0.1</v>
      </c>
    </row>
    <row r="467" spans="1:7">
      <c r="A467">
        <v>6104</v>
      </c>
      <c r="B467" s="107" t="s">
        <v>1775</v>
      </c>
      <c r="C467">
        <v>0</v>
      </c>
      <c r="D467" s="107" t="s">
        <v>235</v>
      </c>
      <c r="E467" s="107" t="s">
        <v>235</v>
      </c>
      <c r="F467" s="107" t="s">
        <v>235</v>
      </c>
      <c r="G467" s="107" t="s">
        <v>235</v>
      </c>
    </row>
    <row r="468" spans="1:7">
      <c r="A468">
        <v>6118</v>
      </c>
      <c r="B468" s="107" t="s">
        <v>1776</v>
      </c>
      <c r="C468">
        <v>0</v>
      </c>
      <c r="D468" s="107">
        <v>0</v>
      </c>
      <c r="E468" s="107">
        <v>0</v>
      </c>
      <c r="F468" s="107" t="s">
        <v>235</v>
      </c>
      <c r="G468" s="107" t="s">
        <v>235</v>
      </c>
    </row>
    <row r="469" spans="1:7">
      <c r="A469">
        <v>6134</v>
      </c>
      <c r="B469" s="107" t="s">
        <v>949</v>
      </c>
      <c r="C469">
        <v>0.05</v>
      </c>
      <c r="D469">
        <v>0.15</v>
      </c>
      <c r="E469">
        <v>0.05</v>
      </c>
      <c r="F469" s="107">
        <v>0.05</v>
      </c>
      <c r="G469" s="107">
        <v>0.05</v>
      </c>
    </row>
    <row r="470" spans="1:7">
      <c r="A470">
        <v>6135</v>
      </c>
      <c r="B470" s="107" t="s">
        <v>308</v>
      </c>
      <c r="C470">
        <v>0.1</v>
      </c>
      <c r="D470">
        <v>0.3</v>
      </c>
      <c r="E470">
        <v>0.1</v>
      </c>
      <c r="F470">
        <v>0.1</v>
      </c>
      <c r="G470">
        <v>0.1</v>
      </c>
    </row>
    <row r="471" spans="1:7">
      <c r="A471">
        <v>6136</v>
      </c>
      <c r="B471" s="107" t="s">
        <v>1777</v>
      </c>
      <c r="C471">
        <v>0.05</v>
      </c>
      <c r="D471">
        <v>0.15</v>
      </c>
      <c r="E471">
        <v>0.05</v>
      </c>
      <c r="F471">
        <v>0.05</v>
      </c>
      <c r="G471">
        <v>0.05</v>
      </c>
    </row>
    <row r="472" spans="1:7">
      <c r="A472">
        <v>6140</v>
      </c>
      <c r="B472" s="107" t="s">
        <v>1778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>
      <c r="A473">
        <v>6143</v>
      </c>
      <c r="B473" s="107" t="s">
        <v>1779</v>
      </c>
      <c r="C473">
        <v>0.05</v>
      </c>
      <c r="D473">
        <v>0</v>
      </c>
      <c r="E473">
        <v>0.05</v>
      </c>
      <c r="F473">
        <v>0</v>
      </c>
      <c r="G473">
        <v>0.05</v>
      </c>
    </row>
    <row r="474" spans="1:7">
      <c r="A474">
        <v>6146</v>
      </c>
      <c r="B474" s="107" t="s">
        <v>1780</v>
      </c>
      <c r="C474">
        <v>0.45</v>
      </c>
      <c r="D474">
        <v>1.2</v>
      </c>
      <c r="E474">
        <v>0.4</v>
      </c>
      <c r="F474">
        <v>0.4</v>
      </c>
      <c r="G474">
        <v>0.4</v>
      </c>
    </row>
    <row r="475" spans="1:7">
      <c r="A475">
        <v>6151</v>
      </c>
      <c r="B475" s="107" t="s">
        <v>1781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6157</v>
      </c>
      <c r="B476" s="107" t="s">
        <v>1782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>
      <c r="A477">
        <v>6165</v>
      </c>
      <c r="B477" s="107" t="s">
        <v>1783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>
      <c r="A478">
        <v>6184</v>
      </c>
      <c r="B478" s="107" t="s">
        <v>1784</v>
      </c>
      <c r="C478">
        <v>0.05</v>
      </c>
      <c r="D478">
        <v>0.15</v>
      </c>
      <c r="E478">
        <v>0.05</v>
      </c>
      <c r="F478">
        <v>0.2</v>
      </c>
      <c r="G478">
        <v>0.2</v>
      </c>
    </row>
    <row r="479" spans="1:7">
      <c r="A479">
        <v>6187</v>
      </c>
      <c r="B479" s="107" t="s">
        <v>1785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6194</v>
      </c>
      <c r="B480" s="107" t="s">
        <v>1786</v>
      </c>
      <c r="C480">
        <v>0.1</v>
      </c>
      <c r="D480">
        <v>0.3</v>
      </c>
      <c r="E480">
        <v>0.1</v>
      </c>
      <c r="F480">
        <v>0.1</v>
      </c>
      <c r="G480">
        <v>0.1</v>
      </c>
    </row>
    <row r="481" spans="1:7">
      <c r="A481">
        <v>6196</v>
      </c>
      <c r="B481" s="107" t="s">
        <v>1787</v>
      </c>
      <c r="C481">
        <v>0.1</v>
      </c>
      <c r="D481">
        <v>0.3</v>
      </c>
      <c r="E481">
        <v>0.1</v>
      </c>
      <c r="F481">
        <v>0.1</v>
      </c>
      <c r="G481">
        <v>0.1</v>
      </c>
    </row>
    <row r="482" spans="1:7">
      <c r="A482">
        <v>6200</v>
      </c>
      <c r="B482" s="107" t="s">
        <v>1788</v>
      </c>
      <c r="C482">
        <v>0.1</v>
      </c>
      <c r="D482">
        <v>0.6</v>
      </c>
      <c r="E482">
        <v>0.1</v>
      </c>
      <c r="F482">
        <v>0.1</v>
      </c>
      <c r="G482">
        <v>0.1</v>
      </c>
    </row>
    <row r="483" spans="1:7">
      <c r="A483">
        <v>6205</v>
      </c>
      <c r="B483" s="107" t="s">
        <v>1789</v>
      </c>
      <c r="C483">
        <v>0</v>
      </c>
      <c r="D483">
        <v>0.15</v>
      </c>
      <c r="E483">
        <v>0</v>
      </c>
      <c r="F483">
        <v>0.05</v>
      </c>
      <c r="G483" s="107" t="s">
        <v>235</v>
      </c>
    </row>
    <row r="484" spans="1:7">
      <c r="A484">
        <v>6217</v>
      </c>
      <c r="B484" s="107" t="s">
        <v>1790</v>
      </c>
      <c r="C484">
        <v>0</v>
      </c>
      <c r="D484">
        <v>0</v>
      </c>
      <c r="E484">
        <v>0</v>
      </c>
      <c r="F484">
        <v>0</v>
      </c>
      <c r="G484" s="107">
        <v>0</v>
      </c>
    </row>
    <row r="485" spans="1:7">
      <c r="A485">
        <v>6218</v>
      </c>
      <c r="B485" s="107" t="s">
        <v>1791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>
      <c r="A486">
        <v>6222</v>
      </c>
      <c r="B486" s="107" t="s">
        <v>1792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>
      <c r="A487">
        <v>6237</v>
      </c>
      <c r="B487" s="107" t="s">
        <v>1793</v>
      </c>
      <c r="C487">
        <v>0.05</v>
      </c>
      <c r="D487">
        <v>0.15</v>
      </c>
      <c r="E487">
        <v>0.05</v>
      </c>
      <c r="F487">
        <v>0.05</v>
      </c>
      <c r="G487">
        <v>0.05</v>
      </c>
    </row>
    <row r="488" spans="1:7">
      <c r="A488">
        <v>6240</v>
      </c>
      <c r="B488" s="107" t="s">
        <v>1794</v>
      </c>
      <c r="C488">
        <v>0.05</v>
      </c>
      <c r="D488">
        <v>0.15</v>
      </c>
      <c r="E488">
        <v>0.05</v>
      </c>
      <c r="F488">
        <v>0.05</v>
      </c>
      <c r="G488">
        <v>0.05</v>
      </c>
    </row>
    <row r="489" spans="1:7">
      <c r="A489">
        <v>6247</v>
      </c>
      <c r="B489" s="107" t="s">
        <v>1795</v>
      </c>
      <c r="C489">
        <v>0</v>
      </c>
      <c r="D489" s="107" t="s">
        <v>235</v>
      </c>
      <c r="E489">
        <v>0.05</v>
      </c>
      <c r="F489" s="107" t="s">
        <v>235</v>
      </c>
      <c r="G489">
        <v>0.05</v>
      </c>
    </row>
    <row r="490" spans="1:7">
      <c r="A490">
        <v>6250</v>
      </c>
      <c r="B490" s="107" t="s">
        <v>1796</v>
      </c>
      <c r="C490">
        <v>0</v>
      </c>
      <c r="D490" s="107">
        <v>0</v>
      </c>
      <c r="E490" s="107" t="s">
        <v>235</v>
      </c>
      <c r="F490" s="107" t="s">
        <v>235</v>
      </c>
      <c r="G490">
        <v>0</v>
      </c>
    </row>
    <row r="491" spans="1:7">
      <c r="A491">
        <v>6258</v>
      </c>
      <c r="B491" s="107" t="s">
        <v>1797</v>
      </c>
      <c r="C491">
        <v>0.2</v>
      </c>
      <c r="D491">
        <v>0.6</v>
      </c>
      <c r="E491" s="107">
        <v>0.2</v>
      </c>
      <c r="F491" s="107">
        <v>0.2</v>
      </c>
      <c r="G491">
        <v>0.2</v>
      </c>
    </row>
    <row r="492" spans="1:7">
      <c r="A492">
        <v>6262</v>
      </c>
      <c r="B492" s="107" t="s">
        <v>1798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6264</v>
      </c>
      <c r="B493" s="107" t="s">
        <v>1799</v>
      </c>
      <c r="C493">
        <v>0</v>
      </c>
      <c r="D493" s="107" t="s">
        <v>235</v>
      </c>
      <c r="E493" s="107" t="s">
        <v>235</v>
      </c>
      <c r="F493" s="107" t="s">
        <v>235</v>
      </c>
      <c r="G493">
        <v>0</v>
      </c>
    </row>
    <row r="494" spans="1:7">
      <c r="A494">
        <v>6268</v>
      </c>
      <c r="B494" s="107" t="s">
        <v>1800</v>
      </c>
      <c r="C494">
        <v>0</v>
      </c>
      <c r="D494" s="107">
        <v>0</v>
      </c>
      <c r="E494" s="107" t="s">
        <v>235</v>
      </c>
      <c r="F494" s="107" t="s">
        <v>235</v>
      </c>
      <c r="G494" s="107" t="s">
        <v>235</v>
      </c>
    </row>
    <row r="495" spans="1:7">
      <c r="A495">
        <v>6269</v>
      </c>
      <c r="B495" s="107" t="s">
        <v>1801</v>
      </c>
      <c r="C495">
        <v>0</v>
      </c>
      <c r="D495">
        <v>0</v>
      </c>
      <c r="E495" s="107">
        <v>0</v>
      </c>
      <c r="F495" s="107" t="s">
        <v>235</v>
      </c>
      <c r="G495" s="107">
        <v>0</v>
      </c>
    </row>
    <row r="496" spans="1:7">
      <c r="A496">
        <v>6273</v>
      </c>
      <c r="B496" s="107" t="s">
        <v>1802</v>
      </c>
      <c r="C496">
        <v>0.85</v>
      </c>
      <c r="D496">
        <v>2.5499999999999998</v>
      </c>
      <c r="E496">
        <v>0.85</v>
      </c>
      <c r="F496" s="107">
        <v>0.85</v>
      </c>
      <c r="G496">
        <v>0.85</v>
      </c>
    </row>
    <row r="497" spans="1:7">
      <c r="A497">
        <v>6274</v>
      </c>
      <c r="B497" s="107" t="s">
        <v>1803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6278</v>
      </c>
      <c r="B498" s="107" t="s">
        <v>1804</v>
      </c>
      <c r="C498">
        <v>0.05</v>
      </c>
      <c r="D498">
        <v>0.15</v>
      </c>
      <c r="E498">
        <v>0.05</v>
      </c>
      <c r="F498">
        <v>0.05</v>
      </c>
      <c r="G498">
        <v>0.05</v>
      </c>
    </row>
    <row r="499" spans="1:7">
      <c r="A499">
        <v>6284</v>
      </c>
      <c r="B499" s="107" t="s">
        <v>1805</v>
      </c>
      <c r="C499">
        <v>0.1</v>
      </c>
      <c r="D499">
        <v>0.3</v>
      </c>
      <c r="E499">
        <v>0.1</v>
      </c>
      <c r="F499">
        <v>0.1</v>
      </c>
      <c r="G499">
        <v>0.1</v>
      </c>
    </row>
    <row r="500" spans="1:7">
      <c r="A500">
        <v>6287</v>
      </c>
      <c r="B500" s="107" t="s">
        <v>951</v>
      </c>
      <c r="C500">
        <v>0.1</v>
      </c>
      <c r="D500">
        <v>0.3</v>
      </c>
      <c r="E500">
        <v>0.1</v>
      </c>
      <c r="F500">
        <v>0.1</v>
      </c>
      <c r="G500">
        <v>0.1</v>
      </c>
    </row>
    <row r="501" spans="1:7">
      <c r="A501">
        <v>6301</v>
      </c>
      <c r="B501" s="107" t="s">
        <v>109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>
      <c r="A502">
        <v>6305</v>
      </c>
      <c r="B502" s="107" t="s">
        <v>33</v>
      </c>
      <c r="C502">
        <v>0.1</v>
      </c>
      <c r="D502">
        <v>0.3</v>
      </c>
      <c r="E502">
        <v>0.1</v>
      </c>
      <c r="F502">
        <v>0.1</v>
      </c>
      <c r="G502">
        <v>0.05</v>
      </c>
    </row>
    <row r="503" spans="1:7">
      <c r="A503">
        <v>6310</v>
      </c>
      <c r="B503" s="107" t="s">
        <v>1806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>
      <c r="A504">
        <v>6315</v>
      </c>
      <c r="B504" s="107" t="s">
        <v>1807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>
      <c r="A505">
        <v>6316</v>
      </c>
      <c r="B505" s="107" t="s">
        <v>1808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>
      <c r="A506">
        <v>6325</v>
      </c>
      <c r="B506" s="107" t="s">
        <v>1809</v>
      </c>
      <c r="C506">
        <v>0</v>
      </c>
      <c r="D506" s="107" t="s">
        <v>235</v>
      </c>
      <c r="E506" s="107" t="s">
        <v>235</v>
      </c>
      <c r="F506" s="107" t="s">
        <v>235</v>
      </c>
      <c r="G506" s="107" t="s">
        <v>235</v>
      </c>
    </row>
    <row r="507" spans="1:7">
      <c r="A507">
        <v>6326</v>
      </c>
      <c r="B507" s="107" t="s">
        <v>1810</v>
      </c>
      <c r="C507">
        <v>0</v>
      </c>
      <c r="D507" s="107">
        <v>0</v>
      </c>
      <c r="E507" s="107" t="s">
        <v>235</v>
      </c>
      <c r="F507" s="107" t="s">
        <v>235</v>
      </c>
      <c r="G507" s="107">
        <v>0</v>
      </c>
    </row>
    <row r="508" spans="1:7">
      <c r="A508">
        <v>6330</v>
      </c>
      <c r="B508" s="107" t="s">
        <v>1811</v>
      </c>
      <c r="C508">
        <v>0.05</v>
      </c>
      <c r="D508">
        <v>0</v>
      </c>
      <c r="E508" s="107">
        <v>0.05</v>
      </c>
      <c r="F508" s="107">
        <v>0</v>
      </c>
      <c r="G508">
        <v>0.05</v>
      </c>
    </row>
    <row r="509" spans="1:7">
      <c r="A509">
        <v>6331</v>
      </c>
      <c r="B509" s="107" t="s">
        <v>1812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>
      <c r="A510">
        <v>6332</v>
      </c>
      <c r="B510" s="107" t="s">
        <v>1813</v>
      </c>
      <c r="C510">
        <v>0.05</v>
      </c>
      <c r="D510">
        <v>0.15</v>
      </c>
      <c r="E510">
        <v>0.05</v>
      </c>
      <c r="F510">
        <v>0.05</v>
      </c>
      <c r="G510">
        <v>0.05</v>
      </c>
    </row>
    <row r="511" spans="1:7">
      <c r="A511">
        <v>6349</v>
      </c>
      <c r="B511" s="107" t="s">
        <v>1814</v>
      </c>
      <c r="C511">
        <v>0.05</v>
      </c>
      <c r="D511">
        <v>0.15</v>
      </c>
      <c r="E511">
        <v>0.05</v>
      </c>
      <c r="F511">
        <v>0.05</v>
      </c>
      <c r="G511">
        <v>0.05</v>
      </c>
    </row>
    <row r="512" spans="1:7">
      <c r="A512">
        <v>6351</v>
      </c>
      <c r="B512" s="107" t="s">
        <v>1815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>
      <c r="A513">
        <v>6358</v>
      </c>
      <c r="B513" s="107" t="s">
        <v>1816</v>
      </c>
      <c r="C513">
        <v>0.05</v>
      </c>
      <c r="D513">
        <v>0.15</v>
      </c>
      <c r="E513">
        <v>0</v>
      </c>
      <c r="F513">
        <v>0.05</v>
      </c>
      <c r="G513">
        <v>0</v>
      </c>
    </row>
    <row r="514" spans="1:7">
      <c r="A514">
        <v>6361</v>
      </c>
      <c r="B514" s="107" t="s">
        <v>1817</v>
      </c>
      <c r="C514">
        <v>0.1</v>
      </c>
      <c r="D514">
        <v>0.3</v>
      </c>
      <c r="E514">
        <v>0.05</v>
      </c>
      <c r="F514">
        <v>0.1</v>
      </c>
      <c r="G514">
        <v>0.1</v>
      </c>
    </row>
    <row r="515" spans="1:7">
      <c r="A515">
        <v>6362</v>
      </c>
      <c r="B515" s="107" t="s">
        <v>1818</v>
      </c>
      <c r="C515">
        <v>0.05</v>
      </c>
      <c r="D515">
        <v>0.15</v>
      </c>
      <c r="E515">
        <v>0.05</v>
      </c>
      <c r="F515">
        <v>0.05</v>
      </c>
      <c r="G515">
        <v>0.05</v>
      </c>
    </row>
    <row r="516" spans="1:7">
      <c r="A516">
        <v>6363</v>
      </c>
      <c r="B516" s="107" t="s">
        <v>1819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6367</v>
      </c>
      <c r="B517" s="107" t="s">
        <v>1820</v>
      </c>
      <c r="C517">
        <v>0.3</v>
      </c>
      <c r="D517">
        <v>0.9</v>
      </c>
      <c r="E517">
        <v>0.3</v>
      </c>
      <c r="F517">
        <v>0.3</v>
      </c>
      <c r="G517">
        <v>0.3</v>
      </c>
    </row>
    <row r="518" spans="1:7">
      <c r="A518">
        <v>6368</v>
      </c>
      <c r="B518" s="107" t="s">
        <v>1821</v>
      </c>
      <c r="C518">
        <v>0</v>
      </c>
      <c r="D518" s="107" t="s">
        <v>235</v>
      </c>
      <c r="E518" s="107" t="s">
        <v>235</v>
      </c>
      <c r="F518">
        <v>0</v>
      </c>
      <c r="G518">
        <v>0</v>
      </c>
    </row>
    <row r="519" spans="1:7">
      <c r="A519">
        <v>6370</v>
      </c>
      <c r="B519" s="107" t="s">
        <v>1822</v>
      </c>
      <c r="C519">
        <v>0</v>
      </c>
      <c r="D519" s="107">
        <v>0</v>
      </c>
      <c r="E519" s="107">
        <v>0</v>
      </c>
      <c r="F519">
        <v>0</v>
      </c>
      <c r="G519">
        <v>0.05</v>
      </c>
    </row>
    <row r="520" spans="1:7">
      <c r="A520">
        <v>6371</v>
      </c>
      <c r="B520" s="107" t="s">
        <v>108</v>
      </c>
      <c r="C520">
        <v>0</v>
      </c>
      <c r="D520" s="107" t="s">
        <v>235</v>
      </c>
      <c r="E520" s="107" t="s">
        <v>235</v>
      </c>
      <c r="F520">
        <v>0.1</v>
      </c>
      <c r="G520">
        <v>0.1</v>
      </c>
    </row>
    <row r="521" spans="1:7">
      <c r="A521">
        <v>6373</v>
      </c>
      <c r="B521" s="107" t="s">
        <v>1823</v>
      </c>
      <c r="C521">
        <v>0</v>
      </c>
      <c r="D521" s="107">
        <v>0</v>
      </c>
      <c r="E521" s="107">
        <v>0</v>
      </c>
      <c r="F521">
        <v>0</v>
      </c>
      <c r="G521">
        <v>0</v>
      </c>
    </row>
    <row r="522" spans="1:7">
      <c r="A522">
        <v>6381</v>
      </c>
      <c r="B522" s="107" t="s">
        <v>1824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>
      <c r="A523">
        <v>6383</v>
      </c>
      <c r="B523" s="107" t="s">
        <v>1344</v>
      </c>
      <c r="C523">
        <v>0.15</v>
      </c>
      <c r="D523">
        <v>0.45</v>
      </c>
      <c r="E523">
        <v>0.15</v>
      </c>
      <c r="F523">
        <v>0.15</v>
      </c>
      <c r="G523">
        <v>0.15</v>
      </c>
    </row>
    <row r="524" spans="1:7">
      <c r="A524">
        <v>6393</v>
      </c>
      <c r="B524" s="107" t="s">
        <v>1825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>
      <c r="A525">
        <v>6395</v>
      </c>
      <c r="B525" s="107" t="s">
        <v>1826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>
      <c r="A526">
        <v>6407</v>
      </c>
      <c r="B526" s="107" t="s">
        <v>1827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>
      <c r="A527">
        <v>6412</v>
      </c>
      <c r="B527" s="107" t="s">
        <v>1828</v>
      </c>
      <c r="C527">
        <v>0</v>
      </c>
      <c r="D527" s="107" t="s">
        <v>235</v>
      </c>
      <c r="E527">
        <v>0.05</v>
      </c>
      <c r="F527">
        <v>0</v>
      </c>
      <c r="G527">
        <v>0</v>
      </c>
    </row>
    <row r="528" spans="1:7">
      <c r="A528">
        <v>6413</v>
      </c>
      <c r="B528" s="107" t="s">
        <v>1829</v>
      </c>
      <c r="C528">
        <v>0.05</v>
      </c>
      <c r="D528" s="107">
        <v>0.15</v>
      </c>
      <c r="E528">
        <v>0.05</v>
      </c>
      <c r="F528">
        <v>0.05</v>
      </c>
      <c r="G528">
        <v>0.05</v>
      </c>
    </row>
    <row r="529" spans="1:7">
      <c r="A529">
        <v>6428</v>
      </c>
      <c r="B529" s="107" t="s">
        <v>1830</v>
      </c>
      <c r="C529">
        <v>0.05</v>
      </c>
      <c r="D529">
        <v>0.15</v>
      </c>
      <c r="E529">
        <v>0.05</v>
      </c>
      <c r="F529">
        <v>0.05</v>
      </c>
      <c r="G529">
        <v>0.05</v>
      </c>
    </row>
    <row r="530" spans="1:7">
      <c r="A530">
        <v>6430</v>
      </c>
      <c r="B530" s="107" t="s">
        <v>1831</v>
      </c>
      <c r="C530">
        <v>0.05</v>
      </c>
      <c r="D530">
        <v>0.15</v>
      </c>
      <c r="E530">
        <v>0.05</v>
      </c>
      <c r="F530" s="107" t="s">
        <v>235</v>
      </c>
      <c r="G530">
        <v>0.05</v>
      </c>
    </row>
    <row r="531" spans="1:7">
      <c r="A531">
        <v>6436</v>
      </c>
      <c r="B531" s="107" t="s">
        <v>1832</v>
      </c>
      <c r="C531">
        <v>0</v>
      </c>
      <c r="D531">
        <v>0</v>
      </c>
      <c r="E531">
        <v>0</v>
      </c>
      <c r="F531" s="107">
        <v>0</v>
      </c>
      <c r="G531">
        <v>0</v>
      </c>
    </row>
    <row r="532" spans="1:7">
      <c r="A532">
        <v>6444</v>
      </c>
      <c r="B532" s="107" t="s">
        <v>1833</v>
      </c>
      <c r="C532">
        <v>0.05</v>
      </c>
      <c r="D532">
        <v>0.15</v>
      </c>
      <c r="E532">
        <v>0.05</v>
      </c>
      <c r="F532">
        <v>0.05</v>
      </c>
      <c r="G532">
        <v>0.05</v>
      </c>
    </row>
    <row r="533" spans="1:7">
      <c r="A533">
        <v>6448</v>
      </c>
      <c r="B533" s="107" t="s">
        <v>961</v>
      </c>
      <c r="C533">
        <v>0.05</v>
      </c>
      <c r="D533">
        <v>0</v>
      </c>
      <c r="E533">
        <v>0.05</v>
      </c>
      <c r="F533">
        <v>0.05</v>
      </c>
      <c r="G533">
        <v>0.05</v>
      </c>
    </row>
    <row r="534" spans="1:7">
      <c r="A534">
        <v>6454</v>
      </c>
      <c r="B534" s="107" t="s">
        <v>1834</v>
      </c>
      <c r="C534">
        <v>0.05</v>
      </c>
      <c r="D534">
        <v>0.15</v>
      </c>
      <c r="E534">
        <v>0.05</v>
      </c>
      <c r="F534">
        <v>0.05</v>
      </c>
      <c r="G534">
        <v>0.05</v>
      </c>
    </row>
    <row r="535" spans="1:7">
      <c r="A535">
        <v>6457</v>
      </c>
      <c r="B535" s="107" t="s">
        <v>314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6459</v>
      </c>
      <c r="B536" s="107" t="s">
        <v>1835</v>
      </c>
      <c r="C536">
        <v>0.05</v>
      </c>
      <c r="D536">
        <v>0.15</v>
      </c>
      <c r="E536" s="107" t="s">
        <v>235</v>
      </c>
      <c r="F536">
        <v>0.05</v>
      </c>
      <c r="G536" s="107" t="s">
        <v>235</v>
      </c>
    </row>
    <row r="537" spans="1:7">
      <c r="A537">
        <v>6463</v>
      </c>
      <c r="B537" s="107" t="s">
        <v>1836</v>
      </c>
      <c r="C537">
        <v>0.05</v>
      </c>
      <c r="D537">
        <v>0.15</v>
      </c>
      <c r="E537" s="107">
        <v>0.05</v>
      </c>
      <c r="F537">
        <v>0.05</v>
      </c>
      <c r="G537" s="107">
        <v>0.05</v>
      </c>
    </row>
    <row r="538" spans="1:7">
      <c r="A538">
        <v>6465</v>
      </c>
      <c r="B538" s="107" t="s">
        <v>952</v>
      </c>
      <c r="C538">
        <v>0.2</v>
      </c>
      <c r="D538">
        <v>0.6</v>
      </c>
      <c r="E538">
        <v>0.2</v>
      </c>
      <c r="F538">
        <v>0.2</v>
      </c>
      <c r="G538">
        <v>0.2</v>
      </c>
    </row>
    <row r="539" spans="1:7">
      <c r="A539">
        <v>6472</v>
      </c>
      <c r="B539" s="107" t="s">
        <v>134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>
      <c r="A540">
        <v>6474</v>
      </c>
      <c r="B540" s="107" t="s">
        <v>315</v>
      </c>
      <c r="C540">
        <v>0.05</v>
      </c>
      <c r="D540">
        <v>0</v>
      </c>
      <c r="E540">
        <v>0.1</v>
      </c>
      <c r="F540">
        <v>0.1</v>
      </c>
      <c r="G540">
        <v>0.1</v>
      </c>
    </row>
    <row r="541" spans="1:7">
      <c r="A541">
        <v>6479</v>
      </c>
      <c r="B541" s="107" t="s">
        <v>1325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>
      <c r="A542">
        <v>6480</v>
      </c>
      <c r="B542" s="107" t="s">
        <v>1837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6481</v>
      </c>
      <c r="B543" s="107" t="s">
        <v>1838</v>
      </c>
      <c r="C543">
        <v>0</v>
      </c>
      <c r="D543">
        <v>0</v>
      </c>
      <c r="E543">
        <v>0</v>
      </c>
      <c r="F543">
        <v>0.05</v>
      </c>
      <c r="G543">
        <v>0</v>
      </c>
    </row>
    <row r="544" spans="1:7">
      <c r="A544">
        <v>6482</v>
      </c>
      <c r="B544" s="107" t="s">
        <v>1839</v>
      </c>
      <c r="C544">
        <v>0.05</v>
      </c>
      <c r="D544">
        <v>0</v>
      </c>
      <c r="E544">
        <v>0</v>
      </c>
      <c r="F544">
        <v>0.05</v>
      </c>
      <c r="G544">
        <v>0.05</v>
      </c>
    </row>
    <row r="545" spans="1:7">
      <c r="A545">
        <v>6490</v>
      </c>
      <c r="B545" s="107" t="s">
        <v>1840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>
      <c r="A546">
        <v>6505</v>
      </c>
      <c r="B546" s="107" t="s">
        <v>1841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6506</v>
      </c>
      <c r="B547" s="107" t="s">
        <v>1842</v>
      </c>
      <c r="C547">
        <v>0.1</v>
      </c>
      <c r="D547">
        <v>0.3</v>
      </c>
      <c r="E547">
        <v>0.1</v>
      </c>
      <c r="F547">
        <v>0.1</v>
      </c>
      <c r="G547">
        <v>0.1</v>
      </c>
    </row>
    <row r="548" spans="1:7">
      <c r="A548">
        <v>6508</v>
      </c>
      <c r="B548" s="107" t="s">
        <v>1843</v>
      </c>
      <c r="C548">
        <v>0.05</v>
      </c>
      <c r="D548">
        <v>0</v>
      </c>
      <c r="E548">
        <v>0.05</v>
      </c>
      <c r="F548">
        <v>0.05</v>
      </c>
      <c r="G548">
        <v>0.05</v>
      </c>
    </row>
    <row r="549" spans="1:7">
      <c r="A549">
        <v>6516</v>
      </c>
      <c r="B549" s="107" t="s">
        <v>1844</v>
      </c>
      <c r="C549">
        <v>0</v>
      </c>
      <c r="D549" s="107" t="s">
        <v>235</v>
      </c>
      <c r="E549">
        <v>0</v>
      </c>
      <c r="F549" s="107" t="s">
        <v>235</v>
      </c>
      <c r="G549" s="107" t="s">
        <v>235</v>
      </c>
    </row>
    <row r="550" spans="1:7">
      <c r="A550">
        <v>6535</v>
      </c>
      <c r="B550" s="107" t="s">
        <v>1845</v>
      </c>
      <c r="C550">
        <v>0</v>
      </c>
      <c r="D550" s="107">
        <v>0</v>
      </c>
      <c r="E550">
        <v>0</v>
      </c>
      <c r="F550" s="107">
        <v>0.05</v>
      </c>
      <c r="G550" s="107">
        <v>0</v>
      </c>
    </row>
    <row r="551" spans="1:7">
      <c r="A551">
        <v>6547</v>
      </c>
      <c r="B551" s="107" t="s">
        <v>1846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>
      <c r="A552">
        <v>6551</v>
      </c>
      <c r="B552" s="107" t="s">
        <v>1847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>
      <c r="A553">
        <v>6552</v>
      </c>
      <c r="B553" s="107" t="s">
        <v>1848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6586</v>
      </c>
      <c r="B554" s="107" t="s">
        <v>1849</v>
      </c>
      <c r="C554">
        <v>0</v>
      </c>
      <c r="D554">
        <v>0</v>
      </c>
      <c r="E554">
        <v>0</v>
      </c>
      <c r="F554">
        <v>0</v>
      </c>
      <c r="G554">
        <v>0.05</v>
      </c>
    </row>
    <row r="555" spans="1:7">
      <c r="A555">
        <v>6588</v>
      </c>
      <c r="B555" s="107" t="s">
        <v>955</v>
      </c>
      <c r="C555">
        <v>0.05</v>
      </c>
      <c r="D555">
        <v>0.3</v>
      </c>
      <c r="E555" s="107" t="s">
        <v>235</v>
      </c>
      <c r="F555">
        <v>0.1</v>
      </c>
      <c r="G555">
        <v>0.1</v>
      </c>
    </row>
    <row r="556" spans="1:7">
      <c r="A556">
        <v>6590</v>
      </c>
      <c r="B556" s="107" t="s">
        <v>1850</v>
      </c>
      <c r="C556">
        <v>0</v>
      </c>
      <c r="D556">
        <v>0</v>
      </c>
      <c r="E556" s="107">
        <v>0</v>
      </c>
      <c r="F556">
        <v>0</v>
      </c>
      <c r="G556">
        <v>0</v>
      </c>
    </row>
    <row r="557" spans="1:7">
      <c r="A557">
        <v>6617</v>
      </c>
      <c r="B557" s="107" t="s">
        <v>1851</v>
      </c>
      <c r="C557">
        <v>0.05</v>
      </c>
      <c r="D557" s="107" t="s">
        <v>235</v>
      </c>
      <c r="E557">
        <v>0.05</v>
      </c>
      <c r="F557" s="107" t="s">
        <v>235</v>
      </c>
      <c r="G557">
        <v>0.05</v>
      </c>
    </row>
    <row r="558" spans="1:7">
      <c r="A558">
        <v>6622</v>
      </c>
      <c r="B558" s="107" t="s">
        <v>1852</v>
      </c>
      <c r="C558">
        <v>0.1</v>
      </c>
      <c r="D558" s="107">
        <v>0.3</v>
      </c>
      <c r="E558">
        <v>0.1</v>
      </c>
      <c r="F558" s="107">
        <v>0.1</v>
      </c>
      <c r="G558">
        <v>0.1</v>
      </c>
    </row>
    <row r="559" spans="1:7">
      <c r="A559">
        <v>6640</v>
      </c>
      <c r="B559" s="107" t="s">
        <v>1853</v>
      </c>
      <c r="C559">
        <v>0.1</v>
      </c>
      <c r="D559">
        <v>0.3</v>
      </c>
      <c r="E559">
        <v>0.05</v>
      </c>
      <c r="F559">
        <v>0.05</v>
      </c>
      <c r="G559">
        <v>6</v>
      </c>
    </row>
    <row r="560" spans="1:7">
      <c r="A560">
        <v>6641</v>
      </c>
      <c r="B560" s="107" t="s">
        <v>1854</v>
      </c>
      <c r="C560">
        <v>0</v>
      </c>
      <c r="D560">
        <v>0.15</v>
      </c>
      <c r="E560">
        <v>0</v>
      </c>
      <c r="F560" s="107" t="s">
        <v>235</v>
      </c>
      <c r="G560" s="107" t="s">
        <v>235</v>
      </c>
    </row>
    <row r="561" spans="1:7">
      <c r="A561">
        <v>6645</v>
      </c>
      <c r="B561" s="107" t="s">
        <v>1855</v>
      </c>
      <c r="C561">
        <v>0.15</v>
      </c>
      <c r="D561">
        <v>0.45</v>
      </c>
      <c r="E561">
        <v>0.15</v>
      </c>
      <c r="F561" s="107">
        <v>0.15</v>
      </c>
      <c r="G561" s="107">
        <v>0.15</v>
      </c>
    </row>
    <row r="562" spans="1:7">
      <c r="A562">
        <v>6652</v>
      </c>
      <c r="B562" s="107" t="s">
        <v>1856</v>
      </c>
      <c r="C562">
        <v>0.05</v>
      </c>
      <c r="D562">
        <v>0.15</v>
      </c>
      <c r="E562">
        <v>0.05</v>
      </c>
      <c r="F562">
        <v>0.05</v>
      </c>
      <c r="G562">
        <v>0.05</v>
      </c>
    </row>
    <row r="563" spans="1:7">
      <c r="A563">
        <v>6653</v>
      </c>
      <c r="B563" s="107" t="s">
        <v>1857</v>
      </c>
      <c r="C563">
        <v>0.05</v>
      </c>
      <c r="D563">
        <v>0.15</v>
      </c>
      <c r="E563">
        <v>0.05</v>
      </c>
      <c r="F563">
        <v>0.05</v>
      </c>
      <c r="G563">
        <v>0.05</v>
      </c>
    </row>
    <row r="564" spans="1:7">
      <c r="A564">
        <v>6654</v>
      </c>
      <c r="B564" s="107" t="s">
        <v>1858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6674</v>
      </c>
      <c r="B565" s="107" t="s">
        <v>330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>
      <c r="A566">
        <v>6676</v>
      </c>
      <c r="B566" s="107" t="s">
        <v>1859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>
      <c r="A567">
        <v>6702</v>
      </c>
      <c r="B567" s="107" t="s">
        <v>332</v>
      </c>
      <c r="C567">
        <v>0.2</v>
      </c>
      <c r="D567">
        <v>0.6</v>
      </c>
      <c r="E567">
        <v>0.2</v>
      </c>
      <c r="F567">
        <v>0.2</v>
      </c>
      <c r="G567">
        <v>0.2</v>
      </c>
    </row>
    <row r="568" spans="1:7">
      <c r="A568">
        <v>6704</v>
      </c>
      <c r="B568" s="107" t="s">
        <v>1860</v>
      </c>
      <c r="C568">
        <v>0.05</v>
      </c>
      <c r="D568">
        <v>0.15</v>
      </c>
      <c r="E568">
        <v>0.05</v>
      </c>
      <c r="F568">
        <v>0.05</v>
      </c>
      <c r="G568">
        <v>0.05</v>
      </c>
    </row>
    <row r="569" spans="1:7">
      <c r="A569">
        <v>6706</v>
      </c>
      <c r="B569" s="107" t="s">
        <v>1861</v>
      </c>
      <c r="C569">
        <v>0</v>
      </c>
      <c r="D569">
        <v>0</v>
      </c>
      <c r="E569">
        <v>0</v>
      </c>
      <c r="F569">
        <v>0</v>
      </c>
      <c r="G569" s="107" t="s">
        <v>235</v>
      </c>
    </row>
    <row r="570" spans="1:7">
      <c r="A570">
        <v>6707</v>
      </c>
      <c r="B570" s="107" t="s">
        <v>1862</v>
      </c>
      <c r="C570">
        <v>0</v>
      </c>
      <c r="D570">
        <v>0</v>
      </c>
      <c r="E570" s="107" t="s">
        <v>235</v>
      </c>
      <c r="F570" s="107" t="s">
        <v>235</v>
      </c>
      <c r="G570" s="107" t="s">
        <v>235</v>
      </c>
    </row>
    <row r="571" spans="1:7">
      <c r="A571">
        <v>6715</v>
      </c>
      <c r="B571" s="107" t="s">
        <v>1863</v>
      </c>
      <c r="C571">
        <v>0</v>
      </c>
      <c r="D571">
        <v>0.15</v>
      </c>
      <c r="E571" s="107">
        <v>0</v>
      </c>
      <c r="F571" s="107">
        <v>0</v>
      </c>
      <c r="G571" s="107">
        <v>0</v>
      </c>
    </row>
    <row r="572" spans="1:7">
      <c r="A572">
        <v>6723</v>
      </c>
      <c r="B572" s="107" t="s">
        <v>1864</v>
      </c>
      <c r="C572">
        <v>0.05</v>
      </c>
      <c r="D572">
        <v>0</v>
      </c>
      <c r="E572" s="107" t="s">
        <v>235</v>
      </c>
      <c r="F572">
        <v>0.05</v>
      </c>
      <c r="G572">
        <v>0</v>
      </c>
    </row>
    <row r="573" spans="1:7">
      <c r="A573">
        <v>6724</v>
      </c>
      <c r="B573" s="107" t="s">
        <v>1865</v>
      </c>
      <c r="C573">
        <v>0.05</v>
      </c>
      <c r="D573">
        <v>0.15</v>
      </c>
      <c r="E573" s="107">
        <v>0.05</v>
      </c>
      <c r="F573">
        <v>0.05</v>
      </c>
      <c r="G573">
        <v>0.05</v>
      </c>
    </row>
    <row r="574" spans="1:7">
      <c r="A574">
        <v>6742</v>
      </c>
      <c r="B574" s="107" t="s">
        <v>1866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>
      <c r="A575">
        <v>6748</v>
      </c>
      <c r="B575" s="107" t="s">
        <v>1867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>
      <c r="A576">
        <v>6750</v>
      </c>
      <c r="B576" s="107" t="s">
        <v>1868</v>
      </c>
      <c r="C576">
        <v>0</v>
      </c>
      <c r="D576">
        <v>0</v>
      </c>
      <c r="E576" s="107" t="s">
        <v>235</v>
      </c>
      <c r="F576" s="107" t="s">
        <v>235</v>
      </c>
      <c r="G576" s="107" t="s">
        <v>235</v>
      </c>
    </row>
    <row r="577" spans="1:7">
      <c r="A577">
        <v>6753</v>
      </c>
      <c r="B577" s="107" t="s">
        <v>1869</v>
      </c>
      <c r="C577">
        <v>0</v>
      </c>
      <c r="D577">
        <v>0</v>
      </c>
      <c r="E577" s="107" t="s">
        <v>235</v>
      </c>
      <c r="F577" s="107">
        <v>0.05</v>
      </c>
      <c r="G577" s="107" t="s">
        <v>235</v>
      </c>
    </row>
    <row r="578" spans="1:7">
      <c r="A578">
        <v>6754</v>
      </c>
      <c r="B578" s="107" t="s">
        <v>1870</v>
      </c>
      <c r="C578">
        <v>0.05</v>
      </c>
      <c r="D578">
        <v>0.15</v>
      </c>
      <c r="E578" s="107">
        <v>0.05</v>
      </c>
      <c r="F578">
        <v>0</v>
      </c>
      <c r="G578" s="107">
        <v>0.05</v>
      </c>
    </row>
    <row r="579" spans="1:7">
      <c r="A579">
        <v>6755</v>
      </c>
      <c r="B579" s="107" t="s">
        <v>1274</v>
      </c>
      <c r="C579">
        <v>0.05</v>
      </c>
      <c r="D579">
        <v>0.15</v>
      </c>
      <c r="E579">
        <v>0.05</v>
      </c>
      <c r="F579">
        <v>0.05</v>
      </c>
      <c r="G579">
        <v>0.05</v>
      </c>
    </row>
    <row r="580" spans="1:7">
      <c r="A580">
        <v>6758</v>
      </c>
      <c r="B580" s="107" t="s">
        <v>1871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6762</v>
      </c>
      <c r="B581" s="107" t="s">
        <v>1872</v>
      </c>
      <c r="C581">
        <v>0.2</v>
      </c>
      <c r="D581">
        <v>0.6</v>
      </c>
      <c r="E581">
        <v>0.2</v>
      </c>
      <c r="F581">
        <v>0.25</v>
      </c>
      <c r="G581">
        <v>0.25</v>
      </c>
    </row>
    <row r="582" spans="1:7">
      <c r="A582">
        <v>6763</v>
      </c>
      <c r="B582" s="107" t="s">
        <v>1873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>
      <c r="A583">
        <v>6770</v>
      </c>
      <c r="B583" s="107" t="s">
        <v>26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>
      <c r="A584">
        <v>6785</v>
      </c>
      <c r="B584" s="107" t="s">
        <v>1874</v>
      </c>
      <c r="C584">
        <v>0.05</v>
      </c>
      <c r="D584">
        <v>0</v>
      </c>
      <c r="E584">
        <v>0.05</v>
      </c>
      <c r="F584" s="107" t="s">
        <v>235</v>
      </c>
      <c r="G584">
        <v>0.05</v>
      </c>
    </row>
    <row r="585" spans="1:7">
      <c r="A585">
        <v>6794</v>
      </c>
      <c r="B585" s="107" t="s">
        <v>1875</v>
      </c>
      <c r="C585">
        <v>0.05</v>
      </c>
      <c r="D585">
        <v>0.15</v>
      </c>
      <c r="E585">
        <v>0.05</v>
      </c>
      <c r="F585" s="107">
        <v>0.05</v>
      </c>
      <c r="G585">
        <v>0.05</v>
      </c>
    </row>
    <row r="586" spans="1:7">
      <c r="A586">
        <v>6798</v>
      </c>
      <c r="B586" s="107" t="s">
        <v>1876</v>
      </c>
      <c r="C586">
        <v>0.05</v>
      </c>
      <c r="D586">
        <v>0.15</v>
      </c>
      <c r="E586">
        <v>0.05</v>
      </c>
      <c r="F586">
        <v>0.05</v>
      </c>
      <c r="G586">
        <v>0.05</v>
      </c>
    </row>
    <row r="587" spans="1:7">
      <c r="A587">
        <v>6804</v>
      </c>
      <c r="B587" s="107" t="s">
        <v>1877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>
      <c r="A588">
        <v>6806</v>
      </c>
      <c r="B588" s="107" t="s">
        <v>1878</v>
      </c>
      <c r="C588">
        <v>0.25</v>
      </c>
      <c r="D588">
        <v>0.75</v>
      </c>
      <c r="E588">
        <v>0.25</v>
      </c>
      <c r="F588">
        <v>0.25</v>
      </c>
      <c r="G588">
        <v>0.25</v>
      </c>
    </row>
    <row r="589" spans="1:7">
      <c r="A589">
        <v>6807</v>
      </c>
      <c r="B589" s="107" t="s">
        <v>335</v>
      </c>
      <c r="C589">
        <v>0.05</v>
      </c>
      <c r="D589">
        <v>0.15</v>
      </c>
      <c r="E589">
        <v>0.05</v>
      </c>
      <c r="F589">
        <v>0.05</v>
      </c>
      <c r="G589">
        <v>0.05</v>
      </c>
    </row>
    <row r="590" spans="1:7">
      <c r="A590">
        <v>6814</v>
      </c>
      <c r="B590" s="107" t="s">
        <v>1879</v>
      </c>
      <c r="C590">
        <v>0.05</v>
      </c>
      <c r="D590" s="107" t="s">
        <v>235</v>
      </c>
      <c r="E590">
        <v>0.05</v>
      </c>
      <c r="F590">
        <v>0</v>
      </c>
      <c r="G590">
        <v>0</v>
      </c>
    </row>
    <row r="591" spans="1:7">
      <c r="A591">
        <v>6817</v>
      </c>
      <c r="B591" s="107" t="s">
        <v>1880</v>
      </c>
      <c r="C591">
        <v>0</v>
      </c>
      <c r="D591" s="107">
        <v>0</v>
      </c>
      <c r="E591">
        <v>0.05</v>
      </c>
      <c r="F591">
        <v>0</v>
      </c>
      <c r="G591">
        <v>0.05</v>
      </c>
    </row>
    <row r="592" spans="1:7">
      <c r="A592">
        <v>6823</v>
      </c>
      <c r="B592" s="107" t="s">
        <v>1881</v>
      </c>
      <c r="C592">
        <v>0</v>
      </c>
      <c r="D592">
        <v>0</v>
      </c>
      <c r="E592">
        <v>0.05</v>
      </c>
      <c r="F592">
        <v>0</v>
      </c>
      <c r="G592">
        <v>0</v>
      </c>
    </row>
    <row r="593" spans="1:7">
      <c r="A593">
        <v>6839</v>
      </c>
      <c r="B593" s="107" t="s">
        <v>1882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>
      <c r="A594">
        <v>6845</v>
      </c>
      <c r="B594" s="107" t="s">
        <v>307</v>
      </c>
      <c r="C594">
        <v>0.05</v>
      </c>
      <c r="D594">
        <v>0.15</v>
      </c>
      <c r="E594">
        <v>0.05</v>
      </c>
      <c r="F594">
        <v>0.05</v>
      </c>
      <c r="G594">
        <v>0</v>
      </c>
    </row>
    <row r="595" spans="1:7">
      <c r="A595">
        <v>6848</v>
      </c>
      <c r="B595" s="107" t="s">
        <v>1883</v>
      </c>
      <c r="C595">
        <v>0</v>
      </c>
      <c r="D595">
        <v>0.15</v>
      </c>
      <c r="E595">
        <v>0.05</v>
      </c>
      <c r="F595">
        <v>0</v>
      </c>
      <c r="G595">
        <v>0</v>
      </c>
    </row>
    <row r="596" spans="1:7">
      <c r="A596">
        <v>6853</v>
      </c>
      <c r="B596" s="107" t="s">
        <v>1884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>
      <c r="A597">
        <v>6856</v>
      </c>
      <c r="B597" s="107" t="s">
        <v>331</v>
      </c>
      <c r="C597">
        <v>0.15</v>
      </c>
      <c r="D597">
        <v>0.45</v>
      </c>
      <c r="E597">
        <v>0.15</v>
      </c>
      <c r="F597">
        <v>0.15</v>
      </c>
      <c r="G597">
        <v>0.15</v>
      </c>
    </row>
    <row r="598" spans="1:7">
      <c r="A598">
        <v>6857</v>
      </c>
      <c r="B598" s="107" t="s">
        <v>1885</v>
      </c>
      <c r="C598">
        <v>0.1</v>
      </c>
      <c r="D598">
        <v>0</v>
      </c>
      <c r="E598">
        <v>0</v>
      </c>
      <c r="F598" s="107" t="s">
        <v>235</v>
      </c>
      <c r="G598">
        <v>0.1</v>
      </c>
    </row>
    <row r="599" spans="1:7">
      <c r="A599">
        <v>6861</v>
      </c>
      <c r="B599" s="107" t="s">
        <v>1886</v>
      </c>
      <c r="C599">
        <v>0.65</v>
      </c>
      <c r="D599">
        <v>1.95</v>
      </c>
      <c r="E599">
        <v>0.65</v>
      </c>
      <c r="F599" s="107">
        <v>0.7</v>
      </c>
      <c r="G599">
        <v>0.65</v>
      </c>
    </row>
    <row r="600" spans="1:7">
      <c r="A600">
        <v>6871</v>
      </c>
      <c r="B600" s="107" t="s">
        <v>1887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>
      <c r="A601">
        <v>6875</v>
      </c>
      <c r="B601" s="107" t="s">
        <v>1888</v>
      </c>
      <c r="C601">
        <v>0</v>
      </c>
      <c r="D601">
        <v>0.15</v>
      </c>
      <c r="E601">
        <v>0.05</v>
      </c>
      <c r="F601">
        <v>0.05</v>
      </c>
      <c r="G601">
        <v>0.05</v>
      </c>
    </row>
    <row r="602" spans="1:7">
      <c r="A602">
        <v>6879</v>
      </c>
      <c r="B602" s="107" t="s">
        <v>1889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>
      <c r="A603">
        <v>6901</v>
      </c>
      <c r="B603" s="107" t="s">
        <v>1890</v>
      </c>
      <c r="C603">
        <v>0</v>
      </c>
      <c r="D603" s="107" t="s">
        <v>235</v>
      </c>
      <c r="E603" s="107" t="s">
        <v>235</v>
      </c>
      <c r="F603" s="107" t="s">
        <v>235</v>
      </c>
      <c r="G603" s="107" t="s">
        <v>235</v>
      </c>
    </row>
    <row r="604" spans="1:7">
      <c r="A604">
        <v>6902</v>
      </c>
      <c r="B604" s="107" t="s">
        <v>1891</v>
      </c>
      <c r="C604">
        <v>0</v>
      </c>
      <c r="D604" s="107">
        <v>0.15</v>
      </c>
      <c r="E604" s="107">
        <v>0</v>
      </c>
      <c r="F604" s="107">
        <v>0</v>
      </c>
      <c r="G604" s="107">
        <v>0.1</v>
      </c>
    </row>
    <row r="605" spans="1:7">
      <c r="A605">
        <v>6915</v>
      </c>
      <c r="B605" s="107" t="s">
        <v>1892</v>
      </c>
      <c r="C605">
        <v>0</v>
      </c>
      <c r="D605">
        <v>0</v>
      </c>
      <c r="E605">
        <v>0.05</v>
      </c>
      <c r="F605">
        <v>0</v>
      </c>
      <c r="G605">
        <v>0.05</v>
      </c>
    </row>
    <row r="606" spans="1:7">
      <c r="A606">
        <v>6916</v>
      </c>
      <c r="B606" s="107" t="s">
        <v>1893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>
      <c r="A607">
        <v>6920</v>
      </c>
      <c r="B607" s="107" t="s">
        <v>86</v>
      </c>
      <c r="C607">
        <v>0</v>
      </c>
      <c r="D607">
        <v>0</v>
      </c>
      <c r="E607" s="107" t="s">
        <v>235</v>
      </c>
      <c r="F607" s="107" t="s">
        <v>235</v>
      </c>
      <c r="G607">
        <v>0</v>
      </c>
    </row>
    <row r="608" spans="1:7">
      <c r="A608">
        <v>6923</v>
      </c>
      <c r="B608" s="107" t="s">
        <v>112</v>
      </c>
      <c r="C608">
        <v>0.05</v>
      </c>
      <c r="D608">
        <v>0.15</v>
      </c>
      <c r="E608" s="107">
        <v>0.05</v>
      </c>
      <c r="F608" s="107">
        <v>0.05</v>
      </c>
      <c r="G608">
        <v>0.05</v>
      </c>
    </row>
    <row r="609" spans="1:7">
      <c r="A609">
        <v>6926</v>
      </c>
      <c r="B609" s="107" t="s">
        <v>1894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>
      <c r="A610">
        <v>6929</v>
      </c>
      <c r="B610" s="107" t="s">
        <v>1895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>
      <c r="A611">
        <v>6941</v>
      </c>
      <c r="B611" s="107" t="s">
        <v>1896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>
      <c r="A612">
        <v>6947</v>
      </c>
      <c r="B612" s="107" t="s">
        <v>1897</v>
      </c>
      <c r="C612">
        <v>0.05</v>
      </c>
      <c r="D612">
        <v>0.15</v>
      </c>
      <c r="E612">
        <v>0.05</v>
      </c>
      <c r="F612">
        <v>0.05</v>
      </c>
      <c r="G612">
        <v>0.05</v>
      </c>
    </row>
    <row r="613" spans="1:7">
      <c r="A613">
        <v>6951</v>
      </c>
      <c r="B613" s="107" t="s">
        <v>323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>
      <c r="A614">
        <v>6952</v>
      </c>
      <c r="B614" s="107" t="s">
        <v>957</v>
      </c>
      <c r="C614">
        <v>0.05</v>
      </c>
      <c r="D614">
        <v>0.15</v>
      </c>
      <c r="E614">
        <v>0.05</v>
      </c>
      <c r="F614">
        <v>0.05</v>
      </c>
      <c r="G614">
        <v>0.05</v>
      </c>
    </row>
    <row r="615" spans="1:7">
      <c r="A615">
        <v>6954</v>
      </c>
      <c r="B615" s="107" t="s">
        <v>1898</v>
      </c>
      <c r="C615">
        <v>0.35</v>
      </c>
      <c r="D615">
        <v>1.05</v>
      </c>
      <c r="E615">
        <v>0.35</v>
      </c>
      <c r="F615">
        <v>0.35</v>
      </c>
      <c r="G615">
        <v>0.35</v>
      </c>
    </row>
    <row r="616" spans="1:7">
      <c r="A616">
        <v>6958</v>
      </c>
      <c r="B616" s="107" t="s">
        <v>1899</v>
      </c>
      <c r="C616">
        <v>0.05</v>
      </c>
      <c r="D616">
        <v>0.15</v>
      </c>
      <c r="E616">
        <v>0.05</v>
      </c>
      <c r="F616">
        <v>0.05</v>
      </c>
      <c r="G616">
        <v>0.05</v>
      </c>
    </row>
    <row r="617" spans="1:7">
      <c r="A617">
        <v>6961</v>
      </c>
      <c r="B617" s="107" t="s">
        <v>1900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>
      <c r="A618">
        <v>6962</v>
      </c>
      <c r="B618" s="107" t="s">
        <v>1901</v>
      </c>
      <c r="C618">
        <v>0.05</v>
      </c>
      <c r="D618">
        <v>6.6</v>
      </c>
      <c r="E618">
        <v>0.05</v>
      </c>
      <c r="F618">
        <v>0.1</v>
      </c>
      <c r="G618">
        <v>0.05</v>
      </c>
    </row>
    <row r="619" spans="1:7">
      <c r="A619">
        <v>6966</v>
      </c>
      <c r="B619" s="107" t="s">
        <v>1902</v>
      </c>
      <c r="C619">
        <v>0.05</v>
      </c>
      <c r="D619">
        <v>1.65</v>
      </c>
      <c r="E619">
        <v>0.05</v>
      </c>
      <c r="F619">
        <v>0.05</v>
      </c>
      <c r="G619">
        <v>0.05</v>
      </c>
    </row>
    <row r="620" spans="1:7">
      <c r="A620">
        <v>6967</v>
      </c>
      <c r="B620" s="107" t="s">
        <v>1903</v>
      </c>
      <c r="C620">
        <v>0.05</v>
      </c>
      <c r="D620">
        <v>0.15</v>
      </c>
      <c r="E620">
        <v>0.05</v>
      </c>
      <c r="F620">
        <v>0.05</v>
      </c>
      <c r="G620">
        <v>0.05</v>
      </c>
    </row>
    <row r="621" spans="1:7">
      <c r="A621">
        <v>6971</v>
      </c>
      <c r="B621" s="107" t="s">
        <v>1904</v>
      </c>
      <c r="C621">
        <v>0.15</v>
      </c>
      <c r="D621">
        <v>0.45</v>
      </c>
      <c r="E621">
        <v>0.15</v>
      </c>
      <c r="F621">
        <v>0.15</v>
      </c>
      <c r="G621">
        <v>0.15</v>
      </c>
    </row>
    <row r="622" spans="1:7">
      <c r="A622">
        <v>6976</v>
      </c>
      <c r="B622" s="107" t="s">
        <v>1905</v>
      </c>
      <c r="C622">
        <v>0.1</v>
      </c>
      <c r="D622">
        <v>0.15</v>
      </c>
      <c r="E622">
        <v>0.05</v>
      </c>
      <c r="F622">
        <v>0.05</v>
      </c>
      <c r="G622">
        <v>0.1</v>
      </c>
    </row>
    <row r="623" spans="1:7">
      <c r="A623">
        <v>6986</v>
      </c>
      <c r="B623" s="107" t="s">
        <v>1906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>
      <c r="A624">
        <v>6988</v>
      </c>
      <c r="B624" s="107" t="s">
        <v>139</v>
      </c>
      <c r="C624">
        <v>0.1</v>
      </c>
      <c r="D624">
        <v>0</v>
      </c>
      <c r="E624">
        <v>0</v>
      </c>
      <c r="F624">
        <v>0</v>
      </c>
      <c r="G624">
        <v>0.15</v>
      </c>
    </row>
    <row r="625" spans="1:7">
      <c r="A625">
        <v>6989</v>
      </c>
      <c r="B625" s="107" t="s">
        <v>1907</v>
      </c>
      <c r="C625">
        <v>0</v>
      </c>
      <c r="D625">
        <v>0</v>
      </c>
      <c r="E625">
        <v>0</v>
      </c>
      <c r="F625" s="107" t="s">
        <v>235</v>
      </c>
      <c r="G625" s="107" t="s">
        <v>235</v>
      </c>
    </row>
    <row r="626" spans="1:7">
      <c r="A626">
        <v>6995</v>
      </c>
      <c r="B626" s="107" t="s">
        <v>91</v>
      </c>
      <c r="C626">
        <v>0.05</v>
      </c>
      <c r="D626">
        <v>0.15</v>
      </c>
      <c r="E626">
        <v>0.05</v>
      </c>
      <c r="F626" s="107">
        <v>0.05</v>
      </c>
      <c r="G626" s="107">
        <v>0.05</v>
      </c>
    </row>
    <row r="627" spans="1:7">
      <c r="A627">
        <v>7003</v>
      </c>
      <c r="B627" s="107" t="s">
        <v>1908</v>
      </c>
      <c r="C627">
        <v>0.05</v>
      </c>
      <c r="D627">
        <v>0.15</v>
      </c>
      <c r="E627">
        <v>0</v>
      </c>
      <c r="F627">
        <v>0.05</v>
      </c>
      <c r="G627">
        <v>0</v>
      </c>
    </row>
    <row r="628" spans="1:7">
      <c r="A628">
        <v>7004</v>
      </c>
      <c r="B628" s="107" t="s">
        <v>1909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>
      <c r="A629">
        <v>7012</v>
      </c>
      <c r="B629" s="107" t="s">
        <v>1910</v>
      </c>
      <c r="C629">
        <v>0.05</v>
      </c>
      <c r="D629">
        <v>0.15</v>
      </c>
      <c r="E629">
        <v>0.05</v>
      </c>
      <c r="F629">
        <v>0.05</v>
      </c>
      <c r="G629">
        <v>0</v>
      </c>
    </row>
    <row r="630" spans="1:7">
      <c r="A630">
        <v>7014</v>
      </c>
      <c r="B630" s="107" t="s">
        <v>1911</v>
      </c>
      <c r="C630">
        <v>0</v>
      </c>
      <c r="D630" s="107" t="s">
        <v>235</v>
      </c>
      <c r="E630">
        <v>0</v>
      </c>
      <c r="F630">
        <v>0</v>
      </c>
      <c r="G630">
        <v>0</v>
      </c>
    </row>
    <row r="631" spans="1:7">
      <c r="A631">
        <v>7022</v>
      </c>
      <c r="B631" s="107" t="s">
        <v>1912</v>
      </c>
      <c r="C631">
        <v>0</v>
      </c>
      <c r="D631" s="107" t="s">
        <v>235</v>
      </c>
      <c r="E631" s="107" t="s">
        <v>235</v>
      </c>
      <c r="F631" s="107" t="s">
        <v>235</v>
      </c>
      <c r="G631" s="107" t="s">
        <v>235</v>
      </c>
    </row>
    <row r="632" spans="1:7">
      <c r="A632">
        <v>7030</v>
      </c>
      <c r="B632" s="107" t="s">
        <v>1913</v>
      </c>
      <c r="C632">
        <v>0</v>
      </c>
      <c r="D632" s="107">
        <v>0</v>
      </c>
      <c r="E632" s="107">
        <v>0</v>
      </c>
      <c r="F632" s="107">
        <v>0</v>
      </c>
      <c r="G632" s="107">
        <v>0</v>
      </c>
    </row>
    <row r="633" spans="1:7">
      <c r="A633">
        <v>7102</v>
      </c>
      <c r="B633" s="107" t="s">
        <v>1914</v>
      </c>
      <c r="C633">
        <v>0.05</v>
      </c>
      <c r="D633">
        <v>0.15</v>
      </c>
      <c r="E633">
        <v>0.05</v>
      </c>
      <c r="F633">
        <v>0.05</v>
      </c>
      <c r="G633">
        <v>0.05</v>
      </c>
    </row>
    <row r="634" spans="1:7">
      <c r="A634">
        <v>7105</v>
      </c>
      <c r="B634" s="107" t="s">
        <v>1915</v>
      </c>
      <c r="C634">
        <v>0.05</v>
      </c>
      <c r="D634">
        <v>0.3</v>
      </c>
      <c r="E634">
        <v>0.05</v>
      </c>
      <c r="F634">
        <v>0.05</v>
      </c>
      <c r="G634">
        <v>0.05</v>
      </c>
    </row>
    <row r="635" spans="1:7">
      <c r="A635">
        <v>7150</v>
      </c>
      <c r="B635" s="107" t="s">
        <v>1916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>
      <c r="A636">
        <v>7164</v>
      </c>
      <c r="B636" s="107" t="s">
        <v>1917</v>
      </c>
      <c r="C636">
        <v>0</v>
      </c>
      <c r="D636" s="107" t="s">
        <v>235</v>
      </c>
      <c r="E636" s="107" t="s">
        <v>235</v>
      </c>
      <c r="F636" s="107" t="s">
        <v>235</v>
      </c>
      <c r="G636" s="107" t="s">
        <v>235</v>
      </c>
    </row>
    <row r="637" spans="1:7">
      <c r="A637">
        <v>7173</v>
      </c>
      <c r="B637" s="107" t="s">
        <v>1918</v>
      </c>
      <c r="C637">
        <v>0</v>
      </c>
      <c r="D637" s="107">
        <v>0</v>
      </c>
      <c r="E637" s="107">
        <v>0</v>
      </c>
      <c r="F637" s="107">
        <v>0</v>
      </c>
      <c r="G637" s="107">
        <v>0</v>
      </c>
    </row>
    <row r="638" spans="1:7">
      <c r="A638">
        <v>7180</v>
      </c>
      <c r="B638" s="107" t="s">
        <v>1919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7181</v>
      </c>
      <c r="B639" s="107" t="s">
        <v>137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>
      <c r="A640">
        <v>7184</v>
      </c>
      <c r="B640" s="107" t="s">
        <v>1920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7186</v>
      </c>
      <c r="B641" s="107" t="s">
        <v>1312</v>
      </c>
      <c r="C641">
        <v>0</v>
      </c>
      <c r="D641">
        <v>0.15</v>
      </c>
      <c r="E641">
        <v>0</v>
      </c>
      <c r="F641">
        <v>0.05</v>
      </c>
      <c r="G641">
        <v>0</v>
      </c>
    </row>
    <row r="642" spans="1:7">
      <c r="A642">
        <v>7187</v>
      </c>
      <c r="B642" s="107" t="s">
        <v>1921</v>
      </c>
      <c r="C642">
        <v>0</v>
      </c>
      <c r="D642">
        <v>0</v>
      </c>
      <c r="E642" s="107" t="s">
        <v>235</v>
      </c>
      <c r="F642" s="107" t="s">
        <v>235</v>
      </c>
      <c r="G642" s="107" t="s">
        <v>235</v>
      </c>
    </row>
    <row r="643" spans="1:7">
      <c r="A643">
        <v>7189</v>
      </c>
      <c r="B643" s="107" t="s">
        <v>81</v>
      </c>
      <c r="C643">
        <v>0</v>
      </c>
      <c r="D643">
        <v>0</v>
      </c>
      <c r="E643" s="107">
        <v>0.05</v>
      </c>
      <c r="F643" s="107">
        <v>0</v>
      </c>
      <c r="G643" s="107">
        <v>0.05</v>
      </c>
    </row>
    <row r="644" spans="1:7">
      <c r="A644">
        <v>7190</v>
      </c>
      <c r="B644" s="107" t="s">
        <v>1922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7191</v>
      </c>
      <c r="B645" s="107" t="s">
        <v>1923</v>
      </c>
      <c r="C645">
        <v>0</v>
      </c>
      <c r="D645" s="107" t="s">
        <v>235</v>
      </c>
      <c r="E645">
        <v>0</v>
      </c>
      <c r="F645">
        <v>0</v>
      </c>
      <c r="G645">
        <v>0</v>
      </c>
    </row>
    <row r="646" spans="1:7">
      <c r="A646">
        <v>7201</v>
      </c>
      <c r="B646" s="107" t="s">
        <v>1924</v>
      </c>
      <c r="C646">
        <v>0</v>
      </c>
      <c r="D646" s="107">
        <v>0</v>
      </c>
      <c r="E646">
        <v>0</v>
      </c>
      <c r="F646">
        <v>0</v>
      </c>
      <c r="G646">
        <v>0</v>
      </c>
    </row>
    <row r="647" spans="1:7">
      <c r="A647">
        <v>7202</v>
      </c>
      <c r="B647" s="107" t="s">
        <v>1925</v>
      </c>
      <c r="C647">
        <v>0.05</v>
      </c>
      <c r="D647">
        <v>0</v>
      </c>
      <c r="E647">
        <v>0.05</v>
      </c>
      <c r="F647">
        <v>0</v>
      </c>
      <c r="G647">
        <v>0.05</v>
      </c>
    </row>
    <row r="648" spans="1:7">
      <c r="A648">
        <v>7203</v>
      </c>
      <c r="B648" s="107" t="s">
        <v>329</v>
      </c>
      <c r="C648">
        <v>0.15</v>
      </c>
      <c r="D648">
        <v>0.45</v>
      </c>
      <c r="E648">
        <v>0.15</v>
      </c>
      <c r="F648">
        <v>0.15</v>
      </c>
      <c r="G648">
        <v>0.15</v>
      </c>
    </row>
    <row r="649" spans="1:7">
      <c r="A649">
        <v>7205</v>
      </c>
      <c r="B649" s="107" t="s">
        <v>117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>
      <c r="A650">
        <v>7220</v>
      </c>
      <c r="B650" s="107" t="s">
        <v>1926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>
      <c r="A651">
        <v>7222</v>
      </c>
      <c r="B651" s="107" t="s">
        <v>1927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>
      <c r="A652">
        <v>7224</v>
      </c>
      <c r="B652" s="107" t="s">
        <v>1928</v>
      </c>
      <c r="C652">
        <v>0</v>
      </c>
      <c r="D652">
        <v>0</v>
      </c>
      <c r="E652">
        <v>0</v>
      </c>
      <c r="F652">
        <v>0.05</v>
      </c>
      <c r="G652">
        <v>0.05</v>
      </c>
    </row>
    <row r="653" spans="1:7">
      <c r="A653">
        <v>7226</v>
      </c>
      <c r="B653" s="107" t="s">
        <v>1929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>
      <c r="A654">
        <v>7231</v>
      </c>
      <c r="B654" s="107" t="s">
        <v>1930</v>
      </c>
      <c r="C654">
        <v>0</v>
      </c>
      <c r="D654">
        <v>0</v>
      </c>
      <c r="E654">
        <v>0</v>
      </c>
      <c r="F654">
        <v>0.05</v>
      </c>
      <c r="G654">
        <v>0</v>
      </c>
    </row>
    <row r="655" spans="1:7">
      <c r="A655">
        <v>7236</v>
      </c>
      <c r="B655" s="107" t="s">
        <v>1931</v>
      </c>
      <c r="C655">
        <v>0</v>
      </c>
      <c r="D655">
        <v>0</v>
      </c>
      <c r="E655" s="107" t="s">
        <v>235</v>
      </c>
      <c r="F655">
        <v>0</v>
      </c>
      <c r="G655">
        <v>0</v>
      </c>
    </row>
    <row r="656" spans="1:7">
      <c r="A656">
        <v>7239</v>
      </c>
      <c r="B656" s="107" t="s">
        <v>1932</v>
      </c>
      <c r="C656">
        <v>0.05</v>
      </c>
      <c r="D656">
        <v>0.15</v>
      </c>
      <c r="E656" s="107">
        <v>0.05</v>
      </c>
      <c r="F656">
        <v>0.05</v>
      </c>
      <c r="G656">
        <v>0.05</v>
      </c>
    </row>
    <row r="657" spans="1:7">
      <c r="A657">
        <v>7240</v>
      </c>
      <c r="B657" s="107" t="s">
        <v>1933</v>
      </c>
      <c r="C657">
        <v>0.05</v>
      </c>
      <c r="D657">
        <v>0.15</v>
      </c>
      <c r="E657">
        <v>0.05</v>
      </c>
      <c r="F657">
        <v>0.05</v>
      </c>
      <c r="G657">
        <v>0.05</v>
      </c>
    </row>
    <row r="658" spans="1:7">
      <c r="A658">
        <v>7244</v>
      </c>
      <c r="B658" s="107" t="s">
        <v>1934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>
      <c r="A659">
        <v>7261</v>
      </c>
      <c r="B659" s="107" t="s">
        <v>1335</v>
      </c>
      <c r="C659">
        <v>0</v>
      </c>
      <c r="D659">
        <v>0</v>
      </c>
      <c r="E659">
        <v>0</v>
      </c>
      <c r="F659">
        <v>0.05</v>
      </c>
      <c r="G659">
        <v>0</v>
      </c>
    </row>
    <row r="660" spans="1:7">
      <c r="A660">
        <v>7272</v>
      </c>
      <c r="B660" s="107" t="s">
        <v>300</v>
      </c>
      <c r="C660">
        <v>0</v>
      </c>
      <c r="D660">
        <v>0.15</v>
      </c>
      <c r="E660">
        <v>0.05</v>
      </c>
      <c r="F660">
        <v>0.05</v>
      </c>
      <c r="G660">
        <v>0.05</v>
      </c>
    </row>
    <row r="661" spans="1:7">
      <c r="A661">
        <v>7277</v>
      </c>
      <c r="B661" s="107" t="s">
        <v>1935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7278</v>
      </c>
      <c r="B662" s="107" t="s">
        <v>83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>
      <c r="A663">
        <v>7280</v>
      </c>
      <c r="B663" s="107" t="s">
        <v>1936</v>
      </c>
      <c r="C663">
        <v>0.05</v>
      </c>
      <c r="D663">
        <v>0.15</v>
      </c>
      <c r="E663">
        <v>0.05</v>
      </c>
      <c r="F663">
        <v>0.05</v>
      </c>
      <c r="G663">
        <v>0.05</v>
      </c>
    </row>
    <row r="664" spans="1:7">
      <c r="A664">
        <v>7282</v>
      </c>
      <c r="B664" s="107" t="s">
        <v>953</v>
      </c>
      <c r="C664">
        <v>0.05</v>
      </c>
      <c r="D664">
        <v>0.15</v>
      </c>
      <c r="E664">
        <v>0.05</v>
      </c>
      <c r="F664">
        <v>0.05</v>
      </c>
      <c r="G664">
        <v>0.05</v>
      </c>
    </row>
    <row r="665" spans="1:7">
      <c r="A665">
        <v>7283</v>
      </c>
      <c r="B665" s="107" t="s">
        <v>1937</v>
      </c>
      <c r="C665">
        <v>0</v>
      </c>
      <c r="D665" s="107" t="s">
        <v>235</v>
      </c>
      <c r="E665">
        <v>0.05</v>
      </c>
      <c r="F665" s="107" t="s">
        <v>235</v>
      </c>
      <c r="G665" s="107" t="s">
        <v>235</v>
      </c>
    </row>
    <row r="666" spans="1:7">
      <c r="A666">
        <v>7296</v>
      </c>
      <c r="B666" s="107" t="s">
        <v>1938</v>
      </c>
      <c r="C666">
        <v>0</v>
      </c>
      <c r="D666" s="107">
        <v>0</v>
      </c>
      <c r="E666" s="107" t="s">
        <v>235</v>
      </c>
      <c r="F666" s="107">
        <v>0.05</v>
      </c>
      <c r="G666" s="107" t="s">
        <v>235</v>
      </c>
    </row>
    <row r="667" spans="1:7">
      <c r="A667">
        <v>7309</v>
      </c>
      <c r="B667" s="107" t="s">
        <v>1939</v>
      </c>
      <c r="C667">
        <v>0.3</v>
      </c>
      <c r="D667">
        <v>0.9</v>
      </c>
      <c r="E667" s="107">
        <v>0.3</v>
      </c>
      <c r="F667">
        <v>0.3</v>
      </c>
      <c r="G667" s="107">
        <v>0.3</v>
      </c>
    </row>
    <row r="668" spans="1:7">
      <c r="A668">
        <v>7313</v>
      </c>
      <c r="B668" s="107" t="s">
        <v>1940</v>
      </c>
      <c r="C668">
        <v>0.1</v>
      </c>
      <c r="D668">
        <v>0.3</v>
      </c>
      <c r="E668">
        <v>0.1</v>
      </c>
      <c r="F668">
        <v>0.1</v>
      </c>
      <c r="G668">
        <v>0.1</v>
      </c>
    </row>
    <row r="669" spans="1:7">
      <c r="A669">
        <v>7321</v>
      </c>
      <c r="B669" s="107" t="s">
        <v>1941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>
      <c r="A670">
        <v>7416</v>
      </c>
      <c r="B670" s="107" t="s">
        <v>1942</v>
      </c>
      <c r="C670">
        <v>0.05</v>
      </c>
      <c r="D670">
        <v>0.15</v>
      </c>
      <c r="E670">
        <v>0.05</v>
      </c>
      <c r="F670">
        <v>0.05</v>
      </c>
      <c r="G670">
        <v>0.05</v>
      </c>
    </row>
    <row r="671" spans="1:7">
      <c r="A671">
        <v>7417</v>
      </c>
      <c r="B671" s="107" t="s">
        <v>1943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>
      <c r="A672">
        <v>7420</v>
      </c>
      <c r="B672" s="107" t="s">
        <v>1944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>
      <c r="A673">
        <v>7427</v>
      </c>
      <c r="B673" s="107" t="s">
        <v>1945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>
      <c r="A674">
        <v>7442</v>
      </c>
      <c r="B674" s="107" t="s">
        <v>1946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>
      <c r="A675">
        <v>7445</v>
      </c>
      <c r="B675" s="107" t="s">
        <v>1947</v>
      </c>
      <c r="C675">
        <v>0.05</v>
      </c>
      <c r="D675">
        <v>0.15</v>
      </c>
      <c r="E675">
        <v>0.05</v>
      </c>
      <c r="F675">
        <v>0.05</v>
      </c>
      <c r="G675">
        <v>0.05</v>
      </c>
    </row>
    <row r="676" spans="1:7">
      <c r="A676">
        <v>7447</v>
      </c>
      <c r="B676" s="107" t="s">
        <v>1948</v>
      </c>
      <c r="C676">
        <v>0.05</v>
      </c>
      <c r="D676">
        <v>0</v>
      </c>
      <c r="E676">
        <v>0</v>
      </c>
      <c r="F676">
        <v>0.05</v>
      </c>
      <c r="G676">
        <v>0.05</v>
      </c>
    </row>
    <row r="677" spans="1:7">
      <c r="A677">
        <v>7451</v>
      </c>
      <c r="B677" s="107" t="s">
        <v>1949</v>
      </c>
      <c r="C677">
        <v>0</v>
      </c>
      <c r="D677">
        <v>0</v>
      </c>
      <c r="E677">
        <v>0.05</v>
      </c>
      <c r="F677">
        <v>0.05</v>
      </c>
      <c r="G677">
        <v>0.05</v>
      </c>
    </row>
    <row r="678" spans="1:7">
      <c r="A678">
        <v>7453</v>
      </c>
      <c r="B678" s="107" t="s">
        <v>104</v>
      </c>
      <c r="C678">
        <v>0</v>
      </c>
      <c r="D678" s="107" t="s">
        <v>235</v>
      </c>
      <c r="E678">
        <v>0</v>
      </c>
      <c r="F678">
        <v>0</v>
      </c>
      <c r="G678">
        <v>0</v>
      </c>
    </row>
    <row r="679" spans="1:7">
      <c r="A679">
        <v>7458</v>
      </c>
      <c r="B679" s="107" t="s">
        <v>1950</v>
      </c>
      <c r="C679">
        <v>0.1</v>
      </c>
      <c r="D679" s="107">
        <v>0</v>
      </c>
      <c r="E679">
        <v>0.1</v>
      </c>
      <c r="F679">
        <v>0.1</v>
      </c>
      <c r="G679">
        <v>0.1</v>
      </c>
    </row>
    <row r="680" spans="1:7">
      <c r="A680">
        <v>7459</v>
      </c>
      <c r="B680" s="107" t="s">
        <v>1951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>
      <c r="A681">
        <v>7463</v>
      </c>
      <c r="B681" s="107" t="s">
        <v>1952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>
      <c r="A682">
        <v>7475</v>
      </c>
      <c r="B682" s="107" t="s">
        <v>1953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>
      <c r="A683">
        <v>7476</v>
      </c>
      <c r="B683" s="107" t="s">
        <v>1954</v>
      </c>
      <c r="C683">
        <v>0</v>
      </c>
      <c r="D683">
        <v>0</v>
      </c>
      <c r="E683">
        <v>0.2</v>
      </c>
      <c r="F683">
        <v>0</v>
      </c>
      <c r="G683">
        <v>0</v>
      </c>
    </row>
    <row r="684" spans="1:7">
      <c r="A684">
        <v>7480</v>
      </c>
      <c r="B684" s="107" t="s">
        <v>1955</v>
      </c>
      <c r="C684">
        <v>0.05</v>
      </c>
      <c r="D684">
        <v>0.15</v>
      </c>
      <c r="E684">
        <v>0.05</v>
      </c>
      <c r="F684">
        <v>0.05</v>
      </c>
      <c r="G684">
        <v>0.05</v>
      </c>
    </row>
    <row r="685" spans="1:7">
      <c r="A685">
        <v>7482</v>
      </c>
      <c r="B685" s="107" t="s">
        <v>1956</v>
      </c>
      <c r="C685">
        <v>0.05</v>
      </c>
      <c r="D685">
        <v>0.15</v>
      </c>
      <c r="E685">
        <v>0.05</v>
      </c>
      <c r="F685">
        <v>0.05</v>
      </c>
      <c r="G685">
        <v>0.05</v>
      </c>
    </row>
    <row r="686" spans="1:7">
      <c r="A686">
        <v>7487</v>
      </c>
      <c r="B686" s="107" t="s">
        <v>1957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>
      <c r="A687">
        <v>7494</v>
      </c>
      <c r="B687" s="107" t="s">
        <v>1958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>
      <c r="A688">
        <v>7506</v>
      </c>
      <c r="B688" s="107" t="s">
        <v>1959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>
      <c r="A689">
        <v>7510</v>
      </c>
      <c r="B689" s="107" t="s">
        <v>1960</v>
      </c>
      <c r="C689">
        <v>0</v>
      </c>
      <c r="D689">
        <v>0.15</v>
      </c>
      <c r="E689">
        <v>0.05</v>
      </c>
      <c r="F689">
        <v>0</v>
      </c>
      <c r="G689" s="107" t="s">
        <v>235</v>
      </c>
    </row>
    <row r="690" spans="1:7">
      <c r="A690">
        <v>7518</v>
      </c>
      <c r="B690" s="107" t="s">
        <v>1961</v>
      </c>
      <c r="C690">
        <v>0</v>
      </c>
      <c r="D690">
        <v>0</v>
      </c>
      <c r="E690">
        <v>0</v>
      </c>
      <c r="F690">
        <v>0</v>
      </c>
      <c r="G690" s="107">
        <v>0</v>
      </c>
    </row>
    <row r="691" spans="1:7">
      <c r="A691">
        <v>7522</v>
      </c>
      <c r="B691" s="107" t="s">
        <v>1962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7524</v>
      </c>
      <c r="B692" s="107" t="s">
        <v>1963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7525</v>
      </c>
      <c r="B693" s="107" t="s">
        <v>1964</v>
      </c>
      <c r="C693">
        <v>0</v>
      </c>
      <c r="D693">
        <v>0</v>
      </c>
      <c r="E693">
        <v>0.05</v>
      </c>
      <c r="F693">
        <v>0</v>
      </c>
      <c r="G693">
        <v>0.05</v>
      </c>
    </row>
    <row r="694" spans="1:7">
      <c r="A694">
        <v>7532</v>
      </c>
      <c r="B694" s="107" t="s">
        <v>1965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7545</v>
      </c>
      <c r="B695" s="107" t="s">
        <v>1966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>
      <c r="A696">
        <v>7550</v>
      </c>
      <c r="B696" s="107" t="s">
        <v>1967</v>
      </c>
      <c r="C696">
        <v>0</v>
      </c>
      <c r="D696">
        <v>0</v>
      </c>
      <c r="E696">
        <v>0</v>
      </c>
      <c r="F696">
        <v>0</v>
      </c>
      <c r="G696" s="107" t="s">
        <v>235</v>
      </c>
    </row>
    <row r="697" spans="1:7">
      <c r="A697">
        <v>7570</v>
      </c>
      <c r="B697" s="107" t="s">
        <v>1968</v>
      </c>
      <c r="C697">
        <v>0.05</v>
      </c>
      <c r="D697">
        <v>0.15</v>
      </c>
      <c r="E697">
        <v>0.05</v>
      </c>
      <c r="F697">
        <v>0</v>
      </c>
      <c r="G697" s="107">
        <v>0</v>
      </c>
    </row>
    <row r="698" spans="1:7">
      <c r="A698">
        <v>7593</v>
      </c>
      <c r="B698" s="107" t="s">
        <v>1969</v>
      </c>
      <c r="C698">
        <v>0</v>
      </c>
      <c r="D698">
        <v>0</v>
      </c>
      <c r="E698">
        <v>0</v>
      </c>
      <c r="F698">
        <v>0.05</v>
      </c>
      <c r="G698">
        <v>0.05</v>
      </c>
    </row>
    <row r="699" spans="1:7">
      <c r="A699">
        <v>7599</v>
      </c>
      <c r="B699" s="107" t="s">
        <v>1970</v>
      </c>
      <c r="C699">
        <v>0</v>
      </c>
      <c r="D699">
        <v>0.15</v>
      </c>
      <c r="E699">
        <v>0.05</v>
      </c>
      <c r="F699">
        <v>0</v>
      </c>
      <c r="G699">
        <v>0.05</v>
      </c>
    </row>
    <row r="700" spans="1:7">
      <c r="A700">
        <v>7601</v>
      </c>
      <c r="B700" s="107" t="s">
        <v>1971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>
      <c r="A701">
        <v>7605</v>
      </c>
      <c r="B701" s="107" t="s">
        <v>1972</v>
      </c>
      <c r="C701">
        <v>0</v>
      </c>
      <c r="D701" s="107" t="s">
        <v>235</v>
      </c>
      <c r="E701" s="107" t="s">
        <v>235</v>
      </c>
      <c r="F701" s="107" t="s">
        <v>235</v>
      </c>
      <c r="G701" s="107" t="s">
        <v>235</v>
      </c>
    </row>
    <row r="702" spans="1:7">
      <c r="A702">
        <v>7611</v>
      </c>
      <c r="B702" s="107" t="s">
        <v>1973</v>
      </c>
      <c r="C702">
        <v>0.05</v>
      </c>
      <c r="D702" s="107">
        <v>0.15</v>
      </c>
      <c r="E702" s="107">
        <v>0.05</v>
      </c>
      <c r="F702" s="107">
        <v>0.05</v>
      </c>
      <c r="G702" s="107">
        <v>0.05</v>
      </c>
    </row>
    <row r="703" spans="1:7">
      <c r="A703">
        <v>7613</v>
      </c>
      <c r="B703" s="107" t="s">
        <v>1974</v>
      </c>
      <c r="C703">
        <v>0</v>
      </c>
      <c r="D703">
        <v>0.15</v>
      </c>
      <c r="E703">
        <v>0.05</v>
      </c>
      <c r="F703">
        <v>0</v>
      </c>
      <c r="G703">
        <v>0</v>
      </c>
    </row>
    <row r="704" spans="1:7">
      <c r="A704">
        <v>7615</v>
      </c>
      <c r="B704" s="107" t="s">
        <v>1975</v>
      </c>
      <c r="C704">
        <v>0</v>
      </c>
      <c r="D704">
        <v>0</v>
      </c>
      <c r="E704">
        <v>0</v>
      </c>
      <c r="F704">
        <v>0.05</v>
      </c>
      <c r="G704">
        <v>0</v>
      </c>
    </row>
    <row r="705" spans="1:7">
      <c r="A705">
        <v>7616</v>
      </c>
      <c r="B705" s="107" t="s">
        <v>1976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>
      <c r="A706">
        <v>7628</v>
      </c>
      <c r="B706" s="107" t="s">
        <v>1977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7630</v>
      </c>
      <c r="B707" s="107" t="s">
        <v>1978</v>
      </c>
      <c r="C707">
        <v>0.1</v>
      </c>
      <c r="D707">
        <v>0.3</v>
      </c>
      <c r="E707">
        <v>0.1</v>
      </c>
      <c r="F707">
        <v>0.1</v>
      </c>
      <c r="G707">
        <v>0.1</v>
      </c>
    </row>
    <row r="708" spans="1:7">
      <c r="A708">
        <v>7637</v>
      </c>
      <c r="B708" s="107" t="s">
        <v>1979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>
      <c r="A709">
        <v>7640</v>
      </c>
      <c r="B709" s="107" t="s">
        <v>1980</v>
      </c>
      <c r="C709">
        <v>0</v>
      </c>
      <c r="D709">
        <v>0</v>
      </c>
      <c r="E709">
        <v>0</v>
      </c>
      <c r="F709">
        <v>0</v>
      </c>
      <c r="G709" s="107" t="s">
        <v>235</v>
      </c>
    </row>
    <row r="710" spans="1:7">
      <c r="A710">
        <v>7701</v>
      </c>
      <c r="B710" s="107" t="s">
        <v>1981</v>
      </c>
      <c r="C710">
        <v>0.05</v>
      </c>
      <c r="D710">
        <v>0.3</v>
      </c>
      <c r="E710">
        <v>0.05</v>
      </c>
      <c r="F710">
        <v>0.1</v>
      </c>
      <c r="G710" s="107">
        <v>0.05</v>
      </c>
    </row>
    <row r="711" spans="1:7">
      <c r="A711">
        <v>7702</v>
      </c>
      <c r="B711" s="107" t="s">
        <v>1982</v>
      </c>
      <c r="C711">
        <v>0</v>
      </c>
      <c r="D711">
        <v>0</v>
      </c>
      <c r="E711">
        <v>0</v>
      </c>
      <c r="F711" s="107" t="s">
        <v>235</v>
      </c>
      <c r="G711">
        <v>0</v>
      </c>
    </row>
    <row r="712" spans="1:7">
      <c r="A712">
        <v>7723</v>
      </c>
      <c r="B712" s="107" t="s">
        <v>1983</v>
      </c>
      <c r="C712">
        <v>0</v>
      </c>
      <c r="D712">
        <v>0</v>
      </c>
      <c r="E712">
        <v>0</v>
      </c>
      <c r="F712" s="107">
        <v>0.05</v>
      </c>
      <c r="G712">
        <v>0</v>
      </c>
    </row>
    <row r="713" spans="1:7">
      <c r="A713">
        <v>7727</v>
      </c>
      <c r="B713" s="107" t="s">
        <v>1984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>
      <c r="A714">
        <v>7729</v>
      </c>
      <c r="B714" s="107" t="s">
        <v>1315</v>
      </c>
      <c r="C714">
        <v>0.1</v>
      </c>
      <c r="D714">
        <v>0.3</v>
      </c>
      <c r="E714">
        <v>0.05</v>
      </c>
      <c r="F714">
        <v>0.1</v>
      </c>
      <c r="G714">
        <v>0.1</v>
      </c>
    </row>
    <row r="715" spans="1:7">
      <c r="A715">
        <v>7730</v>
      </c>
      <c r="B715" s="107" t="s">
        <v>1985</v>
      </c>
      <c r="C715">
        <v>0</v>
      </c>
      <c r="D715">
        <v>0</v>
      </c>
      <c r="E715">
        <v>0.05</v>
      </c>
      <c r="F715">
        <v>0.05</v>
      </c>
      <c r="G715">
        <v>0.05</v>
      </c>
    </row>
    <row r="716" spans="1:7">
      <c r="A716">
        <v>7733</v>
      </c>
      <c r="B716" s="107" t="s">
        <v>1986</v>
      </c>
      <c r="C716">
        <v>0.05</v>
      </c>
      <c r="D716">
        <v>0.15</v>
      </c>
      <c r="E716">
        <v>0.05</v>
      </c>
      <c r="F716">
        <v>0.05</v>
      </c>
      <c r="G716">
        <v>0.05</v>
      </c>
    </row>
    <row r="717" spans="1:7">
      <c r="A717">
        <v>7740</v>
      </c>
      <c r="B717" s="107" t="s">
        <v>1987</v>
      </c>
      <c r="C717">
        <v>0.05</v>
      </c>
      <c r="D717">
        <v>0.15</v>
      </c>
      <c r="E717">
        <v>0.05</v>
      </c>
      <c r="F717">
        <v>0.05</v>
      </c>
      <c r="G717">
        <v>0.05</v>
      </c>
    </row>
    <row r="718" spans="1:7">
      <c r="A718">
        <v>7743</v>
      </c>
      <c r="B718" s="107" t="s">
        <v>1988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>
      <c r="A719">
        <v>7747</v>
      </c>
      <c r="B719" s="107" t="s">
        <v>1989</v>
      </c>
      <c r="C719">
        <v>0.1</v>
      </c>
      <c r="D719">
        <v>0.3</v>
      </c>
      <c r="E719">
        <v>0.05</v>
      </c>
      <c r="F719">
        <v>0.05</v>
      </c>
      <c r="G719">
        <v>0.05</v>
      </c>
    </row>
    <row r="720" spans="1:7">
      <c r="A720">
        <v>7752</v>
      </c>
      <c r="B720" s="107" t="s">
        <v>1990</v>
      </c>
      <c r="C720">
        <v>0.05</v>
      </c>
      <c r="D720">
        <v>0.15</v>
      </c>
      <c r="E720">
        <v>0.05</v>
      </c>
      <c r="F720">
        <v>0.05</v>
      </c>
      <c r="G720">
        <v>0.05</v>
      </c>
    </row>
    <row r="721" spans="1:7">
      <c r="A721">
        <v>7762</v>
      </c>
      <c r="B721" s="107" t="s">
        <v>107</v>
      </c>
      <c r="C721">
        <v>0</v>
      </c>
      <c r="D721">
        <v>0.15</v>
      </c>
      <c r="E721">
        <v>0</v>
      </c>
      <c r="F721">
        <v>0.05</v>
      </c>
      <c r="G721">
        <v>0.05</v>
      </c>
    </row>
    <row r="722" spans="1:7">
      <c r="A722">
        <v>7769</v>
      </c>
      <c r="B722" s="107" t="s">
        <v>1991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7782</v>
      </c>
      <c r="B723" s="107" t="s">
        <v>1992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7819</v>
      </c>
      <c r="B724" s="107" t="s">
        <v>1993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>
      <c r="A725">
        <v>7822</v>
      </c>
      <c r="B725" s="107" t="s">
        <v>1994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7832</v>
      </c>
      <c r="B726" s="107" t="s">
        <v>1995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>
      <c r="A727">
        <v>7840</v>
      </c>
      <c r="B727" s="107" t="s">
        <v>1996</v>
      </c>
      <c r="C727">
        <v>0.05</v>
      </c>
      <c r="D727">
        <v>0.15</v>
      </c>
      <c r="E727">
        <v>0.05</v>
      </c>
      <c r="F727">
        <v>0.05</v>
      </c>
      <c r="G727">
        <v>0.05</v>
      </c>
    </row>
    <row r="728" spans="1:7">
      <c r="A728">
        <v>7844</v>
      </c>
      <c r="B728" s="107" t="s">
        <v>1997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7846</v>
      </c>
      <c r="B729" s="107" t="s">
        <v>1998</v>
      </c>
      <c r="C729">
        <v>0.1</v>
      </c>
      <c r="D729">
        <v>0.3</v>
      </c>
      <c r="E729">
        <v>0.1</v>
      </c>
      <c r="F729">
        <v>0.1</v>
      </c>
      <c r="G729">
        <v>0.1</v>
      </c>
    </row>
    <row r="730" spans="1:7">
      <c r="A730">
        <v>7856</v>
      </c>
      <c r="B730" s="107" t="s">
        <v>1999</v>
      </c>
      <c r="C730">
        <v>0</v>
      </c>
      <c r="D730">
        <v>0</v>
      </c>
      <c r="E730">
        <v>0</v>
      </c>
      <c r="F730" s="107" t="s">
        <v>235</v>
      </c>
      <c r="G730" s="107" t="s">
        <v>235</v>
      </c>
    </row>
    <row r="731" spans="1:7">
      <c r="A731">
        <v>7860</v>
      </c>
      <c r="B731" s="107" t="s">
        <v>2000</v>
      </c>
      <c r="C731">
        <v>0</v>
      </c>
      <c r="D731">
        <v>0.15</v>
      </c>
      <c r="E731">
        <v>0.05</v>
      </c>
      <c r="F731" s="107">
        <v>0.05</v>
      </c>
      <c r="G731" s="107">
        <v>0.05</v>
      </c>
    </row>
    <row r="732" spans="1:7">
      <c r="A732">
        <v>7862</v>
      </c>
      <c r="B732" s="107" t="s">
        <v>2001</v>
      </c>
      <c r="C732">
        <v>0.05</v>
      </c>
      <c r="D732" s="107" t="s">
        <v>235</v>
      </c>
      <c r="E732" s="107" t="s">
        <v>235</v>
      </c>
      <c r="F732" s="107" t="s">
        <v>235</v>
      </c>
      <c r="G732">
        <v>0.05</v>
      </c>
    </row>
    <row r="733" spans="1:7">
      <c r="A733">
        <v>7885</v>
      </c>
      <c r="B733" s="107" t="s">
        <v>2002</v>
      </c>
      <c r="C733">
        <v>0.05</v>
      </c>
      <c r="D733" s="107">
        <v>0.15</v>
      </c>
      <c r="E733" s="107">
        <v>0.05</v>
      </c>
      <c r="F733" s="107">
        <v>0.05</v>
      </c>
      <c r="G733">
        <v>0.05</v>
      </c>
    </row>
    <row r="734" spans="1:7">
      <c r="A734">
        <v>7898</v>
      </c>
      <c r="B734" s="107" t="s">
        <v>2003</v>
      </c>
      <c r="C734">
        <v>0.05</v>
      </c>
      <c r="D734">
        <v>0</v>
      </c>
      <c r="E734">
        <v>0.05</v>
      </c>
      <c r="F734">
        <v>0</v>
      </c>
      <c r="G734">
        <v>0.05</v>
      </c>
    </row>
    <row r="735" spans="1:7">
      <c r="A735">
        <v>7911</v>
      </c>
      <c r="B735" s="107" t="s">
        <v>2004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>
      <c r="A736">
        <v>7912</v>
      </c>
      <c r="B736" s="107" t="s">
        <v>2005</v>
      </c>
      <c r="C736">
        <v>0.05</v>
      </c>
      <c r="D736">
        <v>0.15</v>
      </c>
      <c r="E736">
        <v>0.05</v>
      </c>
      <c r="F736">
        <v>0.05</v>
      </c>
      <c r="G736">
        <v>0.05</v>
      </c>
    </row>
    <row r="737" spans="1:7">
      <c r="A737">
        <v>7916</v>
      </c>
      <c r="B737" s="107" t="s">
        <v>2006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>
      <c r="A738">
        <v>7917</v>
      </c>
      <c r="B738" s="107" t="s">
        <v>2007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>
      <c r="A739">
        <v>7931</v>
      </c>
      <c r="B739" s="107" t="s">
        <v>2008</v>
      </c>
      <c r="C739">
        <v>0</v>
      </c>
      <c r="D739">
        <v>0</v>
      </c>
      <c r="E739" s="107" t="s">
        <v>235</v>
      </c>
      <c r="F739">
        <v>0.05</v>
      </c>
      <c r="G739" s="107" t="s">
        <v>235</v>
      </c>
    </row>
    <row r="740" spans="1:7">
      <c r="A740">
        <v>7936</v>
      </c>
      <c r="B740" s="107" t="s">
        <v>2009</v>
      </c>
      <c r="C740">
        <v>0.05</v>
      </c>
      <c r="D740">
        <v>0</v>
      </c>
      <c r="E740" s="107">
        <v>0.05</v>
      </c>
      <c r="F740">
        <v>0.05</v>
      </c>
      <c r="G740" s="107">
        <v>0.05</v>
      </c>
    </row>
    <row r="741" spans="1:7">
      <c r="A741">
        <v>7937</v>
      </c>
      <c r="B741" s="107" t="s">
        <v>2010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>
      <c r="A742">
        <v>7949</v>
      </c>
      <c r="B742" s="107" t="s">
        <v>2011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>
      <c r="A743">
        <v>7951</v>
      </c>
      <c r="B743" s="107" t="s">
        <v>2012</v>
      </c>
      <c r="C743">
        <v>0.1</v>
      </c>
      <c r="D743">
        <v>0.3</v>
      </c>
      <c r="E743">
        <v>0.15</v>
      </c>
      <c r="F743">
        <v>0.15</v>
      </c>
      <c r="G743">
        <v>0.15</v>
      </c>
    </row>
    <row r="744" spans="1:7">
      <c r="A744">
        <v>7952</v>
      </c>
      <c r="B744" s="107" t="s">
        <v>2013</v>
      </c>
      <c r="C744">
        <v>0.1</v>
      </c>
      <c r="D744">
        <v>0.3</v>
      </c>
      <c r="E744">
        <v>0.1</v>
      </c>
      <c r="F744">
        <v>0.1</v>
      </c>
      <c r="G744">
        <v>0.1</v>
      </c>
    </row>
    <row r="745" spans="1:7">
      <c r="A745">
        <v>7955</v>
      </c>
      <c r="B745" s="107" t="s">
        <v>2014</v>
      </c>
      <c r="C745">
        <v>0</v>
      </c>
      <c r="D745" s="107" t="s">
        <v>235</v>
      </c>
      <c r="E745">
        <v>0</v>
      </c>
      <c r="F745" s="107" t="s">
        <v>235</v>
      </c>
      <c r="G745" s="107" t="s">
        <v>235</v>
      </c>
    </row>
    <row r="746" spans="1:7">
      <c r="A746">
        <v>7962</v>
      </c>
      <c r="B746" s="107" t="s">
        <v>2015</v>
      </c>
      <c r="C746">
        <v>0.05</v>
      </c>
      <c r="D746" s="107">
        <v>0.15</v>
      </c>
      <c r="E746">
        <v>0.05</v>
      </c>
      <c r="F746" s="107">
        <v>0.05</v>
      </c>
      <c r="G746" s="107">
        <v>0.05</v>
      </c>
    </row>
    <row r="747" spans="1:7">
      <c r="A747">
        <v>7965</v>
      </c>
      <c r="B747" s="107" t="s">
        <v>2016</v>
      </c>
      <c r="C747">
        <v>0.05</v>
      </c>
      <c r="D747">
        <v>0.3</v>
      </c>
      <c r="E747">
        <v>0.05</v>
      </c>
      <c r="F747">
        <v>0.1</v>
      </c>
      <c r="G747">
        <v>0.05</v>
      </c>
    </row>
    <row r="748" spans="1:7">
      <c r="A748">
        <v>7970</v>
      </c>
      <c r="B748" s="107" t="s">
        <v>2017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>
      <c r="A749">
        <v>7979</v>
      </c>
      <c r="B749" s="107" t="s">
        <v>2018</v>
      </c>
      <c r="C749">
        <v>0</v>
      </c>
      <c r="D749" s="107" t="s">
        <v>235</v>
      </c>
      <c r="E749">
        <v>0</v>
      </c>
      <c r="F749" s="107" t="s">
        <v>235</v>
      </c>
      <c r="G749">
        <v>0</v>
      </c>
    </row>
    <row r="750" spans="1:7">
      <c r="A750">
        <v>7981</v>
      </c>
      <c r="B750" s="107" t="s">
        <v>2019</v>
      </c>
      <c r="C750">
        <v>0</v>
      </c>
      <c r="D750" s="107">
        <v>0</v>
      </c>
      <c r="E750">
        <v>0</v>
      </c>
      <c r="F750" s="107">
        <v>0</v>
      </c>
      <c r="G750">
        <v>0</v>
      </c>
    </row>
    <row r="751" spans="1:7">
      <c r="A751">
        <v>7984</v>
      </c>
      <c r="B751" s="107" t="s">
        <v>2020</v>
      </c>
      <c r="C751">
        <v>0.05</v>
      </c>
      <c r="D751">
        <v>0.15</v>
      </c>
      <c r="E751">
        <v>0.05</v>
      </c>
      <c r="F751" s="107" t="s">
        <v>235</v>
      </c>
      <c r="G751">
        <v>0.05</v>
      </c>
    </row>
    <row r="752" spans="1:7">
      <c r="A752">
        <v>7988</v>
      </c>
      <c r="B752" s="107" t="s">
        <v>2021</v>
      </c>
      <c r="C752">
        <v>0.05</v>
      </c>
      <c r="D752">
        <v>0.15</v>
      </c>
      <c r="E752">
        <v>0.1</v>
      </c>
      <c r="F752" s="107">
        <v>0.1</v>
      </c>
      <c r="G752">
        <v>0.05</v>
      </c>
    </row>
    <row r="753" spans="1:7">
      <c r="A753">
        <v>7994</v>
      </c>
      <c r="B753" s="107" t="s">
        <v>2022</v>
      </c>
      <c r="C753">
        <v>0</v>
      </c>
      <c r="D753">
        <v>0</v>
      </c>
      <c r="E753">
        <v>0</v>
      </c>
      <c r="F753" s="107" t="s">
        <v>235</v>
      </c>
      <c r="G753" s="107" t="s">
        <v>235</v>
      </c>
    </row>
    <row r="754" spans="1:7">
      <c r="A754">
        <v>7999</v>
      </c>
      <c r="B754" s="107" t="s">
        <v>2023</v>
      </c>
      <c r="C754">
        <v>0.05</v>
      </c>
      <c r="D754">
        <v>0.15</v>
      </c>
      <c r="E754">
        <v>0.05</v>
      </c>
      <c r="F754" s="107">
        <v>0.05</v>
      </c>
      <c r="G754" s="107">
        <v>0.05</v>
      </c>
    </row>
    <row r="755" spans="1:7">
      <c r="A755">
        <v>8001</v>
      </c>
      <c r="B755" s="107" t="s">
        <v>2024</v>
      </c>
      <c r="C755">
        <v>0.05</v>
      </c>
      <c r="D755">
        <v>0.15</v>
      </c>
      <c r="E755" s="107" t="s">
        <v>235</v>
      </c>
      <c r="F755">
        <v>0</v>
      </c>
      <c r="G755" s="107" t="s">
        <v>235</v>
      </c>
    </row>
    <row r="756" spans="1:7">
      <c r="A756">
        <v>8008</v>
      </c>
      <c r="B756" s="107" t="s">
        <v>2025</v>
      </c>
      <c r="C756">
        <v>0.05</v>
      </c>
      <c r="D756">
        <v>0.15</v>
      </c>
      <c r="E756" s="107">
        <v>0.05</v>
      </c>
      <c r="F756">
        <v>0.05</v>
      </c>
      <c r="G756" s="107">
        <v>0.05</v>
      </c>
    </row>
    <row r="757" spans="1:7">
      <c r="A757">
        <v>8011</v>
      </c>
      <c r="B757" s="107" t="s">
        <v>2026</v>
      </c>
      <c r="C757">
        <v>0.05</v>
      </c>
      <c r="D757">
        <v>0.15</v>
      </c>
      <c r="E757">
        <v>0.05</v>
      </c>
      <c r="F757">
        <v>0.05</v>
      </c>
      <c r="G757">
        <v>0.05</v>
      </c>
    </row>
    <row r="758" spans="1:7">
      <c r="A758">
        <v>8015</v>
      </c>
      <c r="B758" s="107" t="s">
        <v>2027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>
      <c r="A759">
        <v>8016</v>
      </c>
      <c r="B759" s="107" t="s">
        <v>2028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>
      <c r="A760">
        <v>8028</v>
      </c>
      <c r="B760" s="107" t="s">
        <v>2029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>
      <c r="A761">
        <v>8031</v>
      </c>
      <c r="B761" s="107" t="s">
        <v>2030</v>
      </c>
      <c r="C761">
        <v>0.05</v>
      </c>
      <c r="D761">
        <v>0.15</v>
      </c>
      <c r="E761">
        <v>0.05</v>
      </c>
      <c r="F761">
        <v>0.05</v>
      </c>
      <c r="G761">
        <v>0.05</v>
      </c>
    </row>
    <row r="762" spans="1:7">
      <c r="A762">
        <v>8032</v>
      </c>
      <c r="B762" s="107" t="s">
        <v>2031</v>
      </c>
      <c r="C762">
        <v>0</v>
      </c>
      <c r="D762">
        <v>0</v>
      </c>
      <c r="E762">
        <v>0</v>
      </c>
      <c r="F762" s="107" t="s">
        <v>235</v>
      </c>
      <c r="G762" s="107" t="s">
        <v>235</v>
      </c>
    </row>
    <row r="763" spans="1:7">
      <c r="A763">
        <v>8035</v>
      </c>
      <c r="B763" s="107" t="s">
        <v>2032</v>
      </c>
      <c r="C763">
        <v>0.4</v>
      </c>
      <c r="D763">
        <v>1.2</v>
      </c>
      <c r="E763">
        <v>0.4</v>
      </c>
      <c r="F763" s="107">
        <v>0.4</v>
      </c>
      <c r="G763" s="107">
        <v>0.4</v>
      </c>
    </row>
    <row r="764" spans="1:7">
      <c r="A764">
        <v>8041</v>
      </c>
      <c r="B764" s="107" t="s">
        <v>2033</v>
      </c>
      <c r="C764">
        <v>0.05</v>
      </c>
      <c r="D764">
        <v>0.15</v>
      </c>
      <c r="E764">
        <v>0.05</v>
      </c>
      <c r="F764">
        <v>0.05</v>
      </c>
      <c r="G764">
        <v>0.05</v>
      </c>
    </row>
    <row r="765" spans="1:7">
      <c r="A765">
        <v>8043</v>
      </c>
      <c r="B765" s="107" t="s">
        <v>2034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8050</v>
      </c>
      <c r="B766" s="107" t="s">
        <v>2035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>
      <c r="A767">
        <v>8057</v>
      </c>
      <c r="B767" s="107" t="s">
        <v>2036</v>
      </c>
      <c r="C767">
        <v>0.15</v>
      </c>
      <c r="D767">
        <v>0.6</v>
      </c>
      <c r="E767">
        <v>0.15</v>
      </c>
      <c r="F767">
        <v>0.15</v>
      </c>
      <c r="G767">
        <v>0.15</v>
      </c>
    </row>
    <row r="768" spans="1:7">
      <c r="A768">
        <v>8059</v>
      </c>
      <c r="B768" s="107" t="s">
        <v>2037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8060</v>
      </c>
      <c r="B769" s="107" t="s">
        <v>2038</v>
      </c>
      <c r="C769">
        <v>0</v>
      </c>
      <c r="D769">
        <v>0</v>
      </c>
      <c r="E769">
        <v>0.05</v>
      </c>
      <c r="F769" s="107" t="s">
        <v>235</v>
      </c>
      <c r="G769">
        <v>0.05</v>
      </c>
    </row>
    <row r="770" spans="1:7">
      <c r="A770">
        <v>8068</v>
      </c>
      <c r="B770" s="107" t="s">
        <v>2039</v>
      </c>
      <c r="C770">
        <v>0</v>
      </c>
      <c r="D770">
        <v>0</v>
      </c>
      <c r="E770" s="107" t="s">
        <v>235</v>
      </c>
      <c r="F770" s="107" t="s">
        <v>235</v>
      </c>
      <c r="G770" s="107" t="s">
        <v>235</v>
      </c>
    </row>
    <row r="771" spans="1:7">
      <c r="A771">
        <v>8074</v>
      </c>
      <c r="B771" s="107" t="s">
        <v>2040</v>
      </c>
      <c r="C771">
        <v>0</v>
      </c>
      <c r="D771">
        <v>0</v>
      </c>
      <c r="E771" s="107">
        <v>0.1</v>
      </c>
      <c r="F771" s="107">
        <v>0</v>
      </c>
      <c r="G771" s="107">
        <v>0</v>
      </c>
    </row>
    <row r="772" spans="1:7">
      <c r="A772">
        <v>8075</v>
      </c>
      <c r="B772" s="107" t="s">
        <v>2041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>
      <c r="A773">
        <v>8077</v>
      </c>
      <c r="B773" s="107" t="s">
        <v>2042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8079</v>
      </c>
      <c r="B774" s="107" t="s">
        <v>2043</v>
      </c>
      <c r="C774">
        <v>0.1</v>
      </c>
      <c r="D774">
        <v>0.3</v>
      </c>
      <c r="E774">
        <v>0.1</v>
      </c>
      <c r="F774">
        <v>0.1</v>
      </c>
      <c r="G774">
        <v>0.1</v>
      </c>
    </row>
    <row r="775" spans="1:7">
      <c r="A775">
        <v>8086</v>
      </c>
      <c r="B775" s="107" t="s">
        <v>1323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>
      <c r="A776">
        <v>8089</v>
      </c>
      <c r="B776" s="107" t="s">
        <v>2044</v>
      </c>
      <c r="C776">
        <v>0.05</v>
      </c>
      <c r="D776">
        <v>0.15</v>
      </c>
      <c r="E776">
        <v>0.05</v>
      </c>
      <c r="F776">
        <v>0.05</v>
      </c>
      <c r="G776">
        <v>0.05</v>
      </c>
    </row>
    <row r="777" spans="1:7">
      <c r="A777">
        <v>8093</v>
      </c>
      <c r="B777" s="107" t="s">
        <v>2045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>
      <c r="A778">
        <v>8097</v>
      </c>
      <c r="B778" s="107" t="s">
        <v>2046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>
      <c r="A779">
        <v>8098</v>
      </c>
      <c r="B779" s="107" t="s">
        <v>2047</v>
      </c>
      <c r="C779">
        <v>0.05</v>
      </c>
      <c r="D779">
        <v>0.15</v>
      </c>
      <c r="E779">
        <v>0.05</v>
      </c>
      <c r="F779">
        <v>0.05</v>
      </c>
      <c r="G779">
        <v>0.05</v>
      </c>
    </row>
    <row r="780" spans="1:7">
      <c r="A780">
        <v>8101</v>
      </c>
      <c r="B780" s="107" t="s">
        <v>2048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>
      <c r="A781">
        <v>8103</v>
      </c>
      <c r="B781" s="107" t="s">
        <v>2049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>
      <c r="A782">
        <v>8113</v>
      </c>
      <c r="B782" s="107" t="s">
        <v>2050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>
      <c r="A783">
        <v>8114</v>
      </c>
      <c r="B783" s="107" t="s">
        <v>2051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>
      <c r="A784">
        <v>8130</v>
      </c>
      <c r="B784" s="107" t="s">
        <v>2052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>
      <c r="A785">
        <v>8131</v>
      </c>
      <c r="B785" s="107" t="s">
        <v>2053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>
      <c r="A786">
        <v>8132</v>
      </c>
      <c r="B786" s="107" t="s">
        <v>2054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8137</v>
      </c>
      <c r="B787" s="107" t="s">
        <v>2055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>
      <c r="A788">
        <v>8140</v>
      </c>
      <c r="B788" s="107" t="s">
        <v>2056</v>
      </c>
      <c r="C788">
        <v>0.05</v>
      </c>
      <c r="D788">
        <v>0.15</v>
      </c>
      <c r="E788">
        <v>0.05</v>
      </c>
      <c r="F788">
        <v>0</v>
      </c>
      <c r="G788">
        <v>0</v>
      </c>
    </row>
    <row r="789" spans="1:7">
      <c r="A789">
        <v>8141</v>
      </c>
      <c r="B789" s="107" t="s">
        <v>2057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>
      <c r="A790">
        <v>8142</v>
      </c>
      <c r="B790" s="107" t="s">
        <v>2058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>
      <c r="A791">
        <v>8150</v>
      </c>
      <c r="B791" s="107" t="s">
        <v>2059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>
      <c r="A792">
        <v>8153</v>
      </c>
      <c r="B792" s="107" t="s">
        <v>2060</v>
      </c>
      <c r="C792">
        <v>0.1</v>
      </c>
      <c r="D792">
        <v>0.3</v>
      </c>
      <c r="E792">
        <v>0.1</v>
      </c>
      <c r="F792">
        <v>0.1</v>
      </c>
      <c r="G792">
        <v>0.1</v>
      </c>
    </row>
    <row r="793" spans="1:7">
      <c r="A793">
        <v>8158</v>
      </c>
      <c r="B793" s="107" t="s">
        <v>2061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>
      <c r="A794">
        <v>8160</v>
      </c>
      <c r="B794" s="107" t="s">
        <v>2062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>
      <c r="A795">
        <v>8163</v>
      </c>
      <c r="B795" s="107" t="s">
        <v>2063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>
      <c r="A796">
        <v>8165</v>
      </c>
      <c r="B796" s="107" t="s">
        <v>2064</v>
      </c>
      <c r="C796">
        <v>0</v>
      </c>
      <c r="D796">
        <v>0.15</v>
      </c>
      <c r="E796">
        <v>0</v>
      </c>
      <c r="F796">
        <v>0.05</v>
      </c>
      <c r="G796">
        <v>0</v>
      </c>
    </row>
    <row r="797" spans="1:7">
      <c r="A797">
        <v>8168</v>
      </c>
      <c r="B797" s="107" t="s">
        <v>2065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8173</v>
      </c>
      <c r="B798" s="107" t="s">
        <v>2066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>
      <c r="A799">
        <v>8174</v>
      </c>
      <c r="B799" s="107" t="s">
        <v>2067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>
      <c r="A800">
        <v>8179</v>
      </c>
      <c r="B800" s="107" t="s">
        <v>2068</v>
      </c>
      <c r="C800">
        <v>0</v>
      </c>
      <c r="D800">
        <v>0</v>
      </c>
      <c r="E800">
        <v>0</v>
      </c>
      <c r="F800">
        <v>0</v>
      </c>
      <c r="G800" s="107" t="s">
        <v>235</v>
      </c>
    </row>
    <row r="801" spans="1:7">
      <c r="A801">
        <v>8182</v>
      </c>
      <c r="B801" s="107" t="s">
        <v>2069</v>
      </c>
      <c r="C801">
        <v>0.05</v>
      </c>
      <c r="D801">
        <v>0.15</v>
      </c>
      <c r="E801">
        <v>0.05</v>
      </c>
      <c r="F801">
        <v>0.05</v>
      </c>
      <c r="G801" s="107">
        <v>0.05</v>
      </c>
    </row>
    <row r="802" spans="1:7">
      <c r="A802">
        <v>8184</v>
      </c>
      <c r="B802" s="107" t="s">
        <v>2070</v>
      </c>
      <c r="C802">
        <v>0.1</v>
      </c>
      <c r="D802">
        <v>0.15</v>
      </c>
      <c r="E802">
        <v>0.05</v>
      </c>
      <c r="F802">
        <v>0.05</v>
      </c>
      <c r="G802">
        <v>0.05</v>
      </c>
    </row>
    <row r="803" spans="1:7">
      <c r="A803">
        <v>8185</v>
      </c>
      <c r="B803" s="107" t="s">
        <v>2071</v>
      </c>
      <c r="C803">
        <v>0.05</v>
      </c>
      <c r="D803">
        <v>0.15</v>
      </c>
      <c r="E803">
        <v>0.05</v>
      </c>
      <c r="F803">
        <v>0.05</v>
      </c>
      <c r="G803">
        <v>0.05</v>
      </c>
    </row>
    <row r="804" spans="1:7">
      <c r="A804">
        <v>8194</v>
      </c>
      <c r="B804" s="107" t="s">
        <v>2072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>
      <c r="A805">
        <v>8200</v>
      </c>
      <c r="B805" s="107" t="s">
        <v>2073</v>
      </c>
      <c r="C805">
        <v>0</v>
      </c>
      <c r="D805">
        <v>0</v>
      </c>
      <c r="E805">
        <v>0.05</v>
      </c>
      <c r="F805">
        <v>0.05</v>
      </c>
      <c r="G805">
        <v>0.05</v>
      </c>
    </row>
    <row r="806" spans="1:7">
      <c r="A806">
        <v>8203</v>
      </c>
      <c r="B806" s="107" t="s">
        <v>2074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8214</v>
      </c>
      <c r="B807" s="107" t="s">
        <v>2075</v>
      </c>
      <c r="C807">
        <v>0.05</v>
      </c>
      <c r="D807">
        <v>0</v>
      </c>
      <c r="E807">
        <v>0</v>
      </c>
      <c r="F807">
        <v>0</v>
      </c>
      <c r="G807">
        <v>0</v>
      </c>
    </row>
    <row r="808" spans="1:7">
      <c r="A808">
        <v>8217</v>
      </c>
      <c r="B808" s="107" t="s">
        <v>2076</v>
      </c>
      <c r="C808">
        <v>0.05</v>
      </c>
      <c r="D808">
        <v>0.15</v>
      </c>
      <c r="E808">
        <v>0.05</v>
      </c>
      <c r="F808">
        <v>0.05</v>
      </c>
      <c r="G808">
        <v>0.05</v>
      </c>
    </row>
    <row r="809" spans="1:7">
      <c r="A809">
        <v>8227</v>
      </c>
      <c r="B809" s="107" t="s">
        <v>2077</v>
      </c>
      <c r="C809">
        <v>0.2</v>
      </c>
      <c r="D809">
        <v>0.45</v>
      </c>
      <c r="E809">
        <v>0.2</v>
      </c>
      <c r="F809">
        <v>0.2</v>
      </c>
      <c r="G809">
        <v>0.2</v>
      </c>
    </row>
    <row r="810" spans="1:7">
      <c r="A810">
        <v>8230</v>
      </c>
      <c r="B810" s="107" t="s">
        <v>2078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>
      <c r="A811">
        <v>8233</v>
      </c>
      <c r="B811" s="107" t="s">
        <v>2079</v>
      </c>
      <c r="C811">
        <v>0</v>
      </c>
      <c r="D811">
        <v>0.15</v>
      </c>
      <c r="E811">
        <v>0.05</v>
      </c>
      <c r="F811">
        <v>0.05</v>
      </c>
      <c r="G811">
        <v>0.05</v>
      </c>
    </row>
    <row r="812" spans="1:7">
      <c r="A812">
        <v>8237</v>
      </c>
      <c r="B812" s="107" t="s">
        <v>2080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>
      <c r="A813">
        <v>8242</v>
      </c>
      <c r="B813" s="107" t="s">
        <v>2081</v>
      </c>
      <c r="C813">
        <v>0</v>
      </c>
      <c r="D813">
        <v>0.15</v>
      </c>
      <c r="E813">
        <v>0.05</v>
      </c>
      <c r="F813">
        <v>0</v>
      </c>
      <c r="G813">
        <v>0</v>
      </c>
    </row>
    <row r="814" spans="1:7">
      <c r="A814">
        <v>8244</v>
      </c>
      <c r="B814" s="107" t="s">
        <v>2082</v>
      </c>
      <c r="C814">
        <v>0.1</v>
      </c>
      <c r="D814">
        <v>0.3</v>
      </c>
      <c r="E814">
        <v>0.1</v>
      </c>
      <c r="F814">
        <v>0.1</v>
      </c>
      <c r="G814">
        <v>0.1</v>
      </c>
    </row>
    <row r="815" spans="1:7">
      <c r="A815">
        <v>8251</v>
      </c>
      <c r="B815" s="107" t="s">
        <v>2083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>
      <c r="A816">
        <v>8252</v>
      </c>
      <c r="B816" s="107" t="s">
        <v>2084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>
      <c r="A817">
        <v>8253</v>
      </c>
      <c r="B817" s="107" t="s">
        <v>1273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>
      <c r="A818">
        <v>8267</v>
      </c>
      <c r="B818" s="107" t="s">
        <v>304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>
      <c r="A819">
        <v>8275</v>
      </c>
      <c r="B819" s="107" t="s">
        <v>2085</v>
      </c>
      <c r="C819">
        <v>0</v>
      </c>
      <c r="D819">
        <v>0</v>
      </c>
      <c r="E819">
        <v>0</v>
      </c>
      <c r="F819" s="107" t="s">
        <v>235</v>
      </c>
      <c r="G819" s="107" t="s">
        <v>235</v>
      </c>
    </row>
    <row r="820" spans="1:7">
      <c r="A820">
        <v>8276</v>
      </c>
      <c r="B820" s="107" t="s">
        <v>2086</v>
      </c>
      <c r="C820">
        <v>0.05</v>
      </c>
      <c r="D820">
        <v>0.15</v>
      </c>
      <c r="E820">
        <v>0.05</v>
      </c>
      <c r="F820" s="107">
        <v>0.05</v>
      </c>
      <c r="G820" s="107">
        <v>0.05</v>
      </c>
    </row>
    <row r="821" spans="1:7">
      <c r="A821">
        <v>8278</v>
      </c>
      <c r="B821" s="107" t="s">
        <v>2087</v>
      </c>
      <c r="C821">
        <v>0</v>
      </c>
      <c r="D821">
        <v>0.15</v>
      </c>
      <c r="E821">
        <v>0.05</v>
      </c>
      <c r="F821">
        <v>0</v>
      </c>
      <c r="G821">
        <v>0.05</v>
      </c>
    </row>
    <row r="822" spans="1:7">
      <c r="A822">
        <v>8279</v>
      </c>
      <c r="B822" s="107" t="s">
        <v>2088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>
      <c r="A823">
        <v>8281</v>
      </c>
      <c r="B823" s="107" t="s">
        <v>2089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>
      <c r="A824">
        <v>8282</v>
      </c>
      <c r="B824" s="107" t="s">
        <v>2090</v>
      </c>
      <c r="C824">
        <v>0.05</v>
      </c>
      <c r="D824">
        <v>0.15</v>
      </c>
      <c r="E824">
        <v>0.05</v>
      </c>
      <c r="F824">
        <v>0.05</v>
      </c>
      <c r="G824">
        <v>0.05</v>
      </c>
    </row>
    <row r="825" spans="1:7">
      <c r="A825">
        <v>8283</v>
      </c>
      <c r="B825" s="107" t="s">
        <v>2091</v>
      </c>
      <c r="C825">
        <v>0.1</v>
      </c>
      <c r="D825">
        <v>0</v>
      </c>
      <c r="E825">
        <v>0</v>
      </c>
      <c r="F825">
        <v>0.1</v>
      </c>
      <c r="G825">
        <v>0.1</v>
      </c>
    </row>
    <row r="826" spans="1:7">
      <c r="A826">
        <v>8289</v>
      </c>
      <c r="B826" s="107" t="s">
        <v>2092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>
      <c r="A827">
        <v>8303</v>
      </c>
      <c r="B827" s="107" t="s">
        <v>2093</v>
      </c>
      <c r="C827">
        <v>0.05</v>
      </c>
      <c r="D827">
        <v>0.15</v>
      </c>
      <c r="E827">
        <v>0.05</v>
      </c>
      <c r="F827">
        <v>0.05</v>
      </c>
      <c r="G827">
        <v>0.05</v>
      </c>
    </row>
    <row r="828" spans="1:7">
      <c r="A828">
        <v>8308</v>
      </c>
      <c r="B828" s="107" t="s">
        <v>102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>
      <c r="A829">
        <v>8309</v>
      </c>
      <c r="B829" s="107" t="s">
        <v>2094</v>
      </c>
      <c r="C829">
        <v>0.1</v>
      </c>
      <c r="D829">
        <v>0.3</v>
      </c>
      <c r="E829">
        <v>0.1</v>
      </c>
      <c r="F829">
        <v>0.1</v>
      </c>
      <c r="G829">
        <v>0.1</v>
      </c>
    </row>
    <row r="830" spans="1:7">
      <c r="A830">
        <v>8316</v>
      </c>
      <c r="B830" s="107" t="s">
        <v>1275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>
      <c r="A831">
        <v>8331</v>
      </c>
      <c r="B831" s="107" t="s">
        <v>2095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>
      <c r="A832">
        <v>8334</v>
      </c>
      <c r="B832" s="107" t="s">
        <v>2096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>
      <c r="A833">
        <v>8337</v>
      </c>
      <c r="B833" s="107" t="s">
        <v>2097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8338</v>
      </c>
      <c r="B834" s="107" t="s">
        <v>2098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>
      <c r="A835">
        <v>8341</v>
      </c>
      <c r="B835" s="107" t="s">
        <v>2099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>
      <c r="A836">
        <v>8342</v>
      </c>
      <c r="B836" s="107" t="s">
        <v>2100</v>
      </c>
      <c r="C836">
        <v>0.05</v>
      </c>
      <c r="D836">
        <v>0.15</v>
      </c>
      <c r="E836">
        <v>0.05</v>
      </c>
      <c r="F836">
        <v>0.05</v>
      </c>
      <c r="G836">
        <v>0.05</v>
      </c>
    </row>
    <row r="837" spans="1:7">
      <c r="A837">
        <v>8343</v>
      </c>
      <c r="B837" s="107" t="s">
        <v>2101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>
      <c r="A838">
        <v>8344</v>
      </c>
      <c r="B838" s="107" t="s">
        <v>2102</v>
      </c>
      <c r="C838">
        <v>0.05</v>
      </c>
      <c r="D838">
        <v>0.15</v>
      </c>
      <c r="E838">
        <v>0.05</v>
      </c>
      <c r="F838">
        <v>0.05</v>
      </c>
      <c r="G838">
        <v>0.05</v>
      </c>
    </row>
    <row r="839" spans="1:7">
      <c r="A839">
        <v>8345</v>
      </c>
      <c r="B839" s="107" t="s">
        <v>2103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>
      <c r="A840">
        <v>8346</v>
      </c>
      <c r="B840" s="107" t="s">
        <v>2104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>
      <c r="A841">
        <v>8350</v>
      </c>
      <c r="B841" s="107" t="s">
        <v>2105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>
      <c r="A842">
        <v>8355</v>
      </c>
      <c r="B842" s="107" t="s">
        <v>2106</v>
      </c>
      <c r="C842">
        <v>0.05</v>
      </c>
      <c r="D842">
        <v>0.15</v>
      </c>
      <c r="E842">
        <v>0</v>
      </c>
      <c r="F842">
        <v>0.05</v>
      </c>
      <c r="G842">
        <v>0.05</v>
      </c>
    </row>
    <row r="843" spans="1:7">
      <c r="A843">
        <v>8356</v>
      </c>
      <c r="B843" s="107" t="s">
        <v>2107</v>
      </c>
      <c r="C843">
        <v>0.05</v>
      </c>
      <c r="D843">
        <v>0.15</v>
      </c>
      <c r="E843">
        <v>0.05</v>
      </c>
      <c r="F843">
        <v>0.05</v>
      </c>
      <c r="G843">
        <v>0.05</v>
      </c>
    </row>
    <row r="844" spans="1:7">
      <c r="A844">
        <v>8358</v>
      </c>
      <c r="B844" s="107" t="s">
        <v>2108</v>
      </c>
      <c r="C844">
        <v>0</v>
      </c>
      <c r="D844">
        <v>0</v>
      </c>
      <c r="E844">
        <v>0.05</v>
      </c>
      <c r="F844">
        <v>0</v>
      </c>
      <c r="G844">
        <v>0</v>
      </c>
    </row>
    <row r="845" spans="1:7">
      <c r="A845">
        <v>8359</v>
      </c>
      <c r="B845" s="107" t="s">
        <v>1343</v>
      </c>
      <c r="C845">
        <v>0.05</v>
      </c>
      <c r="D845">
        <v>0.15</v>
      </c>
      <c r="E845">
        <v>0.05</v>
      </c>
      <c r="F845">
        <v>0.05</v>
      </c>
      <c r="G845">
        <v>0.05</v>
      </c>
    </row>
    <row r="846" spans="1:7">
      <c r="A846">
        <v>8361</v>
      </c>
      <c r="B846" s="107" t="s">
        <v>2109</v>
      </c>
      <c r="C846">
        <v>0</v>
      </c>
      <c r="D846">
        <v>0</v>
      </c>
      <c r="E846">
        <v>0</v>
      </c>
      <c r="F846" s="107" t="s">
        <v>235</v>
      </c>
      <c r="G846" s="107" t="s">
        <v>235</v>
      </c>
    </row>
    <row r="847" spans="1:7">
      <c r="A847">
        <v>8362</v>
      </c>
      <c r="B847" s="107" t="s">
        <v>2110</v>
      </c>
      <c r="C847">
        <v>0.05</v>
      </c>
      <c r="D847">
        <v>0.15</v>
      </c>
      <c r="E847">
        <v>0.05</v>
      </c>
      <c r="F847" s="107">
        <v>0.05</v>
      </c>
      <c r="G847" s="107">
        <v>0.05</v>
      </c>
    </row>
    <row r="848" spans="1:7">
      <c r="A848">
        <v>8363</v>
      </c>
      <c r="B848" s="107" t="s">
        <v>2111</v>
      </c>
      <c r="C848">
        <v>0.1</v>
      </c>
      <c r="D848">
        <v>0.3</v>
      </c>
      <c r="E848">
        <v>0.1</v>
      </c>
      <c r="F848">
        <v>0.1</v>
      </c>
      <c r="G848">
        <v>0.1</v>
      </c>
    </row>
    <row r="849" spans="1:7">
      <c r="A849">
        <v>8364</v>
      </c>
      <c r="B849" s="107" t="s">
        <v>2112</v>
      </c>
      <c r="C849">
        <v>0.05</v>
      </c>
      <c r="D849">
        <v>0</v>
      </c>
      <c r="E849">
        <v>0.05</v>
      </c>
      <c r="F849" s="107" t="s">
        <v>235</v>
      </c>
      <c r="G849">
        <v>0.05</v>
      </c>
    </row>
    <row r="850" spans="1:7">
      <c r="A850">
        <v>8365</v>
      </c>
      <c r="B850" s="107" t="s">
        <v>2113</v>
      </c>
      <c r="C850">
        <v>0.05</v>
      </c>
      <c r="D850">
        <v>0.15</v>
      </c>
      <c r="E850">
        <v>0.05</v>
      </c>
      <c r="F850" s="107">
        <v>0.05</v>
      </c>
      <c r="G850">
        <v>0.05</v>
      </c>
    </row>
    <row r="851" spans="1:7">
      <c r="A851">
        <v>8366</v>
      </c>
      <c r="B851" s="107" t="s">
        <v>2114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>
      <c r="A852">
        <v>8367</v>
      </c>
      <c r="B852" s="107" t="s">
        <v>2115</v>
      </c>
      <c r="C852">
        <v>0.05</v>
      </c>
      <c r="D852">
        <v>0.15</v>
      </c>
      <c r="E852">
        <v>0.05</v>
      </c>
      <c r="F852">
        <v>0</v>
      </c>
      <c r="G852">
        <v>0</v>
      </c>
    </row>
    <row r="853" spans="1:7">
      <c r="A853">
        <v>8369</v>
      </c>
      <c r="B853" s="107" t="s">
        <v>2116</v>
      </c>
      <c r="C853">
        <v>0.1</v>
      </c>
      <c r="D853">
        <v>0.3</v>
      </c>
      <c r="E853">
        <v>0.1</v>
      </c>
      <c r="F853">
        <v>0.1</v>
      </c>
      <c r="G853">
        <v>0.1</v>
      </c>
    </row>
    <row r="854" spans="1:7">
      <c r="A854">
        <v>8370</v>
      </c>
      <c r="B854" s="107" t="s">
        <v>2117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>
      <c r="A855">
        <v>8379</v>
      </c>
      <c r="B855" s="107" t="s">
        <v>2118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>
      <c r="A856">
        <v>8382</v>
      </c>
      <c r="B856" s="107" t="s">
        <v>2119</v>
      </c>
      <c r="C856">
        <v>0.05</v>
      </c>
      <c r="D856">
        <v>0.15</v>
      </c>
      <c r="E856">
        <v>0.05</v>
      </c>
      <c r="F856">
        <v>0.05</v>
      </c>
      <c r="G856">
        <v>0.05</v>
      </c>
    </row>
    <row r="857" spans="1:7">
      <c r="A857">
        <v>8383</v>
      </c>
      <c r="B857" s="107" t="s">
        <v>2120</v>
      </c>
      <c r="C857">
        <v>0.05</v>
      </c>
      <c r="D857">
        <v>0</v>
      </c>
      <c r="E857">
        <v>0.05</v>
      </c>
      <c r="F857" s="107" t="s">
        <v>235</v>
      </c>
      <c r="G857">
        <v>0.05</v>
      </c>
    </row>
    <row r="858" spans="1:7">
      <c r="A858">
        <v>8385</v>
      </c>
      <c r="B858" s="107" t="s">
        <v>2121</v>
      </c>
      <c r="C858">
        <v>0</v>
      </c>
      <c r="D858">
        <v>0</v>
      </c>
      <c r="E858">
        <v>0</v>
      </c>
      <c r="F858" s="107">
        <v>0.05</v>
      </c>
      <c r="G858">
        <v>0.05</v>
      </c>
    </row>
    <row r="859" spans="1:7">
      <c r="A859">
        <v>8386</v>
      </c>
      <c r="B859" s="107" t="s">
        <v>2122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>
      <c r="A860">
        <v>8387</v>
      </c>
      <c r="B860" s="107" t="s">
        <v>2123</v>
      </c>
      <c r="C860">
        <v>0.05</v>
      </c>
      <c r="D860">
        <v>0.15</v>
      </c>
      <c r="E860">
        <v>0.05</v>
      </c>
      <c r="F860" s="107" t="s">
        <v>235</v>
      </c>
      <c r="G860">
        <v>0.05</v>
      </c>
    </row>
    <row r="861" spans="1:7">
      <c r="A861">
        <v>8388</v>
      </c>
      <c r="B861" s="107" t="s">
        <v>2124</v>
      </c>
      <c r="C861">
        <v>0.05</v>
      </c>
      <c r="D861">
        <v>0.15</v>
      </c>
      <c r="E861">
        <v>0.05</v>
      </c>
      <c r="F861" s="107">
        <v>0.05</v>
      </c>
      <c r="G861">
        <v>0.05</v>
      </c>
    </row>
    <row r="862" spans="1:7">
      <c r="A862">
        <v>8393</v>
      </c>
      <c r="B862" s="107" t="s">
        <v>2125</v>
      </c>
      <c r="C862">
        <v>0.05</v>
      </c>
      <c r="D862">
        <v>0.15</v>
      </c>
      <c r="E862">
        <v>0</v>
      </c>
      <c r="F862">
        <v>0</v>
      </c>
      <c r="G862">
        <v>0</v>
      </c>
    </row>
    <row r="863" spans="1:7">
      <c r="A863">
        <v>8395</v>
      </c>
      <c r="B863" s="107" t="s">
        <v>2126</v>
      </c>
      <c r="C863">
        <v>0.05</v>
      </c>
      <c r="D863">
        <v>0</v>
      </c>
      <c r="E863">
        <v>0.05</v>
      </c>
      <c r="F863">
        <v>0.05</v>
      </c>
      <c r="G863">
        <v>0</v>
      </c>
    </row>
    <row r="864" spans="1:7">
      <c r="A864">
        <v>8397</v>
      </c>
      <c r="B864" s="107" t="s">
        <v>2127</v>
      </c>
      <c r="C864">
        <v>0.1</v>
      </c>
      <c r="D864">
        <v>0.3</v>
      </c>
      <c r="E864">
        <v>0.1</v>
      </c>
      <c r="F864">
        <v>0.1</v>
      </c>
      <c r="G864">
        <v>0.1</v>
      </c>
    </row>
    <row r="865" spans="1:7">
      <c r="A865">
        <v>8399</v>
      </c>
      <c r="B865" s="107" t="s">
        <v>2128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>
      <c r="A866">
        <v>8410</v>
      </c>
      <c r="B866" s="107" t="s">
        <v>1328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>
      <c r="A867">
        <v>8416</v>
      </c>
      <c r="B867" s="107" t="s">
        <v>2129</v>
      </c>
      <c r="C867">
        <v>0</v>
      </c>
      <c r="D867">
        <v>0.15</v>
      </c>
      <c r="E867">
        <v>0.05</v>
      </c>
      <c r="F867">
        <v>0.05</v>
      </c>
      <c r="G867">
        <v>0.05</v>
      </c>
    </row>
    <row r="868" spans="1:7">
      <c r="A868">
        <v>8424</v>
      </c>
      <c r="B868" s="107" t="s">
        <v>2130</v>
      </c>
      <c r="C868">
        <v>0</v>
      </c>
      <c r="D868" s="107" t="s">
        <v>235</v>
      </c>
      <c r="E868">
        <v>0</v>
      </c>
      <c r="F868" s="107" t="s">
        <v>235</v>
      </c>
      <c r="G868">
        <v>0</v>
      </c>
    </row>
    <row r="869" spans="1:7">
      <c r="A869">
        <v>8425</v>
      </c>
      <c r="B869" s="107" t="s">
        <v>2131</v>
      </c>
      <c r="C869">
        <v>0.05</v>
      </c>
      <c r="D869" s="107" t="s">
        <v>235</v>
      </c>
      <c r="E869">
        <v>0.05</v>
      </c>
      <c r="F869" s="107" t="s">
        <v>235</v>
      </c>
      <c r="G869">
        <v>0.05</v>
      </c>
    </row>
    <row r="870" spans="1:7">
      <c r="A870">
        <v>8439</v>
      </c>
      <c r="B870" s="107" t="s">
        <v>2132</v>
      </c>
      <c r="C870">
        <v>0.1</v>
      </c>
      <c r="D870" s="107">
        <v>0.3</v>
      </c>
      <c r="E870">
        <v>0.1</v>
      </c>
      <c r="F870" s="107">
        <v>0.1</v>
      </c>
      <c r="G870">
        <v>0.1</v>
      </c>
    </row>
    <row r="871" spans="1:7">
      <c r="A871">
        <v>8521</v>
      </c>
      <c r="B871" s="107" t="s">
        <v>2133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>
      <c r="A872">
        <v>8522</v>
      </c>
      <c r="B872" s="107" t="s">
        <v>2134</v>
      </c>
      <c r="C872">
        <v>0.05</v>
      </c>
      <c r="D872">
        <v>0.15</v>
      </c>
      <c r="E872">
        <v>0.1</v>
      </c>
      <c r="F872">
        <v>0.1</v>
      </c>
      <c r="G872">
        <v>0.1</v>
      </c>
    </row>
    <row r="873" spans="1:7">
      <c r="A873">
        <v>8530</v>
      </c>
      <c r="B873" s="107" t="s">
        <v>2135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>
      <c r="A874">
        <v>8537</v>
      </c>
      <c r="B874" s="107" t="s">
        <v>2136</v>
      </c>
      <c r="C874">
        <v>0.05</v>
      </c>
      <c r="D874">
        <v>0.15</v>
      </c>
      <c r="E874">
        <v>0.05</v>
      </c>
      <c r="F874" s="107" t="s">
        <v>235</v>
      </c>
      <c r="G874">
        <v>0.05</v>
      </c>
    </row>
    <row r="875" spans="1:7">
      <c r="A875">
        <v>8541</v>
      </c>
      <c r="B875" s="107" t="s">
        <v>2137</v>
      </c>
      <c r="C875">
        <v>0.05</v>
      </c>
      <c r="D875">
        <v>0.15</v>
      </c>
      <c r="E875">
        <v>0.05</v>
      </c>
      <c r="F875" s="107">
        <v>0.05</v>
      </c>
      <c r="G875">
        <v>0.05</v>
      </c>
    </row>
    <row r="876" spans="1:7">
      <c r="A876">
        <v>8542</v>
      </c>
      <c r="B876" s="107" t="s">
        <v>2138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>
      <c r="A877">
        <v>8544</v>
      </c>
      <c r="B877" s="107" t="s">
        <v>2139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8551</v>
      </c>
      <c r="B878" s="107" t="s">
        <v>2140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>
      <c r="A879">
        <v>8558</v>
      </c>
      <c r="B879" s="107" t="s">
        <v>2141</v>
      </c>
      <c r="C879">
        <v>0.05</v>
      </c>
      <c r="D879">
        <v>0.15</v>
      </c>
      <c r="E879">
        <v>0.05</v>
      </c>
      <c r="F879">
        <v>0.05</v>
      </c>
      <c r="G879">
        <v>0</v>
      </c>
    </row>
    <row r="880" spans="1:7">
      <c r="A880">
        <v>8562</v>
      </c>
      <c r="B880" s="107" t="s">
        <v>2142</v>
      </c>
      <c r="C880">
        <v>0</v>
      </c>
      <c r="D880">
        <v>0</v>
      </c>
      <c r="E880">
        <v>0</v>
      </c>
      <c r="F880" s="107" t="s">
        <v>235</v>
      </c>
      <c r="G880" s="107" t="s">
        <v>235</v>
      </c>
    </row>
    <row r="881" spans="1:7">
      <c r="A881">
        <v>8563</v>
      </c>
      <c r="B881" s="107" t="s">
        <v>2143</v>
      </c>
      <c r="C881">
        <v>0</v>
      </c>
      <c r="D881">
        <v>0</v>
      </c>
      <c r="E881" s="107" t="s">
        <v>235</v>
      </c>
      <c r="F881" s="107" t="s">
        <v>235</v>
      </c>
      <c r="G881" s="107" t="s">
        <v>235</v>
      </c>
    </row>
    <row r="882" spans="1:7">
      <c r="A882">
        <v>8566</v>
      </c>
      <c r="B882" s="107" t="s">
        <v>2144</v>
      </c>
      <c r="C882">
        <v>0.1</v>
      </c>
      <c r="D882">
        <v>0.3</v>
      </c>
      <c r="E882" s="107">
        <v>0.1</v>
      </c>
      <c r="F882" s="107">
        <v>0.1</v>
      </c>
      <c r="G882" s="107">
        <v>0.1</v>
      </c>
    </row>
    <row r="883" spans="1:7">
      <c r="A883">
        <v>8584</v>
      </c>
      <c r="B883" s="107" t="s">
        <v>2145</v>
      </c>
      <c r="C883">
        <v>0</v>
      </c>
      <c r="D883">
        <v>0</v>
      </c>
      <c r="E883">
        <v>0</v>
      </c>
      <c r="F883">
        <v>0</v>
      </c>
      <c r="G883" s="107" t="s">
        <v>235</v>
      </c>
    </row>
    <row r="884" spans="1:7">
      <c r="A884">
        <v>8589</v>
      </c>
      <c r="B884" s="107" t="s">
        <v>2146</v>
      </c>
      <c r="C884">
        <v>0</v>
      </c>
      <c r="D884">
        <v>0</v>
      </c>
      <c r="E884">
        <v>0</v>
      </c>
      <c r="F884">
        <v>0</v>
      </c>
      <c r="G884" s="107">
        <v>0</v>
      </c>
    </row>
    <row r="885" spans="1:7">
      <c r="A885">
        <v>8593</v>
      </c>
      <c r="B885" s="107" t="s">
        <v>311</v>
      </c>
      <c r="C885">
        <v>0.05</v>
      </c>
      <c r="D885">
        <v>0.15</v>
      </c>
      <c r="E885">
        <v>0.05</v>
      </c>
      <c r="F885">
        <v>0.05</v>
      </c>
      <c r="G885">
        <v>0.05</v>
      </c>
    </row>
    <row r="886" spans="1:7">
      <c r="A886">
        <v>8595</v>
      </c>
      <c r="B886" s="107" t="s">
        <v>2147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8604</v>
      </c>
      <c r="B887" s="107" t="s">
        <v>958</v>
      </c>
      <c r="C887">
        <v>0</v>
      </c>
      <c r="D887" s="107" t="s">
        <v>235</v>
      </c>
      <c r="E887">
        <v>0</v>
      </c>
      <c r="F887" s="107" t="s">
        <v>235</v>
      </c>
      <c r="G887" s="107" t="s">
        <v>235</v>
      </c>
    </row>
    <row r="888" spans="1:7">
      <c r="A888">
        <v>8613</v>
      </c>
      <c r="B888" s="107" t="s">
        <v>2148</v>
      </c>
      <c r="C888">
        <v>0</v>
      </c>
      <c r="D888" s="107">
        <v>0</v>
      </c>
      <c r="E888">
        <v>0.05</v>
      </c>
      <c r="F888" s="107">
        <v>0.05</v>
      </c>
      <c r="G888" s="107">
        <v>0.05</v>
      </c>
    </row>
    <row r="889" spans="1:7">
      <c r="A889">
        <v>8622</v>
      </c>
      <c r="B889" s="107" t="s">
        <v>2149</v>
      </c>
      <c r="C889">
        <v>0.05</v>
      </c>
      <c r="D889">
        <v>0</v>
      </c>
      <c r="E889">
        <v>0.05</v>
      </c>
      <c r="F889">
        <v>0.05</v>
      </c>
      <c r="G889">
        <v>0.05</v>
      </c>
    </row>
    <row r="890" spans="1:7">
      <c r="A890">
        <v>8624</v>
      </c>
      <c r="B890" s="107" t="s">
        <v>2150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>
      <c r="A891">
        <v>8628</v>
      </c>
      <c r="B891" s="107" t="s">
        <v>2151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>
      <c r="A892">
        <v>8630</v>
      </c>
      <c r="B892" s="107" t="s">
        <v>2152</v>
      </c>
      <c r="C892">
        <v>0.1</v>
      </c>
      <c r="D892">
        <v>0.3</v>
      </c>
      <c r="E892">
        <v>0.1</v>
      </c>
      <c r="F892">
        <v>0.1</v>
      </c>
      <c r="G892">
        <v>0</v>
      </c>
    </row>
    <row r="893" spans="1:7">
      <c r="A893">
        <v>8692</v>
      </c>
      <c r="B893" s="107" t="s">
        <v>2153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>
      <c r="A894">
        <v>8697</v>
      </c>
      <c r="B894" s="107" t="s">
        <v>2154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>
      <c r="A895">
        <v>8698</v>
      </c>
      <c r="B895" s="107" t="s">
        <v>2155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>
      <c r="A896">
        <v>8708</v>
      </c>
      <c r="B896" s="107" t="s">
        <v>2156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>
      <c r="A897">
        <v>8714</v>
      </c>
      <c r="B897" s="107" t="s">
        <v>2157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>
      <c r="A898">
        <v>8715</v>
      </c>
      <c r="B898" s="107" t="s">
        <v>2158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>
      <c r="A899">
        <v>8725</v>
      </c>
      <c r="B899" s="107" t="s">
        <v>2159</v>
      </c>
      <c r="C899">
        <v>0</v>
      </c>
      <c r="D899">
        <v>0</v>
      </c>
      <c r="E899">
        <v>0</v>
      </c>
      <c r="F899">
        <v>0.05</v>
      </c>
      <c r="G899">
        <v>0.1</v>
      </c>
    </row>
    <row r="900" spans="1:7">
      <c r="A900">
        <v>8729</v>
      </c>
      <c r="B900" s="107" t="s">
        <v>2160</v>
      </c>
      <c r="C900">
        <v>0.05</v>
      </c>
      <c r="D900">
        <v>0.15</v>
      </c>
      <c r="E900">
        <v>0.05</v>
      </c>
      <c r="F900">
        <v>0.05</v>
      </c>
      <c r="G900">
        <v>0.05</v>
      </c>
    </row>
    <row r="901" spans="1:7">
      <c r="A901">
        <v>8766</v>
      </c>
      <c r="B901" s="107" t="s">
        <v>2161</v>
      </c>
      <c r="C901">
        <v>0.1</v>
      </c>
      <c r="D901">
        <v>0.3</v>
      </c>
      <c r="E901">
        <v>0.1</v>
      </c>
      <c r="F901">
        <v>0.1</v>
      </c>
      <c r="G901">
        <v>0.1</v>
      </c>
    </row>
    <row r="902" spans="1:7">
      <c r="A902">
        <v>8795</v>
      </c>
      <c r="B902" s="107" t="s">
        <v>135</v>
      </c>
      <c r="C902">
        <v>0.05</v>
      </c>
      <c r="D902">
        <v>0.15</v>
      </c>
      <c r="E902">
        <v>0.05</v>
      </c>
      <c r="F902">
        <v>0.05</v>
      </c>
      <c r="G902">
        <v>0.05</v>
      </c>
    </row>
    <row r="903" spans="1:7">
      <c r="A903">
        <v>8798</v>
      </c>
      <c r="B903" s="107" t="s">
        <v>2162</v>
      </c>
      <c r="C903">
        <v>0</v>
      </c>
      <c r="D903">
        <v>0</v>
      </c>
      <c r="E903">
        <v>0.05</v>
      </c>
      <c r="F903">
        <v>0</v>
      </c>
      <c r="G903">
        <v>0.05</v>
      </c>
    </row>
    <row r="904" spans="1:7">
      <c r="A904">
        <v>8803</v>
      </c>
      <c r="B904" s="107" t="s">
        <v>2163</v>
      </c>
      <c r="C904">
        <v>0.05</v>
      </c>
      <c r="D904">
        <v>0.15</v>
      </c>
      <c r="E904">
        <v>0.05</v>
      </c>
      <c r="F904">
        <v>0</v>
      </c>
      <c r="G904" s="107" t="s">
        <v>235</v>
      </c>
    </row>
    <row r="905" spans="1:7">
      <c r="A905">
        <v>8804</v>
      </c>
      <c r="B905" s="107" t="s">
        <v>2164</v>
      </c>
      <c r="C905">
        <v>0.05</v>
      </c>
      <c r="D905">
        <v>0.15</v>
      </c>
      <c r="E905">
        <v>0.05</v>
      </c>
      <c r="F905">
        <v>0.05</v>
      </c>
      <c r="G905" s="107">
        <v>0.05</v>
      </c>
    </row>
    <row r="906" spans="1:7">
      <c r="A906">
        <v>8806</v>
      </c>
      <c r="B906" s="107" t="s">
        <v>2165</v>
      </c>
      <c r="C906">
        <v>0</v>
      </c>
      <c r="D906">
        <v>0</v>
      </c>
      <c r="E906">
        <v>0</v>
      </c>
      <c r="F906" s="107" t="s">
        <v>235</v>
      </c>
      <c r="G906" s="107" t="s">
        <v>235</v>
      </c>
    </row>
    <row r="907" spans="1:7">
      <c r="A907">
        <v>8830</v>
      </c>
      <c r="B907" s="107" t="s">
        <v>2166</v>
      </c>
      <c r="C907">
        <v>0</v>
      </c>
      <c r="D907">
        <v>0</v>
      </c>
      <c r="E907">
        <v>0</v>
      </c>
      <c r="F907" s="107">
        <v>0</v>
      </c>
      <c r="G907" s="107">
        <v>0</v>
      </c>
    </row>
    <row r="908" spans="1:7">
      <c r="A908">
        <v>8841</v>
      </c>
      <c r="B908" s="107" t="s">
        <v>2167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>
      <c r="A909">
        <v>8848</v>
      </c>
      <c r="B909" s="107" t="s">
        <v>2168</v>
      </c>
      <c r="C909">
        <v>0</v>
      </c>
      <c r="D909" s="107" t="s">
        <v>235</v>
      </c>
      <c r="E909">
        <v>0</v>
      </c>
      <c r="F909" s="107" t="s">
        <v>235</v>
      </c>
      <c r="G909" s="107" t="s">
        <v>235</v>
      </c>
    </row>
    <row r="910" spans="1:7">
      <c r="A910">
        <v>8871</v>
      </c>
      <c r="B910" s="107" t="s">
        <v>2169</v>
      </c>
      <c r="C910">
        <v>0.05</v>
      </c>
      <c r="D910" s="107" t="s">
        <v>235</v>
      </c>
      <c r="E910">
        <v>0.05</v>
      </c>
      <c r="F910" s="107">
        <v>0</v>
      </c>
      <c r="G910" s="107">
        <v>0.05</v>
      </c>
    </row>
    <row r="911" spans="1:7">
      <c r="A911">
        <v>8876</v>
      </c>
      <c r="B911" s="107" t="s">
        <v>2170</v>
      </c>
      <c r="C911">
        <v>0.05</v>
      </c>
      <c r="D911" s="107">
        <v>0.15</v>
      </c>
      <c r="E911">
        <v>0.05</v>
      </c>
      <c r="F911">
        <v>0.05</v>
      </c>
      <c r="G911">
        <v>0.05</v>
      </c>
    </row>
    <row r="912" spans="1:7">
      <c r="A912">
        <v>8892</v>
      </c>
      <c r="B912" s="107" t="s">
        <v>2171</v>
      </c>
      <c r="C912">
        <v>0.05</v>
      </c>
      <c r="D912">
        <v>0</v>
      </c>
      <c r="E912">
        <v>0.05</v>
      </c>
      <c r="F912">
        <v>0</v>
      </c>
      <c r="G912">
        <v>0.05</v>
      </c>
    </row>
    <row r="913" spans="1:7">
      <c r="A913">
        <v>8897</v>
      </c>
      <c r="B913" s="107" t="s">
        <v>2172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>
      <c r="A914">
        <v>8904</v>
      </c>
      <c r="B914" s="107" t="s">
        <v>2173</v>
      </c>
      <c r="C914">
        <v>0.05</v>
      </c>
      <c r="D914">
        <v>0.15</v>
      </c>
      <c r="E914">
        <v>0.05</v>
      </c>
      <c r="F914">
        <v>0.05</v>
      </c>
      <c r="G914">
        <v>0</v>
      </c>
    </row>
    <row r="915" spans="1:7">
      <c r="A915">
        <v>8917</v>
      </c>
      <c r="B915" s="107" t="s">
        <v>2174</v>
      </c>
      <c r="C915">
        <v>0</v>
      </c>
      <c r="D915">
        <v>0.15</v>
      </c>
      <c r="E915">
        <v>0.05</v>
      </c>
      <c r="F915">
        <v>0.05</v>
      </c>
      <c r="G915">
        <v>0.05</v>
      </c>
    </row>
    <row r="916" spans="1:7">
      <c r="A916">
        <v>8923</v>
      </c>
      <c r="B916" s="107" t="s">
        <v>2175</v>
      </c>
      <c r="C916">
        <v>0.05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8928</v>
      </c>
      <c r="B917" s="107" t="s">
        <v>2176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>
      <c r="A918">
        <v>8940</v>
      </c>
      <c r="B918" s="107" t="s">
        <v>2177</v>
      </c>
      <c r="C918">
        <v>0.05</v>
      </c>
      <c r="D918">
        <v>0.15</v>
      </c>
      <c r="E918">
        <v>0.05</v>
      </c>
      <c r="F918">
        <v>0.05</v>
      </c>
      <c r="G918">
        <v>0.05</v>
      </c>
    </row>
    <row r="919" spans="1:7">
      <c r="A919">
        <v>8999</v>
      </c>
      <c r="B919" s="107" t="s">
        <v>2178</v>
      </c>
      <c r="C919">
        <v>0</v>
      </c>
      <c r="D919">
        <v>0</v>
      </c>
      <c r="E919" s="107" t="s">
        <v>235</v>
      </c>
      <c r="F919" s="107" t="s">
        <v>235</v>
      </c>
      <c r="G919" s="107" t="s">
        <v>235</v>
      </c>
    </row>
    <row r="920" spans="1:7">
      <c r="A920">
        <v>9001</v>
      </c>
      <c r="B920" s="107" t="s">
        <v>2179</v>
      </c>
      <c r="C920">
        <v>0.1</v>
      </c>
      <c r="D920">
        <v>0.3</v>
      </c>
      <c r="E920" s="107">
        <v>0.1</v>
      </c>
      <c r="F920" s="107">
        <v>0.1</v>
      </c>
      <c r="G920" s="107">
        <v>0.1</v>
      </c>
    </row>
    <row r="921" spans="1:7">
      <c r="A921">
        <v>9003</v>
      </c>
      <c r="B921" s="107" t="s">
        <v>2180</v>
      </c>
      <c r="C921">
        <v>0</v>
      </c>
      <c r="D921" s="107" t="s">
        <v>235</v>
      </c>
      <c r="E921">
        <v>0</v>
      </c>
      <c r="F921">
        <v>0</v>
      </c>
      <c r="G921" s="107" t="s">
        <v>235</v>
      </c>
    </row>
    <row r="922" spans="1:7">
      <c r="A922">
        <v>9005</v>
      </c>
      <c r="B922" s="107" t="s">
        <v>2181</v>
      </c>
      <c r="C922">
        <v>0.05</v>
      </c>
      <c r="D922" s="107">
        <v>0.15</v>
      </c>
      <c r="E922">
        <v>0.05</v>
      </c>
      <c r="F922">
        <v>0.05</v>
      </c>
      <c r="G922" s="107">
        <v>0.05</v>
      </c>
    </row>
    <row r="923" spans="1:7">
      <c r="A923">
        <v>9006</v>
      </c>
      <c r="B923" s="107" t="s">
        <v>2182</v>
      </c>
      <c r="C923">
        <v>0.05</v>
      </c>
      <c r="D923">
        <v>0.15</v>
      </c>
      <c r="E923">
        <v>0.05</v>
      </c>
      <c r="F923">
        <v>0.05</v>
      </c>
      <c r="G923">
        <v>0.05</v>
      </c>
    </row>
    <row r="924" spans="1:7">
      <c r="A924">
        <v>9007</v>
      </c>
      <c r="B924" s="107" t="s">
        <v>2183</v>
      </c>
      <c r="C924">
        <v>0.05</v>
      </c>
      <c r="D924">
        <v>0.15</v>
      </c>
      <c r="E924">
        <v>0.05</v>
      </c>
      <c r="F924">
        <v>0.05</v>
      </c>
      <c r="G924">
        <v>0.05</v>
      </c>
    </row>
    <row r="925" spans="1:7">
      <c r="A925">
        <v>9008</v>
      </c>
      <c r="B925" s="107" t="s">
        <v>2184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>
      <c r="A926">
        <v>9009</v>
      </c>
      <c r="B926" s="107" t="s">
        <v>2185</v>
      </c>
      <c r="C926">
        <v>0.1</v>
      </c>
      <c r="D926">
        <v>0.3</v>
      </c>
      <c r="E926">
        <v>0.1</v>
      </c>
      <c r="F926">
        <v>0.1</v>
      </c>
      <c r="G926">
        <v>0.1</v>
      </c>
    </row>
    <row r="927" spans="1:7">
      <c r="A927">
        <v>9010</v>
      </c>
      <c r="B927" s="107" t="s">
        <v>2186</v>
      </c>
      <c r="C927">
        <v>0.1</v>
      </c>
      <c r="D927">
        <v>0.3</v>
      </c>
      <c r="E927">
        <v>0.1</v>
      </c>
      <c r="F927">
        <v>0.1</v>
      </c>
      <c r="G927">
        <v>0.1</v>
      </c>
    </row>
    <row r="928" spans="1:7">
      <c r="A928">
        <v>9014</v>
      </c>
      <c r="B928" s="107" t="s">
        <v>2187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>
      <c r="A929">
        <v>9021</v>
      </c>
      <c r="B929" s="107" t="s">
        <v>2188</v>
      </c>
      <c r="C929">
        <v>0.2</v>
      </c>
      <c r="D929">
        <v>0</v>
      </c>
      <c r="E929">
        <v>0</v>
      </c>
      <c r="F929">
        <v>0</v>
      </c>
      <c r="G929">
        <v>0</v>
      </c>
    </row>
    <row r="930" spans="1:7">
      <c r="A930">
        <v>9025</v>
      </c>
      <c r="B930" s="107" t="s">
        <v>2189</v>
      </c>
      <c r="C930">
        <v>0</v>
      </c>
      <c r="D930">
        <v>0</v>
      </c>
      <c r="E930">
        <v>0</v>
      </c>
      <c r="F930" s="107" t="s">
        <v>235</v>
      </c>
      <c r="G930">
        <v>0</v>
      </c>
    </row>
    <row r="931" spans="1:7">
      <c r="A931">
        <v>9031</v>
      </c>
      <c r="B931" s="107" t="s">
        <v>2190</v>
      </c>
      <c r="C931">
        <v>0.05</v>
      </c>
      <c r="D931">
        <v>0.15</v>
      </c>
      <c r="E931">
        <v>0.05</v>
      </c>
      <c r="F931" s="107">
        <v>0.05</v>
      </c>
      <c r="G931">
        <v>0.05</v>
      </c>
    </row>
    <row r="932" spans="1:7">
      <c r="A932">
        <v>9039</v>
      </c>
      <c r="B932" s="107" t="s">
        <v>2191</v>
      </c>
      <c r="C932">
        <v>0.15</v>
      </c>
      <c r="D932">
        <v>0.45</v>
      </c>
      <c r="E932">
        <v>0.15</v>
      </c>
      <c r="F932">
        <v>0.15</v>
      </c>
      <c r="G932">
        <v>0.15</v>
      </c>
    </row>
    <row r="933" spans="1:7">
      <c r="A933">
        <v>9041</v>
      </c>
      <c r="B933" s="107" t="s">
        <v>2192</v>
      </c>
      <c r="C933">
        <v>0.1</v>
      </c>
      <c r="D933">
        <v>0.3</v>
      </c>
      <c r="E933">
        <v>0.1</v>
      </c>
      <c r="F933">
        <v>0.1</v>
      </c>
      <c r="G933">
        <v>0.1</v>
      </c>
    </row>
    <row r="934" spans="1:7">
      <c r="A934">
        <v>9042</v>
      </c>
      <c r="B934" s="107" t="s">
        <v>2193</v>
      </c>
      <c r="C934">
        <v>0.1</v>
      </c>
      <c r="D934">
        <v>0.3</v>
      </c>
      <c r="E934">
        <v>0.1</v>
      </c>
      <c r="F934">
        <v>0.1</v>
      </c>
      <c r="G934">
        <v>0.1</v>
      </c>
    </row>
    <row r="935" spans="1:7">
      <c r="A935">
        <v>9044</v>
      </c>
      <c r="B935" s="107" t="s">
        <v>2194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>
      <c r="A936">
        <v>9045</v>
      </c>
      <c r="B936" s="107" t="s">
        <v>2195</v>
      </c>
      <c r="C936">
        <v>0.1</v>
      </c>
      <c r="D936">
        <v>0.3</v>
      </c>
      <c r="E936">
        <v>0.1</v>
      </c>
      <c r="F936">
        <v>0.1</v>
      </c>
      <c r="G936">
        <v>0.1</v>
      </c>
    </row>
    <row r="937" spans="1:7">
      <c r="A937">
        <v>9046</v>
      </c>
      <c r="B937" s="107" t="s">
        <v>2196</v>
      </c>
      <c r="C937">
        <v>0.1</v>
      </c>
      <c r="D937">
        <v>0.3</v>
      </c>
      <c r="E937">
        <v>0.1</v>
      </c>
      <c r="F937">
        <v>0.1</v>
      </c>
      <c r="G937">
        <v>0.1</v>
      </c>
    </row>
    <row r="938" spans="1:7">
      <c r="A938">
        <v>9048</v>
      </c>
      <c r="B938" s="107" t="s">
        <v>2197</v>
      </c>
      <c r="C938">
        <v>0.1</v>
      </c>
      <c r="D938">
        <v>0.15</v>
      </c>
      <c r="E938">
        <v>0.1</v>
      </c>
      <c r="F938">
        <v>0.1</v>
      </c>
      <c r="G938">
        <v>0.05</v>
      </c>
    </row>
    <row r="939" spans="1:7">
      <c r="A939">
        <v>9052</v>
      </c>
      <c r="B939" s="107" t="s">
        <v>2198</v>
      </c>
      <c r="C939">
        <v>0.05</v>
      </c>
      <c r="D939">
        <v>0.15</v>
      </c>
      <c r="E939">
        <v>0.05</v>
      </c>
      <c r="F939">
        <v>0.05</v>
      </c>
      <c r="G939">
        <v>0.05</v>
      </c>
    </row>
    <row r="940" spans="1:7">
      <c r="A940">
        <v>9058</v>
      </c>
      <c r="B940" s="107" t="s">
        <v>2199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9062</v>
      </c>
      <c r="B941" s="107" t="s">
        <v>956</v>
      </c>
      <c r="C941">
        <v>0.15</v>
      </c>
      <c r="D941">
        <v>0.45</v>
      </c>
      <c r="E941">
        <v>0.15</v>
      </c>
      <c r="F941">
        <v>0.15</v>
      </c>
      <c r="G941">
        <v>0.15</v>
      </c>
    </row>
    <row r="942" spans="1:7">
      <c r="A942">
        <v>9065</v>
      </c>
      <c r="B942" s="107" t="s">
        <v>2200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>
      <c r="A943">
        <v>9066</v>
      </c>
      <c r="B943" s="107" t="s">
        <v>2201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>
      <c r="A944">
        <v>9069</v>
      </c>
      <c r="B944" s="107" t="s">
        <v>2202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>
      <c r="A945">
        <v>9070</v>
      </c>
      <c r="B945" s="107" t="s">
        <v>2203</v>
      </c>
      <c r="C945">
        <v>0.1</v>
      </c>
      <c r="D945">
        <v>0.3</v>
      </c>
      <c r="E945">
        <v>0.1</v>
      </c>
      <c r="F945">
        <v>0.1</v>
      </c>
      <c r="G945">
        <v>0.1</v>
      </c>
    </row>
    <row r="946" spans="1:7">
      <c r="A946">
        <v>9075</v>
      </c>
      <c r="B946" s="107" t="s">
        <v>2204</v>
      </c>
      <c r="C946">
        <v>0.1</v>
      </c>
      <c r="D946">
        <v>0</v>
      </c>
      <c r="E946">
        <v>0.1</v>
      </c>
      <c r="F946">
        <v>0</v>
      </c>
      <c r="G946">
        <v>0</v>
      </c>
    </row>
    <row r="947" spans="1:7">
      <c r="A947">
        <v>9076</v>
      </c>
      <c r="B947" s="107" t="s">
        <v>2205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>
      <c r="A948">
        <v>9090</v>
      </c>
      <c r="B948" s="107" t="s">
        <v>2206</v>
      </c>
      <c r="C948">
        <v>0.05</v>
      </c>
      <c r="D948">
        <v>0.15</v>
      </c>
      <c r="E948">
        <v>0.05</v>
      </c>
      <c r="F948">
        <v>0.05</v>
      </c>
      <c r="G948">
        <v>0.05</v>
      </c>
    </row>
    <row r="949" spans="1:7">
      <c r="A949">
        <v>9099</v>
      </c>
      <c r="B949" s="107" t="s">
        <v>2207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>
      <c r="A950">
        <v>9101</v>
      </c>
      <c r="B950" s="107" t="s">
        <v>2208</v>
      </c>
      <c r="C950">
        <v>0.05</v>
      </c>
      <c r="D950">
        <v>0.15</v>
      </c>
      <c r="E950">
        <v>0.05</v>
      </c>
      <c r="F950">
        <v>0.05</v>
      </c>
      <c r="G950">
        <v>0.05</v>
      </c>
    </row>
    <row r="951" spans="1:7">
      <c r="A951">
        <v>9104</v>
      </c>
      <c r="B951" s="107" t="s">
        <v>2209</v>
      </c>
      <c r="C951">
        <v>0.05</v>
      </c>
      <c r="D951">
        <v>0.15</v>
      </c>
      <c r="E951">
        <v>0.05</v>
      </c>
      <c r="F951">
        <v>0.05</v>
      </c>
      <c r="G951">
        <v>0.05</v>
      </c>
    </row>
    <row r="952" spans="1:7">
      <c r="A952">
        <v>9107</v>
      </c>
      <c r="B952" s="107" t="s">
        <v>2210</v>
      </c>
      <c r="C952">
        <v>0</v>
      </c>
      <c r="D952">
        <v>0</v>
      </c>
      <c r="E952">
        <v>0.05</v>
      </c>
      <c r="F952">
        <v>0.05</v>
      </c>
      <c r="G952">
        <v>0</v>
      </c>
    </row>
    <row r="953" spans="1:7">
      <c r="A953">
        <v>9130</v>
      </c>
      <c r="B953" s="107" t="s">
        <v>2211</v>
      </c>
      <c r="C953">
        <v>0.05</v>
      </c>
      <c r="D953">
        <v>0.15</v>
      </c>
      <c r="E953">
        <v>0.05</v>
      </c>
      <c r="F953">
        <v>0.05</v>
      </c>
      <c r="G953">
        <v>0.05</v>
      </c>
    </row>
    <row r="954" spans="1:7">
      <c r="A954">
        <v>9142</v>
      </c>
      <c r="B954" s="107" t="s">
        <v>2212</v>
      </c>
      <c r="C954">
        <v>0.1</v>
      </c>
      <c r="D954">
        <v>0.3</v>
      </c>
      <c r="E954">
        <v>0.1</v>
      </c>
      <c r="F954">
        <v>0.1</v>
      </c>
      <c r="G954">
        <v>0.1</v>
      </c>
    </row>
    <row r="955" spans="1:7">
      <c r="A955">
        <v>9232</v>
      </c>
      <c r="B955" s="107" t="s">
        <v>2213</v>
      </c>
      <c r="C955">
        <v>0.05</v>
      </c>
      <c r="D955">
        <v>1.65</v>
      </c>
      <c r="E955">
        <v>0.05</v>
      </c>
      <c r="F955">
        <v>0.05</v>
      </c>
      <c r="G955">
        <v>0.05</v>
      </c>
    </row>
    <row r="956" spans="1:7">
      <c r="A956">
        <v>9260</v>
      </c>
      <c r="B956" s="107" t="s">
        <v>2214</v>
      </c>
      <c r="C956">
        <v>0.1</v>
      </c>
      <c r="D956">
        <v>0.3</v>
      </c>
      <c r="E956">
        <v>0.1</v>
      </c>
      <c r="F956">
        <v>0.1</v>
      </c>
      <c r="G956">
        <v>0.1</v>
      </c>
    </row>
    <row r="957" spans="1:7">
      <c r="A957">
        <v>9267</v>
      </c>
      <c r="B957" s="107" t="s">
        <v>2215</v>
      </c>
      <c r="C957">
        <v>0.05</v>
      </c>
      <c r="D957">
        <v>0.15</v>
      </c>
      <c r="E957">
        <v>0.05</v>
      </c>
      <c r="F957">
        <v>0.05</v>
      </c>
      <c r="G957">
        <v>0.05</v>
      </c>
    </row>
    <row r="958" spans="1:7">
      <c r="A958">
        <v>9277</v>
      </c>
      <c r="B958" s="107" t="s">
        <v>2216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>
      <c r="A959">
        <v>9278</v>
      </c>
      <c r="B959" s="107" t="s">
        <v>2217</v>
      </c>
      <c r="C959">
        <v>0</v>
      </c>
      <c r="D959">
        <v>0</v>
      </c>
      <c r="E959">
        <v>0</v>
      </c>
      <c r="F959" s="107" t="s">
        <v>235</v>
      </c>
      <c r="G959">
        <v>0</v>
      </c>
    </row>
    <row r="960" spans="1:7">
      <c r="A960">
        <v>9303</v>
      </c>
      <c r="B960" s="107" t="s">
        <v>2218</v>
      </c>
      <c r="C960">
        <v>0</v>
      </c>
      <c r="D960">
        <v>0</v>
      </c>
      <c r="E960">
        <v>0</v>
      </c>
      <c r="F960" s="107">
        <v>0</v>
      </c>
      <c r="G960">
        <v>0</v>
      </c>
    </row>
    <row r="961" spans="1:7">
      <c r="A961">
        <v>9306</v>
      </c>
      <c r="B961" s="107" t="s">
        <v>2219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>
      <c r="A962">
        <v>9308</v>
      </c>
      <c r="B962" s="107" t="s">
        <v>2220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>
      <c r="A963">
        <v>9310</v>
      </c>
      <c r="B963" s="107" t="s">
        <v>2221</v>
      </c>
      <c r="C963">
        <v>0</v>
      </c>
      <c r="D963">
        <v>0</v>
      </c>
      <c r="E963">
        <v>0</v>
      </c>
      <c r="F963" s="107" t="s">
        <v>235</v>
      </c>
      <c r="G963">
        <v>0</v>
      </c>
    </row>
    <row r="964" spans="1:7">
      <c r="A964">
        <v>9319</v>
      </c>
      <c r="B964" s="107" t="s">
        <v>2222</v>
      </c>
      <c r="C964">
        <v>0.05</v>
      </c>
      <c r="D964">
        <v>0.15</v>
      </c>
      <c r="E964" s="107" t="s">
        <v>235</v>
      </c>
      <c r="F964" s="107">
        <v>0.05</v>
      </c>
      <c r="G964" s="107" t="s">
        <v>235</v>
      </c>
    </row>
    <row r="965" spans="1:7">
      <c r="A965">
        <v>9351</v>
      </c>
      <c r="B965" s="107" t="s">
        <v>2223</v>
      </c>
      <c r="C965">
        <v>0</v>
      </c>
      <c r="D965">
        <v>0</v>
      </c>
      <c r="E965" s="107">
        <v>0</v>
      </c>
      <c r="F965">
        <v>0</v>
      </c>
      <c r="G965" s="107">
        <v>0</v>
      </c>
    </row>
    <row r="966" spans="1:7">
      <c r="A966">
        <v>9366</v>
      </c>
      <c r="B966" s="107" t="s">
        <v>2224</v>
      </c>
      <c r="C966">
        <v>0</v>
      </c>
      <c r="D966" s="107" t="s">
        <v>235</v>
      </c>
      <c r="E966">
        <v>0</v>
      </c>
      <c r="F966">
        <v>0</v>
      </c>
      <c r="G966">
        <v>0</v>
      </c>
    </row>
    <row r="967" spans="1:7">
      <c r="A967">
        <v>9375</v>
      </c>
      <c r="B967" s="107" t="s">
        <v>2225</v>
      </c>
      <c r="C967">
        <v>0</v>
      </c>
      <c r="D967" s="107">
        <v>0</v>
      </c>
      <c r="E967">
        <v>0</v>
      </c>
      <c r="F967">
        <v>0.05</v>
      </c>
      <c r="G967">
        <v>0.05</v>
      </c>
    </row>
    <row r="968" spans="1:7">
      <c r="A968">
        <v>9384</v>
      </c>
      <c r="B968" s="107" t="s">
        <v>2226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>
      <c r="A969">
        <v>9401</v>
      </c>
      <c r="B969" s="107" t="s">
        <v>2227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>
      <c r="A970">
        <v>9409</v>
      </c>
      <c r="B970" s="107" t="s">
        <v>2228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>
      <c r="A971">
        <v>9412</v>
      </c>
      <c r="B971" s="107" t="s">
        <v>1336</v>
      </c>
      <c r="C971">
        <v>0</v>
      </c>
      <c r="D971">
        <v>0.15</v>
      </c>
      <c r="E971">
        <v>0.05</v>
      </c>
      <c r="F971">
        <v>0.05</v>
      </c>
      <c r="G971">
        <v>0.05</v>
      </c>
    </row>
    <row r="972" spans="1:7">
      <c r="A972">
        <v>9413</v>
      </c>
      <c r="B972" s="107" t="s">
        <v>2229</v>
      </c>
      <c r="C972">
        <v>0.05</v>
      </c>
      <c r="D972">
        <v>0.15</v>
      </c>
      <c r="E972">
        <v>0.05</v>
      </c>
      <c r="F972">
        <v>0.05</v>
      </c>
      <c r="G972">
        <v>0.05</v>
      </c>
    </row>
    <row r="973" spans="1:7">
      <c r="A973">
        <v>9414</v>
      </c>
      <c r="B973" s="107" t="s">
        <v>2230</v>
      </c>
      <c r="C973">
        <v>0</v>
      </c>
      <c r="D973">
        <v>0</v>
      </c>
      <c r="E973">
        <v>0.05</v>
      </c>
      <c r="F973">
        <v>0.05</v>
      </c>
      <c r="G973">
        <v>0.05</v>
      </c>
    </row>
    <row r="974" spans="1:7">
      <c r="A974">
        <v>9416</v>
      </c>
      <c r="B974" s="107" t="s">
        <v>2231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9417</v>
      </c>
      <c r="B975" s="107" t="s">
        <v>2232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>
      <c r="A976">
        <v>9422</v>
      </c>
      <c r="B976" s="107" t="s">
        <v>2233</v>
      </c>
      <c r="C976">
        <v>0.05</v>
      </c>
      <c r="D976" s="107" t="s">
        <v>235</v>
      </c>
      <c r="E976">
        <v>0.05</v>
      </c>
      <c r="F976" s="107" t="s">
        <v>235</v>
      </c>
      <c r="G976">
        <v>0.05</v>
      </c>
    </row>
    <row r="977" spans="1:7">
      <c r="A977">
        <v>9432</v>
      </c>
      <c r="B977" s="107" t="s">
        <v>2234</v>
      </c>
      <c r="C977">
        <v>0.1</v>
      </c>
      <c r="D977" s="107">
        <v>0.3</v>
      </c>
      <c r="E977">
        <v>0.1</v>
      </c>
      <c r="F977" s="107">
        <v>0.1</v>
      </c>
      <c r="G977">
        <v>0.1</v>
      </c>
    </row>
    <row r="978" spans="1:7">
      <c r="A978">
        <v>9433</v>
      </c>
      <c r="B978" s="107" t="s">
        <v>1322</v>
      </c>
      <c r="C978">
        <v>0.05</v>
      </c>
      <c r="D978">
        <v>0.15</v>
      </c>
      <c r="E978">
        <v>0.05</v>
      </c>
      <c r="F978">
        <v>0.05</v>
      </c>
      <c r="G978">
        <v>0.05</v>
      </c>
    </row>
    <row r="979" spans="1:7">
      <c r="A979">
        <v>9435</v>
      </c>
      <c r="B979" s="107" t="s">
        <v>2235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>
      <c r="A980">
        <v>9437</v>
      </c>
      <c r="B980" s="107" t="s">
        <v>1028</v>
      </c>
      <c r="C980">
        <v>0.05</v>
      </c>
      <c r="D980">
        <v>0</v>
      </c>
      <c r="E980">
        <v>0</v>
      </c>
      <c r="F980">
        <v>0</v>
      </c>
      <c r="G980">
        <v>0</v>
      </c>
    </row>
    <row r="981" spans="1:7">
      <c r="A981">
        <v>9438</v>
      </c>
      <c r="B981" s="107" t="s">
        <v>2236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>
      <c r="A982">
        <v>9449</v>
      </c>
      <c r="B982" s="107" t="s">
        <v>2237</v>
      </c>
      <c r="C982">
        <v>0.05</v>
      </c>
      <c r="D982">
        <v>0.15</v>
      </c>
      <c r="E982">
        <v>0.05</v>
      </c>
      <c r="F982">
        <v>0.05</v>
      </c>
      <c r="G982">
        <v>0.05</v>
      </c>
    </row>
    <row r="983" spans="1:7">
      <c r="A983">
        <v>9450</v>
      </c>
      <c r="B983" s="107" t="s">
        <v>2238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>
      <c r="A984">
        <v>9468</v>
      </c>
      <c r="B984" s="107" t="s">
        <v>2239</v>
      </c>
      <c r="C984">
        <v>0</v>
      </c>
      <c r="D984">
        <v>0</v>
      </c>
      <c r="E984">
        <v>0</v>
      </c>
      <c r="F984" s="107" t="s">
        <v>235</v>
      </c>
      <c r="G984" s="107" t="s">
        <v>235</v>
      </c>
    </row>
    <row r="985" spans="1:7">
      <c r="A985">
        <v>9470</v>
      </c>
      <c r="B985" s="107" t="s">
        <v>2240</v>
      </c>
      <c r="C985">
        <v>0.15</v>
      </c>
      <c r="D985">
        <v>0.45</v>
      </c>
      <c r="E985">
        <v>0.15</v>
      </c>
      <c r="F985" s="107">
        <v>0.15</v>
      </c>
      <c r="G985" s="107">
        <v>0.15</v>
      </c>
    </row>
    <row r="986" spans="1:7">
      <c r="A986">
        <v>9475</v>
      </c>
      <c r="B986" s="107" t="s">
        <v>2241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>
      <c r="A987">
        <v>9504</v>
      </c>
      <c r="B987" s="107" t="s">
        <v>2242</v>
      </c>
      <c r="C987">
        <v>0.05</v>
      </c>
      <c r="D987">
        <v>0.15</v>
      </c>
      <c r="E987">
        <v>0.05</v>
      </c>
      <c r="F987">
        <v>0.05</v>
      </c>
      <c r="G987">
        <v>0.05</v>
      </c>
    </row>
    <row r="988" spans="1:7">
      <c r="A988">
        <v>9505</v>
      </c>
      <c r="B988" s="107" t="s">
        <v>2243</v>
      </c>
      <c r="C988">
        <v>0</v>
      </c>
      <c r="D988" s="107" t="s">
        <v>235</v>
      </c>
      <c r="E988">
        <v>0</v>
      </c>
      <c r="F988">
        <v>0</v>
      </c>
      <c r="G988">
        <v>0</v>
      </c>
    </row>
    <row r="989" spans="1:7">
      <c r="A989">
        <v>9506</v>
      </c>
      <c r="B989" s="107" t="s">
        <v>2244</v>
      </c>
      <c r="C989">
        <v>0</v>
      </c>
      <c r="D989" s="107">
        <v>0</v>
      </c>
      <c r="E989">
        <v>0</v>
      </c>
      <c r="F989" s="107" t="s">
        <v>235</v>
      </c>
      <c r="G989">
        <v>0</v>
      </c>
    </row>
    <row r="990" spans="1:7">
      <c r="A990">
        <v>9511</v>
      </c>
      <c r="B990" s="107" t="s">
        <v>2245</v>
      </c>
      <c r="C990">
        <v>0.05</v>
      </c>
      <c r="D990">
        <v>0.15</v>
      </c>
      <c r="E990">
        <v>0.05</v>
      </c>
      <c r="F990" s="107">
        <v>0.05</v>
      </c>
      <c r="G990">
        <v>0.05</v>
      </c>
    </row>
    <row r="991" spans="1:7">
      <c r="A991">
        <v>9513</v>
      </c>
      <c r="B991" s="107" t="s">
        <v>2246</v>
      </c>
      <c r="C991">
        <v>0</v>
      </c>
      <c r="D991">
        <v>0</v>
      </c>
      <c r="E991" s="107" t="s">
        <v>235</v>
      </c>
      <c r="F991">
        <v>0</v>
      </c>
      <c r="G991">
        <v>0</v>
      </c>
    </row>
    <row r="992" spans="1:7">
      <c r="A992">
        <v>9517</v>
      </c>
      <c r="B992" s="107" t="s">
        <v>2247</v>
      </c>
      <c r="C992">
        <v>0</v>
      </c>
      <c r="D992">
        <v>0</v>
      </c>
      <c r="E992" s="107">
        <v>0.05</v>
      </c>
      <c r="F992">
        <v>0</v>
      </c>
      <c r="G992">
        <v>0.05</v>
      </c>
    </row>
    <row r="993" spans="1:7">
      <c r="A993">
        <v>9519</v>
      </c>
      <c r="B993" s="107" t="s">
        <v>2248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>
      <c r="A994">
        <v>9532</v>
      </c>
      <c r="B994" s="107" t="s">
        <v>2249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>
      <c r="A995">
        <v>9533</v>
      </c>
      <c r="B995" s="107" t="s">
        <v>2250</v>
      </c>
      <c r="C995">
        <v>0.1</v>
      </c>
      <c r="D995">
        <v>0.3</v>
      </c>
      <c r="E995">
        <v>0.1</v>
      </c>
      <c r="F995">
        <v>0.1</v>
      </c>
      <c r="G995">
        <v>0.05</v>
      </c>
    </row>
    <row r="996" spans="1:7">
      <c r="A996">
        <v>9535</v>
      </c>
      <c r="B996" s="107" t="s">
        <v>2251</v>
      </c>
      <c r="C996">
        <v>0</v>
      </c>
      <c r="D996">
        <v>0.15</v>
      </c>
      <c r="E996">
        <v>0</v>
      </c>
      <c r="F996">
        <v>0</v>
      </c>
      <c r="G996">
        <v>0</v>
      </c>
    </row>
    <row r="997" spans="1:7">
      <c r="A997">
        <v>9536</v>
      </c>
      <c r="B997" s="107" t="s">
        <v>2252</v>
      </c>
      <c r="C997">
        <v>0.05</v>
      </c>
      <c r="D997">
        <v>0.15</v>
      </c>
      <c r="E997">
        <v>0.05</v>
      </c>
      <c r="F997" s="107" t="s">
        <v>235</v>
      </c>
      <c r="G997">
        <v>0.05</v>
      </c>
    </row>
    <row r="998" spans="1:7">
      <c r="A998">
        <v>9543</v>
      </c>
      <c r="B998" s="107" t="s">
        <v>2253</v>
      </c>
      <c r="C998">
        <v>0.05</v>
      </c>
      <c r="D998">
        <v>0.15</v>
      </c>
      <c r="E998">
        <v>0.05</v>
      </c>
      <c r="F998" s="107">
        <v>0.05</v>
      </c>
      <c r="G998">
        <v>0.05</v>
      </c>
    </row>
    <row r="999" spans="1:7">
      <c r="A999">
        <v>9551</v>
      </c>
      <c r="B999" s="107" t="s">
        <v>2254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9601</v>
      </c>
      <c r="B1000" s="107" t="s">
        <v>2255</v>
      </c>
      <c r="C1000">
        <v>0.3</v>
      </c>
      <c r="D1000">
        <v>0.9</v>
      </c>
      <c r="E1000">
        <v>0.3</v>
      </c>
      <c r="F1000">
        <v>0.3</v>
      </c>
      <c r="G1000">
        <v>0.3</v>
      </c>
    </row>
    <row r="1001" spans="1:7">
      <c r="A1001">
        <v>9603</v>
      </c>
      <c r="B1001" s="107" t="s">
        <v>1340</v>
      </c>
      <c r="C1001">
        <v>0</v>
      </c>
      <c r="D1001" s="107" t="s">
        <v>235</v>
      </c>
      <c r="E1001" s="107" t="s">
        <v>235</v>
      </c>
      <c r="F1001" s="107" t="s">
        <v>235</v>
      </c>
      <c r="G1001" s="107" t="s">
        <v>235</v>
      </c>
    </row>
    <row r="1002" spans="1:7">
      <c r="A1002">
        <v>9605</v>
      </c>
      <c r="B1002" s="107" t="s">
        <v>2256</v>
      </c>
      <c r="C1002">
        <v>0.3</v>
      </c>
      <c r="D1002" s="107">
        <v>0.9</v>
      </c>
      <c r="E1002" s="107">
        <v>0.3</v>
      </c>
      <c r="F1002" s="107">
        <v>0.3</v>
      </c>
      <c r="G1002" s="107">
        <v>0.3</v>
      </c>
    </row>
    <row r="1003" spans="1:7">
      <c r="A1003">
        <v>9613</v>
      </c>
      <c r="B1003" s="107" t="s">
        <v>2257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9619</v>
      </c>
      <c r="B1004" s="107" t="s">
        <v>2258</v>
      </c>
      <c r="C1004">
        <v>0</v>
      </c>
      <c r="D1004" s="107" t="s">
        <v>235</v>
      </c>
      <c r="E1004">
        <v>0</v>
      </c>
      <c r="F1004">
        <v>0</v>
      </c>
      <c r="G1004">
        <v>0</v>
      </c>
    </row>
    <row r="1005" spans="1:7">
      <c r="A1005">
        <v>9622</v>
      </c>
      <c r="B1005" s="107" t="s">
        <v>2259</v>
      </c>
      <c r="C1005">
        <v>0</v>
      </c>
      <c r="D1005" s="107">
        <v>0</v>
      </c>
      <c r="E1005">
        <v>0</v>
      </c>
      <c r="F1005">
        <v>0</v>
      </c>
      <c r="G1005">
        <v>0</v>
      </c>
    </row>
    <row r="1006" spans="1:7">
      <c r="A1006">
        <v>9627</v>
      </c>
      <c r="B1006" s="107" t="s">
        <v>2260</v>
      </c>
      <c r="C1006">
        <v>0</v>
      </c>
      <c r="D1006">
        <v>0.15</v>
      </c>
      <c r="E1006">
        <v>0</v>
      </c>
      <c r="F1006">
        <v>0.1</v>
      </c>
      <c r="G1006">
        <v>0</v>
      </c>
    </row>
    <row r="1007" spans="1:7">
      <c r="A1007">
        <v>9628</v>
      </c>
      <c r="B1007" s="107" t="s">
        <v>2261</v>
      </c>
      <c r="C1007">
        <v>0</v>
      </c>
      <c r="D1007" s="107" t="s">
        <v>235</v>
      </c>
      <c r="E1007" s="107" t="s">
        <v>235</v>
      </c>
      <c r="F1007" s="107" t="s">
        <v>235</v>
      </c>
      <c r="G1007" s="107" t="s">
        <v>235</v>
      </c>
    </row>
    <row r="1008" spans="1:7">
      <c r="A1008">
        <v>9663</v>
      </c>
      <c r="B1008" s="107" t="s">
        <v>2262</v>
      </c>
      <c r="C1008">
        <v>0.15</v>
      </c>
      <c r="D1008" s="107">
        <v>0.45</v>
      </c>
      <c r="E1008" s="107">
        <v>0.15</v>
      </c>
      <c r="F1008" s="107">
        <v>0.15</v>
      </c>
      <c r="G1008" s="107">
        <v>0.15</v>
      </c>
    </row>
    <row r="1009" spans="1:7">
      <c r="A1009">
        <v>9675</v>
      </c>
      <c r="B1009" s="107" t="s">
        <v>2263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>
      <c r="A1010">
        <v>9681</v>
      </c>
      <c r="B1010" s="107" t="s">
        <v>2264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9684</v>
      </c>
      <c r="B1011" s="107" t="s">
        <v>2265</v>
      </c>
      <c r="C1011">
        <v>0</v>
      </c>
      <c r="D1011" s="107" t="s">
        <v>235</v>
      </c>
      <c r="E1011" s="107" t="s">
        <v>235</v>
      </c>
      <c r="F1011">
        <v>0</v>
      </c>
      <c r="G1011" s="107" t="s">
        <v>235</v>
      </c>
    </row>
    <row r="1012" spans="1:7">
      <c r="A1012">
        <v>9697</v>
      </c>
      <c r="B1012" s="107" t="s">
        <v>2266</v>
      </c>
      <c r="C1012">
        <v>0</v>
      </c>
      <c r="D1012" s="107">
        <v>0</v>
      </c>
      <c r="E1012" s="107" t="s">
        <v>235</v>
      </c>
      <c r="F1012" s="107" t="s">
        <v>235</v>
      </c>
      <c r="G1012" s="107" t="s">
        <v>235</v>
      </c>
    </row>
    <row r="1013" spans="1:7">
      <c r="A1013">
        <v>9706</v>
      </c>
      <c r="B1013" s="107" t="s">
        <v>337</v>
      </c>
      <c r="C1013">
        <v>0.1</v>
      </c>
      <c r="D1013">
        <v>0.3</v>
      </c>
      <c r="E1013" s="107">
        <v>0.1</v>
      </c>
      <c r="F1013" s="107">
        <v>0.1</v>
      </c>
      <c r="G1013" s="107">
        <v>0.1</v>
      </c>
    </row>
    <row r="1014" spans="1:7">
      <c r="A1014">
        <v>9715</v>
      </c>
      <c r="B1014" s="107" t="s">
        <v>2267</v>
      </c>
      <c r="C1014">
        <v>0</v>
      </c>
      <c r="D1014">
        <v>0</v>
      </c>
      <c r="E1014" s="107" t="s">
        <v>235</v>
      </c>
      <c r="F1014" s="107" t="s">
        <v>235</v>
      </c>
      <c r="G1014" s="107" t="s">
        <v>235</v>
      </c>
    </row>
    <row r="1015" spans="1:7">
      <c r="A1015">
        <v>9717</v>
      </c>
      <c r="B1015" s="107" t="s">
        <v>2268</v>
      </c>
      <c r="C1015">
        <v>0</v>
      </c>
      <c r="D1015">
        <v>0</v>
      </c>
      <c r="E1015" s="107">
        <v>0</v>
      </c>
      <c r="F1015" s="107">
        <v>0</v>
      </c>
      <c r="G1015" s="107">
        <v>0.05</v>
      </c>
    </row>
    <row r="1016" spans="1:7">
      <c r="A1016">
        <v>9719</v>
      </c>
      <c r="B1016" s="107" t="s">
        <v>1339</v>
      </c>
      <c r="C1016">
        <v>0.1</v>
      </c>
      <c r="D1016">
        <v>0.3</v>
      </c>
      <c r="E1016">
        <v>0.1</v>
      </c>
      <c r="F1016">
        <v>0.1</v>
      </c>
      <c r="G1016">
        <v>0.1</v>
      </c>
    </row>
    <row r="1017" spans="1:7">
      <c r="A1017">
        <v>9722</v>
      </c>
      <c r="B1017" s="107" t="s">
        <v>2269</v>
      </c>
      <c r="C1017">
        <v>0</v>
      </c>
      <c r="D1017">
        <v>0</v>
      </c>
      <c r="E1017">
        <v>0</v>
      </c>
      <c r="F1017" s="107" t="s">
        <v>235</v>
      </c>
      <c r="G1017">
        <v>0</v>
      </c>
    </row>
    <row r="1018" spans="1:7">
      <c r="A1018">
        <v>9726</v>
      </c>
      <c r="B1018" s="107" t="s">
        <v>2270</v>
      </c>
      <c r="C1018">
        <v>0</v>
      </c>
      <c r="D1018">
        <v>0</v>
      </c>
      <c r="E1018">
        <v>0</v>
      </c>
      <c r="F1018" s="107">
        <v>0</v>
      </c>
      <c r="G1018">
        <v>0</v>
      </c>
    </row>
    <row r="1019" spans="1:7">
      <c r="A1019">
        <v>9729</v>
      </c>
      <c r="B1019" s="107" t="s">
        <v>2271</v>
      </c>
      <c r="C1019">
        <v>0.05</v>
      </c>
      <c r="D1019">
        <v>0.15</v>
      </c>
      <c r="E1019">
        <v>0.05</v>
      </c>
      <c r="F1019">
        <v>0.05</v>
      </c>
      <c r="G1019">
        <v>0.05</v>
      </c>
    </row>
    <row r="1020" spans="1:7">
      <c r="A1020">
        <v>9740</v>
      </c>
      <c r="B1020" s="107" t="s">
        <v>2272</v>
      </c>
      <c r="C1020">
        <v>0.15</v>
      </c>
      <c r="D1020">
        <v>0.45</v>
      </c>
      <c r="E1020">
        <v>0.15</v>
      </c>
      <c r="F1020">
        <v>0.15</v>
      </c>
      <c r="G1020">
        <v>0.15</v>
      </c>
    </row>
    <row r="1021" spans="1:7">
      <c r="A1021">
        <v>9743</v>
      </c>
      <c r="B1021" s="107" t="s">
        <v>2273</v>
      </c>
      <c r="C1021">
        <v>0.05</v>
      </c>
      <c r="D1021" s="107" t="s">
        <v>235</v>
      </c>
      <c r="E1021">
        <v>0.05</v>
      </c>
      <c r="F1021" s="107" t="s">
        <v>235</v>
      </c>
      <c r="G1021">
        <v>0.05</v>
      </c>
    </row>
    <row r="1022" spans="1:7">
      <c r="A1022">
        <v>9744</v>
      </c>
      <c r="B1022" s="107" t="s">
        <v>2274</v>
      </c>
      <c r="C1022">
        <v>0.1</v>
      </c>
      <c r="D1022" s="107">
        <v>0.3</v>
      </c>
      <c r="E1022">
        <v>0.1</v>
      </c>
      <c r="F1022" s="107">
        <v>0.1</v>
      </c>
      <c r="G1022">
        <v>0.1</v>
      </c>
    </row>
    <row r="1023" spans="1:7">
      <c r="A1023">
        <v>9746</v>
      </c>
      <c r="B1023" s="107" t="s">
        <v>1298</v>
      </c>
      <c r="C1023">
        <v>0</v>
      </c>
      <c r="D1023">
        <v>0.3</v>
      </c>
      <c r="E1023">
        <v>0</v>
      </c>
      <c r="F1023">
        <v>0.1</v>
      </c>
      <c r="G1023">
        <v>0.1</v>
      </c>
    </row>
    <row r="1024" spans="1:7">
      <c r="A1024">
        <v>9759</v>
      </c>
      <c r="B1024" s="107" t="s">
        <v>1026</v>
      </c>
      <c r="C1024">
        <v>0.05</v>
      </c>
      <c r="D1024">
        <v>0.3</v>
      </c>
      <c r="E1024">
        <v>0.1</v>
      </c>
      <c r="F1024">
        <v>0.1</v>
      </c>
      <c r="G1024">
        <v>0.1</v>
      </c>
    </row>
    <row r="1025" spans="1:7">
      <c r="A1025">
        <v>9763</v>
      </c>
      <c r="B1025" s="107" t="s">
        <v>2275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9765</v>
      </c>
      <c r="B1026" s="107" t="s">
        <v>2276</v>
      </c>
      <c r="C1026">
        <v>0</v>
      </c>
      <c r="D1026">
        <v>0</v>
      </c>
      <c r="E1026">
        <v>0.05</v>
      </c>
      <c r="F1026">
        <v>0</v>
      </c>
      <c r="G1026">
        <v>0</v>
      </c>
    </row>
    <row r="1027" spans="1:7">
      <c r="A1027">
        <v>9787</v>
      </c>
      <c r="B1027" s="107" t="s">
        <v>2277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9788</v>
      </c>
      <c r="B1028" s="107" t="s">
        <v>2278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>
      <c r="A1029">
        <v>9790</v>
      </c>
      <c r="B1029" s="107" t="s">
        <v>2279</v>
      </c>
      <c r="C1029">
        <v>0.1</v>
      </c>
      <c r="D1029">
        <v>0.3</v>
      </c>
      <c r="E1029">
        <v>0.1</v>
      </c>
      <c r="F1029">
        <v>0.1</v>
      </c>
      <c r="G1029">
        <v>0.1</v>
      </c>
    </row>
    <row r="1030" spans="1:7">
      <c r="A1030">
        <v>9824</v>
      </c>
      <c r="B1030" s="107" t="s">
        <v>2280</v>
      </c>
      <c r="C1030">
        <v>0.05</v>
      </c>
      <c r="D1030">
        <v>0.15</v>
      </c>
      <c r="E1030">
        <v>0.1</v>
      </c>
      <c r="F1030">
        <v>0.05</v>
      </c>
      <c r="G1030">
        <v>0.05</v>
      </c>
    </row>
    <row r="1031" spans="1:7">
      <c r="A1031">
        <v>9830</v>
      </c>
      <c r="B1031" s="107" t="s">
        <v>2281</v>
      </c>
      <c r="C1031">
        <v>0</v>
      </c>
      <c r="D1031">
        <v>0</v>
      </c>
      <c r="E1031">
        <v>0</v>
      </c>
      <c r="F1031">
        <v>0</v>
      </c>
      <c r="G1031">
        <v>0.05</v>
      </c>
    </row>
    <row r="1032" spans="1:7">
      <c r="A1032">
        <v>9831</v>
      </c>
      <c r="B1032" s="107" t="s">
        <v>2282</v>
      </c>
      <c r="C1032">
        <v>0.05</v>
      </c>
      <c r="D1032">
        <v>0.15</v>
      </c>
      <c r="E1032">
        <v>0.05</v>
      </c>
      <c r="F1032">
        <v>0.05</v>
      </c>
      <c r="G1032">
        <v>0.05</v>
      </c>
    </row>
    <row r="1033" spans="1:7">
      <c r="A1033">
        <v>9837</v>
      </c>
      <c r="B1033" s="107" t="s">
        <v>2283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>
      <c r="A1034">
        <v>9842</v>
      </c>
      <c r="B1034" s="107" t="s">
        <v>2284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>
      <c r="A1035">
        <v>9843</v>
      </c>
      <c r="B1035" s="107" t="s">
        <v>2285</v>
      </c>
      <c r="C1035">
        <v>0.3</v>
      </c>
      <c r="D1035">
        <v>0.9</v>
      </c>
      <c r="E1035">
        <v>0.3</v>
      </c>
      <c r="F1035">
        <v>0.3</v>
      </c>
      <c r="G1035">
        <v>0.3</v>
      </c>
    </row>
    <row r="1036" spans="1:7">
      <c r="A1036">
        <v>9850</v>
      </c>
      <c r="B1036" s="107" t="s">
        <v>2286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9854</v>
      </c>
      <c r="B1037" s="107" t="s">
        <v>2287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>
      <c r="A1038">
        <v>9856</v>
      </c>
      <c r="B1038" s="107" t="s">
        <v>2288</v>
      </c>
      <c r="C1038">
        <v>0.05</v>
      </c>
      <c r="D1038">
        <v>0.15</v>
      </c>
      <c r="E1038">
        <v>0.05</v>
      </c>
      <c r="F1038">
        <v>0.05</v>
      </c>
      <c r="G1038">
        <v>0.05</v>
      </c>
    </row>
    <row r="1039" spans="1:7">
      <c r="A1039">
        <v>9861</v>
      </c>
      <c r="B1039" s="107" t="s">
        <v>2289</v>
      </c>
      <c r="C1039">
        <v>0.05</v>
      </c>
      <c r="D1039">
        <v>0.15</v>
      </c>
      <c r="E1039">
        <v>0.1</v>
      </c>
      <c r="F1039">
        <v>0.05</v>
      </c>
      <c r="G1039">
        <v>0.05</v>
      </c>
    </row>
    <row r="1040" spans="1:7">
      <c r="A1040">
        <v>9869</v>
      </c>
      <c r="B1040" s="107" t="s">
        <v>2290</v>
      </c>
      <c r="C1040">
        <v>0</v>
      </c>
      <c r="D1040" s="107" t="s">
        <v>235</v>
      </c>
      <c r="E1040" s="107" t="s">
        <v>235</v>
      </c>
      <c r="F1040">
        <v>0</v>
      </c>
      <c r="G1040">
        <v>0</v>
      </c>
    </row>
    <row r="1041" spans="1:7">
      <c r="A1041">
        <v>9872</v>
      </c>
      <c r="B1041" s="107" t="s">
        <v>2291</v>
      </c>
      <c r="C1041">
        <v>0.05</v>
      </c>
      <c r="D1041" s="107">
        <v>0.15</v>
      </c>
      <c r="E1041" s="107">
        <v>0.05</v>
      </c>
      <c r="F1041">
        <v>0.05</v>
      </c>
      <c r="G1041">
        <v>0.05</v>
      </c>
    </row>
    <row r="1042" spans="1:7">
      <c r="A1042">
        <v>9882</v>
      </c>
      <c r="B1042" s="107" t="s">
        <v>2292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9896</v>
      </c>
      <c r="B1043" s="107" t="s">
        <v>2293</v>
      </c>
      <c r="C1043">
        <v>0.05</v>
      </c>
      <c r="D1043">
        <v>0.15</v>
      </c>
      <c r="E1043">
        <v>0.05</v>
      </c>
      <c r="F1043">
        <v>0</v>
      </c>
      <c r="G1043">
        <v>0.05</v>
      </c>
    </row>
    <row r="1044" spans="1:7">
      <c r="A1044">
        <v>9900</v>
      </c>
      <c r="B1044" s="107" t="s">
        <v>2294</v>
      </c>
      <c r="C1044">
        <v>0.05</v>
      </c>
      <c r="D1044">
        <v>0.15</v>
      </c>
      <c r="E1044">
        <v>0.05</v>
      </c>
      <c r="F1044">
        <v>0.05</v>
      </c>
      <c r="G1044">
        <v>0.05</v>
      </c>
    </row>
    <row r="1045" spans="1:7">
      <c r="A1045">
        <v>9902</v>
      </c>
      <c r="B1045" s="107" t="s">
        <v>2295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>
      <c r="A1046">
        <v>9919</v>
      </c>
      <c r="B1046" s="107" t="s">
        <v>2296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9928</v>
      </c>
      <c r="B1047" s="107" t="s">
        <v>2297</v>
      </c>
      <c r="C1047">
        <v>0.1</v>
      </c>
      <c r="D1047">
        <v>0.3</v>
      </c>
      <c r="E1047">
        <v>0.1</v>
      </c>
      <c r="F1047">
        <v>0.1</v>
      </c>
      <c r="G1047">
        <v>0.1</v>
      </c>
    </row>
    <row r="1048" spans="1:7">
      <c r="A1048">
        <v>9930</v>
      </c>
      <c r="B1048" s="107" t="s">
        <v>2298</v>
      </c>
      <c r="C1048">
        <v>0</v>
      </c>
      <c r="D1048">
        <v>0</v>
      </c>
      <c r="E1048">
        <v>0.05</v>
      </c>
      <c r="F1048">
        <v>0.05</v>
      </c>
      <c r="G1048">
        <v>0.05</v>
      </c>
    </row>
    <row r="1049" spans="1:7">
      <c r="A1049">
        <v>9945</v>
      </c>
      <c r="B1049" s="107" t="s">
        <v>2299</v>
      </c>
      <c r="C1049">
        <v>0.05</v>
      </c>
      <c r="D1049">
        <v>0.15</v>
      </c>
      <c r="E1049">
        <v>0.05</v>
      </c>
      <c r="F1049">
        <v>0.05</v>
      </c>
      <c r="G1049">
        <v>0.05</v>
      </c>
    </row>
    <row r="1050" spans="1:7">
      <c r="A1050">
        <v>9946</v>
      </c>
      <c r="B1050" s="107" t="s">
        <v>2300</v>
      </c>
      <c r="C1050">
        <v>0.05</v>
      </c>
      <c r="D1050">
        <v>0.15</v>
      </c>
      <c r="E1050">
        <v>0.05</v>
      </c>
      <c r="F1050">
        <v>0.05</v>
      </c>
      <c r="G1050">
        <v>0.05</v>
      </c>
    </row>
    <row r="1051" spans="1:7">
      <c r="A1051">
        <v>9948</v>
      </c>
      <c r="B1051" s="107" t="s">
        <v>2301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9962</v>
      </c>
      <c r="B1052" s="107" t="s">
        <v>2302</v>
      </c>
      <c r="C1052">
        <v>0.05</v>
      </c>
      <c r="D1052">
        <v>0.15</v>
      </c>
      <c r="E1052">
        <v>0.05</v>
      </c>
      <c r="F1052">
        <v>0.05</v>
      </c>
      <c r="G1052">
        <v>0.05</v>
      </c>
    </row>
    <row r="1053" spans="1:7">
      <c r="A1053">
        <v>9979</v>
      </c>
      <c r="B1053" s="107" t="s">
        <v>2303</v>
      </c>
      <c r="C1053">
        <v>0.05</v>
      </c>
      <c r="D1053">
        <v>0</v>
      </c>
      <c r="E1053">
        <v>0.05</v>
      </c>
      <c r="F1053">
        <v>0.05</v>
      </c>
      <c r="G1053">
        <v>0.05</v>
      </c>
    </row>
    <row r="1054" spans="1:7">
      <c r="A1054">
        <v>9982</v>
      </c>
      <c r="B1054" s="107" t="s">
        <v>2304</v>
      </c>
      <c r="C1054">
        <v>0.05</v>
      </c>
      <c r="D1054">
        <v>0.15</v>
      </c>
      <c r="E1054">
        <v>0.05</v>
      </c>
      <c r="F1054">
        <v>0.05</v>
      </c>
      <c r="G1054">
        <v>0.05</v>
      </c>
    </row>
    <row r="1055" spans="1:7">
      <c r="A1055">
        <v>9983</v>
      </c>
      <c r="B1055" s="107" t="s">
        <v>2305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9989</v>
      </c>
      <c r="B1056" s="107" t="s">
        <v>1330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>
      <c r="A1057">
        <v>9994</v>
      </c>
      <c r="B1057" s="107" t="s">
        <v>2306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>
      <c r="B1058" s="10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グラフ</vt:lpstr>
      <vt:lpstr>BACK_TEST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  <vt:lpstr>gyakunipo_data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2019-12-16T12:47:25Z</dcterms:modified>
</cp:coreProperties>
</file>