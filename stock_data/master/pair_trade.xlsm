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05" windowWidth="12765" windowHeight="5715" activeTab="5"/>
  </bookViews>
  <sheets>
    <sheet name="表紙-" sheetId="1" r:id="rId1"/>
    <sheet name="建玉管理" sheetId="2" r:id="rId2"/>
    <sheet name="取引履歴" sheetId="13" r:id="rId3"/>
    <sheet name="資産状況" sheetId="15" r:id="rId4"/>
    <sheet name="損益分析" sheetId="20" r:id="rId5"/>
    <sheet name="監視" sheetId="3" r:id="rId6"/>
    <sheet name="シミュレーション" sheetId="4" r:id="rId7"/>
    <sheet name="Search Result" sheetId="5" r:id="rId8"/>
    <sheet name="個別計算" sheetId="6" r:id="rId9"/>
    <sheet name="日経サヤ計算" sheetId="11" r:id="rId10"/>
    <sheet name="グラフ" sheetId="7" r:id="rId11"/>
    <sheet name="code" sheetId="8" r:id="rId12"/>
    <sheet name="元データ" sheetId="9" r:id="rId13"/>
    <sheet name="改訂欄" sheetId="10" r:id="rId14"/>
    <sheet name="Fee_Refer" sheetId="17" r:id="rId15"/>
    <sheet name="Faiue" sheetId="18" r:id="rId16"/>
    <sheet name="Fiscal_date" sheetId="19" r:id="rId17"/>
  </sheets>
  <functionGroups/>
  <externalReferences>
    <externalReference r:id="rId18"/>
  </externalReferences>
  <definedNames>
    <definedName name="_xlnm._FilterDatabase" localSheetId="2" hidden="1">取引履歴!$B$3:$AC$23</definedName>
    <definedName name="_xlnm._FilterDatabase" localSheetId="12" hidden="1">元データ!$A$1:$AH$1</definedName>
  </definedNames>
  <calcPr calcId="125725"/>
</workbook>
</file>

<file path=xl/calcChain.xml><?xml version="1.0" encoding="utf-8"?>
<calcChain xmlns="http://schemas.openxmlformats.org/spreadsheetml/2006/main">
  <c r="P4" i="3"/>
  <c r="N4"/>
  <c r="J4"/>
  <c r="V3"/>
  <c r="U3"/>
  <c r="P3"/>
  <c r="N3"/>
  <c r="J3"/>
  <c r="C3"/>
  <c r="J7" i="2"/>
  <c r="J6"/>
  <c r="C6"/>
  <c r="M33" i="13"/>
  <c r="M31"/>
  <c r="M23"/>
  <c r="P23" s="1"/>
  <c r="Q23" s="1"/>
  <c r="M21"/>
  <c r="P21" s="1"/>
  <c r="Q21" s="1"/>
  <c r="M17"/>
  <c r="P17" s="1"/>
  <c r="Q17" s="1"/>
  <c r="M15"/>
  <c r="P15" s="1"/>
  <c r="Q15" s="1"/>
  <c r="P13"/>
  <c r="M13"/>
  <c r="Q13" s="1"/>
  <c r="M32"/>
  <c r="M30"/>
  <c r="M29"/>
  <c r="M28"/>
  <c r="M27"/>
  <c r="P27" s="1"/>
  <c r="Q27" s="1"/>
  <c r="M26"/>
  <c r="P26" s="1"/>
  <c r="Q26" s="1"/>
  <c r="M25"/>
  <c r="P25" s="1"/>
  <c r="Q25" s="1"/>
  <c r="M24"/>
  <c r="M22"/>
  <c r="P22" s="1"/>
  <c r="Q22" s="1"/>
  <c r="M20"/>
  <c r="P20" s="1"/>
  <c r="Q20" s="1"/>
  <c r="M19"/>
  <c r="P19" s="1"/>
  <c r="Q19" s="1"/>
  <c r="M18"/>
  <c r="M16"/>
  <c r="P16" s="1"/>
  <c r="Q16" s="1"/>
  <c r="M14"/>
  <c r="M12"/>
  <c r="P12" s="1"/>
  <c r="Q12" s="1"/>
  <c r="M11"/>
  <c r="M10"/>
  <c r="P10" s="1"/>
  <c r="Q10" s="1"/>
  <c r="M9"/>
  <c r="M8"/>
  <c r="P8" s="1"/>
  <c r="Q8" s="1"/>
  <c r="M7"/>
  <c r="P7" s="1"/>
  <c r="Q7" s="1"/>
  <c r="M6"/>
  <c r="P6" s="1"/>
  <c r="Q6" s="1"/>
  <c r="P9"/>
  <c r="Q9" s="1"/>
  <c r="P11"/>
  <c r="Q11" s="1"/>
  <c r="P14"/>
  <c r="Q14" s="1"/>
  <c r="P18"/>
  <c r="Q18" s="1"/>
  <c r="P24"/>
  <c r="Q24" s="1"/>
  <c r="P28"/>
  <c r="Q28" s="1"/>
  <c r="P29"/>
  <c r="Q29" s="1"/>
  <c r="P30"/>
  <c r="Q30" s="1"/>
  <c r="P31"/>
  <c r="Q31" s="1"/>
  <c r="P32"/>
  <c r="Q32" s="1"/>
  <c r="P33"/>
  <c r="Q33" s="1"/>
  <c r="M5"/>
  <c r="O5"/>
  <c r="P5" s="1"/>
  <c r="Q5" s="1"/>
  <c r="Q4"/>
  <c r="P4"/>
  <c r="M4"/>
  <c r="J33"/>
  <c r="V32"/>
  <c r="N32" s="1"/>
  <c r="J32"/>
  <c r="C32"/>
  <c r="J31"/>
  <c r="V30"/>
  <c r="N30" s="1"/>
  <c r="J30"/>
  <c r="C30"/>
  <c r="C4" i="20"/>
  <c r="C5" s="1"/>
  <c r="AC28" i="13"/>
  <c r="AB28"/>
  <c r="AA28"/>
  <c r="C19" i="4"/>
  <c r="C18"/>
  <c r="C4" i="17"/>
  <c r="C5"/>
  <c r="C6"/>
  <c r="C3"/>
  <c r="J5" i="2"/>
  <c r="J4"/>
  <c r="C4"/>
  <c r="C26" i="13"/>
  <c r="J26"/>
  <c r="J27"/>
  <c r="C24"/>
  <c r="J24"/>
  <c r="J25"/>
  <c r="AB22"/>
  <c r="AA22"/>
  <c r="C22"/>
  <c r="J22"/>
  <c r="J23"/>
  <c r="C20"/>
  <c r="J20"/>
  <c r="J21"/>
  <c r="AB18"/>
  <c r="AA18"/>
  <c r="J19"/>
  <c r="V18"/>
  <c r="J18"/>
  <c r="C18"/>
  <c r="AA14"/>
  <c r="AB14"/>
  <c r="AA16"/>
  <c r="AB16"/>
  <c r="J17"/>
  <c r="V16"/>
  <c r="J16"/>
  <c r="C16"/>
  <c r="J15"/>
  <c r="V14"/>
  <c r="J14"/>
  <c r="C14"/>
  <c r="C12"/>
  <c r="J12"/>
  <c r="J13"/>
  <c r="AA10"/>
  <c r="AB10"/>
  <c r="V10"/>
  <c r="J11"/>
  <c r="J10"/>
  <c r="C10"/>
  <c r="AB6"/>
  <c r="AB8"/>
  <c r="AB4"/>
  <c r="AA6"/>
  <c r="AA8"/>
  <c r="AA4"/>
  <c r="J9"/>
  <c r="V8"/>
  <c r="J8"/>
  <c r="C8"/>
  <c r="V6"/>
  <c r="V4"/>
  <c r="P1" i="2"/>
  <c r="V24" i="13" s="1"/>
  <c r="Q4" i="3" l="1"/>
  <c r="R3"/>
  <c r="S3" s="1"/>
  <c r="Q3"/>
  <c r="U6" i="2"/>
  <c r="V6" s="1"/>
  <c r="R32" i="13"/>
  <c r="S32" s="1"/>
  <c r="R30"/>
  <c r="S30" s="1"/>
  <c r="R26"/>
  <c r="U4" i="2"/>
  <c r="V4" s="1"/>
  <c r="AB24" i="13"/>
  <c r="AA24"/>
  <c r="R24"/>
  <c r="R22"/>
  <c r="V22"/>
  <c r="R16"/>
  <c r="R20"/>
  <c r="R18"/>
  <c r="R14"/>
  <c r="R12"/>
  <c r="R8"/>
  <c r="S8" s="1"/>
  <c r="R10"/>
  <c r="J2" i="2"/>
  <c r="R6" i="13"/>
  <c r="R4"/>
  <c r="N6" i="2" l="1"/>
  <c r="P6" s="1"/>
  <c r="N7"/>
  <c r="P7" s="1"/>
  <c r="Q7" s="1"/>
  <c r="S26" i="13"/>
  <c r="AC26"/>
  <c r="N4" i="2"/>
  <c r="P4" s="1"/>
  <c r="N5"/>
  <c r="P5" s="1"/>
  <c r="V26" i="13"/>
  <c r="AA26"/>
  <c r="AB26"/>
  <c r="S24"/>
  <c r="AC24"/>
  <c r="S22"/>
  <c r="AC22"/>
  <c r="S20"/>
  <c r="AC20"/>
  <c r="V20"/>
  <c r="AA20"/>
  <c r="AB20"/>
  <c r="S14"/>
  <c r="AC14"/>
  <c r="S18"/>
  <c r="AC18"/>
  <c r="S16"/>
  <c r="AC16"/>
  <c r="S12"/>
  <c r="AC12"/>
  <c r="V12"/>
  <c r="AA12"/>
  <c r="AB12"/>
  <c r="R2"/>
  <c r="S4"/>
  <c r="AC4"/>
  <c r="S6"/>
  <c r="AC6"/>
  <c r="AC8"/>
  <c r="S10"/>
  <c r="AC10"/>
  <c r="Q6" i="2" l="1"/>
  <c r="R6"/>
  <c r="S6" s="1"/>
  <c r="Q4"/>
  <c r="R4"/>
  <c r="S4" s="1"/>
  <c r="Q5"/>
  <c r="L5" i="20"/>
  <c r="M4" l="1"/>
  <c r="V4"/>
  <c r="V3"/>
  <c r="V5"/>
  <c r="K4"/>
  <c r="K5"/>
  <c r="K3"/>
  <c r="M3"/>
  <c r="M5"/>
  <c r="L4"/>
  <c r="L3"/>
  <c r="S2" i="2"/>
  <c r="R2"/>
  <c r="P3" i="20" l="1"/>
  <c r="E3"/>
  <c r="P4" l="1"/>
  <c r="E4"/>
  <c r="P5" l="1"/>
  <c r="E5"/>
</calcChain>
</file>

<file path=xl/sharedStrings.xml><?xml version="1.0" encoding="utf-8"?>
<sst xmlns="http://schemas.openxmlformats.org/spreadsheetml/2006/main" count="6359" uniqueCount="1377">
  <si>
    <t>サヤ</t>
    <phoneticPr fontId="1" type="noConversion"/>
  </si>
  <si>
    <t>サヤ取り抽出条件入力画面</t>
    <phoneticPr fontId="1" type="noConversion"/>
  </si>
  <si>
    <t>計算期間</t>
    <phoneticPr fontId="1" type="noConversion"/>
  </si>
  <si>
    <t>１年</t>
    <phoneticPr fontId="1" type="noConversion"/>
  </si>
  <si>
    <t>計算基準日</t>
    <phoneticPr fontId="1" type="noConversion"/>
  </si>
  <si>
    <t>サヤ基準</t>
    <phoneticPr fontId="1" type="noConversion"/>
  </si>
  <si>
    <t>下限値</t>
    <phoneticPr fontId="1" type="noConversion"/>
  </si>
  <si>
    <t>上限値</t>
    <phoneticPr fontId="1" type="noConversion"/>
  </si>
  <si>
    <t>最低指数（σ）</t>
    <phoneticPr fontId="1" type="noConversion"/>
  </si>
  <si>
    <t>相関係数</t>
    <phoneticPr fontId="1" type="noConversion"/>
  </si>
  <si>
    <t>サヤ移動平均</t>
    <phoneticPr fontId="1" type="noConversion"/>
  </si>
  <si>
    <t>サヤ取り対象</t>
    <phoneticPr fontId="1" type="noConversion"/>
  </si>
  <si>
    <t>信用倍率</t>
    <phoneticPr fontId="1" type="noConversion"/>
  </si>
  <si>
    <t>除外株価（以下）</t>
    <phoneticPr fontId="1" type="noConversion"/>
  </si>
  <si>
    <t>考慮しない</t>
    <phoneticPr fontId="1" type="noConversion"/>
  </si>
  <si>
    <t>全ての組合せ</t>
    <phoneticPr fontId="1" type="noConversion"/>
  </si>
  <si>
    <t>投資金額（1銘柄）</t>
    <phoneticPr fontId="1" type="noConversion"/>
  </si>
  <si>
    <t>許容ペア金額差</t>
    <phoneticPr fontId="1" type="noConversion"/>
  </si>
  <si>
    <t>バックテストパラメータ</t>
    <phoneticPr fontId="1" type="noConversion"/>
  </si>
  <si>
    <t>利益確定水準</t>
    <phoneticPr fontId="1" type="noConversion"/>
  </si>
  <si>
    <t>サヤ移動平均（σ）</t>
    <phoneticPr fontId="1" type="noConversion"/>
  </si>
  <si>
    <t>同業/異業</t>
    <phoneticPr fontId="1" type="noConversion"/>
  </si>
  <si>
    <t>銘柄名</t>
    <phoneticPr fontId="1" type="noConversion"/>
  </si>
  <si>
    <t>業種分類</t>
    <phoneticPr fontId="1" type="noConversion"/>
  </si>
  <si>
    <t>勝率</t>
    <phoneticPr fontId="1" type="noConversion"/>
  </si>
  <si>
    <t>１年間で最大サヤ</t>
    <phoneticPr fontId="1" type="noConversion"/>
  </si>
  <si>
    <t>今日時点のサヤ</t>
    <phoneticPr fontId="1" type="noConversion"/>
  </si>
  <si>
    <t>標準偏差</t>
    <phoneticPr fontId="1" type="noConversion"/>
  </si>
  <si>
    <t>サヤ移動平均（+1σ）</t>
    <phoneticPr fontId="1" type="noConversion"/>
  </si>
  <si>
    <t>指数（σ）</t>
    <phoneticPr fontId="1" type="noConversion"/>
  </si>
  <si>
    <t>売買指示</t>
    <phoneticPr fontId="1" type="noConversion"/>
  </si>
  <si>
    <t>売買金額</t>
    <phoneticPr fontId="1" type="noConversion"/>
  </si>
  <si>
    <t>売り　６，０００</t>
    <phoneticPr fontId="1" type="noConversion"/>
  </si>
  <si>
    <t>株価１（今日）</t>
    <phoneticPr fontId="1" type="noConversion"/>
  </si>
  <si>
    <t>株価２（今日）</t>
    <phoneticPr fontId="1" type="noConversion"/>
  </si>
  <si>
    <t>銘柄コード２</t>
    <phoneticPr fontId="1" type="noConversion"/>
  </si>
  <si>
    <t>銘柄１の株価</t>
    <phoneticPr fontId="1" type="noConversion"/>
  </si>
  <si>
    <t>銘柄２の株価</t>
    <phoneticPr fontId="1" type="noConversion"/>
  </si>
  <si>
    <t>銘柄１の変動率</t>
    <phoneticPr fontId="1" type="noConversion"/>
  </si>
  <si>
    <t>銘柄２の変動率</t>
    <phoneticPr fontId="1" type="noConversion"/>
  </si>
  <si>
    <t>銘柄１－２</t>
    <phoneticPr fontId="1" type="noConversion"/>
  </si>
  <si>
    <t>バッグテスト収益率</t>
    <phoneticPr fontId="1" type="noConversion"/>
  </si>
  <si>
    <t>勝ち回数</t>
    <phoneticPr fontId="1" type="noConversion"/>
  </si>
  <si>
    <t>負け回数</t>
    <phoneticPr fontId="1" type="noConversion"/>
  </si>
  <si>
    <t>銘柄コード</t>
    <phoneticPr fontId="1" type="noConversion"/>
  </si>
  <si>
    <t>会社名</t>
    <phoneticPr fontId="1" type="noConversion"/>
  </si>
  <si>
    <t>約定代金</t>
    <phoneticPr fontId="1" type="noConversion"/>
  </si>
  <si>
    <t>決済管理</t>
    <phoneticPr fontId="1" type="noConversion"/>
  </si>
  <si>
    <t>データ更新日</t>
    <phoneticPr fontId="1" type="noConversion"/>
  </si>
  <si>
    <t>SYM_B_NAME</t>
  </si>
  <si>
    <t>アルプスアルパイン</t>
  </si>
  <si>
    <t>大和証券グループ本社</t>
  </si>
  <si>
    <t>フジクラ</t>
  </si>
  <si>
    <t>アイシン精機</t>
  </si>
  <si>
    <t>三菱自動車工業</t>
  </si>
  <si>
    <t>丸紅</t>
  </si>
  <si>
    <t>第一生命ホールディングス</t>
  </si>
  <si>
    <t>日立建機</t>
  </si>
  <si>
    <t>SYM_A_NAME</t>
  </si>
  <si>
    <t>SYM_A_INDUSTRY</t>
  </si>
  <si>
    <t>OPEN_A</t>
  </si>
  <si>
    <t>CLOSE_A</t>
  </si>
  <si>
    <t>AXIS_LOT_SIZE</t>
  </si>
  <si>
    <t>TRADE_A</t>
  </si>
  <si>
    <t>SYM_B</t>
  </si>
  <si>
    <t>SYM_B_INDUSTRY</t>
  </si>
  <si>
    <t>OPEN_B</t>
  </si>
  <si>
    <t>CLOSE_B</t>
  </si>
  <si>
    <t>PAIR_LOT_SIZE</t>
  </si>
  <si>
    <t>TRADE_B</t>
  </si>
  <si>
    <t>CORR_3M</t>
  </si>
  <si>
    <t>CORR_1Y</t>
  </si>
  <si>
    <t>COINT_3M</t>
  </si>
  <si>
    <t>COINT_1Y</t>
  </si>
  <si>
    <t>ABS_SIGMA</t>
  </si>
  <si>
    <t>DEV_RATE</t>
  </si>
  <si>
    <t>LOT_SIZE_DIFF</t>
  </si>
  <si>
    <t>total_profit</t>
  </si>
  <si>
    <t>average_profit</t>
  </si>
  <si>
    <t>average_pl</t>
  </si>
  <si>
    <t>total_times</t>
  </si>
  <si>
    <t>plus_times</t>
  </si>
  <si>
    <t>minus_times</t>
  </si>
  <si>
    <t>pl_times</t>
  </si>
  <si>
    <t>open_days</t>
  </si>
  <si>
    <t>BUY</t>
  </si>
  <si>
    <t>化学</t>
  </si>
  <si>
    <t>SELL</t>
  </si>
  <si>
    <t>三越伊勢丹ホールディングス</t>
  </si>
  <si>
    <t>王子ホールディングス</t>
  </si>
  <si>
    <t>マスタファイル</t>
    <phoneticPr fontId="1" type="noConversion"/>
  </si>
  <si>
    <t>G:\Stock\pairs_trade\pair_trade\stock_data</t>
    <phoneticPr fontId="1" type="noConversion"/>
  </si>
  <si>
    <t>入力データパス</t>
    <phoneticPr fontId="1" type="noConversion"/>
  </si>
  <si>
    <t>資産残高の推移</t>
  </si>
  <si>
    <t>Code</t>
    <phoneticPr fontId="1" type="noConversion"/>
  </si>
  <si>
    <t>Name</t>
    <phoneticPr fontId="1" type="noConversion"/>
  </si>
  <si>
    <t>損切り水準</t>
    <phoneticPr fontId="1" type="noConversion"/>
  </si>
  <si>
    <t>Max Open Days</t>
    <phoneticPr fontId="1" type="noConversion"/>
  </si>
  <si>
    <t>仕掛けタイミング（σ）</t>
    <phoneticPr fontId="1" type="noConversion"/>
  </si>
  <si>
    <t>SIGMA</t>
  </si>
  <si>
    <t>stop_profit_times</t>
  </si>
  <si>
    <t>stop_loss_times</t>
  </si>
  <si>
    <t>max_day_over_times</t>
  </si>
  <si>
    <t>建設業</t>
  </si>
  <si>
    <t>情報・通信業</t>
  </si>
  <si>
    <t>パルプ・紙</t>
  </si>
  <si>
    <t>西日本フィナンシャルホールディングス</t>
  </si>
  <si>
    <t>銀行業</t>
  </si>
  <si>
    <t>エクセディ</t>
  </si>
  <si>
    <t>輸送用機器</t>
  </si>
  <si>
    <t>コーエーテクモホールディングス</t>
  </si>
  <si>
    <t>レーザーテック</t>
  </si>
  <si>
    <t>電気機器</t>
  </si>
  <si>
    <t>三菱瓦斯化学</t>
  </si>
  <si>
    <t>その他製品</t>
  </si>
  <si>
    <t>ダイセル</t>
  </si>
  <si>
    <t>日清紡ホールディングス</t>
  </si>
  <si>
    <t>東海理化電機製作所</t>
  </si>
  <si>
    <t>鉄鋼</t>
  </si>
  <si>
    <t>精密機器</t>
  </si>
  <si>
    <t>ほくほくフィナンシャルグループ</t>
  </si>
  <si>
    <t>小売業</t>
  </si>
  <si>
    <t>日本たばこ産業</t>
  </si>
  <si>
    <t>食料品</t>
  </si>
  <si>
    <t>宇部興産</t>
  </si>
  <si>
    <t>機械</t>
  </si>
  <si>
    <t>めぶきフィナンシャルグループ</t>
  </si>
  <si>
    <t>卸売業</t>
  </si>
  <si>
    <t>りそなホールディングス</t>
  </si>
  <si>
    <t>住友林業</t>
  </si>
  <si>
    <t>良品計画</t>
  </si>
  <si>
    <t>パナソニック</t>
  </si>
  <si>
    <t>ガラス・土石製品</t>
  </si>
  <si>
    <t>シチズン時計</t>
  </si>
  <si>
    <t>椿本チエイン</t>
  </si>
  <si>
    <t>小松製作所</t>
  </si>
  <si>
    <t>保険業</t>
  </si>
  <si>
    <t>戸田建設</t>
  </si>
  <si>
    <t>スタンレー電気</t>
  </si>
  <si>
    <t>飯田グループホールディングス</t>
  </si>
  <si>
    <t>不動産業</t>
  </si>
  <si>
    <t>日本発條</t>
  </si>
  <si>
    <t>金属製品</t>
  </si>
  <si>
    <t>日野自動車</t>
  </si>
  <si>
    <t>本田技研工業</t>
  </si>
  <si>
    <t>陸運業</t>
  </si>
  <si>
    <t>サービス業</t>
  </si>
  <si>
    <t>みずほフィナンシャルグループ</t>
  </si>
  <si>
    <t>西松建設</t>
  </si>
  <si>
    <t>デンカ</t>
  </si>
  <si>
    <t>パイロットコーポレーション</t>
  </si>
  <si>
    <t>北陸電力</t>
  </si>
  <si>
    <t>電気・ガス業</t>
  </si>
  <si>
    <t>トヨタ紡織</t>
  </si>
  <si>
    <t>ニッコンホールディングス</t>
  </si>
  <si>
    <t>日鉄物産</t>
  </si>
  <si>
    <t>住友ゴム工業</t>
  </si>
  <si>
    <t>ゴム製品</t>
  </si>
  <si>
    <t>日揮</t>
  </si>
  <si>
    <t>住友電気工業</t>
  </si>
  <si>
    <t>非鉄金属</t>
  </si>
  <si>
    <t>ジェイテクト</t>
  </si>
  <si>
    <t>ＮＴＮ</t>
  </si>
  <si>
    <t>Ｔ＆Ｄホールディングス</t>
  </si>
  <si>
    <t>医薬品</t>
  </si>
  <si>
    <t>かんぽ生命保険</t>
  </si>
  <si>
    <t>日本精工</t>
  </si>
  <si>
    <t>日東電工</t>
  </si>
  <si>
    <t>東洋インキＳＣホールディングス</t>
  </si>
  <si>
    <t>第四北越フィナンシャルグループ</t>
  </si>
  <si>
    <t>丸一鋼管</t>
  </si>
  <si>
    <t>太平洋セメント</t>
  </si>
  <si>
    <t>三菱ＵＦＪフィナンシャル・グループ</t>
  </si>
  <si>
    <t>銘柄コード１</t>
    <phoneticPr fontId="1" type="noConversion"/>
  </si>
  <si>
    <t>決済</t>
    <phoneticPr fontId="1" type="noConversion"/>
  </si>
  <si>
    <t>現物</t>
    <phoneticPr fontId="1" type="noConversion"/>
  </si>
  <si>
    <t>No.</t>
    <phoneticPr fontId="1" type="noConversion"/>
  </si>
  <si>
    <t>約定単価</t>
    <phoneticPr fontId="1" type="noConversion"/>
  </si>
  <si>
    <t>約定数量</t>
    <phoneticPr fontId="1" type="noConversion"/>
  </si>
  <si>
    <t>区分</t>
    <phoneticPr fontId="1" type="noConversion"/>
  </si>
  <si>
    <t>現在値</t>
    <phoneticPr fontId="1" type="noConversion"/>
  </si>
  <si>
    <t>金利</t>
    <phoneticPr fontId="1" type="noConversion"/>
  </si>
  <si>
    <t>損益率</t>
    <phoneticPr fontId="1" type="noConversion"/>
  </si>
  <si>
    <t>損益率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</si>
  <si>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</si>
  <si>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r>
      <rPr>
        <sz val="10"/>
        <color theme="1"/>
        <rFont val="FangSong"/>
        <family val="3"/>
        <charset val="134"/>
      </rPr>
      <t>買</t>
    </r>
    <phoneticPr fontId="1" type="noConversion"/>
  </si>
  <si>
    <r>
      <t>コンコルディア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フィナンシャルグループ</t>
    </r>
  </si>
  <si>
    <r>
      <t>三井住友トラスト</t>
    </r>
    <r>
      <rPr>
        <sz val="10"/>
        <color theme="1"/>
        <rFont val="FangSong"/>
        <family val="3"/>
        <charset val="134"/>
      </rPr>
      <t>・</t>
    </r>
    <r>
      <rPr>
        <sz val="10"/>
        <color theme="1"/>
        <rFont val="FangSong"/>
        <family val="3"/>
      </rPr>
      <t>ホールディングス</t>
    </r>
  </si>
  <si>
    <t>制度信用</t>
  </si>
  <si>
    <t>制度</t>
  </si>
  <si>
    <t>制度</t>
    <phoneticPr fontId="1" type="noConversion"/>
  </si>
  <si>
    <t>制度</t>
    <phoneticPr fontId="1" type="noConversion"/>
  </si>
  <si>
    <r>
      <rPr>
        <sz val="10"/>
        <color theme="1"/>
        <rFont val="FangSong"/>
        <family val="3"/>
        <charset val="134"/>
      </rPr>
      <t>売</t>
    </r>
    <phoneticPr fontId="1" type="noConversion"/>
  </si>
  <si>
    <t>建玉管理</t>
    <phoneticPr fontId="1" type="noConversion"/>
  </si>
  <si>
    <t>手数料</t>
  </si>
  <si>
    <t>Other 
Fee</t>
    <phoneticPr fontId="1" type="noConversion"/>
  </si>
  <si>
    <t>結果</t>
    <phoneticPr fontId="1" type="noConversion"/>
  </si>
  <si>
    <t>合計
損益額</t>
    <phoneticPr fontId="1" type="noConversion"/>
  </si>
  <si>
    <t>合計
損益率</t>
    <phoneticPr fontId="1" type="noConversion"/>
  </si>
  <si>
    <t>経過
日数</t>
    <phoneticPr fontId="1" type="noConversion"/>
  </si>
  <si>
    <t>新規
約定日</t>
    <phoneticPr fontId="1" type="noConversion"/>
  </si>
  <si>
    <t>取引
手数料</t>
    <phoneticPr fontId="1" type="noConversion"/>
  </si>
  <si>
    <t>超割コース</t>
    <phoneticPr fontId="1" type="noConversion"/>
  </si>
  <si>
    <t>現物取引手数料</t>
  </si>
  <si>
    <t>取引金額</t>
  </si>
  <si>
    <t>新手数料</t>
  </si>
  <si>
    <t>5万円まで</t>
  </si>
  <si>
    <t>50円＋消費税</t>
  </si>
  <si>
    <t>10万円まで</t>
  </si>
  <si>
    <t>90円＋消費税</t>
  </si>
  <si>
    <t>20万円まで</t>
  </si>
  <si>
    <t>105円＋消費税</t>
  </si>
  <si>
    <t>50万円まで</t>
  </si>
  <si>
    <t>250円＋消費税</t>
  </si>
  <si>
    <t>100万円まで</t>
  </si>
  <si>
    <t>487円＋消費税</t>
  </si>
  <si>
    <t>150万円まで</t>
  </si>
  <si>
    <t>582円＋消費税</t>
  </si>
  <si>
    <t>3,000万円まで</t>
  </si>
  <si>
    <t>921円＋消費税</t>
  </si>
  <si>
    <t>3,000万円超</t>
  </si>
  <si>
    <t>973円＋消費税</t>
  </si>
  <si>
    <t>信用取引手数料</t>
  </si>
  <si>
    <t>135円＋消費税</t>
  </si>
  <si>
    <t>180円＋消費税</t>
  </si>
  <si>
    <t>50万円超</t>
  </si>
  <si>
    <t>350円＋消費税</t>
  </si>
  <si>
    <t>いちにち定額コース</t>
    <phoneticPr fontId="1" type="noConversion"/>
  </si>
  <si>
    <t>1日の取引金額合計</t>
  </si>
  <si>
    <t>0円</t>
  </si>
  <si>
    <t>191円＋消費税</t>
  </si>
  <si>
    <t>30万円まで</t>
  </si>
  <si>
    <t>286円＋消費税</t>
  </si>
  <si>
    <t>429円＋消費税</t>
  </si>
  <si>
    <t>858円＋消費税</t>
  </si>
  <si>
    <t>200万円まで</t>
  </si>
  <si>
    <t>2,000円＋消費税</t>
  </si>
  <si>
    <t>300万円まで</t>
  </si>
  <si>
    <t>以降、100万円増えるごとに1,000円＋消費税を追加。</t>
  </si>
  <si>
    <t>3,000円＋消費税</t>
  </si>
  <si>
    <t>一般信用</t>
  </si>
  <si>
    <t>無期限</t>
  </si>
  <si>
    <t>短期</t>
  </si>
  <si>
    <t>いちにち信用</t>
  </si>
  <si>
    <t>信用新規建区分</t>
  </si>
  <si>
    <t>買建</t>
  </si>
  <si>
    <t>売建</t>
  </si>
  <si>
    <t>対象銘柄</t>
  </si>
  <si>
    <t>証券取引所が定めた一定の基準を満たした銘柄</t>
  </si>
  <si>
    <t>東証（マザーズ、JASDAQを含む）のうち当社選定銘柄</t>
  </si>
  <si>
    <t>IPO銘柄</t>
  </si>
  <si>
    <t>各取引所などが制度信用銘柄として選定後から取引可能</t>
  </si>
  <si>
    <t>上場初日から取引可能</t>
  </si>
  <si>
    <t>当社選定日から取引可能</t>
  </si>
  <si>
    <t>返済期限</t>
  </si>
  <si>
    <t>6カ月※1</t>
  </si>
  <si>
    <t>14日</t>
  </si>
  <si>
    <t>当日中</t>
  </si>
  <si>
    <t>手数料コースに応じた手数料がかかります。</t>
  </si>
  <si>
    <t>0円※2</t>
  </si>
  <si>
    <t>（年率）</t>
  </si>
  <si>
    <t>通常</t>
  </si>
  <si>
    <t>優遇</t>
  </si>
  <si>
    <t>：2.28％</t>
  </si>
  <si>
    <t>-</t>
  </si>
  <si>
    <t>：2.80%</t>
  </si>
  <si>
    <t>：2.10%</t>
  </si>
  <si>
    <t>1約定当たりの売買代金</t>
  </si>
  <si>
    <t>100万円以上：0％</t>
  </si>
  <si>
    <t>100万円未満：1.90％</t>
  </si>
  <si>
    <t>貸株料</t>
  </si>
  <si>
    <t>逆日歩</t>
  </si>
  <si>
    <t>（逆日歩/特別空売り料）</t>
  </si>
  <si>
    <t>当日の取引終了後に1株あたりの単価で決定。（銘柄別）</t>
  </si>
  <si>
    <t>特別空売り銘柄には特別空売り料がかかります。特別空売り料は、日々変動します。</t>
  </si>
  <si>
    <t>建玉限度額</t>
  </si>
  <si>
    <t>建玉全体の保有上限額　90億円</t>
  </si>
  <si>
    <t>建玉上限</t>
  </si>
  <si>
    <t>建玉は、1銘柄あたりで保有できる上限を設定しております。</t>
  </si>
  <si>
    <t>※「いちにち信用」売建サービスの場合、1顧客当たりの売建可能数量が銘柄ごとに設定されます。</t>
  </si>
  <si>
    <t>取引時間</t>
  </si>
  <si>
    <t>制度信用/一般信用買建（いちにち・無期限）・・・当日17時～翌営業日15時</t>
  </si>
  <si>
    <t>一般信用売建（いちにち・短期・無期限）・・・当日19時～翌営業日15時</t>
  </si>
  <si>
    <t>取引チャネル</t>
  </si>
  <si>
    <t>全チャネル</t>
  </si>
  <si>
    <t>ウェブ・マーケットスピード・スマホアプリ iSPEED</t>
  </si>
  <si>
    <t>カスタマーセンターのオペレーター取次ぎ</t>
  </si>
  <si>
    <t>※マーケットスピード for Mac、マーケットスピード nanoは対象外</t>
  </si>
  <si>
    <t>損益</t>
    <phoneticPr fontId="1" type="noConversion"/>
  </si>
  <si>
    <t>新規</t>
    <phoneticPr fontId="1" type="noConversion"/>
  </si>
  <si>
    <t>決済日</t>
    <phoneticPr fontId="1" type="noConversion"/>
  </si>
  <si>
    <t>売</t>
  </si>
  <si>
    <t>MTN</t>
  </si>
  <si>
    <t>買</t>
  </si>
  <si>
    <t>現在日</t>
    <phoneticPr fontId="1" type="noConversion"/>
  </si>
  <si>
    <t>現在日(Today)</t>
    <phoneticPr fontId="1" type="noConversion"/>
  </si>
  <si>
    <t>年度</t>
    <phoneticPr fontId="1" type="noConversion"/>
  </si>
  <si>
    <t>月度</t>
    <phoneticPr fontId="1" type="noConversion"/>
  </si>
  <si>
    <t>結果</t>
    <phoneticPr fontId="1" type="noConversion"/>
  </si>
  <si>
    <t>約定
数量</t>
    <phoneticPr fontId="1" type="noConversion"/>
  </si>
  <si>
    <t>決済
単価</t>
    <phoneticPr fontId="1" type="noConversion"/>
  </si>
  <si>
    <t>損益</t>
    <phoneticPr fontId="1" type="noConversion"/>
  </si>
  <si>
    <t>約定
単価</t>
    <phoneticPr fontId="1" type="noConversion"/>
  </si>
  <si>
    <t>Select</t>
  </si>
  <si>
    <t>+1-Sigama</t>
  </si>
  <si>
    <t>-1-Sigama</t>
  </si>
  <si>
    <t>+2-Sigama</t>
  </si>
  <si>
    <t>-2-Sigama</t>
  </si>
  <si>
    <t>STOP LOSS</t>
    <phoneticPr fontId="1" type="noConversion"/>
  </si>
  <si>
    <t>銘柄１（売り銘柄）</t>
  </si>
  <si>
    <t>銘柄２（買い銘柄）</t>
  </si>
  <si>
    <t>バックテスト</t>
  </si>
  <si>
    <t>相関</t>
  </si>
  <si>
    <t>Code</t>
  </si>
  <si>
    <t>Name</t>
  </si>
  <si>
    <t>業種</t>
  </si>
  <si>
    <t>Price</t>
  </si>
  <si>
    <t>Lot</t>
  </si>
  <si>
    <t>離率</t>
  </si>
  <si>
    <t>Mount1</t>
  </si>
  <si>
    <t>Mount2</t>
  </si>
  <si>
    <t>Ave Profit</t>
  </si>
  <si>
    <t>Total 
Times</t>
  </si>
  <si>
    <t>Profit
Times</t>
  </si>
  <si>
    <t>ST/SP/OM</t>
  </si>
  <si>
    <t>PL</t>
  </si>
  <si>
    <t>Open
Days</t>
  </si>
  <si>
    <t>CORR
1Y</t>
  </si>
  <si>
    <t>Coint 
1Y</t>
  </si>
  <si>
    <t>決算直後に新規やると。。</t>
    <phoneticPr fontId="1" type="noConversion"/>
  </si>
  <si>
    <t>翌日にロッスカットできなかった</t>
    <phoneticPr fontId="1" type="noConversion"/>
  </si>
  <si>
    <t>STOP PROFIT</t>
    <phoneticPr fontId="1" type="noConversion"/>
  </si>
  <si>
    <t>その他金融業</t>
  </si>
  <si>
    <t>ヤマハ発動機</t>
  </si>
  <si>
    <t>三井化学</t>
  </si>
  <si>
    <t>日本特殊陶業</t>
  </si>
  <si>
    <t>積水ハウス</t>
  </si>
  <si>
    <t>大同特殊鋼</t>
  </si>
  <si>
    <t>イオン</t>
  </si>
  <si>
    <t>日本軽金属ホールディングス</t>
  </si>
  <si>
    <t>SYM_A</t>
  </si>
  <si>
    <t>アズビル</t>
  </si>
  <si>
    <t>牧野フライス製作所</t>
  </si>
  <si>
    <t>田辺三菱製薬</t>
  </si>
  <si>
    <t>ＮＥＣネッツエスアイ</t>
  </si>
  <si>
    <t>三菱ＵＦＪリース</t>
  </si>
  <si>
    <t>前田建設工業</t>
  </si>
  <si>
    <t>ウシオ電機</t>
  </si>
  <si>
    <t>グローリー</t>
  </si>
  <si>
    <t>不二越</t>
  </si>
  <si>
    <t>三菱電機</t>
  </si>
  <si>
    <t>ＡＤＥＫＡ</t>
  </si>
  <si>
    <t>バローホールディングス</t>
  </si>
  <si>
    <t>興銀リース</t>
  </si>
  <si>
    <t>関西ペイント</t>
  </si>
  <si>
    <t>日立ハイテクノロジーズ</t>
  </si>
  <si>
    <t>東洋製罐グループホールディングス</t>
  </si>
  <si>
    <t>寿スピリッツ</t>
  </si>
  <si>
    <t>日本新薬</t>
  </si>
  <si>
    <t>日本電子</t>
  </si>
  <si>
    <t>相鉄ホールディングス</t>
  </si>
  <si>
    <t>積水化学工業</t>
  </si>
  <si>
    <t>リンナイ</t>
  </si>
  <si>
    <t>イビデン</t>
  </si>
  <si>
    <t>エス・エム・エス</t>
  </si>
  <si>
    <t>クミアイ化学工業</t>
  </si>
  <si>
    <t>トヨタ自動車</t>
  </si>
  <si>
    <t>ジーエス・ユアサ　コーポレーション</t>
  </si>
  <si>
    <t>堀場製作所</t>
  </si>
  <si>
    <t>富士通</t>
  </si>
  <si>
    <t>ニチアス</t>
  </si>
  <si>
    <t>日本碍子</t>
  </si>
  <si>
    <t>日本航空電子工業</t>
  </si>
  <si>
    <t>ショーワ</t>
  </si>
  <si>
    <t>日本空港ビルデング</t>
  </si>
  <si>
    <t>神戸物産</t>
  </si>
  <si>
    <t>リクルートホールディングス</t>
  </si>
  <si>
    <t>Max</t>
    <phoneticPr fontId="1" type="noConversion"/>
  </si>
  <si>
    <t>Min</t>
    <phoneticPr fontId="1" type="noConversion"/>
  </si>
  <si>
    <t>決算日</t>
    <phoneticPr fontId="1" type="noConversion"/>
  </si>
  <si>
    <t>決算日</t>
    <phoneticPr fontId="1" type="noConversion"/>
  </si>
  <si>
    <t>決算日ファイル</t>
    <phoneticPr fontId="1" type="noConversion"/>
  </si>
  <si>
    <t xml:space="preserve"> 発表日</t>
  </si>
  <si>
    <t xml:space="preserve"> 時刻</t>
  </si>
  <si>
    <t xml:space="preserve"> 決算</t>
  </si>
  <si>
    <t xml:space="preserve"> 連単</t>
  </si>
  <si>
    <t xml:space="preserve"> コード</t>
  </si>
  <si>
    <t xml:space="preserve"> 銘柄</t>
  </si>
  <si>
    <t xml:space="preserve"> 市場</t>
  </si>
  <si>
    <t xml:space="preserve"> 業種</t>
  </si>
  <si>
    <t xml:space="preserve"> 時価総額</t>
  </si>
  <si>
    <t xml:space="preserve"> -</t>
  </si>
  <si>
    <t xml:space="preserve"> 3Q</t>
  </si>
  <si>
    <t xml:space="preserve"> 連</t>
  </si>
  <si>
    <t xml:space="preserve"> 東1</t>
  </si>
  <si>
    <t xml:space="preserve"> 食料品</t>
  </si>
  <si>
    <t xml:space="preserve"> 1Q</t>
  </si>
  <si>
    <t xml:space="preserve"> 単</t>
  </si>
  <si>
    <t xml:space="preserve"> JQ</t>
  </si>
  <si>
    <t xml:space="preserve"> サービス業</t>
  </si>
  <si>
    <t xml:space="preserve"> 卸売業</t>
  </si>
  <si>
    <t xml:space="preserve"> 本</t>
  </si>
  <si>
    <t xml:space="preserve"> 東2</t>
  </si>
  <si>
    <t xml:space="preserve"> 2Q</t>
  </si>
  <si>
    <t xml:space="preserve"> 小売業</t>
  </si>
  <si>
    <t xml:space="preserve"> 情報・通信業</t>
  </si>
  <si>
    <t xml:space="preserve"> マザ</t>
  </si>
  <si>
    <t xml:space="preserve"> 化学</t>
  </si>
  <si>
    <t xml:space="preserve"> ダイサン</t>
  </si>
  <si>
    <t xml:space="preserve"> 金属製品</t>
  </si>
  <si>
    <t xml:space="preserve"> 伊藤園</t>
  </si>
  <si>
    <t>" 5</t>
  </si>
  <si>
    <t xml:space="preserve"> ロックフィール</t>
  </si>
  <si>
    <t xml:space="preserve"> ザッパラス</t>
  </si>
  <si>
    <t xml:space="preserve"> ゼネパッカー</t>
  </si>
  <si>
    <t xml:space="preserve"> 機械</t>
  </si>
  <si>
    <t xml:space="preserve"> その他製品</t>
  </si>
  <si>
    <t>" 2</t>
  </si>
  <si>
    <t xml:space="preserve"> 15:30</t>
  </si>
  <si>
    <t xml:space="preserve"> 電気機器</t>
  </si>
  <si>
    <t xml:space="preserve"> 不動産業</t>
  </si>
  <si>
    <t xml:space="preserve"> 12/5</t>
  </si>
  <si>
    <t xml:space="preserve"> ファーマフーズ</t>
  </si>
  <si>
    <t xml:space="preserve"> ラクーンHD</t>
  </si>
  <si>
    <t xml:space="preserve"> アルチザ</t>
  </si>
  <si>
    <t xml:space="preserve"> スバル興</t>
  </si>
  <si>
    <t xml:space="preserve"> 12/6</t>
  </si>
  <si>
    <t xml:space="preserve"> 積水ハウス</t>
  </si>
  <si>
    <t xml:space="preserve"> 建設業</t>
  </si>
  <si>
    <t>" 16</t>
  </si>
  <si>
    <t xml:space="preserve"> 日　駐</t>
  </si>
  <si>
    <t xml:space="preserve"> ケア２１</t>
  </si>
  <si>
    <t xml:space="preserve"> 鳥貴族</t>
  </si>
  <si>
    <t xml:space="preserve"> ポールHD</t>
  </si>
  <si>
    <t xml:space="preserve"> エイチーム</t>
  </si>
  <si>
    <t xml:space="preserve"> ソフトウェアサー</t>
  </si>
  <si>
    <t xml:space="preserve"> アイル</t>
  </si>
  <si>
    <t xml:space="preserve"> ｇｕｍｉ</t>
  </si>
  <si>
    <t xml:space="preserve"> ユークス</t>
  </si>
  <si>
    <t xml:space="preserve"> HEROZ</t>
  </si>
  <si>
    <t xml:space="preserve"> 日本スキー</t>
  </si>
  <si>
    <t xml:space="preserve"> 巴工業</t>
  </si>
  <si>
    <t xml:space="preserve"> インスペック</t>
  </si>
  <si>
    <t xml:space="preserve"> トミタ電機</t>
  </si>
  <si>
    <t xml:space="preserve"> エイケン工業</t>
  </si>
  <si>
    <t xml:space="preserve"> 輸送用機器</t>
  </si>
  <si>
    <t xml:space="preserve"> トップカルチャ</t>
  </si>
  <si>
    <t xml:space="preserve"> 光・彩</t>
  </si>
  <si>
    <t xml:space="preserve"> カナモト</t>
  </si>
  <si>
    <t>" 1</t>
  </si>
  <si>
    <t xml:space="preserve"> 精養軒</t>
  </si>
  <si>
    <t xml:space="preserve"> 丹青社</t>
  </si>
  <si>
    <t xml:space="preserve"> 12/9</t>
  </si>
  <si>
    <t xml:space="preserve"> 16:00</t>
  </si>
  <si>
    <t xml:space="preserve"> アルトナー</t>
  </si>
  <si>
    <t xml:space="preserve"> 学　情</t>
  </si>
  <si>
    <t xml:space="preserve"> ストリーム</t>
  </si>
  <si>
    <t xml:space="preserve"> Bガレージ</t>
  </si>
  <si>
    <t xml:space="preserve"> GA TECH</t>
  </si>
  <si>
    <t xml:space="preserve"> 日東網</t>
  </si>
  <si>
    <t xml:space="preserve"> 繊維製品</t>
  </si>
  <si>
    <t xml:space="preserve"> イムラ封筒</t>
  </si>
  <si>
    <t xml:space="preserve"> パルプ・紙</t>
  </si>
  <si>
    <t xml:space="preserve"> ミライアル</t>
  </si>
  <si>
    <t xml:space="preserve"> ライクキッズ</t>
  </si>
  <si>
    <t xml:space="preserve"> Ｃａｓａ</t>
  </si>
  <si>
    <t xml:space="preserve"> その他金融業</t>
  </si>
  <si>
    <t xml:space="preserve"> Ｂ＆Ｐ</t>
  </si>
  <si>
    <t xml:space="preserve"> 萩原工業</t>
  </si>
  <si>
    <t xml:space="preserve"> 泉州電</t>
  </si>
  <si>
    <t xml:space="preserve"> 12/10</t>
  </si>
  <si>
    <t xml:space="preserve"> ベステラ</t>
  </si>
  <si>
    <t xml:space="preserve"> 大盛工業</t>
  </si>
  <si>
    <t xml:space="preserve"> アスカネット</t>
  </si>
  <si>
    <t xml:space="preserve"> テンポスHD</t>
  </si>
  <si>
    <t xml:space="preserve"> サトウ食品</t>
  </si>
  <si>
    <t xml:space="preserve"> アマガサ</t>
  </si>
  <si>
    <t xml:space="preserve"> アールエイジ</t>
  </si>
  <si>
    <t xml:space="preserve"> 山岡家</t>
  </si>
  <si>
    <t xml:space="preserve"> グッドコムA</t>
  </si>
  <si>
    <t xml:space="preserve"> Ｒみらい</t>
  </si>
  <si>
    <t xml:space="preserve"> 東証</t>
  </si>
  <si>
    <t xml:space="preserve"> ETF・REIT等</t>
  </si>
  <si>
    <t xml:space="preserve"> SYSHD</t>
  </si>
  <si>
    <t xml:space="preserve"> トビラシステム</t>
  </si>
  <si>
    <t xml:space="preserve"> サムコ</t>
  </si>
  <si>
    <t xml:space="preserve"> トランザス</t>
  </si>
  <si>
    <t xml:space="preserve"> マツモト</t>
  </si>
  <si>
    <t xml:space="preserve"> トーホー</t>
  </si>
  <si>
    <t xml:space="preserve"> シルバーライフ</t>
  </si>
  <si>
    <t xml:space="preserve"> きんえい</t>
  </si>
  <si>
    <t xml:space="preserve"> シーイーシー</t>
  </si>
  <si>
    <t xml:space="preserve"> 12/11</t>
  </si>
  <si>
    <t xml:space="preserve"> 太洋基礎</t>
  </si>
  <si>
    <t xml:space="preserve"> Hamee</t>
  </si>
  <si>
    <t xml:space="preserve"> アゼアス</t>
  </si>
  <si>
    <t xml:space="preserve"> クロスプラス</t>
  </si>
  <si>
    <t xml:space="preserve"> 菊池製作</t>
  </si>
  <si>
    <t xml:space="preserve"> シーアールイー</t>
  </si>
  <si>
    <t xml:space="preserve"> JPNミート</t>
  </si>
  <si>
    <t xml:space="preserve"> アセンテック</t>
  </si>
  <si>
    <t xml:space="preserve"> 神島化</t>
  </si>
  <si>
    <t xml:space="preserve"> ｶﾞﾗｽ土石製品</t>
  </si>
  <si>
    <t xml:space="preserve"> ハウテレビ</t>
  </si>
  <si>
    <t xml:space="preserve"> 12/12</t>
  </si>
  <si>
    <t xml:space="preserve"> くら寿司</t>
  </si>
  <si>
    <t xml:space="preserve"> 銚子丸</t>
  </si>
  <si>
    <t xml:space="preserve"> ミサワ</t>
  </si>
  <si>
    <t xml:space="preserve"> トーエル</t>
  </si>
  <si>
    <t xml:space="preserve"> バルニバーヒ</t>
  </si>
  <si>
    <t xml:space="preserve"> クスリのアオキ</t>
  </si>
  <si>
    <t xml:space="preserve"> TBCSCAT</t>
  </si>
  <si>
    <t xml:space="preserve"> シャノン</t>
  </si>
  <si>
    <t xml:space="preserve"> ラクスル</t>
  </si>
  <si>
    <t xml:space="preserve"> VALUENEX</t>
  </si>
  <si>
    <t xml:space="preserve"> セルソース</t>
  </si>
  <si>
    <t xml:space="preserve"> 医薬品</t>
  </si>
  <si>
    <t xml:space="preserve"> オハラ</t>
  </si>
  <si>
    <t xml:space="preserve"> ファーストロジ</t>
  </si>
  <si>
    <t xml:space="preserve"> 鎌倉新書</t>
  </si>
  <si>
    <t xml:space="preserve"> 石井表記</t>
  </si>
  <si>
    <t xml:space="preserve"> アイモバイル</t>
  </si>
  <si>
    <t xml:space="preserve"> 三井ハイテ</t>
  </si>
  <si>
    <t xml:space="preserve"> フロンティアI</t>
  </si>
  <si>
    <t xml:space="preserve"> オーエムツー</t>
  </si>
  <si>
    <t xml:space="preserve"> サンオータス</t>
  </si>
  <si>
    <t xml:space="preserve"> 小林産</t>
  </si>
  <si>
    <t xml:space="preserve"> REVOLUTI</t>
  </si>
  <si>
    <t xml:space="preserve"> 日本テレホン</t>
  </si>
  <si>
    <t xml:space="preserve"> エイチ・アイエス</t>
  </si>
  <si>
    <t xml:space="preserve"> ドーム</t>
  </si>
  <si>
    <t xml:space="preserve"> 12/13</t>
  </si>
  <si>
    <t xml:space="preserve"> Ｍマート</t>
  </si>
  <si>
    <t xml:space="preserve"> ベルグアース</t>
  </si>
  <si>
    <t xml:space="preserve"> 水産・農林業</t>
  </si>
  <si>
    <t xml:space="preserve"> フィット</t>
  </si>
  <si>
    <t xml:space="preserve"> 土屋ＨＤ</t>
  </si>
  <si>
    <t xml:space="preserve"> 日ハウスHD</t>
  </si>
  <si>
    <t xml:space="preserve"> フルスピード</t>
  </si>
  <si>
    <t xml:space="preserve"> アイ・ケイ・ケイ</t>
  </si>
  <si>
    <t xml:space="preserve"> アイスタディ</t>
  </si>
  <si>
    <t xml:space="preserve"> ブラス</t>
  </si>
  <si>
    <t xml:space="preserve"> 新都ＨＤ</t>
  </si>
  <si>
    <t xml:space="preserve"> ツクルバ</t>
  </si>
  <si>
    <t xml:space="preserve"> 神戸物産</t>
  </si>
  <si>
    <t>" 4</t>
  </si>
  <si>
    <t xml:space="preserve"> 丸善CHI</t>
  </si>
  <si>
    <t xml:space="preserve"> ジェネパ</t>
  </si>
  <si>
    <t xml:space="preserve"> 積水ハウスR</t>
  </si>
  <si>
    <t xml:space="preserve"> 稲葉製作</t>
  </si>
  <si>
    <t xml:space="preserve"> J.S.B.</t>
  </si>
  <si>
    <t xml:space="preserve"> リーガル不</t>
  </si>
  <si>
    <t xml:space="preserve"> モルフォ</t>
  </si>
  <si>
    <t xml:space="preserve"> エニグモ</t>
  </si>
  <si>
    <t xml:space="preserve"> フリービット</t>
  </si>
  <si>
    <t xml:space="preserve"> ネオジャパン</t>
  </si>
  <si>
    <t xml:space="preserve"> バリュゴルフ</t>
  </si>
  <si>
    <t xml:space="preserve"> SKIYAKI</t>
  </si>
  <si>
    <t xml:space="preserve"> ジャストプラ</t>
  </si>
  <si>
    <t xml:space="preserve"> スマレジ</t>
  </si>
  <si>
    <t xml:space="preserve"> サンバイオ</t>
  </si>
  <si>
    <t xml:space="preserve"> ステムリム</t>
  </si>
  <si>
    <t xml:space="preserve"> ナトコ</t>
  </si>
  <si>
    <t xml:space="preserve"> クミアイ化</t>
  </si>
  <si>
    <t xml:space="preserve"> イトクロ</t>
  </si>
  <si>
    <t xml:space="preserve"> ウエスコHD</t>
  </si>
  <si>
    <t xml:space="preserve"> HyAS&amp;Co.</t>
  </si>
  <si>
    <t xml:space="preserve"> ベストワン</t>
  </si>
  <si>
    <t xml:space="preserve"> ヤーマン</t>
  </si>
  <si>
    <t xml:space="preserve"> ウインテスト</t>
  </si>
  <si>
    <t xml:space="preserve"> ＭＳＯＬ</t>
  </si>
  <si>
    <t xml:space="preserve"> ジェイック</t>
  </si>
  <si>
    <t xml:space="preserve"> ハイレックス</t>
  </si>
  <si>
    <t xml:space="preserve"> 梅の花</t>
  </si>
  <si>
    <t xml:space="preserve"> フジコーポ</t>
  </si>
  <si>
    <t xml:space="preserve"> 浜木綿</t>
  </si>
  <si>
    <t xml:space="preserve"> ダブルエー</t>
  </si>
  <si>
    <t xml:space="preserve"> ブシロード</t>
  </si>
  <si>
    <t xml:space="preserve"> プリントネット</t>
  </si>
  <si>
    <t xml:space="preserve"> クロスフォー</t>
  </si>
  <si>
    <t xml:space="preserve"> オービス</t>
  </si>
  <si>
    <t xml:space="preserve"> 総合商研</t>
  </si>
  <si>
    <t xml:space="preserve"> MICS化学</t>
  </si>
  <si>
    <t xml:space="preserve"> ミロク</t>
  </si>
  <si>
    <t xml:space="preserve"> ナイガイ</t>
  </si>
  <si>
    <t xml:space="preserve"> 正栄食</t>
  </si>
  <si>
    <t xml:space="preserve"> ファースト住</t>
  </si>
  <si>
    <t xml:space="preserve"> アルデプロ</t>
  </si>
  <si>
    <t xml:space="preserve"> 明豊エンター</t>
  </si>
  <si>
    <t xml:space="preserve"> いちごオフ</t>
  </si>
  <si>
    <t xml:space="preserve"> スターツPR</t>
  </si>
  <si>
    <t xml:space="preserve"> ギフト</t>
  </si>
  <si>
    <t xml:space="preserve"> ＯＳ映</t>
  </si>
  <si>
    <t xml:space="preserve"> 12/16</t>
  </si>
  <si>
    <t xml:space="preserve"> プロレド</t>
  </si>
  <si>
    <t xml:space="preserve"> 星野ＲＲ</t>
  </si>
  <si>
    <t xml:space="preserve"> インベスコ</t>
  </si>
  <si>
    <t xml:space="preserve"> トーセイ・リート</t>
  </si>
  <si>
    <t xml:space="preserve"> システムディ</t>
  </si>
  <si>
    <t xml:space="preserve"> パーク24</t>
  </si>
  <si>
    <t xml:space="preserve"> ウイルコHD</t>
  </si>
  <si>
    <t xml:space="preserve"> 12/17</t>
  </si>
  <si>
    <t xml:space="preserve"> アスクル</t>
  </si>
  <si>
    <t xml:space="preserve"> ツルハHD</t>
  </si>
  <si>
    <t>" 6</t>
  </si>
  <si>
    <t xml:space="preserve"> プレミア投</t>
  </si>
  <si>
    <t xml:space="preserve"> 12/18</t>
  </si>
  <si>
    <t xml:space="preserve"> カイカ</t>
  </si>
  <si>
    <t xml:space="preserve"> 12/19</t>
  </si>
  <si>
    <t xml:space="preserve"> 日ヘルスケア</t>
  </si>
  <si>
    <t xml:space="preserve"> 12/25</t>
  </si>
  <si>
    <t xml:space="preserve"> ＫＴＫ</t>
  </si>
  <si>
    <t xml:space="preserve"> NaITO</t>
  </si>
  <si>
    <t xml:space="preserve"> 12/26</t>
  </si>
  <si>
    <t xml:space="preserve"> 15:00</t>
  </si>
  <si>
    <t xml:space="preserve"> オプトエレクト</t>
  </si>
  <si>
    <t xml:space="preserve"> ハイデ日高</t>
  </si>
  <si>
    <t xml:space="preserve"> 瑞  光</t>
  </si>
  <si>
    <t xml:space="preserve"> フィードフォー</t>
  </si>
  <si>
    <t xml:space="preserve"> タキヒヨー</t>
  </si>
  <si>
    <t xml:space="preserve"> 12/27</t>
  </si>
  <si>
    <t xml:space="preserve"> ソーバル</t>
  </si>
  <si>
    <t xml:space="preserve"> アダストリア</t>
  </si>
  <si>
    <t xml:space="preserve"> パイプドH</t>
  </si>
  <si>
    <t xml:space="preserve"> 日プロセス</t>
  </si>
  <si>
    <t xml:space="preserve"> 1/6</t>
  </si>
  <si>
    <t xml:space="preserve"> ダイセキソリュ</t>
  </si>
  <si>
    <t xml:space="preserve"> ダイセキ</t>
  </si>
  <si>
    <t xml:space="preserve"> 1/7</t>
  </si>
  <si>
    <t xml:space="preserve"> ハニーズHLD</t>
  </si>
  <si>
    <t xml:space="preserve"> 1/8</t>
  </si>
  <si>
    <t xml:space="preserve"> リソー教育</t>
  </si>
  <si>
    <t xml:space="preserve"> 1/9</t>
  </si>
  <si>
    <t xml:space="preserve"> キユーピー</t>
  </si>
  <si>
    <t>" 3</t>
  </si>
  <si>
    <t xml:space="preserve"> AFC-HD</t>
  </si>
  <si>
    <t xml:space="preserve"> フェリシモ</t>
  </si>
  <si>
    <t xml:space="preserve"> 毎コムネット</t>
  </si>
  <si>
    <t xml:space="preserve"> ファーストリテイ</t>
  </si>
  <si>
    <t xml:space="preserve"> 1/10</t>
  </si>
  <si>
    <t xml:space="preserve"> SERIOHD</t>
  </si>
  <si>
    <t xml:space="preserve"> ビットワンG</t>
  </si>
  <si>
    <t xml:space="preserve"> ローソン</t>
  </si>
  <si>
    <t xml:space="preserve"> ブロッコリー</t>
  </si>
  <si>
    <t xml:space="preserve"> アレンザHD</t>
  </si>
  <si>
    <t xml:space="preserve"> PRTIMES</t>
  </si>
  <si>
    <t xml:space="preserve"> 日本エンタ</t>
  </si>
  <si>
    <t xml:space="preserve"> ベクトル</t>
  </si>
  <si>
    <t xml:space="preserve"> 岡野バル</t>
  </si>
  <si>
    <t xml:space="preserve"> ベイカレント</t>
  </si>
  <si>
    <t xml:space="preserve"> トーセイ</t>
  </si>
  <si>
    <t xml:space="preserve"> 1/14</t>
  </si>
  <si>
    <t xml:space="preserve"> エスプール</t>
  </si>
  <si>
    <t xml:space="preserve"> 北の達人</t>
  </si>
  <si>
    <t xml:space="preserve"> ハ　ブ</t>
  </si>
  <si>
    <t xml:space="preserve"> ＴＫＰ</t>
  </si>
  <si>
    <t xml:space="preserve"> Ｎｏ．１</t>
  </si>
  <si>
    <t xml:space="preserve"> メディアドゥ</t>
  </si>
  <si>
    <t xml:space="preserve"> 明光ネット</t>
  </si>
  <si>
    <t xml:space="preserve"> 古野電</t>
  </si>
  <si>
    <t xml:space="preserve"> 東京衡機</t>
  </si>
  <si>
    <t xml:space="preserve"> 精密機器</t>
  </si>
  <si>
    <t xml:space="preserve"> 東　宝</t>
  </si>
  <si>
    <t>" 8</t>
  </si>
  <si>
    <t xml:space="preserve"> 1/15</t>
  </si>
  <si>
    <t xml:space="preserve"> シリコンスタシオ</t>
  </si>
  <si>
    <t xml:space="preserve"> エヌリンクス</t>
  </si>
  <si>
    <t xml:space="preserve"> テイツー</t>
  </si>
  <si>
    <t xml:space="preserve"> 1/17</t>
  </si>
  <si>
    <t xml:space="preserve"> ＡＰＩ</t>
  </si>
  <si>
    <t xml:space="preserve"> ネクスＧ</t>
  </si>
  <si>
    <t xml:space="preserve"> ティムコ</t>
  </si>
  <si>
    <t xml:space="preserve"> 1/23</t>
  </si>
  <si>
    <t xml:space="preserve"> ディスコ</t>
  </si>
  <si>
    <t xml:space="preserve"> 1/26</t>
  </si>
  <si>
    <t xml:space="preserve"> ＫＤＤＩ</t>
  </si>
  <si>
    <t>" 74</t>
  </si>
  <si>
    <t xml:space="preserve"> 1/27</t>
  </si>
  <si>
    <t xml:space="preserve"> 高純度化</t>
  </si>
  <si>
    <t xml:space="preserve"> 1/28</t>
  </si>
  <si>
    <t xml:space="preserve"> 石原ケミカル</t>
  </si>
  <si>
    <t xml:space="preserve"> 1/29</t>
  </si>
  <si>
    <t xml:space="preserve"> サカイ引越</t>
  </si>
  <si>
    <t xml:space="preserve"> 陸運業</t>
  </si>
  <si>
    <t xml:space="preserve"> 1/30</t>
  </si>
  <si>
    <t xml:space="preserve"> 大東建</t>
  </si>
  <si>
    <t>" 10</t>
  </si>
  <si>
    <t xml:space="preserve"> トーメンデバ</t>
  </si>
  <si>
    <t xml:space="preserve"> Eギャランティ</t>
  </si>
  <si>
    <t xml:space="preserve"> ハマキョウ</t>
  </si>
  <si>
    <t xml:space="preserve"> グローセル</t>
  </si>
  <si>
    <t xml:space="preserve"> 1/31</t>
  </si>
  <si>
    <t xml:space="preserve"> エレマテック</t>
  </si>
  <si>
    <t xml:space="preserve"> 日食品</t>
  </si>
  <si>
    <t xml:space="preserve"> ラサ商事</t>
  </si>
  <si>
    <t xml:space="preserve"> テクマトリックス</t>
  </si>
  <si>
    <t xml:space="preserve"> ジーダット</t>
  </si>
  <si>
    <t xml:space="preserve"> Ｄ　Ｉ</t>
  </si>
  <si>
    <t xml:space="preserve"> 扶桑化学</t>
  </si>
  <si>
    <t xml:space="preserve"> 邦チタニウム</t>
  </si>
  <si>
    <t xml:space="preserve"> 非鉄金属</t>
  </si>
  <si>
    <t xml:space="preserve"> タクミナ</t>
  </si>
  <si>
    <t xml:space="preserve"> メディアリンク</t>
  </si>
  <si>
    <t xml:space="preserve"> ウシオ電</t>
  </si>
  <si>
    <t xml:space="preserve"> 豊田合</t>
  </si>
  <si>
    <t xml:space="preserve"> たけびし</t>
  </si>
  <si>
    <t xml:space="preserve"> 日本MDM</t>
  </si>
  <si>
    <t xml:space="preserve"> 共立印刷</t>
  </si>
  <si>
    <t xml:space="preserve"> 前澤化</t>
  </si>
  <si>
    <t xml:space="preserve"> ダイビル</t>
  </si>
  <si>
    <t xml:space="preserve"> 2/3</t>
  </si>
  <si>
    <t xml:space="preserve"> ホクト</t>
  </si>
  <si>
    <t xml:space="preserve"> あじかん</t>
  </si>
  <si>
    <t xml:space="preserve"> ワールド</t>
  </si>
  <si>
    <t xml:space="preserve"> ハウスローゼ</t>
  </si>
  <si>
    <t xml:space="preserve"> アルメディオ</t>
  </si>
  <si>
    <t xml:space="preserve"> 2/4</t>
  </si>
  <si>
    <t xml:space="preserve"> 武　田</t>
  </si>
  <si>
    <t xml:space="preserve"> サーティワン</t>
  </si>
  <si>
    <t xml:space="preserve"> 日東工器</t>
  </si>
  <si>
    <t xml:space="preserve"> ノジマ</t>
  </si>
  <si>
    <t xml:space="preserve"> 2/5</t>
  </si>
  <si>
    <t xml:space="preserve"> メンバーズ</t>
  </si>
  <si>
    <t xml:space="preserve"> テクノメディカ</t>
  </si>
  <si>
    <t xml:space="preserve"> メガチップス</t>
  </si>
  <si>
    <t xml:space="preserve"> 2/6</t>
  </si>
  <si>
    <t xml:space="preserve"> アイロムG</t>
  </si>
  <si>
    <t xml:space="preserve"> アーバネット</t>
  </si>
  <si>
    <t xml:space="preserve"> 太陽ＨＤ</t>
  </si>
  <si>
    <t xml:space="preserve"> 日総工産</t>
  </si>
  <si>
    <t xml:space="preserve"> 川澄化</t>
  </si>
  <si>
    <t xml:space="preserve"> 河合楽</t>
  </si>
  <si>
    <t xml:space="preserve"> 2/7</t>
  </si>
  <si>
    <t xml:space="preserve"> 大成建</t>
  </si>
  <si>
    <t>" 9</t>
  </si>
  <si>
    <t xml:space="preserve"> 不動テトラ</t>
  </si>
  <si>
    <t xml:space="preserve"> 東鉄工</t>
  </si>
  <si>
    <t xml:space="preserve"> 森　組</t>
  </si>
  <si>
    <t xml:space="preserve"> 日本ドライ</t>
  </si>
  <si>
    <t xml:space="preserve"> 三機工</t>
  </si>
  <si>
    <t xml:space="preserve"> 高砂熱</t>
  </si>
  <si>
    <t xml:space="preserve"> アリアケ</t>
  </si>
  <si>
    <t xml:space="preserve"> シキボウ</t>
  </si>
  <si>
    <t xml:space="preserve"> システムズD</t>
  </si>
  <si>
    <t xml:space="preserve"> ツムラ</t>
  </si>
  <si>
    <t xml:space="preserve"> オンコリス</t>
  </si>
  <si>
    <t xml:space="preserve"> ガーラ</t>
  </si>
  <si>
    <t xml:space="preserve"> 住友鉱</t>
  </si>
  <si>
    <t xml:space="preserve"> 前澤給</t>
  </si>
  <si>
    <t xml:space="preserve"> 日セラミ</t>
  </si>
  <si>
    <t xml:space="preserve"> スズデン</t>
  </si>
  <si>
    <t xml:space="preserve"> イノテック</t>
  </si>
  <si>
    <t xml:space="preserve"> やまや</t>
  </si>
  <si>
    <t xml:space="preserve"> 2/10</t>
  </si>
  <si>
    <t xml:space="preserve"> 大気社</t>
  </si>
  <si>
    <t xml:space="preserve"> ヤマエ久</t>
  </si>
  <si>
    <t xml:space="preserve"> 福証</t>
  </si>
  <si>
    <t xml:space="preserve"> 2/12</t>
  </si>
  <si>
    <t xml:space="preserve"> 高松Ｇ</t>
  </si>
  <si>
    <t xml:space="preserve"> 三住建設</t>
  </si>
  <si>
    <t xml:space="preserve"> 大戸屋HD</t>
  </si>
  <si>
    <t xml:space="preserve"> ＤＯＷＡ</t>
  </si>
  <si>
    <t xml:space="preserve"> ヨロズ</t>
  </si>
  <si>
    <t xml:space="preserve"> アイ・テック</t>
  </si>
  <si>
    <t xml:space="preserve"> 2/13</t>
  </si>
  <si>
    <t xml:space="preserve"> ホクリヨウ</t>
  </si>
  <si>
    <t xml:space="preserve"> ケアネット</t>
  </si>
  <si>
    <t xml:space="preserve"> LINK&amp;M</t>
  </si>
  <si>
    <t xml:space="preserve"> アスモ</t>
  </si>
  <si>
    <t xml:space="preserve"> オイラ大地</t>
  </si>
  <si>
    <t xml:space="preserve"> ベネフィットJ</t>
  </si>
  <si>
    <t xml:space="preserve"> バリュデザ</t>
  </si>
  <si>
    <t xml:space="preserve"> 楽　天</t>
  </si>
  <si>
    <t>" 13</t>
  </si>
  <si>
    <t xml:space="preserve"> SECカーボン</t>
  </si>
  <si>
    <t xml:space="preserve"> エクストリーム</t>
  </si>
  <si>
    <t xml:space="preserve"> ＳＩＨＤ</t>
  </si>
  <si>
    <t xml:space="preserve"> メニコン</t>
  </si>
  <si>
    <t xml:space="preserve"> ユニマットRC</t>
  </si>
  <si>
    <t xml:space="preserve"> 2/14</t>
  </si>
  <si>
    <t xml:space="preserve"> マーケットエンタ</t>
  </si>
  <si>
    <t xml:space="preserve"> 藤倉化</t>
  </si>
  <si>
    <t xml:space="preserve"> DMG森精</t>
  </si>
  <si>
    <t xml:space="preserve"> 日阪製</t>
  </si>
  <si>
    <t xml:space="preserve"> プレミアG</t>
  </si>
  <si>
    <t xml:space="preserve"> 2/20</t>
  </si>
  <si>
    <t xml:space="preserve"> ＪＨＲ</t>
  </si>
  <si>
    <t xml:space="preserve"> 01月下旬</t>
  </si>
  <si>
    <t xml:space="preserve"> 日本電技</t>
  </si>
  <si>
    <t xml:space="preserve"> 中電工</t>
  </si>
  <si>
    <t xml:space="preserve"> トーエネク</t>
  </si>
  <si>
    <t xml:space="preserve"> 九電工</t>
  </si>
  <si>
    <t xml:space="preserve"> クエスト</t>
  </si>
  <si>
    <t xml:space="preserve"> ありがと</t>
  </si>
  <si>
    <t xml:space="preserve"> 野村不HD</t>
  </si>
  <si>
    <t xml:space="preserve"> 東邦システム</t>
  </si>
  <si>
    <t xml:space="preserve"> バンクイノベ</t>
  </si>
  <si>
    <t xml:space="preserve"> 医学生物</t>
  </si>
  <si>
    <t xml:space="preserve"> オービック</t>
  </si>
  <si>
    <t>" 14</t>
  </si>
  <si>
    <t xml:space="preserve"> ＺＨＤ</t>
  </si>
  <si>
    <t>" 18</t>
  </si>
  <si>
    <t xml:space="preserve"> 赤阪鉄</t>
  </si>
  <si>
    <t xml:space="preserve"> 豊田織機</t>
  </si>
  <si>
    <t>" 21</t>
  </si>
  <si>
    <t xml:space="preserve"> コマツ</t>
  </si>
  <si>
    <t xml:space="preserve"> タダノ</t>
  </si>
  <si>
    <t>351"</t>
  </si>
  <si>
    <t xml:space="preserve"> オムロン</t>
  </si>
  <si>
    <t xml:space="preserve"> 日本トリム</t>
  </si>
  <si>
    <t xml:space="preserve"> エクセディ</t>
  </si>
  <si>
    <t xml:space="preserve"> バルカー</t>
  </si>
  <si>
    <t xml:space="preserve"> H2Oリテイル</t>
  </si>
  <si>
    <t xml:space="preserve"> あおぞら</t>
  </si>
  <si>
    <t xml:space="preserve"> 銀行業</t>
  </si>
  <si>
    <t>323"</t>
  </si>
  <si>
    <t xml:space="preserve"> ＡＮＡ</t>
  </si>
  <si>
    <t xml:space="preserve"> 空運業</t>
  </si>
  <si>
    <t xml:space="preserve"> ゼンリン</t>
  </si>
  <si>
    <t xml:space="preserve"> 中部電</t>
  </si>
  <si>
    <t xml:space="preserve"> 電気・ガス業</t>
  </si>
  <si>
    <t>" 11</t>
  </si>
  <si>
    <t xml:space="preserve"> 中国電</t>
  </si>
  <si>
    <t xml:space="preserve"> 東ガス</t>
  </si>
  <si>
    <t xml:space="preserve"> ＳＣＳＫ</t>
  </si>
  <si>
    <t xml:space="preserve"> 王将フード</t>
  </si>
  <si>
    <t>542"</t>
  </si>
  <si>
    <t xml:space="preserve"> 01月上旬</t>
  </si>
  <si>
    <t xml:space="preserve"> ファーストコポ</t>
  </si>
  <si>
    <t xml:space="preserve"> サーラ</t>
  </si>
  <si>
    <t xml:space="preserve"> 黒　谷</t>
  </si>
  <si>
    <t xml:space="preserve"> ネクステージ</t>
  </si>
  <si>
    <t xml:space="preserve"> メディ一光</t>
  </si>
  <si>
    <t xml:space="preserve"> 7&amp;I-HD</t>
  </si>
  <si>
    <t>" 36</t>
  </si>
  <si>
    <t xml:space="preserve"> Fブラザース</t>
  </si>
  <si>
    <t xml:space="preserve"> リックソフト</t>
  </si>
  <si>
    <t xml:space="preserve"> 東海ソフト</t>
  </si>
  <si>
    <t xml:space="preserve"> Sansan</t>
  </si>
  <si>
    <t>424"</t>
  </si>
  <si>
    <t xml:space="preserve"> マルマエ</t>
  </si>
  <si>
    <t xml:space="preserve"> 中北製</t>
  </si>
  <si>
    <t xml:space="preserve"> ４℃ＨＤ</t>
  </si>
  <si>
    <t xml:space="preserve"> ワキタ</t>
  </si>
  <si>
    <t xml:space="preserve"> 01月中旬</t>
  </si>
  <si>
    <t xml:space="preserve"> サカタのタネ</t>
  </si>
  <si>
    <t xml:space="preserve"> 日本国土</t>
  </si>
  <si>
    <t xml:space="preserve"> 柿安本店</t>
  </si>
  <si>
    <t xml:space="preserve"> ドーン</t>
  </si>
  <si>
    <t xml:space="preserve"> ライク</t>
  </si>
  <si>
    <t xml:space="preserve"> キャンドゥ</t>
  </si>
  <si>
    <t xml:space="preserve"> 東武住販</t>
  </si>
  <si>
    <t xml:space="preserve"> バイク王</t>
  </si>
  <si>
    <t xml:space="preserve"> クリレスHD</t>
  </si>
  <si>
    <t xml:space="preserve"> バロック</t>
  </si>
  <si>
    <t xml:space="preserve"> Ｕ＆Ｃ</t>
  </si>
  <si>
    <t xml:space="preserve"> サインポスト</t>
  </si>
  <si>
    <t xml:space="preserve"> ヒトコムHD</t>
  </si>
  <si>
    <t xml:space="preserve"> サーバーワクス</t>
  </si>
  <si>
    <t xml:space="preserve"> ヴィッツ</t>
  </si>
  <si>
    <t xml:space="preserve"> ＴＯＮＥ</t>
  </si>
  <si>
    <t xml:space="preserve"> アクアライン</t>
  </si>
  <si>
    <t xml:space="preserve"> 前沢工</t>
  </si>
  <si>
    <t xml:space="preserve"> 日　宣</t>
  </si>
  <si>
    <t xml:space="preserve"> 識　学</t>
  </si>
  <si>
    <t xml:space="preserve"> 共栄セキュリ</t>
  </si>
  <si>
    <t xml:space="preserve"> ユーピーアール</t>
  </si>
  <si>
    <t xml:space="preserve"> ダイコー通</t>
  </si>
  <si>
    <t xml:space="preserve"> 中本パクス</t>
  </si>
  <si>
    <t xml:space="preserve"> 02月上旬</t>
  </si>
  <si>
    <t xml:space="preserve"> 安藤ハザマ</t>
  </si>
  <si>
    <t xml:space="preserve"> 鹿　島</t>
  </si>
  <si>
    <t>" 7</t>
  </si>
  <si>
    <t xml:space="preserve"> 前田建</t>
  </si>
  <si>
    <t xml:space="preserve"> 戸田建</t>
  </si>
  <si>
    <t xml:space="preserve"> 中外炉</t>
  </si>
  <si>
    <t xml:space="preserve"> 甜菜糖</t>
  </si>
  <si>
    <t xml:space="preserve"> サニーサイド</t>
  </si>
  <si>
    <t xml:space="preserve"> 丸大食</t>
  </si>
  <si>
    <t xml:space="preserve"> ダイナックHD</t>
  </si>
  <si>
    <t xml:space="preserve"> 信　和</t>
  </si>
  <si>
    <t xml:space="preserve"> プロパティA</t>
  </si>
  <si>
    <t xml:space="preserve"> アグレ都市</t>
  </si>
  <si>
    <t xml:space="preserve"> 大石産</t>
  </si>
  <si>
    <t xml:space="preserve"> 大阪ソーダ</t>
  </si>
  <si>
    <t xml:space="preserve"> 田中化研</t>
  </si>
  <si>
    <t xml:space="preserve"> PBシステムズ</t>
  </si>
  <si>
    <t xml:space="preserve"> 生化学</t>
  </si>
  <si>
    <t xml:space="preserve"> 三星ベ</t>
  </si>
  <si>
    <t xml:space="preserve"> ゴム製品</t>
  </si>
  <si>
    <t xml:space="preserve"> 洋刃物</t>
  </si>
  <si>
    <t xml:space="preserve"> エイチワン</t>
  </si>
  <si>
    <t xml:space="preserve"> ヤマシンフィルタ</t>
  </si>
  <si>
    <t xml:space="preserve"> WASHハウス</t>
  </si>
  <si>
    <t xml:space="preserve"> アオイ電子</t>
  </si>
  <si>
    <t xml:space="preserve"> エヌ・シー・エヌ</t>
  </si>
  <si>
    <t xml:space="preserve"> 全国保証</t>
  </si>
  <si>
    <t xml:space="preserve"> 日信工業</t>
  </si>
  <si>
    <t>457"</t>
  </si>
  <si>
    <t xml:space="preserve"> アイシン精</t>
  </si>
  <si>
    <t>" 12</t>
  </si>
  <si>
    <t xml:space="preserve"> 尾家産業</t>
  </si>
  <si>
    <t xml:space="preserve"> ＪＭＳ</t>
  </si>
  <si>
    <t xml:space="preserve"> プラッツ</t>
  </si>
  <si>
    <t xml:space="preserve"> 興　研</t>
  </si>
  <si>
    <t xml:space="preserve"> 三京化</t>
  </si>
  <si>
    <t xml:space="preserve"> モスフード</t>
  </si>
  <si>
    <t xml:space="preserve"> 理　経</t>
  </si>
  <si>
    <t xml:space="preserve"> ゼビオHD</t>
  </si>
  <si>
    <t xml:space="preserve"> 東　武</t>
  </si>
  <si>
    <t xml:space="preserve"> 上　組</t>
  </si>
  <si>
    <t xml:space="preserve"> 倉庫運輸関連</t>
  </si>
  <si>
    <t xml:space="preserve"> NTTデータ</t>
  </si>
  <si>
    <t xml:space="preserve"> よみラント</t>
  </si>
  <si>
    <t xml:space="preserve"> 松屋フーズ</t>
  </si>
  <si>
    <t xml:space="preserve"> ＪＫＨＤ</t>
  </si>
  <si>
    <t xml:space="preserve"> 02月中旬</t>
  </si>
  <si>
    <t xml:space="preserve"> 田中建設</t>
  </si>
  <si>
    <t xml:space="preserve"> ＫＨＣ</t>
  </si>
  <si>
    <t xml:space="preserve"> 国際帝石</t>
  </si>
  <si>
    <t xml:space="preserve"> 鉱業</t>
  </si>
  <si>
    <t>" 15</t>
  </si>
  <si>
    <t xml:space="preserve"> 北野建</t>
  </si>
  <si>
    <t xml:space="preserve"> 福田組</t>
  </si>
  <si>
    <t xml:space="preserve"> 日空調</t>
  </si>
  <si>
    <t xml:space="preserve"> サンキャピタル</t>
  </si>
  <si>
    <t xml:space="preserve"> 大英産業</t>
  </si>
  <si>
    <t xml:space="preserve"> Nグランデ</t>
  </si>
  <si>
    <t xml:space="preserve"> 札証</t>
  </si>
  <si>
    <t xml:space="preserve"> レナウン</t>
  </si>
  <si>
    <t xml:space="preserve"> Abalance</t>
  </si>
  <si>
    <t xml:space="preserve"> 阿波製紙</t>
  </si>
  <si>
    <t xml:space="preserve"> ＭＤＶ</t>
  </si>
  <si>
    <t xml:space="preserve"> シンクロフード</t>
  </si>
  <si>
    <t xml:space="preserve"> ダイキアクシス</t>
  </si>
  <si>
    <t xml:space="preserve"> 恵　和</t>
  </si>
  <si>
    <t xml:space="preserve"> Kudan</t>
  </si>
  <si>
    <t xml:space="preserve"> カオナビ</t>
  </si>
  <si>
    <t xml:space="preserve"> バルテス</t>
  </si>
  <si>
    <t xml:space="preserve"> Chatwork</t>
  </si>
  <si>
    <t xml:space="preserve"> ギフティ</t>
  </si>
  <si>
    <t xml:space="preserve"> ＰＳＯＬ</t>
  </si>
  <si>
    <t xml:space="preserve"> HENNGE</t>
  </si>
  <si>
    <t xml:space="preserve"> AI CROSS</t>
  </si>
  <si>
    <t xml:space="preserve"> ＢＡＳＥ</t>
  </si>
  <si>
    <t xml:space="preserve"> ＤＩＣ</t>
  </si>
  <si>
    <t xml:space="preserve"> ワシントンホテル</t>
  </si>
  <si>
    <t xml:space="preserve"> スカラ</t>
  </si>
  <si>
    <t xml:space="preserve"> ライドオンEX</t>
  </si>
  <si>
    <t xml:space="preserve"> 小倉クラ</t>
  </si>
  <si>
    <t xml:space="preserve"> 高見サイ</t>
  </si>
  <si>
    <t xml:space="preserve"> デンヨー</t>
  </si>
  <si>
    <t xml:space="preserve"> コンヴァノ</t>
  </si>
  <si>
    <t xml:space="preserve"> HPCシステムス</t>
  </si>
  <si>
    <t xml:space="preserve"> 電気興</t>
  </si>
  <si>
    <t xml:space="preserve"> 伊豆ＳＲ</t>
  </si>
  <si>
    <t xml:space="preserve"> フェンオール</t>
  </si>
  <si>
    <t xml:space="preserve"> ギークス</t>
  </si>
  <si>
    <t xml:space="preserve"> エードット</t>
  </si>
  <si>
    <t xml:space="preserve"> ブランディン</t>
  </si>
  <si>
    <t xml:space="preserve"> インテＭ</t>
  </si>
  <si>
    <t xml:space="preserve"> タチエス</t>
  </si>
  <si>
    <t xml:space="preserve"> ＫＹＢ</t>
  </si>
  <si>
    <t xml:space="preserve"> NATTY</t>
  </si>
  <si>
    <t xml:space="preserve"> グッドスピ</t>
  </si>
  <si>
    <t xml:space="preserve"> ヤシマキザイ</t>
  </si>
  <si>
    <t xml:space="preserve"> レオクラン</t>
  </si>
  <si>
    <t xml:space="preserve"> メディキット</t>
  </si>
  <si>
    <t xml:space="preserve"> アミファ</t>
  </si>
  <si>
    <t xml:space="preserve"> ソマール</t>
  </si>
  <si>
    <t xml:space="preserve"> 都競馬</t>
  </si>
  <si>
    <t xml:space="preserve"> 03月中旬</t>
  </si>
  <si>
    <t xml:space="preserve"> コンフォリア</t>
  </si>
  <si>
    <t xml:space="preserve"> いちごホテ</t>
  </si>
  <si>
    <t xml:space="preserve"> 04月中旬</t>
  </si>
  <si>
    <t xml:space="preserve"> ＧＬＰ</t>
  </si>
  <si>
    <t xml:space="preserve"> ラサールロジ</t>
  </si>
  <si>
    <t xml:space="preserve"> 12月下旬</t>
  </si>
  <si>
    <t xml:space="preserve"> YE DIGIT</t>
  </si>
  <si>
    <t xml:space="preserve"> 大　光</t>
  </si>
  <si>
    <t xml:space="preserve"> 壱番屋</t>
  </si>
  <si>
    <t xml:space="preserve"> 三益半</t>
  </si>
  <si>
    <t xml:space="preserve"> オークワ</t>
  </si>
  <si>
    <t xml:space="preserve"> しまむら</t>
  </si>
  <si>
    <t xml:space="preserve"> 12月上旬</t>
  </si>
  <si>
    <t xml:space="preserve"> OSGコーポ</t>
  </si>
  <si>
    <t xml:space="preserve"> 12月中旬</t>
  </si>
  <si>
    <t xml:space="preserve"> コーセル</t>
  </si>
  <si>
    <t>太陽ホールディングス</t>
  </si>
  <si>
    <t>ＦＵＪＩ</t>
  </si>
  <si>
    <t>因幡電機産業</t>
  </si>
  <si>
    <t>サトーホールディングス</t>
  </si>
  <si>
    <t>ホシザキ</t>
  </si>
  <si>
    <t>豊田合成</t>
  </si>
  <si>
    <t>中外製薬</t>
  </si>
  <si>
    <t>東芝テック</t>
  </si>
  <si>
    <t>日本通運</t>
  </si>
  <si>
    <t>カシオ計算機</t>
  </si>
  <si>
    <t>野村ホールディングス</t>
  </si>
  <si>
    <t>証券、商品先物取引業</t>
  </si>
  <si>
    <t>ケーヒン</t>
  </si>
  <si>
    <t>小糸製作所</t>
  </si>
  <si>
    <t>ブラザー工業</t>
  </si>
  <si>
    <t>浜松ホトニクス</t>
  </si>
  <si>
    <t>野村不動産ホールディングス</t>
  </si>
  <si>
    <t>728"</t>
  </si>
  <si>
    <t>433"</t>
  </si>
  <si>
    <t xml:space="preserve"> 象　印</t>
  </si>
  <si>
    <t>294"</t>
  </si>
  <si>
    <t xml:space="preserve"> ヒマラヤ</t>
  </si>
  <si>
    <t>710"</t>
  </si>
  <si>
    <t>058"</t>
  </si>
  <si>
    <t>505"</t>
  </si>
  <si>
    <t>123"</t>
  </si>
  <si>
    <t xml:space="preserve"> Ｍ＆Ａ</t>
  </si>
  <si>
    <t xml:space="preserve"> ベネ・ワン</t>
  </si>
  <si>
    <t xml:space="preserve"> ＳＭＳ</t>
  </si>
  <si>
    <t xml:space="preserve"> 亀田菓</t>
  </si>
  <si>
    <t xml:space="preserve"> ALSOK</t>
  </si>
  <si>
    <t xml:space="preserve"> テクノプロHD</t>
  </si>
  <si>
    <t>198"</t>
  </si>
  <si>
    <t xml:space="preserve"> レーザーテク</t>
  </si>
  <si>
    <t xml:space="preserve"> 日新製糖</t>
  </si>
  <si>
    <t>150"</t>
  </si>
  <si>
    <t xml:space="preserve"> 社宅Ｓ</t>
  </si>
  <si>
    <t xml:space="preserve"> パンパシHD</t>
  </si>
  <si>
    <t xml:space="preserve"> Ｊ　Ｔ</t>
  </si>
  <si>
    <t xml:space="preserve"> 森永菓</t>
  </si>
  <si>
    <t xml:space="preserve"> SBSHD</t>
  </si>
  <si>
    <t xml:space="preserve"> ツクイ</t>
  </si>
  <si>
    <t xml:space="preserve"> リビン保証</t>
  </si>
  <si>
    <t>070"</t>
  </si>
  <si>
    <t xml:space="preserve"> エスクリ</t>
  </si>
  <si>
    <t xml:space="preserve"> 共同ＰＲ</t>
  </si>
  <si>
    <t xml:space="preserve"> シイエム・シイ</t>
  </si>
  <si>
    <t xml:space="preserve"> fonfun</t>
  </si>
  <si>
    <t xml:space="preserve"> 岡本工</t>
  </si>
  <si>
    <t xml:space="preserve"> パーソルHD</t>
  </si>
  <si>
    <t xml:space="preserve"> イオレ</t>
  </si>
  <si>
    <t xml:space="preserve"> ＩＴＭ</t>
  </si>
  <si>
    <t xml:space="preserve"> デジアーツ</t>
  </si>
  <si>
    <t>429"</t>
  </si>
  <si>
    <t xml:space="preserve"> 博　展</t>
  </si>
  <si>
    <t xml:space="preserve"> エヌアイデイ</t>
  </si>
  <si>
    <t xml:space="preserve"> ユビテック</t>
  </si>
  <si>
    <t>229"</t>
  </si>
  <si>
    <t>641"</t>
  </si>
  <si>
    <t xml:space="preserve"> カナディアン</t>
  </si>
  <si>
    <t>354"</t>
  </si>
  <si>
    <t xml:space="preserve"> アイリック</t>
  </si>
  <si>
    <t xml:space="preserve"> 保険業</t>
  </si>
  <si>
    <t xml:space="preserve"> 穴吹興産</t>
  </si>
  <si>
    <t>217"</t>
  </si>
  <si>
    <t>`</t>
    <phoneticPr fontId="1" type="noConversion"/>
  </si>
  <si>
    <t>単に運がよかった</t>
    <phoneticPr fontId="1" type="noConversion"/>
  </si>
  <si>
    <t>売</t>
    <phoneticPr fontId="1" type="noConversion"/>
  </si>
  <si>
    <t>Total</t>
    <phoneticPr fontId="1" type="noConversion"/>
  </si>
  <si>
    <t>Current</t>
    <phoneticPr fontId="1" type="noConversion"/>
  </si>
  <si>
    <t>買</t>
    <phoneticPr fontId="1" type="noConversion"/>
  </si>
  <si>
    <t>1/1/12</t>
  </si>
  <si>
    <t>Setup</t>
  </si>
  <si>
    <t>1/6/8</t>
  </si>
  <si>
    <t>5/6/7</t>
  </si>
  <si>
    <t>現物</t>
    <phoneticPr fontId="1" type="noConversion"/>
  </si>
  <si>
    <t>税込</t>
    <phoneticPr fontId="1" type="noConversion"/>
  </si>
  <si>
    <t>税率</t>
    <phoneticPr fontId="1" type="noConversion"/>
  </si>
  <si>
    <t>制度信用</t>
    <phoneticPr fontId="1" type="noConversion"/>
  </si>
  <si>
    <t>&lt;500000</t>
    <phoneticPr fontId="1" type="noConversion"/>
  </si>
  <si>
    <t>&gt;500000</t>
    <phoneticPr fontId="1" type="noConversion"/>
  </si>
  <si>
    <t>買方金利</t>
    <phoneticPr fontId="1" type="noConversion"/>
  </si>
  <si>
    <t>貸株料</t>
    <phoneticPr fontId="1" type="noConversion"/>
  </si>
  <si>
    <r>
      <rPr>
        <sz val="11"/>
        <color rgb="FF000000"/>
        <rFont val="FangSong"/>
        <family val="3"/>
        <charset val="134"/>
      </rPr>
      <t>：</t>
    </r>
    <r>
      <rPr>
        <sz val="11"/>
        <color rgb="FF000000"/>
        <rFont val="Arial"/>
        <family val="2"/>
      </rPr>
      <t>2.80</t>
    </r>
    <r>
      <rPr>
        <sz val="11"/>
        <color rgb="FF000000"/>
        <rFont val="FangSong"/>
        <family val="3"/>
        <charset val="134"/>
      </rPr>
      <t>％</t>
    </r>
    <phoneticPr fontId="1" type="noConversion"/>
  </si>
  <si>
    <t>(超割コース　税抜)</t>
    <phoneticPr fontId="1" type="noConversion"/>
  </si>
  <si>
    <t>(税込)</t>
    <phoneticPr fontId="1" type="noConversion"/>
  </si>
  <si>
    <t>Close</t>
  </si>
  <si>
    <t>ＮＳＤ</t>
  </si>
  <si>
    <t>ディップ</t>
  </si>
  <si>
    <t>ＮＴＴドコモ</t>
  </si>
  <si>
    <t>塩野義製薬</t>
  </si>
  <si>
    <t>4/6/6</t>
  </si>
  <si>
    <t>3/5/6</t>
  </si>
  <si>
    <t>7/8/3</t>
  </si>
  <si>
    <t>556"</t>
  </si>
  <si>
    <t>012"</t>
  </si>
  <si>
    <t>605"</t>
  </si>
  <si>
    <t>107"</t>
  </si>
  <si>
    <t>562"</t>
  </si>
  <si>
    <t>091"</t>
  </si>
  <si>
    <t>258"</t>
  </si>
  <si>
    <t>346"</t>
  </si>
  <si>
    <t>895"</t>
  </si>
  <si>
    <t>967"</t>
  </si>
  <si>
    <t>105"</t>
  </si>
  <si>
    <t xml:space="preserve"> 12/24</t>
  </si>
  <si>
    <t>282"</t>
  </si>
  <si>
    <t>301"</t>
  </si>
  <si>
    <t xml:space="preserve"> TAKARA&amp;C</t>
  </si>
  <si>
    <t>245"</t>
  </si>
  <si>
    <t>389"</t>
  </si>
  <si>
    <t>670"</t>
  </si>
  <si>
    <t>" 67</t>
  </si>
  <si>
    <t>569"</t>
  </si>
  <si>
    <t xml:space="preserve"> トレファク</t>
  </si>
  <si>
    <t xml:space="preserve"> いちご</t>
  </si>
  <si>
    <t>177"</t>
  </si>
  <si>
    <t xml:space="preserve"> コスモス薬品</t>
  </si>
  <si>
    <t>420"</t>
  </si>
  <si>
    <t xml:space="preserve"> 久光薬</t>
  </si>
  <si>
    <t>488"</t>
  </si>
  <si>
    <t xml:space="preserve"> 佐鳥電機</t>
  </si>
  <si>
    <t xml:space="preserve"> 良品計画</t>
  </si>
  <si>
    <t>952"</t>
  </si>
  <si>
    <t xml:space="preserve"> シグマ光機</t>
  </si>
  <si>
    <t xml:space="preserve"> ＡＩＴ</t>
  </si>
  <si>
    <t xml:space="preserve"> 12:00</t>
  </si>
  <si>
    <t xml:space="preserve"> トウキョベース</t>
  </si>
  <si>
    <t>004"</t>
  </si>
  <si>
    <t>741"</t>
  </si>
  <si>
    <t xml:space="preserve"> プレナス</t>
  </si>
  <si>
    <t>226"</t>
  </si>
  <si>
    <t>412"</t>
  </si>
  <si>
    <t xml:space="preserve"> 阪急神RE</t>
  </si>
  <si>
    <t>183"</t>
  </si>
  <si>
    <t>288"</t>
  </si>
  <si>
    <t>452"</t>
  </si>
  <si>
    <t xml:space="preserve"> 14:00</t>
  </si>
  <si>
    <t xml:space="preserve"> 大豊工業</t>
  </si>
  <si>
    <t xml:space="preserve"> 味の素</t>
  </si>
  <si>
    <t>033"</t>
  </si>
  <si>
    <t>102"</t>
  </si>
  <si>
    <t>850"</t>
  </si>
  <si>
    <t xml:space="preserve"> ヒューリック</t>
  </si>
  <si>
    <t xml:space="preserve"> TOKAI HD</t>
  </si>
  <si>
    <t>528"</t>
  </si>
  <si>
    <t xml:space="preserve"> 明治電機</t>
  </si>
  <si>
    <t xml:space="preserve"> 電　算</t>
  </si>
  <si>
    <t xml:space="preserve"> JR東日本</t>
  </si>
  <si>
    <t>" 37</t>
  </si>
  <si>
    <t>744"</t>
  </si>
  <si>
    <t xml:space="preserve"> トーカロ</t>
  </si>
  <si>
    <t>642"</t>
  </si>
  <si>
    <t>116"</t>
  </si>
  <si>
    <t>929"</t>
  </si>
  <si>
    <t xml:space="preserve"> UNITED</t>
  </si>
  <si>
    <t xml:space="preserve"> ＺＯＺＯ</t>
  </si>
  <si>
    <t>688"</t>
  </si>
  <si>
    <t xml:space="preserve"> ココカラファイン</t>
  </si>
  <si>
    <t>630"</t>
  </si>
  <si>
    <t xml:space="preserve"> ファンデリー</t>
  </si>
  <si>
    <t xml:space="preserve"> イチカワ</t>
  </si>
  <si>
    <t xml:space="preserve"> ワコールHD</t>
  </si>
  <si>
    <t>042"</t>
  </si>
  <si>
    <t xml:space="preserve"> テクノスJPN</t>
  </si>
  <si>
    <t>081"</t>
  </si>
  <si>
    <t xml:space="preserve"> 東映アニメ</t>
  </si>
  <si>
    <t xml:space="preserve"> ＴＯＴＯ</t>
  </si>
  <si>
    <t>726"</t>
  </si>
  <si>
    <t>196"</t>
  </si>
  <si>
    <t>410"</t>
  </si>
  <si>
    <t xml:space="preserve"> 高千穂交</t>
  </si>
  <si>
    <t xml:space="preserve"> クリエイト</t>
  </si>
  <si>
    <t xml:space="preserve"> テンポイノベ</t>
  </si>
  <si>
    <t xml:space="preserve"> 科研薬</t>
  </si>
  <si>
    <t>729"</t>
  </si>
  <si>
    <t>554"</t>
  </si>
  <si>
    <t xml:space="preserve"> 京　王</t>
  </si>
  <si>
    <t>831"</t>
  </si>
  <si>
    <t xml:space="preserve"> 不二製油</t>
  </si>
  <si>
    <t>" 69</t>
  </si>
  <si>
    <t>833"</t>
  </si>
  <si>
    <t xml:space="preserve"> ウェルネット</t>
  </si>
  <si>
    <t xml:space="preserve"> ニチレイ</t>
  </si>
  <si>
    <t>172"</t>
  </si>
  <si>
    <t>336"</t>
  </si>
  <si>
    <t>" 50</t>
  </si>
  <si>
    <t>300"</t>
  </si>
  <si>
    <t xml:space="preserve"> メルカリ</t>
  </si>
  <si>
    <t xml:space="preserve"> ＣＤＧ</t>
  </si>
  <si>
    <t xml:space="preserve"> ソケッツ</t>
  </si>
  <si>
    <t xml:space="preserve"> アドソル</t>
  </si>
  <si>
    <t>214"</t>
  </si>
  <si>
    <t xml:space="preserve"> 極東貿</t>
  </si>
  <si>
    <t>711"</t>
  </si>
  <si>
    <t>189"</t>
  </si>
  <si>
    <t>531"</t>
  </si>
  <si>
    <t xml:space="preserve"> クロスキャット</t>
  </si>
  <si>
    <t xml:space="preserve"> ＷＤＢ</t>
  </si>
  <si>
    <t xml:space="preserve"> シスロケ</t>
  </si>
  <si>
    <t>536"</t>
  </si>
  <si>
    <t xml:space="preserve"> 旭松食</t>
  </si>
  <si>
    <t xml:space="preserve"> ロードスター</t>
  </si>
  <si>
    <t xml:space="preserve"> イルグルム</t>
  </si>
  <si>
    <t>445"</t>
  </si>
  <si>
    <t xml:space="preserve"> 東洋合成</t>
  </si>
  <si>
    <t xml:space="preserve"> 栗本鉄</t>
  </si>
  <si>
    <t xml:space="preserve"> 鉄鋼</t>
  </si>
  <si>
    <t>449"</t>
  </si>
  <si>
    <t>326"</t>
  </si>
  <si>
    <t>008"</t>
  </si>
  <si>
    <t xml:space="preserve"> ハーモニック</t>
  </si>
  <si>
    <t>647"</t>
  </si>
  <si>
    <t>075"</t>
  </si>
  <si>
    <t xml:space="preserve"> ヴィンクス</t>
  </si>
  <si>
    <t>411"</t>
  </si>
  <si>
    <t xml:space="preserve"> テラプロ</t>
  </si>
  <si>
    <t xml:space="preserve"> フォーライフ</t>
  </si>
  <si>
    <t xml:space="preserve"> ファインデクス</t>
  </si>
  <si>
    <t xml:space="preserve"> モブキャストH</t>
  </si>
  <si>
    <t>399"</t>
  </si>
  <si>
    <t xml:space="preserve"> ササクラ</t>
  </si>
  <si>
    <t>629"</t>
  </si>
  <si>
    <t>798"</t>
  </si>
  <si>
    <t xml:space="preserve"> インフォマート</t>
  </si>
  <si>
    <t>545"</t>
  </si>
  <si>
    <t xml:space="preserve"> ＩＣＤＡ</t>
  </si>
  <si>
    <t xml:space="preserve"> フェイスNW</t>
  </si>
  <si>
    <t>151"</t>
  </si>
  <si>
    <t>891"</t>
  </si>
  <si>
    <t xml:space="preserve"> 3/2</t>
  </si>
  <si>
    <t>853"</t>
  </si>
  <si>
    <t xml:space="preserve"> 3/3</t>
  </si>
  <si>
    <t>491"</t>
  </si>
  <si>
    <t xml:space="preserve"> トヨタ紡織</t>
  </si>
  <si>
    <t>211"</t>
  </si>
  <si>
    <t xml:space="preserve"> マクニカ富士</t>
  </si>
  <si>
    <t>191"</t>
  </si>
  <si>
    <t>121"</t>
  </si>
  <si>
    <t xml:space="preserve"> LIXILビ</t>
  </si>
  <si>
    <t xml:space="preserve"> イーブック</t>
  </si>
  <si>
    <t xml:space="preserve"> さくら</t>
  </si>
  <si>
    <t>811"</t>
  </si>
  <si>
    <t>084"</t>
  </si>
  <si>
    <t>" 20</t>
  </si>
  <si>
    <t>984"</t>
  </si>
  <si>
    <t>" 24</t>
  </si>
  <si>
    <t>883"</t>
  </si>
  <si>
    <t>358"</t>
  </si>
  <si>
    <t>206"</t>
  </si>
  <si>
    <t xml:space="preserve"> 西川計測</t>
  </si>
  <si>
    <t>530"</t>
  </si>
  <si>
    <t>331"</t>
  </si>
  <si>
    <t>912"</t>
  </si>
  <si>
    <t>654"</t>
  </si>
  <si>
    <t>736"</t>
  </si>
  <si>
    <t>136"</t>
  </si>
  <si>
    <t>544"</t>
  </si>
  <si>
    <t>789"</t>
  </si>
  <si>
    <t xml:space="preserve"> 技研製</t>
  </si>
  <si>
    <t>659"</t>
  </si>
  <si>
    <t>738"</t>
  </si>
  <si>
    <t>807"</t>
  </si>
  <si>
    <t>639"</t>
  </si>
  <si>
    <t>989"</t>
  </si>
  <si>
    <t xml:space="preserve"> オールアバウト</t>
  </si>
  <si>
    <t xml:space="preserve"> あらた</t>
  </si>
  <si>
    <t xml:space="preserve"> 双  日</t>
  </si>
  <si>
    <t>368"</t>
  </si>
  <si>
    <t xml:space="preserve"> 焼津水</t>
  </si>
  <si>
    <t xml:space="preserve"> シノブフース</t>
  </si>
  <si>
    <t xml:space="preserve"> ケンコーマヨ</t>
  </si>
  <si>
    <t xml:space="preserve"> フージャース</t>
  </si>
  <si>
    <t xml:space="preserve"> 東急不HD</t>
  </si>
  <si>
    <t>320"</t>
  </si>
  <si>
    <t xml:space="preserve"> 帝　人</t>
  </si>
  <si>
    <t>088"</t>
  </si>
  <si>
    <t xml:space="preserve"> ソトー</t>
  </si>
  <si>
    <t xml:space="preserve"> フジックス</t>
  </si>
  <si>
    <t xml:space="preserve"> ネットイヤー</t>
  </si>
  <si>
    <t xml:space="preserve"> ＴＩＳ</t>
  </si>
  <si>
    <t>917"</t>
  </si>
  <si>
    <t xml:space="preserve"> セック</t>
  </si>
  <si>
    <t>061"</t>
  </si>
  <si>
    <t>454"</t>
  </si>
  <si>
    <t>200"</t>
  </si>
  <si>
    <t>577"</t>
  </si>
  <si>
    <t>271"</t>
  </si>
  <si>
    <t xml:space="preserve"> はごろも</t>
  </si>
  <si>
    <t xml:space="preserve"> 飯田GHD</t>
  </si>
  <si>
    <t>712"</t>
  </si>
  <si>
    <t xml:space="preserve"> 関門海</t>
  </si>
  <si>
    <t xml:space="preserve"> ＤＭＰ</t>
  </si>
  <si>
    <t xml:space="preserve"> ジェクシード</t>
  </si>
  <si>
    <t>820"</t>
  </si>
  <si>
    <t xml:space="preserve"> コプロHD</t>
  </si>
  <si>
    <t xml:space="preserve"> ＶＴＨＤ</t>
  </si>
  <si>
    <t xml:space="preserve"> 03月上旬</t>
  </si>
  <si>
    <t>256"</t>
  </si>
  <si>
    <t>702"</t>
  </si>
  <si>
    <t>fiscal_data.csv</t>
  </si>
  <si>
    <t>master.csv</t>
    <phoneticPr fontId="1" type="noConversion"/>
  </si>
  <si>
    <t>DATE</t>
  </si>
  <si>
    <t>saya_divide</t>
  </si>
  <si>
    <t>saya_divide_mean</t>
  </si>
  <si>
    <t>saya_divide_std</t>
  </si>
  <si>
    <t>saya_divide_sigma</t>
  </si>
  <si>
    <t>deviation_rate(%)</t>
  </si>
  <si>
    <t>STOP PROFIT</t>
  </si>
  <si>
    <t>YEAR</t>
    <phoneticPr fontId="1" type="noConversion"/>
  </si>
  <si>
    <t>MONTH</t>
    <phoneticPr fontId="1" type="noConversion"/>
  </si>
  <si>
    <t>Avg Trade
Loss</t>
    <phoneticPr fontId="1" type="noConversion"/>
  </si>
  <si>
    <t>Avg Trade
Period</t>
    <phoneticPr fontId="1" type="noConversion"/>
  </si>
  <si>
    <t>Max
Drawdown</t>
    <phoneticPr fontId="1" type="noConversion"/>
  </si>
  <si>
    <t>Max
consecutive
Losing</t>
    <phoneticPr fontId="1" type="noConversion"/>
  </si>
  <si>
    <t>Stop
Profit
Trades</t>
    <phoneticPr fontId="1" type="noConversion"/>
  </si>
  <si>
    <t>Stop
Loss
Trades</t>
    <phoneticPr fontId="1" type="noConversion"/>
  </si>
  <si>
    <t>Initial 
Amount</t>
    <phoneticPr fontId="1" type="noConversion"/>
  </si>
  <si>
    <t>Total
Return</t>
    <phoneticPr fontId="1" type="noConversion"/>
  </si>
  <si>
    <t>Total
Return
%</t>
    <phoneticPr fontId="1" type="noConversion"/>
  </si>
  <si>
    <t>Completed
trades</t>
    <phoneticPr fontId="1" type="noConversion"/>
  </si>
  <si>
    <t>Winning
trades</t>
    <phoneticPr fontId="1" type="noConversion"/>
  </si>
  <si>
    <t>Losing
trades</t>
    <phoneticPr fontId="1" type="noConversion"/>
  </si>
  <si>
    <t>Avg Trade
Profit</t>
    <phoneticPr fontId="1" type="noConversion"/>
  </si>
  <si>
    <t>Max
Drawdown%</t>
    <phoneticPr fontId="1" type="noConversion"/>
  </si>
  <si>
    <t>Max
consecutive
Winning</t>
    <phoneticPr fontId="1" type="noConversion"/>
  </si>
  <si>
    <t>Other
Trades</t>
    <phoneticPr fontId="1" type="noConversion"/>
  </si>
  <si>
    <t>Total
Profit
+</t>
    <phoneticPr fontId="1" type="noConversion"/>
  </si>
  <si>
    <t>Total
Loss
-</t>
    <phoneticPr fontId="1" type="noConversion"/>
  </si>
  <si>
    <t>Winning
(勝率)</t>
    <phoneticPr fontId="1" type="noConversion"/>
  </si>
  <si>
    <t>OVER
MAX  
Day
Trades</t>
    <phoneticPr fontId="1" type="noConversion"/>
  </si>
  <si>
    <t>月次</t>
    <phoneticPr fontId="1" type="noConversion"/>
  </si>
  <si>
    <r>
      <t xml:space="preserve">OVER MAX </t>
    </r>
    <r>
      <rPr>
        <b/>
        <sz val="10"/>
        <color theme="1"/>
        <rFont val="FangSong"/>
        <family val="3"/>
        <charset val="134"/>
      </rPr>
      <t>DAY</t>
    </r>
    <phoneticPr fontId="1" type="noConversion"/>
  </si>
  <si>
    <t>OVER MAX DAY</t>
  </si>
  <si>
    <t>STOP PROFIT</t>
    <phoneticPr fontId="1" type="noConversion"/>
  </si>
  <si>
    <t>エムスリー</t>
  </si>
  <si>
    <t>ジャストシステム</t>
  </si>
  <si>
    <t>東京精密</t>
  </si>
  <si>
    <t>クレディセゾン</t>
  </si>
  <si>
    <t>イオンディライト</t>
  </si>
  <si>
    <t>七十七銀行</t>
  </si>
  <si>
    <t>富士通ゼネラル</t>
  </si>
  <si>
    <t>オムロン</t>
  </si>
  <si>
    <t>村田製作所</t>
  </si>
  <si>
    <t>ＴＫＣ</t>
  </si>
  <si>
    <t>三井住友フィナンシャルグループ</t>
  </si>
  <si>
    <t>ＪＣＲファーマ</t>
  </si>
  <si>
    <t>日東紡績</t>
  </si>
  <si>
    <t>東京電力ホールディングス</t>
  </si>
  <si>
    <t>九州電力</t>
  </si>
  <si>
    <t>プリマハム</t>
  </si>
  <si>
    <t>3/6/6</t>
  </si>
  <si>
    <t>2/5/6</t>
  </si>
  <si>
    <t>4/6/7</t>
  </si>
  <si>
    <t>4/6/5</t>
  </si>
  <si>
    <t>8/10/2</t>
  </si>
  <si>
    <t>2/4/9</t>
  </si>
  <si>
    <t>2/3/12</t>
  </si>
  <si>
    <t>1/1/8</t>
  </si>
  <si>
    <t>Check</t>
  </si>
  <si>
    <t>現物</t>
    <phoneticPr fontId="1" type="noConversion"/>
  </si>
  <si>
    <t>制度</t>
    <phoneticPr fontId="1" type="noConversion"/>
  </si>
  <si>
    <t>OPEN_5991</t>
  </si>
  <si>
    <t>CLOSE_5991</t>
  </si>
  <si>
    <t>OPEN_7267</t>
  </si>
  <si>
    <t>CLOSE_7267</t>
  </si>
  <si>
    <t>Spsn</t>
    <phoneticPr fontId="1" type="noConversion"/>
  </si>
  <si>
    <t>シグマ</t>
    <phoneticPr fontId="1" type="noConversion"/>
  </si>
  <si>
    <t>σ</t>
    <phoneticPr fontId="1" type="noConversion"/>
  </si>
  <si>
    <t>σ</t>
    <phoneticPr fontId="1" type="noConversion"/>
  </si>
  <si>
    <t>離率</t>
    <phoneticPr fontId="1" type="noConversion"/>
  </si>
  <si>
    <t>差分</t>
    <phoneticPr fontId="1" type="noConversion"/>
  </si>
  <si>
    <t>差分</t>
    <phoneticPr fontId="1" type="noConversion"/>
  </si>
  <si>
    <t>Total Profit</t>
    <phoneticPr fontId="1" type="noConversion"/>
  </si>
  <si>
    <t>CORR
3M</t>
    <phoneticPr fontId="1" type="noConversion"/>
  </si>
  <si>
    <t>Corr-3M</t>
    <phoneticPr fontId="1" type="noConversion"/>
  </si>
  <si>
    <t>Coint 
3M</t>
    <phoneticPr fontId="1" type="noConversion"/>
  </si>
  <si>
    <t>Corr-1Y</t>
    <phoneticPr fontId="1" type="noConversion"/>
  </si>
  <si>
    <t>Coint-3M</t>
    <phoneticPr fontId="1" type="noConversion"/>
  </si>
  <si>
    <t>Coint-1Y</t>
    <phoneticPr fontId="1" type="noConversion"/>
  </si>
  <si>
    <t>BT Profit</t>
    <phoneticPr fontId="1" type="noConversion"/>
  </si>
  <si>
    <t>日本発條</t>
    <phoneticPr fontId="1" type="noConversion"/>
  </si>
  <si>
    <t>本田技研工業</t>
    <phoneticPr fontId="1" type="noConversion"/>
  </si>
  <si>
    <t>日清紡ホールディングス</t>
    <phoneticPr fontId="1" type="noConversion"/>
  </si>
  <si>
    <t>シチズン時計</t>
    <phoneticPr fontId="1" type="noConversion"/>
  </si>
  <si>
    <t>制度</t>
    <phoneticPr fontId="1" type="noConversion"/>
  </si>
  <si>
    <t>日本発條</t>
    <phoneticPr fontId="1" type="noConversion"/>
  </si>
  <si>
    <t>本田技研工業</t>
    <phoneticPr fontId="1" type="noConversion"/>
  </si>
  <si>
    <r>
      <t>3105</t>
    </r>
    <r>
      <rPr>
        <sz val="11"/>
        <color theme="1"/>
        <rFont val="FangSong"/>
        <family val="3"/>
        <charset val="134"/>
      </rPr>
      <t>空売り危ない、高値更新したため、保留</t>
    </r>
    <phoneticPr fontId="1" type="noConversion"/>
  </si>
</sst>
</file>

<file path=xl/styles.xml><?xml version="1.0" encoding="utf-8"?>
<styleSheet xmlns="http://schemas.openxmlformats.org/spreadsheetml/2006/main">
  <numFmts count="10">
    <numFmt numFmtId="6" formatCode="&quot;¥&quot;#,##0;[Red]\-&quot;¥&quot;#,##0"/>
    <numFmt numFmtId="176" formatCode="&quot;¥&quot;#,##0_);\(&quot;¥&quot;#,##0\)"/>
    <numFmt numFmtId="177" formatCode="yyyy/m/d;@"/>
    <numFmt numFmtId="178" formatCode="0_);\(0\)"/>
    <numFmt numFmtId="179" formatCode="0.0_ "/>
    <numFmt numFmtId="180" formatCode="0.00_ "/>
    <numFmt numFmtId="181" formatCode="0_ "/>
    <numFmt numFmtId="182" formatCode="0_);[Red]\(0\)"/>
    <numFmt numFmtId="183" formatCode="0_ ;[Red]\-0\ "/>
    <numFmt numFmtId="184" formatCode="&quot;¥&quot;#,##0"/>
  </numFmts>
  <fonts count="44">
    <font>
      <sz val="11"/>
      <color theme="1"/>
      <name val="Tahoma"/>
      <family val="2"/>
      <charset val="134"/>
    </font>
    <font>
      <sz val="9"/>
      <name val="Tahoma"/>
      <family val="2"/>
      <charset val="134"/>
    </font>
    <font>
      <sz val="11"/>
      <color theme="1"/>
      <name val="FangSong"/>
      <family val="3"/>
      <charset val="134"/>
    </font>
    <font>
      <b/>
      <sz val="11"/>
      <color theme="1"/>
      <name val="FangSong"/>
      <family val="3"/>
      <charset val="134"/>
    </font>
    <font>
      <sz val="11"/>
      <color rgb="FF000000"/>
      <name val="FangSong"/>
      <family val="3"/>
    </font>
    <font>
      <b/>
      <sz val="9"/>
      <color rgb="FF1671AE"/>
      <name val="MS UI Gothic"/>
      <family val="3"/>
      <charset val="128"/>
    </font>
    <font>
      <b/>
      <sz val="11"/>
      <name val="FangSong"/>
      <family val="3"/>
      <charset val="134"/>
    </font>
    <font>
      <b/>
      <sz val="11"/>
      <color theme="1"/>
      <name val="FangSong"/>
      <family val="3"/>
    </font>
    <font>
      <b/>
      <sz val="9"/>
      <color theme="1"/>
      <name val="FangSong"/>
      <family val="3"/>
    </font>
    <font>
      <b/>
      <sz val="10"/>
      <color theme="1"/>
      <name val="FangSong"/>
      <family val="3"/>
    </font>
    <font>
      <sz val="10"/>
      <color theme="1"/>
      <name val="FangSong"/>
      <family val="3"/>
      <charset val="134"/>
    </font>
    <font>
      <sz val="10"/>
      <color theme="1"/>
      <name val="Tahoma"/>
      <family val="2"/>
      <charset val="134"/>
    </font>
    <font>
      <sz val="11"/>
      <color rgb="FFFF0000"/>
      <name val="Tahoma"/>
      <family val="2"/>
    </font>
    <font>
      <b/>
      <sz val="10"/>
      <color theme="0"/>
      <name val="FangSong"/>
      <family val="3"/>
      <charset val="134"/>
    </font>
    <font>
      <b/>
      <sz val="10"/>
      <color rgb="FFFF0000"/>
      <name val="FangSong"/>
      <family val="3"/>
    </font>
    <font>
      <b/>
      <sz val="10"/>
      <color theme="0"/>
      <name val="FangSong"/>
      <family val="3"/>
    </font>
    <font>
      <sz val="10"/>
      <color theme="1"/>
      <name val="Tahoma"/>
      <family val="2"/>
    </font>
    <font>
      <sz val="10"/>
      <color theme="1"/>
      <name val="FangSong"/>
      <family val="3"/>
    </font>
    <font>
      <b/>
      <sz val="11"/>
      <color theme="1"/>
      <name val="Tahoma"/>
      <family val="2"/>
      <charset val="134"/>
    </font>
    <font>
      <b/>
      <sz val="11"/>
      <color rgb="FFFF0000"/>
      <name val="Tahoma"/>
      <family val="2"/>
    </font>
    <font>
      <b/>
      <sz val="11"/>
      <color theme="1"/>
      <name val="Tahoma"/>
      <family val="2"/>
    </font>
    <font>
      <b/>
      <sz val="11"/>
      <color theme="3"/>
      <name val="FangSong"/>
      <family val="3"/>
      <charset val="134"/>
    </font>
    <font>
      <b/>
      <sz val="11"/>
      <color rgb="FF000000"/>
      <name val="Arial"/>
      <family val="2"/>
    </font>
    <font>
      <b/>
      <sz val="11"/>
      <color rgb="FFFFFFFF"/>
      <name val="Arial"/>
      <family val="2"/>
    </font>
    <font>
      <sz val="11"/>
      <color rgb="FF000000"/>
      <name val="Arial"/>
      <family val="2"/>
    </font>
    <font>
      <b/>
      <sz val="12"/>
      <color rgb="FFFF0000"/>
      <name val="FangSong"/>
      <family val="3"/>
      <charset val="134"/>
    </font>
    <font>
      <sz val="11"/>
      <color rgb="FFFFFFFF"/>
      <name val="Arial"/>
      <family val="2"/>
    </font>
    <font>
      <b/>
      <sz val="10"/>
      <color theme="1"/>
      <name val="Tahoma"/>
      <family val="2"/>
    </font>
    <font>
      <b/>
      <sz val="10"/>
      <color theme="1"/>
      <name val="FangSong"/>
      <family val="3"/>
      <charset val="134"/>
    </font>
    <font>
      <b/>
      <sz val="8"/>
      <color theme="3" tint="0.59999389629810485"/>
      <name val="Tahoma"/>
      <family val="2"/>
    </font>
    <font>
      <u/>
      <sz val="11"/>
      <color theme="10"/>
      <name val="Tahoma"/>
      <family val="2"/>
    </font>
    <font>
      <b/>
      <sz val="11"/>
      <color theme="3" tint="0.59999389629810485"/>
      <name val="Tahoma"/>
      <family val="2"/>
    </font>
    <font>
      <sz val="10"/>
      <color rgb="FFFF0000"/>
      <name val="Tahoma"/>
      <family val="2"/>
    </font>
    <font>
      <b/>
      <sz val="10"/>
      <color rgb="FFFF0000"/>
      <name val="Tahoma"/>
      <family val="2"/>
    </font>
    <font>
      <b/>
      <sz val="11"/>
      <color theme="3"/>
      <name val="Tahoma"/>
      <family val="2"/>
    </font>
    <font>
      <sz val="11"/>
      <color rgb="FF000000"/>
      <name val="Tahoma"/>
      <family val="2"/>
    </font>
    <font>
      <sz val="11"/>
      <color rgb="FF000000"/>
      <name val="FangSong"/>
      <family val="3"/>
      <charset val="134"/>
    </font>
    <font>
      <b/>
      <sz val="10"/>
      <color rgb="FF0000FF"/>
      <name val="Tahoma"/>
      <family val="2"/>
    </font>
    <font>
      <sz val="11"/>
      <color rgb="FFFF0000"/>
      <name val="Tahoma"/>
      <family val="2"/>
      <charset val="134"/>
    </font>
    <font>
      <b/>
      <sz val="11"/>
      <color rgb="FFFF0000"/>
      <name val="FangSong"/>
      <family val="3"/>
      <charset val="134"/>
    </font>
    <font>
      <sz val="11"/>
      <color rgb="FF006100"/>
      <name val="宋体"/>
      <family val="2"/>
      <charset val="134"/>
      <scheme val="minor"/>
    </font>
    <font>
      <sz val="10"/>
      <name val="FangSong"/>
      <family val="3"/>
      <charset val="134"/>
    </font>
    <font>
      <sz val="10"/>
      <color rgb="FF0070C0"/>
      <name val="FangSong"/>
      <family val="3"/>
      <charset val="134"/>
    </font>
    <font>
      <sz val="9"/>
      <name val="Microsoft YaHei"/>
      <family val="2"/>
      <charset val="134"/>
    </font>
  </fonts>
  <fills count="26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F4DA2"/>
        <bgColor indexed="64"/>
      </patternFill>
    </fill>
    <fill>
      <patternFill patternType="solid">
        <fgColor rgb="FFE9EBF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D3567A"/>
        <bgColor indexed="64"/>
      </patternFill>
    </fill>
    <fill>
      <patternFill patternType="solid">
        <fgColor rgb="FF3CC5EA"/>
        <bgColor indexed="64"/>
      </patternFill>
    </fill>
    <fill>
      <patternFill patternType="solid">
        <fgColor rgb="FFEB8A18"/>
        <bgColor indexed="64"/>
      </patternFill>
    </fill>
    <fill>
      <patternFill patternType="solid">
        <fgColor rgb="FF254F84"/>
        <bgColor indexed="64"/>
      </patternFill>
    </fill>
    <fill>
      <patternFill patternType="solid">
        <fgColor rgb="FFCFD5E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C6EFCE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theme="3" tint="0.39997558519241921"/>
      </left>
      <right style="dotted">
        <color theme="3" tint="0.39997558519241921"/>
      </right>
      <top style="dotted">
        <color theme="3" tint="0.39997558519241921"/>
      </top>
      <bottom style="dotted">
        <color theme="3" tint="0.39997558519241921"/>
      </bottom>
      <diagonal/>
    </border>
  </borders>
  <cellStyleXfs count="3">
    <xf numFmtId="0" fontId="0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40" fillId="25" borderId="0" applyNumberFormat="0" applyBorder="0" applyAlignment="0" applyProtection="0">
      <alignment vertical="center"/>
    </xf>
  </cellStyleXfs>
  <cellXfs count="288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2" fillId="3" borderId="1" xfId="0" applyFont="1" applyFill="1" applyBorder="1"/>
    <xf numFmtId="14" fontId="2" fillId="0" borderId="1" xfId="0" applyNumberFormat="1" applyFont="1" applyBorder="1"/>
    <xf numFmtId="0" fontId="0" fillId="5" borderId="1" xfId="0" applyFill="1" applyBorder="1"/>
    <xf numFmtId="9" fontId="0" fillId="0" borderId="1" xfId="0" applyNumberFormat="1" applyBorder="1"/>
    <xf numFmtId="0" fontId="0" fillId="0" borderId="2" xfId="0" applyBorder="1"/>
    <xf numFmtId="0" fontId="0" fillId="6" borderId="3" xfId="0" applyFill="1" applyBorder="1"/>
    <xf numFmtId="0" fontId="0" fillId="0" borderId="0" xfId="0" applyBorder="1"/>
    <xf numFmtId="176" fontId="0" fillId="0" borderId="1" xfId="0" applyNumberFormat="1" applyBorder="1"/>
    <xf numFmtId="0" fontId="0" fillId="0" borderId="4" xfId="0" applyBorder="1"/>
    <xf numFmtId="0" fontId="2" fillId="2" borderId="0" xfId="0" applyFont="1" applyFill="1"/>
    <xf numFmtId="0" fontId="2" fillId="8" borderId="0" xfId="0" applyFont="1" applyFill="1"/>
    <xf numFmtId="0" fontId="2" fillId="8" borderId="1" xfId="0" applyFont="1" applyFill="1" applyBorder="1"/>
    <xf numFmtId="14" fontId="0" fillId="2" borderId="1" xfId="0" applyNumberFormat="1" applyFill="1" applyBorder="1"/>
    <xf numFmtId="0" fontId="0" fillId="2" borderId="1" xfId="0" applyFill="1" applyBorder="1"/>
    <xf numFmtId="0" fontId="3" fillId="0" borderId="0" xfId="0" applyFont="1"/>
    <xf numFmtId="14" fontId="0" fillId="0" borderId="0" xfId="0" applyNumberFormat="1"/>
    <xf numFmtId="11" fontId="0" fillId="0" borderId="0" xfId="0" applyNumberFormat="1"/>
    <xf numFmtId="0" fontId="5" fillId="0" borderId="0" xfId="0" applyFont="1"/>
    <xf numFmtId="0" fontId="0" fillId="0" borderId="0" xfId="0" applyAlignment="1">
      <alignment vertical="center"/>
    </xf>
    <xf numFmtId="0" fontId="0" fillId="14" borderId="1" xfId="0" applyFill="1" applyBorder="1"/>
    <xf numFmtId="0" fontId="0" fillId="15" borderId="1" xfId="0" applyFill="1" applyBorder="1"/>
    <xf numFmtId="181" fontId="0" fillId="15" borderId="1" xfId="0" applyNumberFormat="1" applyFill="1" applyBorder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79" fontId="0" fillId="15" borderId="1" xfId="0" applyNumberFormat="1" applyFill="1" applyBorder="1"/>
    <xf numFmtId="0" fontId="10" fillId="0" borderId="0" xfId="0" applyFont="1"/>
    <xf numFmtId="0" fontId="16" fillId="4" borderId="6" xfId="0" applyFont="1" applyFill="1" applyBorder="1" applyAlignment="1">
      <alignment horizontal="center"/>
    </xf>
    <xf numFmtId="178" fontId="16" fillId="4" borderId="6" xfId="0" applyNumberFormat="1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 vertical="center"/>
    </xf>
    <xf numFmtId="0" fontId="16" fillId="4" borderId="6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/>
    </xf>
    <xf numFmtId="178" fontId="16" fillId="10" borderId="1" xfId="0" applyNumberFormat="1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/>
    </xf>
    <xf numFmtId="178" fontId="16" fillId="4" borderId="1" xfId="0" applyNumberFormat="1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0" fillId="4" borderId="6" xfId="0" applyFont="1" applyFill="1" applyBorder="1" applyAlignment="1">
      <alignment horizontal="center"/>
    </xf>
    <xf numFmtId="0" fontId="10" fillId="10" borderId="1" xfId="0" applyFont="1" applyFill="1" applyBorder="1" applyAlignment="1">
      <alignment horizontal="center"/>
    </xf>
    <xf numFmtId="0" fontId="10" fillId="4" borderId="1" xfId="0" applyFont="1" applyFill="1" applyBorder="1" applyAlignment="1">
      <alignment horizontal="center"/>
    </xf>
    <xf numFmtId="179" fontId="16" fillId="4" borderId="6" xfId="0" applyNumberFormat="1" applyFont="1" applyFill="1" applyBorder="1" applyAlignment="1">
      <alignment horizontal="center"/>
    </xf>
    <xf numFmtId="179" fontId="16" fillId="10" borderId="1" xfId="0" applyNumberFormat="1" applyFont="1" applyFill="1" applyBorder="1" applyAlignment="1">
      <alignment horizontal="center"/>
    </xf>
    <xf numFmtId="179" fontId="16" fillId="4" borderId="1" xfId="0" applyNumberFormat="1" applyFont="1" applyFill="1" applyBorder="1" applyAlignment="1">
      <alignment horizontal="center"/>
    </xf>
    <xf numFmtId="180" fontId="16" fillId="4" borderId="6" xfId="0" applyNumberFormat="1" applyFont="1" applyFill="1" applyBorder="1" applyAlignment="1">
      <alignment horizontal="center"/>
    </xf>
    <xf numFmtId="6" fontId="16" fillId="4" borderId="6" xfId="0" applyNumberFormat="1" applyFont="1" applyFill="1" applyBorder="1" applyAlignment="1">
      <alignment horizontal="center"/>
    </xf>
    <xf numFmtId="10" fontId="16" fillId="4" borderId="6" xfId="0" applyNumberFormat="1" applyFont="1" applyFill="1" applyBorder="1" applyAlignment="1">
      <alignment horizontal="center"/>
    </xf>
    <xf numFmtId="180" fontId="16" fillId="10" borderId="1" xfId="0" applyNumberFormat="1" applyFont="1" applyFill="1" applyBorder="1" applyAlignment="1">
      <alignment horizontal="center"/>
    </xf>
    <xf numFmtId="6" fontId="16" fillId="10" borderId="1" xfId="0" applyNumberFormat="1" applyFont="1" applyFill="1" applyBorder="1" applyAlignment="1">
      <alignment horizontal="center"/>
    </xf>
    <xf numFmtId="10" fontId="16" fillId="10" borderId="1" xfId="0" applyNumberFormat="1" applyFont="1" applyFill="1" applyBorder="1" applyAlignment="1">
      <alignment horizontal="center"/>
    </xf>
    <xf numFmtId="180" fontId="16" fillId="4" borderId="1" xfId="0" applyNumberFormat="1" applyFont="1" applyFill="1" applyBorder="1" applyAlignment="1">
      <alignment horizontal="center"/>
    </xf>
    <xf numFmtId="6" fontId="16" fillId="4" borderId="1" xfId="0" applyNumberFormat="1" applyFont="1" applyFill="1" applyBorder="1" applyAlignment="1">
      <alignment horizontal="center"/>
    </xf>
    <xf numFmtId="10" fontId="16" fillId="4" borderId="1" xfId="0" applyNumberFormat="1" applyFont="1" applyFill="1" applyBorder="1" applyAlignment="1">
      <alignment horizontal="center"/>
    </xf>
    <xf numFmtId="0" fontId="17" fillId="4" borderId="6" xfId="0" applyFont="1" applyFill="1" applyBorder="1" applyAlignment="1">
      <alignment horizontal="center" shrinkToFit="1"/>
    </xf>
    <xf numFmtId="0" fontId="10" fillId="4" borderId="6" xfId="0" applyFont="1" applyFill="1" applyBorder="1" applyAlignment="1">
      <alignment horizontal="left" shrinkToFit="1"/>
    </xf>
    <xf numFmtId="0" fontId="17" fillId="10" borderId="6" xfId="0" applyFont="1" applyFill="1" applyBorder="1" applyAlignment="1">
      <alignment horizontal="left" shrinkToFit="1"/>
    </xf>
    <xf numFmtId="0" fontId="17" fillId="4" borderId="6" xfId="0" applyFont="1" applyFill="1" applyBorder="1" applyAlignment="1">
      <alignment horizontal="left" shrinkToFit="1"/>
    </xf>
    <xf numFmtId="0" fontId="18" fillId="0" borderId="0" xfId="0" applyFont="1"/>
    <xf numFmtId="0" fontId="21" fillId="0" borderId="0" xfId="0" applyFont="1"/>
    <xf numFmtId="0" fontId="13" fillId="9" borderId="13" xfId="0" applyFont="1" applyFill="1" applyBorder="1" applyAlignment="1">
      <alignment horizontal="center" vertical="center"/>
    </xf>
    <xf numFmtId="0" fontId="14" fillId="9" borderId="15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/>
    </xf>
    <xf numFmtId="0" fontId="15" fillId="9" borderId="15" xfId="0" applyFont="1" applyFill="1" applyBorder="1" applyAlignment="1">
      <alignment horizontal="center" vertical="center"/>
    </xf>
    <xf numFmtId="0" fontId="14" fillId="9" borderId="16" xfId="0" applyFont="1" applyFill="1" applyBorder="1" applyAlignment="1">
      <alignment horizontal="center" vertical="center"/>
    </xf>
    <xf numFmtId="0" fontId="15" fillId="9" borderId="16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5" fillId="9" borderId="17" xfId="0" applyFont="1" applyFill="1" applyBorder="1" applyAlignment="1">
      <alignment horizontal="center" vertical="center" wrapText="1"/>
    </xf>
    <xf numFmtId="0" fontId="15" fillId="9" borderId="1" xfId="0" applyFont="1" applyFill="1" applyBorder="1" applyAlignment="1">
      <alignment horizontal="center" vertical="center" wrapText="1"/>
    </xf>
    <xf numFmtId="0" fontId="14" fillId="9" borderId="15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left" wrapText="1" indent="1"/>
    </xf>
    <xf numFmtId="0" fontId="24" fillId="0" borderId="21" xfId="0" applyFont="1" applyBorder="1" applyAlignment="1">
      <alignment horizontal="left" wrapText="1"/>
    </xf>
    <xf numFmtId="0" fontId="23" fillId="16" borderId="22" xfId="0" applyFont="1" applyFill="1" applyBorder="1" applyAlignment="1">
      <alignment horizontal="center" vertical="center" wrapText="1"/>
    </xf>
    <xf numFmtId="0" fontId="23" fillId="16" borderId="23" xfId="0" applyFont="1" applyFill="1" applyBorder="1" applyAlignment="1">
      <alignment horizontal="center" vertical="center" wrapText="1"/>
    </xf>
    <xf numFmtId="0" fontId="22" fillId="17" borderId="24" xfId="0" applyFont="1" applyFill="1" applyBorder="1" applyAlignment="1">
      <alignment horizontal="left" wrapText="1"/>
    </xf>
    <xf numFmtId="0" fontId="22" fillId="15" borderId="24" xfId="0" applyFont="1" applyFill="1" applyBorder="1" applyAlignment="1">
      <alignment horizontal="left" wrapText="1"/>
    </xf>
    <xf numFmtId="0" fontId="24" fillId="15" borderId="21" xfId="0" applyFont="1" applyFill="1" applyBorder="1" applyAlignment="1">
      <alignment horizontal="left" wrapText="1"/>
    </xf>
    <xf numFmtId="0" fontId="22" fillId="18" borderId="24" xfId="0" applyFont="1" applyFill="1" applyBorder="1" applyAlignment="1">
      <alignment horizontal="left" wrapText="1"/>
    </xf>
    <xf numFmtId="0" fontId="24" fillId="18" borderId="21" xfId="0" applyFont="1" applyFill="1" applyBorder="1" applyAlignment="1">
      <alignment horizontal="left" wrapText="1"/>
    </xf>
    <xf numFmtId="0" fontId="25" fillId="0" borderId="0" xfId="0" applyFont="1"/>
    <xf numFmtId="0" fontId="24" fillId="0" borderId="25" xfId="0" applyFont="1" applyBorder="1" applyAlignment="1">
      <alignment horizontal="left" vertical="center" wrapText="1"/>
    </xf>
    <xf numFmtId="0" fontId="22" fillId="17" borderId="26" xfId="0" applyFont="1" applyFill="1" applyBorder="1" applyAlignment="1">
      <alignment horizontal="left" wrapText="1"/>
    </xf>
    <xf numFmtId="0" fontId="26" fillId="21" borderId="21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20" borderId="21" xfId="0" applyFont="1" applyFill="1" applyBorder="1" applyAlignment="1">
      <alignment horizontal="left" vertical="center" wrapText="1"/>
    </xf>
    <xf numFmtId="0" fontId="26" fillId="22" borderId="21" xfId="0" applyFont="1" applyFill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0" fillId="0" borderId="32" xfId="0" applyBorder="1"/>
    <xf numFmtId="0" fontId="26" fillId="16" borderId="24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15" borderId="25" xfId="0" applyFont="1" applyFill="1" applyBorder="1" applyAlignment="1">
      <alignment horizontal="left" vertical="center" wrapText="1"/>
    </xf>
    <xf numFmtId="10" fontId="20" fillId="0" borderId="20" xfId="0" applyNumberFormat="1" applyFont="1" applyBorder="1"/>
    <xf numFmtId="0" fontId="15" fillId="9" borderId="15" xfId="0" applyFont="1" applyFill="1" applyBorder="1" applyAlignment="1">
      <alignment horizontal="center" vertical="center" wrapText="1"/>
    </xf>
    <xf numFmtId="6" fontId="29" fillId="0" borderId="13" xfId="0" applyNumberFormat="1" applyFont="1" applyBorder="1"/>
    <xf numFmtId="184" fontId="20" fillId="0" borderId="0" xfId="0" applyNumberFormat="1" applyFont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6" xfId="0" applyBorder="1"/>
    <xf numFmtId="0" fontId="0" fillId="0" borderId="37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NumberFormat="1"/>
    <xf numFmtId="0" fontId="20" fillId="0" borderId="38" xfId="0" applyFont="1" applyBorder="1"/>
    <xf numFmtId="0" fontId="0" fillId="0" borderId="38" xfId="0" applyBorder="1"/>
    <xf numFmtId="0" fontId="16" fillId="10" borderId="1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>
      <alignment vertical="center"/>
    </xf>
    <xf numFmtId="0" fontId="9" fillId="12" borderId="11" xfId="0" applyFont="1" applyFill="1" applyBorder="1" applyAlignment="1">
      <alignment horizontal="center" vertical="center" wrapText="1"/>
    </xf>
    <xf numFmtId="0" fontId="3" fillId="11" borderId="10" xfId="0" applyFont="1" applyFill="1" applyBorder="1" applyAlignment="1">
      <alignment horizontal="center" vertical="center"/>
    </xf>
    <xf numFmtId="0" fontId="7" fillId="7" borderId="10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/>
    </xf>
    <xf numFmtId="0" fontId="8" fillId="5" borderId="8" xfId="0" applyFont="1" applyFill="1" applyBorder="1" applyAlignment="1">
      <alignment horizontal="center" vertical="center" wrapText="1"/>
    </xf>
    <xf numFmtId="0" fontId="8" fillId="5" borderId="9" xfId="0" applyFont="1" applyFill="1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7" fillId="7" borderId="12" xfId="0" applyFont="1" applyFill="1" applyBorder="1" applyAlignment="1">
      <alignment horizontal="center" vertical="center" wrapText="1"/>
    </xf>
    <xf numFmtId="0" fontId="7" fillId="13" borderId="10" xfId="0" applyFont="1" applyFill="1" applyBorder="1" applyAlignment="1">
      <alignment horizontal="center" vertical="center"/>
    </xf>
    <xf numFmtId="0" fontId="7" fillId="13" borderId="11" xfId="0" applyFont="1" applyFill="1" applyBorder="1" applyAlignment="1">
      <alignment horizontal="center" vertical="center"/>
    </xf>
    <xf numFmtId="0" fontId="7" fillId="13" borderId="12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center" wrapText="1"/>
    </xf>
    <xf numFmtId="0" fontId="7" fillId="12" borderId="11" xfId="0" applyFont="1" applyFill="1" applyBorder="1" applyAlignment="1">
      <alignment horizontal="center" vertical="center" wrapText="1"/>
    </xf>
    <xf numFmtId="0" fontId="7" fillId="12" borderId="12" xfId="0" applyFont="1" applyFill="1" applyBorder="1" applyAlignment="1">
      <alignment horizontal="center" vertical="center" wrapText="1"/>
    </xf>
    <xf numFmtId="0" fontId="8" fillId="5" borderId="10" xfId="0" applyFont="1" applyFill="1" applyBorder="1" applyAlignment="1">
      <alignment horizontal="center" vertical="center" wrapText="1"/>
    </xf>
    <xf numFmtId="0" fontId="8" fillId="5" borderId="11" xfId="0" applyFont="1" applyFill="1" applyBorder="1" applyAlignment="1">
      <alignment horizontal="center" vertical="center" wrapText="1"/>
    </xf>
    <xf numFmtId="0" fontId="30" fillId="0" borderId="0" xfId="1" applyAlignment="1" applyProtection="1"/>
    <xf numFmtId="0" fontId="7" fillId="11" borderId="11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 wrapText="1"/>
    </xf>
    <xf numFmtId="183" fontId="20" fillId="0" borderId="19" xfId="0" applyNumberFormat="1" applyFont="1" applyBorder="1"/>
    <xf numFmtId="0" fontId="16" fillId="4" borderId="39" xfId="0" applyFont="1" applyFill="1" applyBorder="1" applyAlignment="1">
      <alignment horizontal="center"/>
    </xf>
    <xf numFmtId="0" fontId="16" fillId="10" borderId="39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49" fontId="0" fillId="0" borderId="0" xfId="0" applyNumberFormat="1"/>
    <xf numFmtId="0" fontId="0" fillId="24" borderId="0" xfId="0" applyFill="1"/>
    <xf numFmtId="0" fontId="16" fillId="10" borderId="1" xfId="0" applyFont="1" applyFill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16" fillId="10" borderId="1" xfId="0" applyFont="1" applyFill="1" applyBorder="1" applyAlignment="1">
      <alignment horizontal="center" vertical="center"/>
    </xf>
    <xf numFmtId="9" fontId="0" fillId="15" borderId="0" xfId="0" applyNumberFormat="1" applyFill="1"/>
    <xf numFmtId="0" fontId="0" fillId="0" borderId="0" xfId="0" applyAlignment="1">
      <alignment horizontal="right"/>
    </xf>
    <xf numFmtId="0" fontId="36" fillId="23" borderId="26" xfId="0" applyFont="1" applyFill="1" applyBorder="1" applyAlignment="1">
      <alignment horizontal="left" vertical="center" wrapText="1"/>
    </xf>
    <xf numFmtId="0" fontId="0" fillId="15" borderId="0" xfId="0" applyFill="1"/>
    <xf numFmtId="10" fontId="0" fillId="15" borderId="0" xfId="0" applyNumberFormat="1" applyFill="1"/>
    <xf numFmtId="181" fontId="16" fillId="4" borderId="1" xfId="0" applyNumberFormat="1" applyFont="1" applyFill="1" applyBorder="1" applyAlignment="1">
      <alignment horizontal="center"/>
    </xf>
    <xf numFmtId="0" fontId="17" fillId="10" borderId="6" xfId="0" applyFont="1" applyFill="1" applyBorder="1" applyAlignment="1">
      <alignment horizontal="center" shrinkToFit="1"/>
    </xf>
    <xf numFmtId="181" fontId="10" fillId="10" borderId="1" xfId="0" applyNumberFormat="1" applyFont="1" applyFill="1" applyBorder="1" applyAlignment="1">
      <alignment horizontal="center" vertical="center"/>
    </xf>
    <xf numFmtId="183" fontId="16" fillId="4" borderId="1" xfId="0" applyNumberFormat="1" applyFont="1" applyFill="1" applyBorder="1" applyAlignment="1">
      <alignment horizontal="center"/>
    </xf>
    <xf numFmtId="183" fontId="16" fillId="10" borderId="1" xfId="0" applyNumberFormat="1" applyFont="1" applyFill="1" applyBorder="1" applyAlignment="1">
      <alignment horizontal="center"/>
    </xf>
    <xf numFmtId="0" fontId="8" fillId="5" borderId="12" xfId="0" applyFont="1" applyFill="1" applyBorder="1" applyAlignment="1">
      <alignment horizontal="center" vertical="center" wrapText="1"/>
    </xf>
    <xf numFmtId="179" fontId="38" fillId="15" borderId="1" xfId="0" applyNumberFormat="1" applyFont="1" applyFill="1" applyBorder="1"/>
    <xf numFmtId="0" fontId="20" fillId="0" borderId="0" xfId="0" applyFont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/>
    </xf>
    <xf numFmtId="0" fontId="15" fillId="9" borderId="46" xfId="0" applyFont="1" applyFill="1" applyBorder="1" applyAlignment="1">
      <alignment horizontal="center" vertical="center" wrapText="1"/>
    </xf>
    <xf numFmtId="0" fontId="15" fillId="9" borderId="18" xfId="0" applyFont="1" applyFill="1" applyBorder="1" applyAlignment="1">
      <alignment horizontal="center" vertical="center" wrapText="1"/>
    </xf>
    <xf numFmtId="0" fontId="15" fillId="9" borderId="47" xfId="0" applyFont="1" applyFill="1" applyBorder="1" applyAlignment="1">
      <alignment horizontal="center" vertical="center" wrapText="1"/>
    </xf>
    <xf numFmtId="0" fontId="15" fillId="9" borderId="5" xfId="0" applyFont="1" applyFill="1" applyBorder="1" applyAlignment="1">
      <alignment horizontal="center" vertical="center" wrapText="1"/>
    </xf>
    <xf numFmtId="0" fontId="13" fillId="9" borderId="45" xfId="0" applyFont="1" applyFill="1" applyBorder="1" applyAlignment="1">
      <alignment horizontal="center" vertical="center" wrapText="1"/>
    </xf>
    <xf numFmtId="0" fontId="0" fillId="0" borderId="48" xfId="0" applyBorder="1" applyAlignment="1">
      <alignment horizontal="center" vertical="center"/>
    </xf>
    <xf numFmtId="184" fontId="0" fillId="0" borderId="48" xfId="0" applyNumberFormat="1" applyBorder="1" applyAlignment="1">
      <alignment horizontal="center" vertical="center"/>
    </xf>
    <xf numFmtId="183" fontId="0" fillId="0" borderId="48" xfId="0" applyNumberFormat="1" applyBorder="1" applyAlignment="1">
      <alignment horizontal="center" vertical="center"/>
    </xf>
    <xf numFmtId="10" fontId="0" fillId="0" borderId="48" xfId="0" applyNumberFormat="1" applyBorder="1" applyAlignment="1">
      <alignment horizontal="center" vertical="center"/>
    </xf>
    <xf numFmtId="9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 vertical="center"/>
    </xf>
    <xf numFmtId="181" fontId="0" fillId="0" borderId="48" xfId="0" applyNumberFormat="1" applyBorder="1" applyAlignment="1">
      <alignment horizontal="center"/>
    </xf>
    <xf numFmtId="0" fontId="0" fillId="0" borderId="48" xfId="0" applyBorder="1" applyAlignment="1">
      <alignment horizontal="center"/>
    </xf>
    <xf numFmtId="10" fontId="0" fillId="0" borderId="48" xfId="0" applyNumberFormat="1" applyBorder="1" applyAlignment="1">
      <alignment horizontal="center"/>
    </xf>
    <xf numFmtId="0" fontId="0" fillId="0" borderId="48" xfId="0" applyBorder="1"/>
    <xf numFmtId="0" fontId="39" fillId="0" borderId="0" xfId="0" applyFont="1"/>
    <xf numFmtId="0" fontId="16" fillId="10" borderId="1" xfId="0" applyFont="1" applyFill="1" applyBorder="1" applyAlignment="1">
      <alignment horizontal="center" vertical="center"/>
    </xf>
    <xf numFmtId="0" fontId="11" fillId="10" borderId="1" xfId="0" applyFont="1" applyFill="1" applyBorder="1" applyAlignment="1">
      <alignment horizontal="center" vertical="center"/>
    </xf>
    <xf numFmtId="0" fontId="27" fillId="10" borderId="1" xfId="0" applyFont="1" applyFill="1" applyBorder="1" applyAlignment="1">
      <alignment horizontal="center" vertical="center"/>
    </xf>
    <xf numFmtId="0" fontId="11" fillId="10" borderId="5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left" vertical="center"/>
    </xf>
    <xf numFmtId="177" fontId="16" fillId="10" borderId="6" xfId="0" applyNumberFormat="1" applyFont="1" applyFill="1" applyBorder="1" applyAlignment="1">
      <alignment horizontal="left" vertical="center"/>
    </xf>
    <xf numFmtId="183" fontId="16" fillId="10" borderId="1" xfId="0" applyNumberFormat="1" applyFont="1" applyFill="1" applyBorder="1" applyAlignment="1">
      <alignment horizontal="center" vertical="center"/>
    </xf>
    <xf numFmtId="10" fontId="16" fillId="10" borderId="1" xfId="0" applyNumberFormat="1" applyFont="1" applyFill="1" applyBorder="1" applyAlignment="1">
      <alignment horizontal="center" vertical="center"/>
    </xf>
    <xf numFmtId="0" fontId="16" fillId="10" borderId="1" xfId="0" applyFont="1" applyFill="1" applyBorder="1" applyAlignment="1">
      <alignment horizontal="center" vertical="center"/>
    </xf>
    <xf numFmtId="14" fontId="11" fillId="10" borderId="1" xfId="0" applyNumberFormat="1" applyFont="1" applyFill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14" fontId="19" fillId="0" borderId="0" xfId="0" applyNumberFormat="1" applyFont="1" applyAlignment="1">
      <alignment horizontal="left"/>
    </xf>
    <xf numFmtId="0" fontId="19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0" fontId="16" fillId="10" borderId="6" xfId="0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/>
    </xf>
    <xf numFmtId="182" fontId="27" fillId="10" borderId="5" xfId="0" applyNumberFormat="1" applyFont="1" applyFill="1" applyBorder="1" applyAlignment="1">
      <alignment horizontal="center" vertical="center"/>
    </xf>
    <xf numFmtId="182" fontId="27" fillId="10" borderId="6" xfId="0" applyNumberFormat="1" applyFont="1" applyFill="1" applyBorder="1" applyAlignment="1">
      <alignment horizontal="center" vertical="center"/>
    </xf>
    <xf numFmtId="182" fontId="33" fillId="10" borderId="5" xfId="0" applyNumberFormat="1" applyFont="1" applyFill="1" applyBorder="1" applyAlignment="1">
      <alignment horizontal="center" vertical="center"/>
    </xf>
    <xf numFmtId="182" fontId="33" fillId="10" borderId="6" xfId="0" applyNumberFormat="1" applyFont="1" applyFill="1" applyBorder="1" applyAlignment="1">
      <alignment horizontal="center" vertical="center"/>
    </xf>
    <xf numFmtId="182" fontId="27" fillId="10" borderId="18" xfId="0" applyNumberFormat="1" applyFont="1" applyFill="1" applyBorder="1" applyAlignment="1">
      <alignment horizontal="center" vertical="center"/>
    </xf>
    <xf numFmtId="182" fontId="27" fillId="10" borderId="14" xfId="0" applyNumberFormat="1" applyFont="1" applyFill="1" applyBorder="1" applyAlignment="1">
      <alignment horizontal="center" vertical="center"/>
    </xf>
    <xf numFmtId="0" fontId="32" fillId="10" borderId="6" xfId="0" applyFont="1" applyFill="1" applyBorder="1" applyAlignment="1">
      <alignment horizontal="center" vertical="center"/>
    </xf>
    <xf numFmtId="0" fontId="32" fillId="10" borderId="1" xfId="0" applyFont="1" applyFill="1" applyBorder="1" applyAlignment="1">
      <alignment horizontal="center" vertical="center"/>
    </xf>
    <xf numFmtId="177" fontId="16" fillId="10" borderId="5" xfId="0" applyNumberFormat="1" applyFont="1" applyFill="1" applyBorder="1" applyAlignment="1">
      <alignment horizontal="center" vertical="center"/>
    </xf>
    <xf numFmtId="177" fontId="16" fillId="10" borderId="6" xfId="0" applyNumberFormat="1" applyFont="1" applyFill="1" applyBorder="1" applyAlignment="1">
      <alignment horizontal="center" vertical="center"/>
    </xf>
    <xf numFmtId="10" fontId="16" fillId="10" borderId="6" xfId="0" applyNumberFormat="1" applyFont="1" applyFill="1" applyBorder="1" applyAlignment="1">
      <alignment horizontal="center" vertical="center"/>
    </xf>
    <xf numFmtId="14" fontId="11" fillId="10" borderId="6" xfId="0" applyNumberFormat="1" applyFont="1" applyFill="1" applyBorder="1" applyAlignment="1">
      <alignment horizontal="center" vertical="center"/>
    </xf>
    <xf numFmtId="182" fontId="16" fillId="10" borderId="18" xfId="0" applyNumberFormat="1" applyFont="1" applyFill="1" applyBorder="1" applyAlignment="1">
      <alignment horizontal="center" vertical="center"/>
    </xf>
    <xf numFmtId="182" fontId="16" fillId="10" borderId="14" xfId="0" applyNumberFormat="1" applyFont="1" applyFill="1" applyBorder="1" applyAlignment="1">
      <alignment horizontal="center" vertical="center"/>
    </xf>
    <xf numFmtId="0" fontId="11" fillId="10" borderId="14" xfId="0" applyFont="1" applyFill="1" applyBorder="1" applyAlignment="1">
      <alignment horizontal="center" vertical="center"/>
    </xf>
    <xf numFmtId="14" fontId="16" fillId="10" borderId="1" xfId="0" applyNumberFormat="1" applyFont="1" applyFill="1" applyBorder="1" applyAlignment="1">
      <alignment horizontal="center" vertical="center"/>
    </xf>
    <xf numFmtId="182" fontId="16" fillId="10" borderId="1" xfId="0" applyNumberFormat="1" applyFont="1" applyFill="1" applyBorder="1" applyAlignment="1">
      <alignment horizontal="center" vertical="center"/>
    </xf>
    <xf numFmtId="177" fontId="16" fillId="10" borderId="18" xfId="0" applyNumberFormat="1" applyFont="1" applyFill="1" applyBorder="1" applyAlignment="1">
      <alignment horizontal="center" vertical="center"/>
    </xf>
    <xf numFmtId="177" fontId="16" fillId="10" borderId="14" xfId="0" applyNumberFormat="1" applyFont="1" applyFill="1" applyBorder="1" applyAlignment="1">
      <alignment horizontal="center" vertical="center"/>
    </xf>
    <xf numFmtId="0" fontId="16" fillId="10" borderId="5" xfId="0" applyFont="1" applyFill="1" applyBorder="1" applyAlignment="1">
      <alignment horizontal="center" vertical="center"/>
    </xf>
    <xf numFmtId="14" fontId="16" fillId="10" borderId="18" xfId="0" applyNumberFormat="1" applyFont="1" applyFill="1" applyBorder="1" applyAlignment="1">
      <alignment horizontal="center" vertical="center"/>
    </xf>
    <xf numFmtId="14" fontId="16" fillId="10" borderId="14" xfId="0" applyNumberFormat="1" applyFont="1" applyFill="1" applyBorder="1" applyAlignment="1">
      <alignment horizontal="center" vertical="center"/>
    </xf>
    <xf numFmtId="183" fontId="16" fillId="10" borderId="6" xfId="0" applyNumberFormat="1" applyFont="1" applyFill="1" applyBorder="1" applyAlignment="1">
      <alignment horizontal="center" vertical="center"/>
    </xf>
    <xf numFmtId="14" fontId="11" fillId="10" borderId="5" xfId="0" applyNumberFormat="1" applyFont="1" applyFill="1" applyBorder="1" applyAlignment="1">
      <alignment horizontal="center" vertical="center"/>
    </xf>
    <xf numFmtId="14" fontId="2" fillId="14" borderId="40" xfId="0" applyNumberFormat="1" applyFont="1" applyFill="1" applyBorder="1" applyAlignment="1"/>
    <xf numFmtId="0" fontId="0" fillId="14" borderId="41" xfId="0" applyFill="1" applyBorder="1" applyAlignment="1"/>
    <xf numFmtId="0" fontId="0" fillId="14" borderId="39" xfId="0" applyFill="1" applyBorder="1" applyAlignment="1"/>
    <xf numFmtId="14" fontId="2" fillId="14" borderId="44" xfId="0" applyNumberFormat="1" applyFont="1" applyFill="1" applyBorder="1" applyAlignment="1"/>
    <xf numFmtId="0" fontId="0" fillId="14" borderId="38" xfId="0" applyFill="1" applyBorder="1" applyAlignment="1"/>
    <xf numFmtId="14" fontId="2" fillId="15" borderId="42" xfId="0" applyNumberFormat="1" applyFont="1" applyFill="1" applyBorder="1" applyAlignment="1"/>
    <xf numFmtId="0" fontId="0" fillId="15" borderId="2" xfId="0" applyFill="1" applyBorder="1" applyAlignment="1"/>
    <xf numFmtId="0" fontId="0" fillId="0" borderId="43" xfId="0" applyBorder="1" applyAlignment="1"/>
    <xf numFmtId="0" fontId="0" fillId="15" borderId="38" xfId="0" applyFill="1" applyBorder="1" applyAlignment="1"/>
    <xf numFmtId="0" fontId="0" fillId="0" borderId="3" xfId="0" applyBorder="1" applyAlignment="1"/>
    <xf numFmtId="0" fontId="0" fillId="15" borderId="40" xfId="0" applyFill="1" applyBorder="1" applyAlignment="1"/>
    <xf numFmtId="0" fontId="0" fillId="0" borderId="39" xfId="0" applyBorder="1" applyAlignment="1"/>
    <xf numFmtId="0" fontId="3" fillId="13" borderId="7" xfId="0" applyFont="1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6" fillId="12" borderId="7" xfId="0" applyFont="1" applyFill="1" applyBorder="1" applyAlignment="1">
      <alignment horizontal="left"/>
    </xf>
    <xf numFmtId="0" fontId="3" fillId="11" borderId="7" xfId="0" applyFont="1" applyFill="1" applyBorder="1" applyAlignment="1">
      <alignment horizontal="left" vertical="center"/>
    </xf>
    <xf numFmtId="0" fontId="3" fillId="7" borderId="7" xfId="0" applyFont="1" applyFill="1" applyBorder="1" applyAlignment="1">
      <alignment horizontal="left"/>
    </xf>
    <xf numFmtId="0" fontId="2" fillId="2" borderId="0" xfId="0" applyFont="1" applyFill="1" applyAlignment="1"/>
    <xf numFmtId="0" fontId="0" fillId="0" borderId="0" xfId="0" applyAlignment="1"/>
    <xf numFmtId="0" fontId="24" fillId="0" borderId="34" xfId="0" applyFont="1" applyBorder="1" applyAlignment="1">
      <alignment horizontal="left" vertical="center" wrapText="1"/>
    </xf>
    <xf numFmtId="0" fontId="24" fillId="0" borderId="23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  <xf numFmtId="0" fontId="24" fillId="0" borderId="27" xfId="0" applyFont="1" applyBorder="1" applyAlignment="1">
      <alignment horizontal="left" vertical="center" wrapText="1"/>
    </xf>
    <xf numFmtId="0" fontId="24" fillId="0" borderId="24" xfId="0" applyFont="1" applyBorder="1" applyAlignment="1">
      <alignment horizontal="left" vertical="center" wrapText="1"/>
    </xf>
    <xf numFmtId="0" fontId="26" fillId="19" borderId="29" xfId="0" applyFont="1" applyFill="1" applyBorder="1" applyAlignment="1">
      <alignment horizontal="left" vertical="center" wrapText="1"/>
    </xf>
    <xf numFmtId="0" fontId="26" fillId="19" borderId="30" xfId="0" applyFont="1" applyFill="1" applyBorder="1" applyAlignment="1">
      <alignment horizontal="left" vertical="center" wrapText="1"/>
    </xf>
    <xf numFmtId="0" fontId="26" fillId="19" borderId="33" xfId="0" applyFont="1" applyFill="1" applyBorder="1" applyAlignment="1">
      <alignment horizontal="left" vertical="center" wrapText="1"/>
    </xf>
    <xf numFmtId="0" fontId="26" fillId="19" borderId="21" xfId="0" applyFont="1" applyFill="1" applyBorder="1" applyAlignment="1">
      <alignment horizontal="left" vertical="center" wrapText="1"/>
    </xf>
    <xf numFmtId="0" fontId="26" fillId="16" borderId="34" xfId="0" applyFont="1" applyFill="1" applyBorder="1" applyAlignment="1">
      <alignment horizontal="left" vertical="center" wrapText="1"/>
    </xf>
    <xf numFmtId="0" fontId="26" fillId="16" borderId="31" xfId="0" applyFont="1" applyFill="1" applyBorder="1" applyAlignment="1">
      <alignment horizontal="left" vertical="center" wrapText="1"/>
    </xf>
    <xf numFmtId="0" fontId="26" fillId="16" borderId="23" xfId="0" applyFont="1" applyFill="1" applyBorder="1" applyAlignment="1">
      <alignment horizontal="left" vertical="center" wrapText="1"/>
    </xf>
    <xf numFmtId="0" fontId="26" fillId="20" borderId="34" xfId="0" applyFont="1" applyFill="1" applyBorder="1" applyAlignment="1">
      <alignment horizontal="left" vertical="center" wrapText="1"/>
    </xf>
    <xf numFmtId="0" fontId="26" fillId="20" borderId="23" xfId="0" applyFont="1" applyFill="1" applyBorder="1" applyAlignment="1">
      <alignment horizontal="left" vertical="center" wrapText="1"/>
    </xf>
    <xf numFmtId="0" fontId="26" fillId="22" borderId="34" xfId="0" applyFont="1" applyFill="1" applyBorder="1" applyAlignment="1">
      <alignment horizontal="left" vertical="center" wrapText="1"/>
    </xf>
    <xf numFmtId="0" fontId="26" fillId="22" borderId="23" xfId="0" applyFont="1" applyFill="1" applyBorder="1" applyAlignment="1">
      <alignment horizontal="left" vertical="center" wrapText="1"/>
    </xf>
    <xf numFmtId="0" fontId="24" fillId="0" borderId="26" xfId="0" applyFont="1" applyBorder="1" applyAlignment="1">
      <alignment horizontal="left" vertical="center" wrapText="1"/>
    </xf>
    <xf numFmtId="10" fontId="24" fillId="15" borderId="27" xfId="0" applyNumberFormat="1" applyFont="1" applyFill="1" applyBorder="1" applyAlignment="1">
      <alignment horizontal="left" vertical="center" wrapText="1"/>
    </xf>
    <xf numFmtId="10" fontId="24" fillId="15" borderId="26" xfId="0" applyNumberFormat="1" applyFont="1" applyFill="1" applyBorder="1" applyAlignment="1">
      <alignment horizontal="left" vertical="center" wrapText="1"/>
    </xf>
    <xf numFmtId="10" fontId="24" fillId="15" borderId="24" xfId="0" applyNumberFormat="1" applyFont="1" applyFill="1" applyBorder="1" applyAlignment="1">
      <alignment horizontal="left" vertical="center" wrapText="1"/>
    </xf>
    <xf numFmtId="10" fontId="24" fillId="0" borderId="27" xfId="0" applyNumberFormat="1" applyFont="1" applyBorder="1" applyAlignment="1">
      <alignment horizontal="left" vertical="center" wrapText="1"/>
    </xf>
    <xf numFmtId="10" fontId="24" fillId="0" borderId="26" xfId="0" applyNumberFormat="1" applyFont="1" applyBorder="1" applyAlignment="1">
      <alignment horizontal="left" vertical="center" wrapText="1"/>
    </xf>
    <xf numFmtId="10" fontId="24" fillId="0" borderId="24" xfId="0" applyNumberFormat="1" applyFont="1" applyBorder="1" applyAlignment="1">
      <alignment horizontal="left" vertical="center" wrapText="1"/>
    </xf>
    <xf numFmtId="0" fontId="24" fillId="23" borderId="27" xfId="0" applyFont="1" applyFill="1" applyBorder="1" applyAlignment="1">
      <alignment horizontal="left" vertical="center" wrapText="1"/>
    </xf>
    <xf numFmtId="0" fontId="24" fillId="23" borderId="24" xfId="0" applyFont="1" applyFill="1" applyBorder="1" applyAlignment="1">
      <alignment horizontal="left" vertical="center" wrapText="1"/>
    </xf>
    <xf numFmtId="0" fontId="24" fillId="0" borderId="29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0" xfId="0" applyFont="1" applyBorder="1" applyAlignment="1">
      <alignment horizontal="left" vertical="center" wrapText="1"/>
    </xf>
    <xf numFmtId="0" fontId="24" fillId="0" borderId="33" xfId="0" applyFont="1" applyBorder="1" applyAlignment="1">
      <alignment horizontal="left" vertical="center" wrapText="1"/>
    </xf>
    <xf numFmtId="0" fontId="24" fillId="0" borderId="28" xfId="0" applyFont="1" applyBorder="1" applyAlignment="1">
      <alignment horizontal="left" vertical="center" wrapText="1"/>
    </xf>
    <xf numFmtId="0" fontId="24" fillId="0" borderId="21" xfId="0" applyFont="1" applyBorder="1" applyAlignment="1">
      <alignment horizontal="left" vertical="center" wrapText="1"/>
    </xf>
    <xf numFmtId="0" fontId="24" fillId="15" borderId="27" xfId="0" applyFont="1" applyFill="1" applyBorder="1" applyAlignment="1">
      <alignment horizontal="left" vertical="center" wrapText="1"/>
    </xf>
    <xf numFmtId="0" fontId="24" fillId="15" borderId="24" xfId="0" applyFont="1" applyFill="1" applyBorder="1" applyAlignment="1">
      <alignment horizontal="left" vertical="center" wrapText="1"/>
    </xf>
    <xf numFmtId="0" fontId="24" fillId="23" borderId="26" xfId="0" applyFont="1" applyFill="1" applyBorder="1" applyAlignment="1">
      <alignment horizontal="left" vertical="center" wrapText="1"/>
    </xf>
    <xf numFmtId="0" fontId="24" fillId="0" borderId="35" xfId="0" applyFont="1" applyBorder="1" applyAlignment="1">
      <alignment horizontal="left" vertical="center" wrapText="1"/>
    </xf>
    <xf numFmtId="0" fontId="24" fillId="0" borderId="0" xfId="0" applyFont="1" applyAlignment="1">
      <alignment horizontal="left" vertical="center" wrapText="1"/>
    </xf>
    <xf numFmtId="0" fontId="24" fillId="0" borderId="25" xfId="0" applyFont="1" applyBorder="1" applyAlignment="1">
      <alignment horizontal="left" vertical="center" wrapText="1"/>
    </xf>
    <xf numFmtId="182" fontId="33" fillId="10" borderId="1" xfId="0" applyNumberFormat="1" applyFont="1" applyFill="1" applyBorder="1" applyAlignment="1">
      <alignment horizontal="center" vertical="center"/>
    </xf>
    <xf numFmtId="182" fontId="27" fillId="10" borderId="1" xfId="0" applyNumberFormat="1" applyFont="1" applyFill="1" applyBorder="1" applyAlignment="1">
      <alignment horizontal="center" vertical="center"/>
    </xf>
    <xf numFmtId="0" fontId="40" fillId="25" borderId="0" xfId="2" applyAlignment="1"/>
    <xf numFmtId="0" fontId="41" fillId="10" borderId="1" xfId="0" applyFont="1" applyFill="1" applyBorder="1" applyAlignment="1">
      <alignment horizontal="center"/>
    </xf>
    <xf numFmtId="0" fontId="42" fillId="10" borderId="1" xfId="0" applyFont="1" applyFill="1" applyBorder="1" applyAlignment="1">
      <alignment horizontal="center"/>
    </xf>
    <xf numFmtId="0" fontId="40" fillId="25" borderId="0" xfId="2" applyAlignment="1" applyProtection="1"/>
    <xf numFmtId="0" fontId="21" fillId="0" borderId="0" xfId="0" applyFont="1" applyAlignment="1">
      <alignment horizontal="right" vertical="center"/>
    </xf>
    <xf numFmtId="0" fontId="34" fillId="0" borderId="0" xfId="0" applyFont="1" applyAlignment="1">
      <alignment horizontal="right" vertical="center"/>
    </xf>
    <xf numFmtId="0" fontId="0" fillId="0" borderId="1" xfId="0" applyBorder="1" applyAlignment="1">
      <alignment horizontal="left"/>
    </xf>
    <xf numFmtId="0" fontId="18" fillId="4" borderId="1" xfId="0" applyFont="1" applyFill="1" applyBorder="1"/>
    <xf numFmtId="0" fontId="3" fillId="4" borderId="1" xfId="0" applyFont="1" applyFill="1" applyBorder="1"/>
    <xf numFmtId="0" fontId="18" fillId="4" borderId="1" xfId="0" applyFont="1" applyFill="1" applyBorder="1" applyAlignment="1">
      <alignment wrapText="1"/>
    </xf>
  </cellXfs>
  <cellStyles count="3">
    <cellStyle name="好" xfId="2" builtinId="26"/>
    <cellStyle name="常规" xfId="0" builtinId="0"/>
    <cellStyle name="超链接" xfId="1" builtinId="8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title>
      <c:layout/>
    </c:title>
    <c:plotArea>
      <c:layout>
        <c:manualLayout>
          <c:layoutTarget val="inner"/>
          <c:xMode val="edge"/>
          <c:yMode val="edge"/>
          <c:x val="0.10761277057364765"/>
          <c:y val="0.32811630502905453"/>
          <c:w val="0.6536415134375565"/>
          <c:h val="0.61719517455522965"/>
        </c:manualLayout>
      </c:layout>
      <c:lineChart>
        <c:grouping val="standard"/>
        <c:ser>
          <c:idx val="0"/>
          <c:order val="0"/>
          <c:tx>
            <c:strRef>
              <c:f>個別計算!$G$5</c:f>
              <c:strCache>
                <c:ptCount val="1"/>
              </c:strCache>
            </c:strRef>
          </c:tx>
          <c:cat>
            <c:numRef>
              <c:f>個別計算!$F$6:$F$11</c:f>
              <c:numCache>
                <c:formatCode>General</c:formatCode>
                <c:ptCount val="6"/>
              </c:numCache>
            </c:numRef>
          </c:cat>
          <c:val>
            <c:numRef>
              <c:f>個別計算!$G$6:$G$11</c:f>
              <c:numCache>
                <c:formatCode>General</c:formatCode>
                <c:ptCount val="6"/>
              </c:numCache>
            </c:numRef>
          </c:val>
        </c:ser>
        <c:marker val="1"/>
        <c:axId val="133966464"/>
        <c:axId val="133984640"/>
      </c:lineChart>
      <c:catAx>
        <c:axId val="133966464"/>
        <c:scaling>
          <c:orientation val="minMax"/>
        </c:scaling>
        <c:axPos val="b"/>
        <c:numFmt formatCode="General" sourceLinked="1"/>
        <c:tickLblPos val="nextTo"/>
        <c:crossAx val="133984640"/>
        <c:crosses val="autoZero"/>
        <c:auto val="1"/>
        <c:lblAlgn val="ctr"/>
        <c:lblOffset val="100"/>
      </c:catAx>
      <c:valAx>
        <c:axId val="133984640"/>
        <c:scaling>
          <c:orientation val="minMax"/>
        </c:scaling>
        <c:axPos val="l"/>
        <c:majorGridlines/>
        <c:numFmt formatCode="General" sourceLinked="1"/>
        <c:tickLblPos val="nextTo"/>
        <c:crossAx val="13396646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511" l="0.70000000000000062" r="0.70000000000000062" t="0.750000000000005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plotArea>
      <c:layout>
        <c:manualLayout>
          <c:layoutTarget val="inner"/>
          <c:xMode val="edge"/>
          <c:yMode val="edge"/>
          <c:x val="5.0896647511387533E-2"/>
          <c:y val="8.1284574217614369E-2"/>
          <c:w val="0.90558616623760813"/>
          <c:h val="0.81342996711994453"/>
        </c:manualLayout>
      </c:layout>
      <c:lineChart>
        <c:grouping val="standard"/>
        <c:ser>
          <c:idx val="0"/>
          <c:order val="0"/>
          <c:tx>
            <c:strRef>
              <c:f>グラフ!$F$41</c:f>
              <c:strCache>
                <c:ptCount val="1"/>
                <c:pt idx="0">
                  <c:v>saya_divide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43805</c:v>
                </c:pt>
                <c:pt idx="1">
                  <c:v>43804</c:v>
                </c:pt>
                <c:pt idx="2">
                  <c:v>43803</c:v>
                </c:pt>
                <c:pt idx="3">
                  <c:v>43802</c:v>
                </c:pt>
                <c:pt idx="4">
                  <c:v>43801</c:v>
                </c:pt>
                <c:pt idx="5">
                  <c:v>43798</c:v>
                </c:pt>
                <c:pt idx="6">
                  <c:v>43797</c:v>
                </c:pt>
                <c:pt idx="7">
                  <c:v>43796</c:v>
                </c:pt>
                <c:pt idx="8">
                  <c:v>43795</c:v>
                </c:pt>
                <c:pt idx="9">
                  <c:v>43794</c:v>
                </c:pt>
                <c:pt idx="10">
                  <c:v>43791</c:v>
                </c:pt>
                <c:pt idx="11">
                  <c:v>43790</c:v>
                </c:pt>
                <c:pt idx="12">
                  <c:v>43789</c:v>
                </c:pt>
                <c:pt idx="13">
                  <c:v>43788</c:v>
                </c:pt>
                <c:pt idx="14">
                  <c:v>43787</c:v>
                </c:pt>
                <c:pt idx="15">
                  <c:v>43784</c:v>
                </c:pt>
                <c:pt idx="16">
                  <c:v>43783</c:v>
                </c:pt>
                <c:pt idx="17">
                  <c:v>43782</c:v>
                </c:pt>
                <c:pt idx="18">
                  <c:v>43781</c:v>
                </c:pt>
                <c:pt idx="19">
                  <c:v>43780</c:v>
                </c:pt>
                <c:pt idx="20">
                  <c:v>43777</c:v>
                </c:pt>
                <c:pt idx="21">
                  <c:v>43776</c:v>
                </c:pt>
                <c:pt idx="22">
                  <c:v>43775</c:v>
                </c:pt>
                <c:pt idx="23">
                  <c:v>43774</c:v>
                </c:pt>
                <c:pt idx="24">
                  <c:v>43770</c:v>
                </c:pt>
                <c:pt idx="25">
                  <c:v>43769</c:v>
                </c:pt>
                <c:pt idx="26">
                  <c:v>43768</c:v>
                </c:pt>
                <c:pt idx="27">
                  <c:v>43767</c:v>
                </c:pt>
                <c:pt idx="28">
                  <c:v>43766</c:v>
                </c:pt>
                <c:pt idx="29">
                  <c:v>43763</c:v>
                </c:pt>
                <c:pt idx="30">
                  <c:v>43762</c:v>
                </c:pt>
                <c:pt idx="31">
                  <c:v>43761</c:v>
                </c:pt>
                <c:pt idx="32">
                  <c:v>43759</c:v>
                </c:pt>
                <c:pt idx="33">
                  <c:v>43756</c:v>
                </c:pt>
                <c:pt idx="34">
                  <c:v>43755</c:v>
                </c:pt>
                <c:pt idx="35">
                  <c:v>43754</c:v>
                </c:pt>
                <c:pt idx="36">
                  <c:v>43753</c:v>
                </c:pt>
                <c:pt idx="37">
                  <c:v>43749</c:v>
                </c:pt>
                <c:pt idx="38">
                  <c:v>43748</c:v>
                </c:pt>
                <c:pt idx="39">
                  <c:v>43747</c:v>
                </c:pt>
                <c:pt idx="40">
                  <c:v>43746</c:v>
                </c:pt>
                <c:pt idx="41">
                  <c:v>43745</c:v>
                </c:pt>
                <c:pt idx="42">
                  <c:v>43742</c:v>
                </c:pt>
                <c:pt idx="43">
                  <c:v>43741</c:v>
                </c:pt>
                <c:pt idx="44">
                  <c:v>43740</c:v>
                </c:pt>
                <c:pt idx="45">
                  <c:v>43739</c:v>
                </c:pt>
                <c:pt idx="46">
                  <c:v>43738</c:v>
                </c:pt>
                <c:pt idx="47">
                  <c:v>43735</c:v>
                </c:pt>
                <c:pt idx="48">
                  <c:v>43734</c:v>
                </c:pt>
                <c:pt idx="49">
                  <c:v>43733</c:v>
                </c:pt>
                <c:pt idx="50">
                  <c:v>43732</c:v>
                </c:pt>
                <c:pt idx="51">
                  <c:v>43728</c:v>
                </c:pt>
                <c:pt idx="52">
                  <c:v>43727</c:v>
                </c:pt>
                <c:pt idx="53">
                  <c:v>43726</c:v>
                </c:pt>
                <c:pt idx="54">
                  <c:v>43725</c:v>
                </c:pt>
                <c:pt idx="55">
                  <c:v>43721</c:v>
                </c:pt>
                <c:pt idx="56">
                  <c:v>43720</c:v>
                </c:pt>
                <c:pt idx="57">
                  <c:v>43719</c:v>
                </c:pt>
                <c:pt idx="58">
                  <c:v>43718</c:v>
                </c:pt>
                <c:pt idx="59">
                  <c:v>43717</c:v>
                </c:pt>
                <c:pt idx="60">
                  <c:v>43714</c:v>
                </c:pt>
                <c:pt idx="61">
                  <c:v>43713</c:v>
                </c:pt>
                <c:pt idx="62">
                  <c:v>43712</c:v>
                </c:pt>
                <c:pt idx="63">
                  <c:v>43711</c:v>
                </c:pt>
                <c:pt idx="64">
                  <c:v>43710</c:v>
                </c:pt>
                <c:pt idx="65">
                  <c:v>43707</c:v>
                </c:pt>
                <c:pt idx="66">
                  <c:v>43706</c:v>
                </c:pt>
                <c:pt idx="67">
                  <c:v>43705</c:v>
                </c:pt>
                <c:pt idx="68">
                  <c:v>43704</c:v>
                </c:pt>
                <c:pt idx="69">
                  <c:v>43703</c:v>
                </c:pt>
                <c:pt idx="70">
                  <c:v>43700</c:v>
                </c:pt>
                <c:pt idx="71">
                  <c:v>43699</c:v>
                </c:pt>
                <c:pt idx="72">
                  <c:v>43698</c:v>
                </c:pt>
                <c:pt idx="73">
                  <c:v>43697</c:v>
                </c:pt>
                <c:pt idx="74">
                  <c:v>43696</c:v>
                </c:pt>
                <c:pt idx="75">
                  <c:v>43693</c:v>
                </c:pt>
                <c:pt idx="76">
                  <c:v>43692</c:v>
                </c:pt>
                <c:pt idx="77">
                  <c:v>43691</c:v>
                </c:pt>
                <c:pt idx="78">
                  <c:v>43690</c:v>
                </c:pt>
                <c:pt idx="79">
                  <c:v>43686</c:v>
                </c:pt>
                <c:pt idx="80">
                  <c:v>43685</c:v>
                </c:pt>
                <c:pt idx="81">
                  <c:v>43684</c:v>
                </c:pt>
                <c:pt idx="82">
                  <c:v>43683</c:v>
                </c:pt>
                <c:pt idx="83">
                  <c:v>43682</c:v>
                </c:pt>
                <c:pt idx="84">
                  <c:v>43679</c:v>
                </c:pt>
                <c:pt idx="85">
                  <c:v>43678</c:v>
                </c:pt>
                <c:pt idx="86">
                  <c:v>43677</c:v>
                </c:pt>
                <c:pt idx="87">
                  <c:v>43676</c:v>
                </c:pt>
                <c:pt idx="88">
                  <c:v>43675</c:v>
                </c:pt>
                <c:pt idx="89">
                  <c:v>43672</c:v>
                </c:pt>
                <c:pt idx="90">
                  <c:v>43671</c:v>
                </c:pt>
                <c:pt idx="91">
                  <c:v>43670</c:v>
                </c:pt>
                <c:pt idx="92">
                  <c:v>43669</c:v>
                </c:pt>
                <c:pt idx="93">
                  <c:v>43668</c:v>
                </c:pt>
                <c:pt idx="94">
                  <c:v>43665</c:v>
                </c:pt>
                <c:pt idx="95">
                  <c:v>43664</c:v>
                </c:pt>
                <c:pt idx="96">
                  <c:v>43663</c:v>
                </c:pt>
                <c:pt idx="97">
                  <c:v>43662</c:v>
                </c:pt>
                <c:pt idx="98">
                  <c:v>43658</c:v>
                </c:pt>
                <c:pt idx="99">
                  <c:v>43657</c:v>
                </c:pt>
                <c:pt idx="100">
                  <c:v>43656</c:v>
                </c:pt>
                <c:pt idx="101">
                  <c:v>43655</c:v>
                </c:pt>
                <c:pt idx="102">
                  <c:v>43654</c:v>
                </c:pt>
                <c:pt idx="103">
                  <c:v>43651</c:v>
                </c:pt>
                <c:pt idx="104">
                  <c:v>43650</c:v>
                </c:pt>
                <c:pt idx="105">
                  <c:v>43649</c:v>
                </c:pt>
                <c:pt idx="106">
                  <c:v>43648</c:v>
                </c:pt>
                <c:pt idx="107">
                  <c:v>43647</c:v>
                </c:pt>
                <c:pt idx="108">
                  <c:v>43644</c:v>
                </c:pt>
                <c:pt idx="109">
                  <c:v>43643</c:v>
                </c:pt>
                <c:pt idx="110">
                  <c:v>43642</c:v>
                </c:pt>
                <c:pt idx="111">
                  <c:v>43641</c:v>
                </c:pt>
                <c:pt idx="112">
                  <c:v>43640</c:v>
                </c:pt>
                <c:pt idx="113">
                  <c:v>43637</c:v>
                </c:pt>
                <c:pt idx="114">
                  <c:v>43636</c:v>
                </c:pt>
                <c:pt idx="115">
                  <c:v>43635</c:v>
                </c:pt>
                <c:pt idx="116">
                  <c:v>43634</c:v>
                </c:pt>
                <c:pt idx="117">
                  <c:v>43633</c:v>
                </c:pt>
                <c:pt idx="118">
                  <c:v>43630</c:v>
                </c:pt>
                <c:pt idx="119">
                  <c:v>43629</c:v>
                </c:pt>
                <c:pt idx="120">
                  <c:v>43628</c:v>
                </c:pt>
                <c:pt idx="121">
                  <c:v>43627</c:v>
                </c:pt>
                <c:pt idx="122">
                  <c:v>43626</c:v>
                </c:pt>
                <c:pt idx="123">
                  <c:v>43623</c:v>
                </c:pt>
                <c:pt idx="124">
                  <c:v>43622</c:v>
                </c:pt>
                <c:pt idx="125">
                  <c:v>43621</c:v>
                </c:pt>
                <c:pt idx="126">
                  <c:v>43620</c:v>
                </c:pt>
                <c:pt idx="127">
                  <c:v>43619</c:v>
                </c:pt>
                <c:pt idx="128">
                  <c:v>43616</c:v>
                </c:pt>
                <c:pt idx="129">
                  <c:v>43615</c:v>
                </c:pt>
                <c:pt idx="130">
                  <c:v>43614</c:v>
                </c:pt>
                <c:pt idx="131">
                  <c:v>43613</c:v>
                </c:pt>
                <c:pt idx="132">
                  <c:v>43612</c:v>
                </c:pt>
                <c:pt idx="133">
                  <c:v>43609</c:v>
                </c:pt>
                <c:pt idx="134">
                  <c:v>43608</c:v>
                </c:pt>
                <c:pt idx="135">
                  <c:v>43607</c:v>
                </c:pt>
                <c:pt idx="136">
                  <c:v>43606</c:v>
                </c:pt>
                <c:pt idx="137">
                  <c:v>43605</c:v>
                </c:pt>
                <c:pt idx="138">
                  <c:v>43602</c:v>
                </c:pt>
                <c:pt idx="139">
                  <c:v>43601</c:v>
                </c:pt>
                <c:pt idx="140">
                  <c:v>43600</c:v>
                </c:pt>
                <c:pt idx="141">
                  <c:v>43599</c:v>
                </c:pt>
                <c:pt idx="142">
                  <c:v>43598</c:v>
                </c:pt>
                <c:pt idx="143">
                  <c:v>43595</c:v>
                </c:pt>
                <c:pt idx="144">
                  <c:v>43594</c:v>
                </c:pt>
                <c:pt idx="145">
                  <c:v>43593</c:v>
                </c:pt>
                <c:pt idx="146">
                  <c:v>43592</c:v>
                </c:pt>
                <c:pt idx="147">
                  <c:v>43581</c:v>
                </c:pt>
                <c:pt idx="148">
                  <c:v>43580</c:v>
                </c:pt>
                <c:pt idx="149">
                  <c:v>43579</c:v>
                </c:pt>
                <c:pt idx="150">
                  <c:v>43578</c:v>
                </c:pt>
                <c:pt idx="151">
                  <c:v>43577</c:v>
                </c:pt>
                <c:pt idx="152">
                  <c:v>43574</c:v>
                </c:pt>
                <c:pt idx="153">
                  <c:v>43573</c:v>
                </c:pt>
                <c:pt idx="154">
                  <c:v>43572</c:v>
                </c:pt>
                <c:pt idx="155">
                  <c:v>43571</c:v>
                </c:pt>
                <c:pt idx="156">
                  <c:v>43570</c:v>
                </c:pt>
                <c:pt idx="157">
                  <c:v>43567</c:v>
                </c:pt>
                <c:pt idx="158">
                  <c:v>43566</c:v>
                </c:pt>
                <c:pt idx="159">
                  <c:v>43565</c:v>
                </c:pt>
                <c:pt idx="160">
                  <c:v>43564</c:v>
                </c:pt>
                <c:pt idx="161">
                  <c:v>43563</c:v>
                </c:pt>
                <c:pt idx="162">
                  <c:v>43560</c:v>
                </c:pt>
                <c:pt idx="163">
                  <c:v>43559</c:v>
                </c:pt>
                <c:pt idx="164">
                  <c:v>43558</c:v>
                </c:pt>
                <c:pt idx="165">
                  <c:v>43557</c:v>
                </c:pt>
                <c:pt idx="166">
                  <c:v>43556</c:v>
                </c:pt>
                <c:pt idx="167">
                  <c:v>43553</c:v>
                </c:pt>
                <c:pt idx="168">
                  <c:v>43552</c:v>
                </c:pt>
                <c:pt idx="169">
                  <c:v>43551</c:v>
                </c:pt>
                <c:pt idx="170">
                  <c:v>43550</c:v>
                </c:pt>
                <c:pt idx="171">
                  <c:v>43549</c:v>
                </c:pt>
                <c:pt idx="172">
                  <c:v>43546</c:v>
                </c:pt>
                <c:pt idx="173">
                  <c:v>43544</c:v>
                </c:pt>
                <c:pt idx="174">
                  <c:v>43543</c:v>
                </c:pt>
                <c:pt idx="175">
                  <c:v>43542</c:v>
                </c:pt>
                <c:pt idx="176">
                  <c:v>43539</c:v>
                </c:pt>
                <c:pt idx="177">
                  <c:v>43538</c:v>
                </c:pt>
                <c:pt idx="178">
                  <c:v>43537</c:v>
                </c:pt>
                <c:pt idx="179">
                  <c:v>43536</c:v>
                </c:pt>
                <c:pt idx="180">
                  <c:v>43535</c:v>
                </c:pt>
                <c:pt idx="181">
                  <c:v>43532</c:v>
                </c:pt>
                <c:pt idx="182">
                  <c:v>43531</c:v>
                </c:pt>
                <c:pt idx="183">
                  <c:v>43530</c:v>
                </c:pt>
                <c:pt idx="184">
                  <c:v>43529</c:v>
                </c:pt>
                <c:pt idx="185">
                  <c:v>43528</c:v>
                </c:pt>
                <c:pt idx="186">
                  <c:v>43525</c:v>
                </c:pt>
                <c:pt idx="187">
                  <c:v>43524</c:v>
                </c:pt>
                <c:pt idx="188">
                  <c:v>43523</c:v>
                </c:pt>
                <c:pt idx="189">
                  <c:v>43522</c:v>
                </c:pt>
                <c:pt idx="190">
                  <c:v>43521</c:v>
                </c:pt>
                <c:pt idx="191">
                  <c:v>43518</c:v>
                </c:pt>
                <c:pt idx="192">
                  <c:v>43517</c:v>
                </c:pt>
                <c:pt idx="193">
                  <c:v>43516</c:v>
                </c:pt>
                <c:pt idx="194">
                  <c:v>43515</c:v>
                </c:pt>
                <c:pt idx="195">
                  <c:v>43514</c:v>
                </c:pt>
                <c:pt idx="196">
                  <c:v>43511</c:v>
                </c:pt>
                <c:pt idx="197">
                  <c:v>43510</c:v>
                </c:pt>
                <c:pt idx="198">
                  <c:v>43509</c:v>
                </c:pt>
                <c:pt idx="199">
                  <c:v>43508</c:v>
                </c:pt>
                <c:pt idx="200">
                  <c:v>43504</c:v>
                </c:pt>
                <c:pt idx="201">
                  <c:v>43503</c:v>
                </c:pt>
                <c:pt idx="202">
                  <c:v>43502</c:v>
                </c:pt>
                <c:pt idx="203">
                  <c:v>43501</c:v>
                </c:pt>
                <c:pt idx="204">
                  <c:v>43500</c:v>
                </c:pt>
                <c:pt idx="205">
                  <c:v>43497</c:v>
                </c:pt>
                <c:pt idx="206">
                  <c:v>43496</c:v>
                </c:pt>
                <c:pt idx="207">
                  <c:v>43495</c:v>
                </c:pt>
                <c:pt idx="208">
                  <c:v>43494</c:v>
                </c:pt>
                <c:pt idx="209">
                  <c:v>43493</c:v>
                </c:pt>
                <c:pt idx="210">
                  <c:v>43490</c:v>
                </c:pt>
                <c:pt idx="211">
                  <c:v>43489</c:v>
                </c:pt>
                <c:pt idx="212">
                  <c:v>43488</c:v>
                </c:pt>
                <c:pt idx="213">
                  <c:v>43487</c:v>
                </c:pt>
                <c:pt idx="214">
                  <c:v>43486</c:v>
                </c:pt>
                <c:pt idx="215">
                  <c:v>43483</c:v>
                </c:pt>
                <c:pt idx="216">
                  <c:v>43482</c:v>
                </c:pt>
                <c:pt idx="217">
                  <c:v>43481</c:v>
                </c:pt>
                <c:pt idx="218">
                  <c:v>43480</c:v>
                </c:pt>
                <c:pt idx="219">
                  <c:v>43476</c:v>
                </c:pt>
                <c:pt idx="220">
                  <c:v>43475</c:v>
                </c:pt>
                <c:pt idx="221">
                  <c:v>43474</c:v>
                </c:pt>
                <c:pt idx="222">
                  <c:v>43473</c:v>
                </c:pt>
                <c:pt idx="223">
                  <c:v>43472</c:v>
                </c:pt>
                <c:pt idx="224">
                  <c:v>43469</c:v>
                </c:pt>
                <c:pt idx="225">
                  <c:v>43462</c:v>
                </c:pt>
                <c:pt idx="226">
                  <c:v>43461</c:v>
                </c:pt>
                <c:pt idx="227">
                  <c:v>43460</c:v>
                </c:pt>
                <c:pt idx="228">
                  <c:v>43459</c:v>
                </c:pt>
                <c:pt idx="229">
                  <c:v>43455</c:v>
                </c:pt>
                <c:pt idx="230">
                  <c:v>43454</c:v>
                </c:pt>
                <c:pt idx="231">
                  <c:v>43453</c:v>
                </c:pt>
                <c:pt idx="232">
                  <c:v>43452</c:v>
                </c:pt>
                <c:pt idx="233">
                  <c:v>43451</c:v>
                </c:pt>
                <c:pt idx="234">
                  <c:v>43448</c:v>
                </c:pt>
                <c:pt idx="235">
                  <c:v>43447</c:v>
                </c:pt>
                <c:pt idx="236">
                  <c:v>43446</c:v>
                </c:pt>
                <c:pt idx="237">
                  <c:v>43445</c:v>
                </c:pt>
                <c:pt idx="238">
                  <c:v>43444</c:v>
                </c:pt>
                <c:pt idx="239">
                  <c:v>43441</c:v>
                </c:pt>
                <c:pt idx="240">
                  <c:v>43440</c:v>
                </c:pt>
                <c:pt idx="241">
                  <c:v>43439</c:v>
                </c:pt>
                <c:pt idx="242">
                  <c:v>43438</c:v>
                </c:pt>
                <c:pt idx="243">
                  <c:v>43437</c:v>
                </c:pt>
                <c:pt idx="244">
                  <c:v>43434</c:v>
                </c:pt>
                <c:pt idx="245">
                  <c:v>43433</c:v>
                </c:pt>
                <c:pt idx="246">
                  <c:v>43432</c:v>
                </c:pt>
                <c:pt idx="247">
                  <c:v>43431</c:v>
                </c:pt>
                <c:pt idx="248">
                  <c:v>43430</c:v>
                </c:pt>
                <c:pt idx="249">
                  <c:v>43426</c:v>
                </c:pt>
                <c:pt idx="250">
                  <c:v>43425</c:v>
                </c:pt>
                <c:pt idx="251">
                  <c:v>43424</c:v>
                </c:pt>
                <c:pt idx="252">
                  <c:v>43423</c:v>
                </c:pt>
                <c:pt idx="253">
                  <c:v>43420</c:v>
                </c:pt>
                <c:pt idx="254">
                  <c:v>43419</c:v>
                </c:pt>
                <c:pt idx="255">
                  <c:v>43418</c:v>
                </c:pt>
                <c:pt idx="256">
                  <c:v>43417</c:v>
                </c:pt>
                <c:pt idx="257">
                  <c:v>43416</c:v>
                </c:pt>
                <c:pt idx="258">
                  <c:v>43413</c:v>
                </c:pt>
                <c:pt idx="259">
                  <c:v>43412</c:v>
                </c:pt>
                <c:pt idx="260">
                  <c:v>43411</c:v>
                </c:pt>
                <c:pt idx="261">
                  <c:v>43410</c:v>
                </c:pt>
                <c:pt idx="262">
                  <c:v>43409</c:v>
                </c:pt>
                <c:pt idx="263">
                  <c:v>43406</c:v>
                </c:pt>
                <c:pt idx="264">
                  <c:v>43405</c:v>
                </c:pt>
                <c:pt idx="265">
                  <c:v>43404</c:v>
                </c:pt>
                <c:pt idx="266">
                  <c:v>43403</c:v>
                </c:pt>
                <c:pt idx="267">
                  <c:v>43402</c:v>
                </c:pt>
                <c:pt idx="268">
                  <c:v>43399</c:v>
                </c:pt>
                <c:pt idx="269">
                  <c:v>43398</c:v>
                </c:pt>
                <c:pt idx="270">
                  <c:v>43397</c:v>
                </c:pt>
                <c:pt idx="271">
                  <c:v>43396</c:v>
                </c:pt>
                <c:pt idx="272">
                  <c:v>43395</c:v>
                </c:pt>
                <c:pt idx="273">
                  <c:v>43392</c:v>
                </c:pt>
                <c:pt idx="274">
                  <c:v>43391</c:v>
                </c:pt>
                <c:pt idx="275">
                  <c:v>43390</c:v>
                </c:pt>
                <c:pt idx="276">
                  <c:v>43389</c:v>
                </c:pt>
                <c:pt idx="277">
                  <c:v>43388</c:v>
                </c:pt>
                <c:pt idx="278">
                  <c:v>43385</c:v>
                </c:pt>
                <c:pt idx="279">
                  <c:v>43384</c:v>
                </c:pt>
                <c:pt idx="280">
                  <c:v>43383</c:v>
                </c:pt>
                <c:pt idx="281">
                  <c:v>43382</c:v>
                </c:pt>
                <c:pt idx="282">
                  <c:v>43378</c:v>
                </c:pt>
                <c:pt idx="283">
                  <c:v>43377</c:v>
                </c:pt>
                <c:pt idx="284">
                  <c:v>43376</c:v>
                </c:pt>
                <c:pt idx="285">
                  <c:v>43375</c:v>
                </c:pt>
                <c:pt idx="286">
                  <c:v>43374</c:v>
                </c:pt>
                <c:pt idx="287">
                  <c:v>43371</c:v>
                </c:pt>
                <c:pt idx="288">
                  <c:v>43370</c:v>
                </c:pt>
                <c:pt idx="289">
                  <c:v>43369</c:v>
                </c:pt>
                <c:pt idx="290">
                  <c:v>43368</c:v>
                </c:pt>
                <c:pt idx="291">
                  <c:v>43364</c:v>
                </c:pt>
                <c:pt idx="292">
                  <c:v>43363</c:v>
                </c:pt>
                <c:pt idx="293">
                  <c:v>43362</c:v>
                </c:pt>
                <c:pt idx="294">
                  <c:v>43361</c:v>
                </c:pt>
                <c:pt idx="295">
                  <c:v>43357</c:v>
                </c:pt>
                <c:pt idx="296">
                  <c:v>43356</c:v>
                </c:pt>
                <c:pt idx="297">
                  <c:v>43355</c:v>
                </c:pt>
                <c:pt idx="298">
                  <c:v>43354</c:v>
                </c:pt>
                <c:pt idx="299">
                  <c:v>43353</c:v>
                </c:pt>
                <c:pt idx="300">
                  <c:v>43350</c:v>
                </c:pt>
                <c:pt idx="301">
                  <c:v>43349</c:v>
                </c:pt>
                <c:pt idx="302">
                  <c:v>43348</c:v>
                </c:pt>
                <c:pt idx="303">
                  <c:v>43347</c:v>
                </c:pt>
                <c:pt idx="304">
                  <c:v>43346</c:v>
                </c:pt>
                <c:pt idx="305">
                  <c:v>43343</c:v>
                </c:pt>
                <c:pt idx="306">
                  <c:v>43342</c:v>
                </c:pt>
                <c:pt idx="307">
                  <c:v>43341</c:v>
                </c:pt>
                <c:pt idx="308">
                  <c:v>43340</c:v>
                </c:pt>
                <c:pt idx="309">
                  <c:v>43339</c:v>
                </c:pt>
                <c:pt idx="310">
                  <c:v>43336</c:v>
                </c:pt>
                <c:pt idx="311">
                  <c:v>43335</c:v>
                </c:pt>
                <c:pt idx="312">
                  <c:v>43334</c:v>
                </c:pt>
                <c:pt idx="313">
                  <c:v>43333</c:v>
                </c:pt>
                <c:pt idx="314">
                  <c:v>43332</c:v>
                </c:pt>
                <c:pt idx="315">
                  <c:v>43329</c:v>
                </c:pt>
                <c:pt idx="316">
                  <c:v>43328</c:v>
                </c:pt>
                <c:pt idx="317">
                  <c:v>43327</c:v>
                </c:pt>
                <c:pt idx="318">
                  <c:v>43326</c:v>
                </c:pt>
                <c:pt idx="319">
                  <c:v>43325</c:v>
                </c:pt>
                <c:pt idx="320">
                  <c:v>43322</c:v>
                </c:pt>
                <c:pt idx="321">
                  <c:v>43321</c:v>
                </c:pt>
                <c:pt idx="322">
                  <c:v>43320</c:v>
                </c:pt>
                <c:pt idx="323">
                  <c:v>43319</c:v>
                </c:pt>
                <c:pt idx="324">
                  <c:v>43318</c:v>
                </c:pt>
                <c:pt idx="325">
                  <c:v>43315</c:v>
                </c:pt>
                <c:pt idx="326">
                  <c:v>43314</c:v>
                </c:pt>
                <c:pt idx="327">
                  <c:v>43313</c:v>
                </c:pt>
                <c:pt idx="328">
                  <c:v>43312</c:v>
                </c:pt>
                <c:pt idx="329">
                  <c:v>43311</c:v>
                </c:pt>
                <c:pt idx="330">
                  <c:v>43308</c:v>
                </c:pt>
                <c:pt idx="331">
                  <c:v>43307</c:v>
                </c:pt>
                <c:pt idx="332">
                  <c:v>43306</c:v>
                </c:pt>
                <c:pt idx="333">
                  <c:v>43305</c:v>
                </c:pt>
                <c:pt idx="334">
                  <c:v>43304</c:v>
                </c:pt>
                <c:pt idx="335">
                  <c:v>43301</c:v>
                </c:pt>
                <c:pt idx="336">
                  <c:v>43300</c:v>
                </c:pt>
                <c:pt idx="337">
                  <c:v>43299</c:v>
                </c:pt>
                <c:pt idx="338">
                  <c:v>43298</c:v>
                </c:pt>
                <c:pt idx="339">
                  <c:v>43294</c:v>
                </c:pt>
                <c:pt idx="340">
                  <c:v>43293</c:v>
                </c:pt>
                <c:pt idx="341">
                  <c:v>43292</c:v>
                </c:pt>
                <c:pt idx="342">
                  <c:v>43291</c:v>
                </c:pt>
                <c:pt idx="343">
                  <c:v>43290</c:v>
                </c:pt>
                <c:pt idx="344">
                  <c:v>43287</c:v>
                </c:pt>
                <c:pt idx="345">
                  <c:v>43286</c:v>
                </c:pt>
                <c:pt idx="346">
                  <c:v>43285</c:v>
                </c:pt>
                <c:pt idx="347">
                  <c:v>43284</c:v>
                </c:pt>
                <c:pt idx="348">
                  <c:v>43283</c:v>
                </c:pt>
                <c:pt idx="349">
                  <c:v>43280</c:v>
                </c:pt>
                <c:pt idx="350">
                  <c:v>43279</c:v>
                </c:pt>
                <c:pt idx="351">
                  <c:v>43278</c:v>
                </c:pt>
                <c:pt idx="352">
                  <c:v>43277</c:v>
                </c:pt>
                <c:pt idx="353">
                  <c:v>43276</c:v>
                </c:pt>
                <c:pt idx="354">
                  <c:v>43273</c:v>
                </c:pt>
                <c:pt idx="355">
                  <c:v>43272</c:v>
                </c:pt>
                <c:pt idx="356">
                  <c:v>43271</c:v>
                </c:pt>
                <c:pt idx="357">
                  <c:v>43270</c:v>
                </c:pt>
                <c:pt idx="358">
                  <c:v>43269</c:v>
                </c:pt>
                <c:pt idx="359">
                  <c:v>43266</c:v>
                </c:pt>
                <c:pt idx="360">
                  <c:v>43265</c:v>
                </c:pt>
                <c:pt idx="361">
                  <c:v>43264</c:v>
                </c:pt>
                <c:pt idx="362">
                  <c:v>43263</c:v>
                </c:pt>
                <c:pt idx="363">
                  <c:v>43262</c:v>
                </c:pt>
                <c:pt idx="364">
                  <c:v>43259</c:v>
                </c:pt>
                <c:pt idx="365">
                  <c:v>43258</c:v>
                </c:pt>
                <c:pt idx="366">
                  <c:v>43257</c:v>
                </c:pt>
                <c:pt idx="367">
                  <c:v>43256</c:v>
                </c:pt>
                <c:pt idx="368">
                  <c:v>43255</c:v>
                </c:pt>
                <c:pt idx="369">
                  <c:v>43252</c:v>
                </c:pt>
                <c:pt idx="370">
                  <c:v>43251</c:v>
                </c:pt>
                <c:pt idx="371">
                  <c:v>43250</c:v>
                </c:pt>
                <c:pt idx="372">
                  <c:v>43249</c:v>
                </c:pt>
                <c:pt idx="373">
                  <c:v>43248</c:v>
                </c:pt>
                <c:pt idx="374">
                  <c:v>43245</c:v>
                </c:pt>
                <c:pt idx="375">
                  <c:v>43244</c:v>
                </c:pt>
                <c:pt idx="376">
                  <c:v>43243</c:v>
                </c:pt>
                <c:pt idx="377">
                  <c:v>43242</c:v>
                </c:pt>
                <c:pt idx="378">
                  <c:v>43241</c:v>
                </c:pt>
                <c:pt idx="379">
                  <c:v>43238</c:v>
                </c:pt>
                <c:pt idx="380">
                  <c:v>43237</c:v>
                </c:pt>
                <c:pt idx="381">
                  <c:v>43236</c:v>
                </c:pt>
                <c:pt idx="382">
                  <c:v>43235</c:v>
                </c:pt>
                <c:pt idx="383">
                  <c:v>43234</c:v>
                </c:pt>
                <c:pt idx="384">
                  <c:v>43231</c:v>
                </c:pt>
                <c:pt idx="385">
                  <c:v>43230</c:v>
                </c:pt>
                <c:pt idx="386">
                  <c:v>43229</c:v>
                </c:pt>
                <c:pt idx="387">
                  <c:v>43228</c:v>
                </c:pt>
                <c:pt idx="388">
                  <c:v>43227</c:v>
                </c:pt>
                <c:pt idx="389">
                  <c:v>43222</c:v>
                </c:pt>
                <c:pt idx="390">
                  <c:v>43221</c:v>
                </c:pt>
                <c:pt idx="391">
                  <c:v>43217</c:v>
                </c:pt>
                <c:pt idx="392">
                  <c:v>43216</c:v>
                </c:pt>
                <c:pt idx="393">
                  <c:v>43215</c:v>
                </c:pt>
                <c:pt idx="394">
                  <c:v>43214</c:v>
                </c:pt>
                <c:pt idx="395">
                  <c:v>43213</c:v>
                </c:pt>
                <c:pt idx="396">
                  <c:v>43210</c:v>
                </c:pt>
                <c:pt idx="397">
                  <c:v>43209</c:v>
                </c:pt>
                <c:pt idx="398">
                  <c:v>43208</c:v>
                </c:pt>
                <c:pt idx="399">
                  <c:v>43207</c:v>
                </c:pt>
                <c:pt idx="400">
                  <c:v>43206</c:v>
                </c:pt>
                <c:pt idx="401">
                  <c:v>43203</c:v>
                </c:pt>
                <c:pt idx="402">
                  <c:v>43202</c:v>
                </c:pt>
                <c:pt idx="403">
                  <c:v>43201</c:v>
                </c:pt>
                <c:pt idx="404">
                  <c:v>43200</c:v>
                </c:pt>
                <c:pt idx="405">
                  <c:v>43199</c:v>
                </c:pt>
                <c:pt idx="406">
                  <c:v>43196</c:v>
                </c:pt>
                <c:pt idx="407">
                  <c:v>43195</c:v>
                </c:pt>
                <c:pt idx="408">
                  <c:v>43194</c:v>
                </c:pt>
                <c:pt idx="409">
                  <c:v>43193</c:v>
                </c:pt>
                <c:pt idx="410">
                  <c:v>43192</c:v>
                </c:pt>
                <c:pt idx="411">
                  <c:v>43189</c:v>
                </c:pt>
                <c:pt idx="412">
                  <c:v>43188</c:v>
                </c:pt>
                <c:pt idx="413">
                  <c:v>43187</c:v>
                </c:pt>
                <c:pt idx="414">
                  <c:v>43186</c:v>
                </c:pt>
                <c:pt idx="415">
                  <c:v>43185</c:v>
                </c:pt>
                <c:pt idx="416">
                  <c:v>43182</c:v>
                </c:pt>
                <c:pt idx="417">
                  <c:v>43181</c:v>
                </c:pt>
                <c:pt idx="418">
                  <c:v>43179</c:v>
                </c:pt>
                <c:pt idx="419">
                  <c:v>43178</c:v>
                </c:pt>
                <c:pt idx="420">
                  <c:v>43175</c:v>
                </c:pt>
                <c:pt idx="421">
                  <c:v>43174</c:v>
                </c:pt>
                <c:pt idx="422">
                  <c:v>43173</c:v>
                </c:pt>
                <c:pt idx="423">
                  <c:v>43172</c:v>
                </c:pt>
                <c:pt idx="424">
                  <c:v>43171</c:v>
                </c:pt>
                <c:pt idx="425">
                  <c:v>43168</c:v>
                </c:pt>
                <c:pt idx="426">
                  <c:v>43167</c:v>
                </c:pt>
                <c:pt idx="427">
                  <c:v>43166</c:v>
                </c:pt>
                <c:pt idx="428">
                  <c:v>43165</c:v>
                </c:pt>
                <c:pt idx="429">
                  <c:v>43164</c:v>
                </c:pt>
                <c:pt idx="430">
                  <c:v>43161</c:v>
                </c:pt>
                <c:pt idx="431">
                  <c:v>43160</c:v>
                </c:pt>
                <c:pt idx="432">
                  <c:v>43159</c:v>
                </c:pt>
                <c:pt idx="433">
                  <c:v>43158</c:v>
                </c:pt>
                <c:pt idx="434">
                  <c:v>43157</c:v>
                </c:pt>
                <c:pt idx="435">
                  <c:v>43154</c:v>
                </c:pt>
                <c:pt idx="436">
                  <c:v>43153</c:v>
                </c:pt>
                <c:pt idx="437">
                  <c:v>43152</c:v>
                </c:pt>
                <c:pt idx="438">
                  <c:v>43151</c:v>
                </c:pt>
                <c:pt idx="439">
                  <c:v>43150</c:v>
                </c:pt>
                <c:pt idx="440">
                  <c:v>43147</c:v>
                </c:pt>
                <c:pt idx="441">
                  <c:v>43146</c:v>
                </c:pt>
                <c:pt idx="442">
                  <c:v>43145</c:v>
                </c:pt>
                <c:pt idx="443">
                  <c:v>43144</c:v>
                </c:pt>
                <c:pt idx="444">
                  <c:v>43140</c:v>
                </c:pt>
                <c:pt idx="445">
                  <c:v>43139</c:v>
                </c:pt>
                <c:pt idx="446">
                  <c:v>43138</c:v>
                </c:pt>
                <c:pt idx="447">
                  <c:v>43137</c:v>
                </c:pt>
                <c:pt idx="448">
                  <c:v>43136</c:v>
                </c:pt>
                <c:pt idx="449">
                  <c:v>43133</c:v>
                </c:pt>
                <c:pt idx="450">
                  <c:v>43132</c:v>
                </c:pt>
                <c:pt idx="451">
                  <c:v>43131</c:v>
                </c:pt>
                <c:pt idx="452">
                  <c:v>43130</c:v>
                </c:pt>
                <c:pt idx="453">
                  <c:v>43129</c:v>
                </c:pt>
                <c:pt idx="454">
                  <c:v>43126</c:v>
                </c:pt>
                <c:pt idx="455">
                  <c:v>43125</c:v>
                </c:pt>
                <c:pt idx="456">
                  <c:v>43124</c:v>
                </c:pt>
                <c:pt idx="457">
                  <c:v>43123</c:v>
                </c:pt>
                <c:pt idx="458">
                  <c:v>43122</c:v>
                </c:pt>
                <c:pt idx="459">
                  <c:v>43119</c:v>
                </c:pt>
                <c:pt idx="460">
                  <c:v>43118</c:v>
                </c:pt>
                <c:pt idx="461">
                  <c:v>43117</c:v>
                </c:pt>
                <c:pt idx="462">
                  <c:v>43116</c:v>
                </c:pt>
                <c:pt idx="463">
                  <c:v>43115</c:v>
                </c:pt>
                <c:pt idx="464">
                  <c:v>43112</c:v>
                </c:pt>
                <c:pt idx="465">
                  <c:v>43111</c:v>
                </c:pt>
                <c:pt idx="466">
                  <c:v>43110</c:v>
                </c:pt>
                <c:pt idx="467">
                  <c:v>43109</c:v>
                </c:pt>
                <c:pt idx="468">
                  <c:v>43105</c:v>
                </c:pt>
                <c:pt idx="469">
                  <c:v>43104</c:v>
                </c:pt>
                <c:pt idx="470">
                  <c:v>43098</c:v>
                </c:pt>
                <c:pt idx="471">
                  <c:v>43097</c:v>
                </c:pt>
                <c:pt idx="472">
                  <c:v>43096</c:v>
                </c:pt>
                <c:pt idx="473">
                  <c:v>43095</c:v>
                </c:pt>
                <c:pt idx="474">
                  <c:v>43094</c:v>
                </c:pt>
                <c:pt idx="475">
                  <c:v>43091</c:v>
                </c:pt>
                <c:pt idx="476">
                  <c:v>43090</c:v>
                </c:pt>
                <c:pt idx="477">
                  <c:v>43089</c:v>
                </c:pt>
                <c:pt idx="478">
                  <c:v>43088</c:v>
                </c:pt>
                <c:pt idx="479">
                  <c:v>43087</c:v>
                </c:pt>
                <c:pt idx="480">
                  <c:v>43084</c:v>
                </c:pt>
                <c:pt idx="481">
                  <c:v>43083</c:v>
                </c:pt>
                <c:pt idx="482">
                  <c:v>43082</c:v>
                </c:pt>
                <c:pt idx="483">
                  <c:v>43081</c:v>
                </c:pt>
                <c:pt idx="484">
                  <c:v>43080</c:v>
                </c:pt>
                <c:pt idx="485">
                  <c:v>43077</c:v>
                </c:pt>
                <c:pt idx="486">
                  <c:v>43076</c:v>
                </c:pt>
                <c:pt idx="487">
                  <c:v>43075</c:v>
                </c:pt>
                <c:pt idx="488">
                  <c:v>43074</c:v>
                </c:pt>
                <c:pt idx="489">
                  <c:v>43073</c:v>
                </c:pt>
                <c:pt idx="490">
                  <c:v>43070</c:v>
                </c:pt>
                <c:pt idx="491">
                  <c:v>43069</c:v>
                </c:pt>
                <c:pt idx="492">
                  <c:v>43068</c:v>
                </c:pt>
                <c:pt idx="493">
                  <c:v>43067</c:v>
                </c:pt>
                <c:pt idx="494">
                  <c:v>43066</c:v>
                </c:pt>
                <c:pt idx="495">
                  <c:v>43063</c:v>
                </c:pt>
                <c:pt idx="496">
                  <c:v>43061</c:v>
                </c:pt>
                <c:pt idx="497">
                  <c:v>43060</c:v>
                </c:pt>
                <c:pt idx="498">
                  <c:v>43059</c:v>
                </c:pt>
                <c:pt idx="499">
                  <c:v>43056</c:v>
                </c:pt>
                <c:pt idx="500">
                  <c:v>43055</c:v>
                </c:pt>
                <c:pt idx="501">
                  <c:v>43054</c:v>
                </c:pt>
                <c:pt idx="502">
                  <c:v>43053</c:v>
                </c:pt>
                <c:pt idx="503">
                  <c:v>43052</c:v>
                </c:pt>
                <c:pt idx="504">
                  <c:v>43049</c:v>
                </c:pt>
                <c:pt idx="505">
                  <c:v>43048</c:v>
                </c:pt>
                <c:pt idx="506">
                  <c:v>43047</c:v>
                </c:pt>
                <c:pt idx="507">
                  <c:v>43046</c:v>
                </c:pt>
                <c:pt idx="508">
                  <c:v>43045</c:v>
                </c:pt>
                <c:pt idx="509">
                  <c:v>43041</c:v>
                </c:pt>
                <c:pt idx="510">
                  <c:v>43040</c:v>
                </c:pt>
                <c:pt idx="511">
                  <c:v>43039</c:v>
                </c:pt>
                <c:pt idx="512">
                  <c:v>43038</c:v>
                </c:pt>
                <c:pt idx="513">
                  <c:v>43035</c:v>
                </c:pt>
                <c:pt idx="514">
                  <c:v>43034</c:v>
                </c:pt>
                <c:pt idx="515">
                  <c:v>43033</c:v>
                </c:pt>
                <c:pt idx="516">
                  <c:v>43032</c:v>
                </c:pt>
                <c:pt idx="517">
                  <c:v>43031</c:v>
                </c:pt>
                <c:pt idx="518">
                  <c:v>43028</c:v>
                </c:pt>
                <c:pt idx="519">
                  <c:v>43027</c:v>
                </c:pt>
                <c:pt idx="520">
                  <c:v>43026</c:v>
                </c:pt>
                <c:pt idx="521">
                  <c:v>43025</c:v>
                </c:pt>
                <c:pt idx="522">
                  <c:v>43024</c:v>
                </c:pt>
                <c:pt idx="523">
                  <c:v>43021</c:v>
                </c:pt>
                <c:pt idx="524">
                  <c:v>43020</c:v>
                </c:pt>
                <c:pt idx="525">
                  <c:v>43019</c:v>
                </c:pt>
                <c:pt idx="526">
                  <c:v>43018</c:v>
                </c:pt>
                <c:pt idx="527">
                  <c:v>43014</c:v>
                </c:pt>
                <c:pt idx="528">
                  <c:v>43013</c:v>
                </c:pt>
                <c:pt idx="529">
                  <c:v>43012</c:v>
                </c:pt>
                <c:pt idx="530">
                  <c:v>43011</c:v>
                </c:pt>
                <c:pt idx="531">
                  <c:v>43010</c:v>
                </c:pt>
                <c:pt idx="532">
                  <c:v>43007</c:v>
                </c:pt>
                <c:pt idx="533">
                  <c:v>43006</c:v>
                </c:pt>
                <c:pt idx="534">
                  <c:v>43005</c:v>
                </c:pt>
                <c:pt idx="535">
                  <c:v>43004</c:v>
                </c:pt>
                <c:pt idx="536">
                  <c:v>43003</c:v>
                </c:pt>
                <c:pt idx="537">
                  <c:v>43000</c:v>
                </c:pt>
                <c:pt idx="538">
                  <c:v>42999</c:v>
                </c:pt>
                <c:pt idx="539">
                  <c:v>42998</c:v>
                </c:pt>
                <c:pt idx="540">
                  <c:v>42997</c:v>
                </c:pt>
                <c:pt idx="541">
                  <c:v>42993</c:v>
                </c:pt>
                <c:pt idx="542">
                  <c:v>42992</c:v>
                </c:pt>
                <c:pt idx="543">
                  <c:v>42991</c:v>
                </c:pt>
                <c:pt idx="544">
                  <c:v>42990</c:v>
                </c:pt>
                <c:pt idx="545">
                  <c:v>42989</c:v>
                </c:pt>
                <c:pt idx="546">
                  <c:v>42986</c:v>
                </c:pt>
                <c:pt idx="547">
                  <c:v>42985</c:v>
                </c:pt>
                <c:pt idx="548">
                  <c:v>42984</c:v>
                </c:pt>
                <c:pt idx="549">
                  <c:v>42983</c:v>
                </c:pt>
                <c:pt idx="550">
                  <c:v>42982</c:v>
                </c:pt>
                <c:pt idx="551">
                  <c:v>42979</c:v>
                </c:pt>
                <c:pt idx="552">
                  <c:v>42978</c:v>
                </c:pt>
                <c:pt idx="553">
                  <c:v>42977</c:v>
                </c:pt>
                <c:pt idx="554">
                  <c:v>42976</c:v>
                </c:pt>
                <c:pt idx="555">
                  <c:v>42975</c:v>
                </c:pt>
                <c:pt idx="556">
                  <c:v>42972</c:v>
                </c:pt>
                <c:pt idx="557">
                  <c:v>42971</c:v>
                </c:pt>
                <c:pt idx="558">
                  <c:v>42970</c:v>
                </c:pt>
                <c:pt idx="559">
                  <c:v>42969</c:v>
                </c:pt>
                <c:pt idx="560">
                  <c:v>42968</c:v>
                </c:pt>
                <c:pt idx="561">
                  <c:v>42965</c:v>
                </c:pt>
                <c:pt idx="562">
                  <c:v>42964</c:v>
                </c:pt>
                <c:pt idx="563">
                  <c:v>42963</c:v>
                </c:pt>
                <c:pt idx="564">
                  <c:v>42962</c:v>
                </c:pt>
                <c:pt idx="565">
                  <c:v>42961</c:v>
                </c:pt>
                <c:pt idx="566">
                  <c:v>42957</c:v>
                </c:pt>
                <c:pt idx="567">
                  <c:v>42956</c:v>
                </c:pt>
                <c:pt idx="568">
                  <c:v>42955</c:v>
                </c:pt>
                <c:pt idx="569">
                  <c:v>42954</c:v>
                </c:pt>
                <c:pt idx="570">
                  <c:v>42951</c:v>
                </c:pt>
                <c:pt idx="571">
                  <c:v>42950</c:v>
                </c:pt>
                <c:pt idx="572">
                  <c:v>42949</c:v>
                </c:pt>
                <c:pt idx="573">
                  <c:v>42948</c:v>
                </c:pt>
                <c:pt idx="574">
                  <c:v>42947</c:v>
                </c:pt>
                <c:pt idx="575">
                  <c:v>42944</c:v>
                </c:pt>
                <c:pt idx="576">
                  <c:v>42943</c:v>
                </c:pt>
                <c:pt idx="577">
                  <c:v>42942</c:v>
                </c:pt>
                <c:pt idx="578">
                  <c:v>42941</c:v>
                </c:pt>
                <c:pt idx="579">
                  <c:v>42940</c:v>
                </c:pt>
                <c:pt idx="580">
                  <c:v>42937</c:v>
                </c:pt>
                <c:pt idx="581">
                  <c:v>42936</c:v>
                </c:pt>
                <c:pt idx="582">
                  <c:v>42935</c:v>
                </c:pt>
                <c:pt idx="583">
                  <c:v>42934</c:v>
                </c:pt>
                <c:pt idx="584">
                  <c:v>42930</c:v>
                </c:pt>
                <c:pt idx="585">
                  <c:v>42929</c:v>
                </c:pt>
                <c:pt idx="586">
                  <c:v>42928</c:v>
                </c:pt>
                <c:pt idx="587">
                  <c:v>42927</c:v>
                </c:pt>
                <c:pt idx="588">
                  <c:v>42926</c:v>
                </c:pt>
                <c:pt idx="589">
                  <c:v>42923</c:v>
                </c:pt>
                <c:pt idx="590">
                  <c:v>42922</c:v>
                </c:pt>
                <c:pt idx="591">
                  <c:v>42921</c:v>
                </c:pt>
                <c:pt idx="592">
                  <c:v>42920</c:v>
                </c:pt>
                <c:pt idx="593">
                  <c:v>42919</c:v>
                </c:pt>
                <c:pt idx="594">
                  <c:v>42916</c:v>
                </c:pt>
                <c:pt idx="595">
                  <c:v>42915</c:v>
                </c:pt>
                <c:pt idx="596">
                  <c:v>42914</c:v>
                </c:pt>
                <c:pt idx="597">
                  <c:v>42913</c:v>
                </c:pt>
                <c:pt idx="598">
                  <c:v>42912</c:v>
                </c:pt>
                <c:pt idx="599">
                  <c:v>42909</c:v>
                </c:pt>
                <c:pt idx="600">
                  <c:v>42908</c:v>
                </c:pt>
                <c:pt idx="601">
                  <c:v>42907</c:v>
                </c:pt>
                <c:pt idx="602">
                  <c:v>42906</c:v>
                </c:pt>
                <c:pt idx="603">
                  <c:v>42905</c:v>
                </c:pt>
                <c:pt idx="604">
                  <c:v>42902</c:v>
                </c:pt>
                <c:pt idx="605">
                  <c:v>42901</c:v>
                </c:pt>
                <c:pt idx="606">
                  <c:v>42900</c:v>
                </c:pt>
                <c:pt idx="607">
                  <c:v>42899</c:v>
                </c:pt>
                <c:pt idx="608">
                  <c:v>42898</c:v>
                </c:pt>
                <c:pt idx="609">
                  <c:v>42895</c:v>
                </c:pt>
                <c:pt idx="610">
                  <c:v>42894</c:v>
                </c:pt>
                <c:pt idx="611">
                  <c:v>42893</c:v>
                </c:pt>
                <c:pt idx="612">
                  <c:v>42892</c:v>
                </c:pt>
                <c:pt idx="613">
                  <c:v>42891</c:v>
                </c:pt>
                <c:pt idx="614">
                  <c:v>42888</c:v>
                </c:pt>
                <c:pt idx="615">
                  <c:v>42887</c:v>
                </c:pt>
                <c:pt idx="616">
                  <c:v>42886</c:v>
                </c:pt>
                <c:pt idx="617">
                  <c:v>42885</c:v>
                </c:pt>
                <c:pt idx="618">
                  <c:v>42884</c:v>
                </c:pt>
                <c:pt idx="619">
                  <c:v>42881</c:v>
                </c:pt>
                <c:pt idx="620">
                  <c:v>42880</c:v>
                </c:pt>
                <c:pt idx="621">
                  <c:v>42879</c:v>
                </c:pt>
                <c:pt idx="622">
                  <c:v>42878</c:v>
                </c:pt>
                <c:pt idx="623">
                  <c:v>42877</c:v>
                </c:pt>
                <c:pt idx="624">
                  <c:v>42874</c:v>
                </c:pt>
                <c:pt idx="625">
                  <c:v>42873</c:v>
                </c:pt>
                <c:pt idx="626">
                  <c:v>42872</c:v>
                </c:pt>
                <c:pt idx="627">
                  <c:v>42871</c:v>
                </c:pt>
                <c:pt idx="628">
                  <c:v>42870</c:v>
                </c:pt>
                <c:pt idx="629">
                  <c:v>42867</c:v>
                </c:pt>
                <c:pt idx="630">
                  <c:v>42866</c:v>
                </c:pt>
                <c:pt idx="631">
                  <c:v>42865</c:v>
                </c:pt>
                <c:pt idx="632">
                  <c:v>42864</c:v>
                </c:pt>
                <c:pt idx="633">
                  <c:v>42863</c:v>
                </c:pt>
                <c:pt idx="634">
                  <c:v>42857</c:v>
                </c:pt>
                <c:pt idx="635">
                  <c:v>42856</c:v>
                </c:pt>
                <c:pt idx="636">
                  <c:v>42853</c:v>
                </c:pt>
                <c:pt idx="637">
                  <c:v>42852</c:v>
                </c:pt>
                <c:pt idx="638">
                  <c:v>42851</c:v>
                </c:pt>
                <c:pt idx="639">
                  <c:v>42850</c:v>
                </c:pt>
                <c:pt idx="640">
                  <c:v>42849</c:v>
                </c:pt>
                <c:pt idx="641">
                  <c:v>42846</c:v>
                </c:pt>
                <c:pt idx="642">
                  <c:v>42845</c:v>
                </c:pt>
                <c:pt idx="643">
                  <c:v>42844</c:v>
                </c:pt>
                <c:pt idx="644">
                  <c:v>42843</c:v>
                </c:pt>
                <c:pt idx="645">
                  <c:v>42842</c:v>
                </c:pt>
                <c:pt idx="646">
                  <c:v>42839</c:v>
                </c:pt>
                <c:pt idx="647">
                  <c:v>42838</c:v>
                </c:pt>
                <c:pt idx="648">
                  <c:v>42837</c:v>
                </c:pt>
                <c:pt idx="649">
                  <c:v>42836</c:v>
                </c:pt>
                <c:pt idx="650">
                  <c:v>42835</c:v>
                </c:pt>
                <c:pt idx="651">
                  <c:v>42832</c:v>
                </c:pt>
                <c:pt idx="652">
                  <c:v>42831</c:v>
                </c:pt>
                <c:pt idx="653">
                  <c:v>42830</c:v>
                </c:pt>
                <c:pt idx="654">
                  <c:v>42829</c:v>
                </c:pt>
                <c:pt idx="655">
                  <c:v>42828</c:v>
                </c:pt>
                <c:pt idx="656">
                  <c:v>42825</c:v>
                </c:pt>
                <c:pt idx="657">
                  <c:v>42824</c:v>
                </c:pt>
                <c:pt idx="658">
                  <c:v>42823</c:v>
                </c:pt>
                <c:pt idx="659">
                  <c:v>42822</c:v>
                </c:pt>
                <c:pt idx="660">
                  <c:v>42821</c:v>
                </c:pt>
                <c:pt idx="661">
                  <c:v>42818</c:v>
                </c:pt>
              </c:numCache>
            </c:numRef>
          </c:cat>
          <c:val>
            <c:numRef>
              <c:f>グラフ!$F$42:$F$703</c:f>
              <c:numCache>
                <c:formatCode>General</c:formatCode>
                <c:ptCount val="662"/>
                <c:pt idx="0">
                  <c:v>0.319338422391857</c:v>
                </c:pt>
                <c:pt idx="1">
                  <c:v>0.32086928731224001</c:v>
                </c:pt>
                <c:pt idx="2">
                  <c:v>0.31963765771594899</c:v>
                </c:pt>
                <c:pt idx="3">
                  <c:v>0.31497584541062801</c:v>
                </c:pt>
                <c:pt idx="4">
                  <c:v>0.31636597938144301</c:v>
                </c:pt>
                <c:pt idx="5">
                  <c:v>0.31529181610694401</c:v>
                </c:pt>
                <c:pt idx="6">
                  <c:v>0.31233766233766203</c:v>
                </c:pt>
                <c:pt idx="7">
                  <c:v>0.31180044771346299</c:v>
                </c:pt>
                <c:pt idx="8">
                  <c:v>0.31038919266645199</c:v>
                </c:pt>
                <c:pt idx="9">
                  <c:v>0.30673871582962398</c:v>
                </c:pt>
                <c:pt idx="10">
                  <c:v>0.307593307593307</c:v>
                </c:pt>
                <c:pt idx="11">
                  <c:v>0.30841121495327101</c:v>
                </c:pt>
                <c:pt idx="12">
                  <c:v>0.31047865459249602</c:v>
                </c:pt>
                <c:pt idx="13">
                  <c:v>0.30504148053605601</c:v>
                </c:pt>
                <c:pt idx="14">
                  <c:v>0.303135888501742</c:v>
                </c:pt>
                <c:pt idx="15">
                  <c:v>0.30412698412698402</c:v>
                </c:pt>
                <c:pt idx="16">
                  <c:v>0.305829882128066</c:v>
                </c:pt>
                <c:pt idx="17">
                  <c:v>0.304767840448737</c:v>
                </c:pt>
                <c:pt idx="18">
                  <c:v>0.30411892226695503</c:v>
                </c:pt>
                <c:pt idx="19">
                  <c:v>0.30303030303030298</c:v>
                </c:pt>
                <c:pt idx="20">
                  <c:v>0.31608072916666602</c:v>
                </c:pt>
                <c:pt idx="21">
                  <c:v>0.31818181818181801</c:v>
                </c:pt>
                <c:pt idx="22">
                  <c:v>0.30682942923127599</c:v>
                </c:pt>
                <c:pt idx="23">
                  <c:v>0.30377233620119098</c:v>
                </c:pt>
                <c:pt idx="24">
                  <c:v>0.30191233711287802</c:v>
                </c:pt>
                <c:pt idx="25">
                  <c:v>0.30353501019714402</c:v>
                </c:pt>
                <c:pt idx="26">
                  <c:v>0.29733802109492702</c:v>
                </c:pt>
                <c:pt idx="27">
                  <c:v>0.29773785761809701</c:v>
                </c:pt>
                <c:pt idx="28">
                  <c:v>0.3</c:v>
                </c:pt>
                <c:pt idx="29">
                  <c:v>0.30114510340112799</c:v>
                </c:pt>
                <c:pt idx="30">
                  <c:v>0.29716820197884602</c:v>
                </c:pt>
                <c:pt idx="31">
                  <c:v>0.29996524157108101</c:v>
                </c:pt>
                <c:pt idx="32">
                  <c:v>0.29637305699481797</c:v>
                </c:pt>
                <c:pt idx="33">
                  <c:v>0.29465360151280701</c:v>
                </c:pt>
                <c:pt idx="34">
                  <c:v>0.29455232857879299</c:v>
                </c:pt>
                <c:pt idx="35">
                  <c:v>0.295205479452054</c:v>
                </c:pt>
                <c:pt idx="36">
                  <c:v>0.29211933091912401</c:v>
                </c:pt>
                <c:pt idx="37">
                  <c:v>0.29167403217252902</c:v>
                </c:pt>
                <c:pt idx="38">
                  <c:v>0.29294755877034301</c:v>
                </c:pt>
                <c:pt idx="39">
                  <c:v>0.29274516952242002</c:v>
                </c:pt>
                <c:pt idx="40">
                  <c:v>0.29735682819383202</c:v>
                </c:pt>
                <c:pt idx="41">
                  <c:v>0.295604395604395</c:v>
                </c:pt>
                <c:pt idx="42">
                  <c:v>0.29582577132486298</c:v>
                </c:pt>
                <c:pt idx="43">
                  <c:v>0.29717411121239701</c:v>
                </c:pt>
                <c:pt idx="44">
                  <c:v>0.29418026969481897</c:v>
                </c:pt>
                <c:pt idx="45">
                  <c:v>0.29283597699145802</c:v>
                </c:pt>
                <c:pt idx="46">
                  <c:v>0.29444345184920401</c:v>
                </c:pt>
                <c:pt idx="47">
                  <c:v>0.29366197183098502</c:v>
                </c:pt>
                <c:pt idx="48">
                  <c:v>0.29360013800241502</c:v>
                </c:pt>
                <c:pt idx="49">
                  <c:v>0.29405594405594399</c:v>
                </c:pt>
                <c:pt idx="50">
                  <c:v>0.29456008396011801</c:v>
                </c:pt>
                <c:pt idx="51">
                  <c:v>0.29323696437790397</c:v>
                </c:pt>
                <c:pt idx="52">
                  <c:v>0.28972448449142202</c:v>
                </c:pt>
                <c:pt idx="53">
                  <c:v>0.28995512599240503</c:v>
                </c:pt>
                <c:pt idx="54">
                  <c:v>0.28961748633879703</c:v>
                </c:pt>
                <c:pt idx="55">
                  <c:v>0.29355608591885402</c:v>
                </c:pt>
                <c:pt idx="56">
                  <c:v>0.29185867895545298</c:v>
                </c:pt>
                <c:pt idx="57">
                  <c:v>0.29045069936107698</c:v>
                </c:pt>
                <c:pt idx="58">
                  <c:v>0.29344321031888199</c:v>
                </c:pt>
                <c:pt idx="59">
                  <c:v>0.28529519618628502</c:v>
                </c:pt>
                <c:pt idx="60">
                  <c:v>0.287856620336503</c:v>
                </c:pt>
                <c:pt idx="61">
                  <c:v>0.28824415975885398</c:v>
                </c:pt>
                <c:pt idx="62">
                  <c:v>0.28599146294140398</c:v>
                </c:pt>
                <c:pt idx="63">
                  <c:v>0.29496683573936699</c:v>
                </c:pt>
                <c:pt idx="64">
                  <c:v>0.29693978282329703</c:v>
                </c:pt>
                <c:pt idx="65">
                  <c:v>0.29918763621953598</c:v>
                </c:pt>
                <c:pt idx="66">
                  <c:v>0.299190283400809</c:v>
                </c:pt>
                <c:pt idx="67">
                  <c:v>0.29477911646586302</c:v>
                </c:pt>
                <c:pt idx="68">
                  <c:v>0.29388083735909798</c:v>
                </c:pt>
                <c:pt idx="69">
                  <c:v>0.28536485935589001</c:v>
                </c:pt>
                <c:pt idx="70">
                  <c:v>0.29093831625477101</c:v>
                </c:pt>
                <c:pt idx="71">
                  <c:v>0.29038772213247099</c:v>
                </c:pt>
                <c:pt idx="72">
                  <c:v>0.286232614392259</c:v>
                </c:pt>
                <c:pt idx="73">
                  <c:v>0.28897795591182301</c:v>
                </c:pt>
                <c:pt idx="74">
                  <c:v>0.29085760517799297</c:v>
                </c:pt>
                <c:pt idx="75">
                  <c:v>0.29082774049216997</c:v>
                </c:pt>
                <c:pt idx="76">
                  <c:v>0.29186991869918699</c:v>
                </c:pt>
                <c:pt idx="77">
                  <c:v>0.29372871168102499</c:v>
                </c:pt>
                <c:pt idx="78">
                  <c:v>0.29250604351329501</c:v>
                </c:pt>
                <c:pt idx="79">
                  <c:v>0.29189614476789899</c:v>
                </c:pt>
                <c:pt idx="80">
                  <c:v>0.29388560157790899</c:v>
                </c:pt>
                <c:pt idx="81">
                  <c:v>0.31105854523950299</c:v>
                </c:pt>
                <c:pt idx="82">
                  <c:v>0.31322007420425602</c:v>
                </c:pt>
                <c:pt idx="83">
                  <c:v>0.31449727201870598</c:v>
                </c:pt>
                <c:pt idx="84">
                  <c:v>0.31305013394565601</c:v>
                </c:pt>
                <c:pt idx="85">
                  <c:v>0.31111111111111101</c:v>
                </c:pt>
                <c:pt idx="86">
                  <c:v>0.31543995572772499</c:v>
                </c:pt>
                <c:pt idx="87">
                  <c:v>0.31457431457431401</c:v>
                </c:pt>
                <c:pt idx="88">
                  <c:v>0.30794282612628898</c:v>
                </c:pt>
                <c:pt idx="89">
                  <c:v>0.31161371387542602</c:v>
                </c:pt>
                <c:pt idx="90">
                  <c:v>0.31058740766795601</c:v>
                </c:pt>
                <c:pt idx="91">
                  <c:v>0.30380634976319898</c:v>
                </c:pt>
                <c:pt idx="92">
                  <c:v>0.30484988452655798</c:v>
                </c:pt>
                <c:pt idx="93">
                  <c:v>0.297644539614561</c:v>
                </c:pt>
                <c:pt idx="94">
                  <c:v>0.29059829059829001</c:v>
                </c:pt>
                <c:pt idx="95">
                  <c:v>0.29111393785208001</c:v>
                </c:pt>
                <c:pt idx="96">
                  <c:v>0.29543834640056998</c:v>
                </c:pt>
                <c:pt idx="97">
                  <c:v>0.29543451436629597</c:v>
                </c:pt>
                <c:pt idx="98">
                  <c:v>0.29223744292237402</c:v>
                </c:pt>
                <c:pt idx="99">
                  <c:v>0.29571026722925398</c:v>
                </c:pt>
                <c:pt idx="100">
                  <c:v>0.29305822696275502</c:v>
                </c:pt>
                <c:pt idx="101">
                  <c:v>0.29553023663453099</c:v>
                </c:pt>
                <c:pt idx="102">
                  <c:v>0.30137469157560798</c:v>
                </c:pt>
                <c:pt idx="103">
                  <c:v>0.30601092896174797</c:v>
                </c:pt>
                <c:pt idx="104">
                  <c:v>0.30204808548530698</c:v>
                </c:pt>
                <c:pt idx="105">
                  <c:v>0.30394265232974899</c:v>
                </c:pt>
                <c:pt idx="106">
                  <c:v>0.30384208671131402</c:v>
                </c:pt>
                <c:pt idx="107">
                  <c:v>0.301230228471001</c:v>
                </c:pt>
                <c:pt idx="108">
                  <c:v>0.29874326750448799</c:v>
                </c:pt>
                <c:pt idx="109">
                  <c:v>0.30123722431414701</c:v>
                </c:pt>
                <c:pt idx="110">
                  <c:v>0.29989015012815801</c:v>
                </c:pt>
                <c:pt idx="111">
                  <c:v>0.295064183691918</c:v>
                </c:pt>
                <c:pt idx="112">
                  <c:v>0.29330461317537199</c:v>
                </c:pt>
                <c:pt idx="113">
                  <c:v>0.29392624728850297</c:v>
                </c:pt>
                <c:pt idx="114">
                  <c:v>0.29844821364128399</c:v>
                </c:pt>
                <c:pt idx="115">
                  <c:v>0.29461756373937598</c:v>
                </c:pt>
                <c:pt idx="116">
                  <c:v>0.29320318148951502</c:v>
                </c:pt>
                <c:pt idx="117">
                  <c:v>0.29477477477477398</c:v>
                </c:pt>
                <c:pt idx="118">
                  <c:v>0.30090744101633299</c:v>
                </c:pt>
                <c:pt idx="119">
                  <c:v>0.29987293519695002</c:v>
                </c:pt>
                <c:pt idx="120">
                  <c:v>0.30181883666486498</c:v>
                </c:pt>
                <c:pt idx="121">
                  <c:v>0.30421524663677102</c:v>
                </c:pt>
                <c:pt idx="122">
                  <c:v>0.30215827338129497</c:v>
                </c:pt>
                <c:pt idx="123">
                  <c:v>0.301680058436815</c:v>
                </c:pt>
                <c:pt idx="124">
                  <c:v>0.29921547162926398</c:v>
                </c:pt>
                <c:pt idx="125">
                  <c:v>0.30447227191413201</c:v>
                </c:pt>
                <c:pt idx="126">
                  <c:v>0.30217151269782799</c:v>
                </c:pt>
                <c:pt idx="127">
                  <c:v>0.29817634893777001</c:v>
                </c:pt>
                <c:pt idx="128">
                  <c:v>0.30101848359109701</c:v>
                </c:pt>
                <c:pt idx="129">
                  <c:v>0.29469122426868899</c:v>
                </c:pt>
                <c:pt idx="130">
                  <c:v>0.29177238129757099</c:v>
                </c:pt>
                <c:pt idx="131">
                  <c:v>0.29386281588447599</c:v>
                </c:pt>
                <c:pt idx="132">
                  <c:v>0.29322218194998101</c:v>
                </c:pt>
                <c:pt idx="133">
                  <c:v>0.292114695340501</c:v>
                </c:pt>
                <c:pt idx="134">
                  <c:v>0.28790308213076699</c:v>
                </c:pt>
                <c:pt idx="135">
                  <c:v>0.29065866148684399</c:v>
                </c:pt>
                <c:pt idx="136">
                  <c:v>0.28808473080317698</c:v>
                </c:pt>
                <c:pt idx="137">
                  <c:v>0.28626965895034401</c:v>
                </c:pt>
                <c:pt idx="138">
                  <c:v>0.29054054054054002</c:v>
                </c:pt>
                <c:pt idx="139">
                  <c:v>0.29304160688665698</c:v>
                </c:pt>
                <c:pt idx="140">
                  <c:v>0.29304812834224597</c:v>
                </c:pt>
                <c:pt idx="141">
                  <c:v>0.29325722440242502</c:v>
                </c:pt>
                <c:pt idx="142">
                  <c:v>0.28581572874134498</c:v>
                </c:pt>
                <c:pt idx="143">
                  <c:v>0.31638418079095998</c:v>
                </c:pt>
                <c:pt idx="144">
                  <c:v>0.31865239515704502</c:v>
                </c:pt>
                <c:pt idx="145">
                  <c:v>0.31376484361933399</c:v>
                </c:pt>
                <c:pt idx="146">
                  <c:v>0.31329216769580698</c:v>
                </c:pt>
                <c:pt idx="147">
                  <c:v>0.32247662044501701</c:v>
                </c:pt>
                <c:pt idx="148">
                  <c:v>0.33107890499194798</c:v>
                </c:pt>
                <c:pt idx="149">
                  <c:v>0.33710407239819001</c:v>
                </c:pt>
                <c:pt idx="150">
                  <c:v>0.337209302325581</c:v>
                </c:pt>
                <c:pt idx="151">
                  <c:v>0.33943795389958897</c:v>
                </c:pt>
                <c:pt idx="152">
                  <c:v>0.33646028767979902</c:v>
                </c:pt>
                <c:pt idx="153">
                  <c:v>0.33229620410703098</c:v>
                </c:pt>
                <c:pt idx="154">
                  <c:v>0.33785488958990501</c:v>
                </c:pt>
                <c:pt idx="155">
                  <c:v>0.33588272785213502</c:v>
                </c:pt>
                <c:pt idx="156">
                  <c:v>0.33921128566848302</c:v>
                </c:pt>
                <c:pt idx="157">
                  <c:v>0.33549432739059898</c:v>
                </c:pt>
                <c:pt idx="158">
                  <c:v>0.337345478204294</c:v>
                </c:pt>
                <c:pt idx="159">
                  <c:v>0.33590485374477602</c:v>
                </c:pt>
                <c:pt idx="160">
                  <c:v>0.33587786259541902</c:v>
                </c:pt>
                <c:pt idx="161">
                  <c:v>0.33535611625678602</c:v>
                </c:pt>
                <c:pt idx="162">
                  <c:v>0.33186536646744202</c:v>
                </c:pt>
                <c:pt idx="163">
                  <c:v>0.32838179519595401</c:v>
                </c:pt>
                <c:pt idx="164">
                  <c:v>0.326953748006379</c:v>
                </c:pt>
                <c:pt idx="165">
                  <c:v>0.32797427652733102</c:v>
                </c:pt>
                <c:pt idx="166">
                  <c:v>0.33138211382113802</c:v>
                </c:pt>
                <c:pt idx="167">
                  <c:v>0.33188647746243699</c:v>
                </c:pt>
                <c:pt idx="168">
                  <c:v>0.32844770153231101</c:v>
                </c:pt>
                <c:pt idx="169">
                  <c:v>0.33190366215770301</c:v>
                </c:pt>
                <c:pt idx="170">
                  <c:v>0.330932896890343</c:v>
                </c:pt>
                <c:pt idx="171">
                  <c:v>0.32945147679324799</c:v>
                </c:pt>
                <c:pt idx="172">
                  <c:v>0.32416502946954801</c:v>
                </c:pt>
                <c:pt idx="173">
                  <c:v>0.31585760517799299</c:v>
                </c:pt>
                <c:pt idx="174">
                  <c:v>0.31339401820546098</c:v>
                </c:pt>
                <c:pt idx="175">
                  <c:v>0.31609947643978997</c:v>
                </c:pt>
                <c:pt idx="176">
                  <c:v>0.315996074582924</c:v>
                </c:pt>
                <c:pt idx="177">
                  <c:v>0.31591134634468998</c:v>
                </c:pt>
                <c:pt idx="178">
                  <c:v>0.31833223031105201</c:v>
                </c:pt>
                <c:pt idx="179">
                  <c:v>0.32326878897276001</c:v>
                </c:pt>
                <c:pt idx="180">
                  <c:v>0.32326584799203401</c:v>
                </c:pt>
                <c:pt idx="181">
                  <c:v>0.32558916931305298</c:v>
                </c:pt>
                <c:pt idx="182">
                  <c:v>0.32468811556139199</c:v>
                </c:pt>
                <c:pt idx="183">
                  <c:v>0.32719638242894</c:v>
                </c:pt>
                <c:pt idx="184">
                  <c:v>0.33053040103492798</c:v>
                </c:pt>
                <c:pt idx="185">
                  <c:v>0.32755298651252401</c:v>
                </c:pt>
                <c:pt idx="186">
                  <c:v>0.32773375594294701</c:v>
                </c:pt>
                <c:pt idx="187">
                  <c:v>0.328893117665715</c:v>
                </c:pt>
                <c:pt idx="188">
                  <c:v>0.33028967254407998</c:v>
                </c:pt>
                <c:pt idx="189">
                  <c:v>0.33322764743183197</c:v>
                </c:pt>
                <c:pt idx="190">
                  <c:v>0.33513170422088201</c:v>
                </c:pt>
                <c:pt idx="191">
                  <c:v>0.33663999999999999</c:v>
                </c:pt>
                <c:pt idx="192">
                  <c:v>0.34031582339671201</c:v>
                </c:pt>
                <c:pt idx="193">
                  <c:v>0.34685130234091599</c:v>
                </c:pt>
                <c:pt idx="194">
                  <c:v>0.34837425348374201</c:v>
                </c:pt>
                <c:pt idx="195">
                  <c:v>0.35298035298035202</c:v>
                </c:pt>
                <c:pt idx="196">
                  <c:v>0.35021026072329597</c:v>
                </c:pt>
                <c:pt idx="197">
                  <c:v>0.34133508714238697</c:v>
                </c:pt>
                <c:pt idx="198">
                  <c:v>0.34355214928357197</c:v>
                </c:pt>
                <c:pt idx="199">
                  <c:v>0.34915254237288101</c:v>
                </c:pt>
                <c:pt idx="200">
                  <c:v>0.34273022381684598</c:v>
                </c:pt>
                <c:pt idx="201">
                  <c:v>0.34310459693537598</c:v>
                </c:pt>
                <c:pt idx="202">
                  <c:v>0.345304777594728</c:v>
                </c:pt>
                <c:pt idx="203">
                  <c:v>0.34217419777341102</c:v>
                </c:pt>
                <c:pt idx="204">
                  <c:v>0.331736909323116</c:v>
                </c:pt>
                <c:pt idx="205">
                  <c:v>0.31432973805855102</c:v>
                </c:pt>
                <c:pt idx="206">
                  <c:v>0.31055709449061197</c:v>
                </c:pt>
                <c:pt idx="207">
                  <c:v>0.30823819808700997</c:v>
                </c:pt>
                <c:pt idx="208">
                  <c:v>0.31001540832049301</c:v>
                </c:pt>
                <c:pt idx="209">
                  <c:v>0.31169230769230699</c:v>
                </c:pt>
                <c:pt idx="210">
                  <c:v>0.31130063965884802</c:v>
                </c:pt>
                <c:pt idx="211">
                  <c:v>0.31261595547309801</c:v>
                </c:pt>
                <c:pt idx="212">
                  <c:v>0.30724009900990101</c:v>
                </c:pt>
                <c:pt idx="213">
                  <c:v>0.30873726458783501</c:v>
                </c:pt>
                <c:pt idx="214">
                  <c:v>0.31020659882824497</c:v>
                </c:pt>
                <c:pt idx="215">
                  <c:v>0.30668740279937701</c:v>
                </c:pt>
                <c:pt idx="216">
                  <c:v>0.30941983780411703</c:v>
                </c:pt>
                <c:pt idx="217">
                  <c:v>0.309034267912772</c:v>
                </c:pt>
                <c:pt idx="218">
                  <c:v>0.31189810500155302</c:v>
                </c:pt>
                <c:pt idx="219">
                  <c:v>0.31072555205047298</c:v>
                </c:pt>
                <c:pt idx="220">
                  <c:v>0.31696284329563801</c:v>
                </c:pt>
                <c:pt idx="221">
                  <c:v>0.316581306017925</c:v>
                </c:pt>
                <c:pt idx="222">
                  <c:v>0.31355382619973998</c:v>
                </c:pt>
                <c:pt idx="223">
                  <c:v>0.32351957176313101</c:v>
                </c:pt>
                <c:pt idx="224">
                  <c:v>0.322983521248915</c:v>
                </c:pt>
                <c:pt idx="225">
                  <c:v>0.333390913802038</c:v>
                </c:pt>
                <c:pt idx="226">
                  <c:v>0.33039875712066202</c:v>
                </c:pt>
                <c:pt idx="227">
                  <c:v>0.32356642099586502</c:v>
                </c:pt>
                <c:pt idx="228">
                  <c:v>0.32438316400580502</c:v>
                </c:pt>
                <c:pt idx="229">
                  <c:v>0.32380626390552703</c:v>
                </c:pt>
                <c:pt idx="230">
                  <c:v>0.32321187584345401</c:v>
                </c:pt>
                <c:pt idx="231">
                  <c:v>0.32326878897276001</c:v>
                </c:pt>
                <c:pt idx="232">
                  <c:v>0.333883751651254</c:v>
                </c:pt>
                <c:pt idx="233">
                  <c:v>0.332786885245901</c:v>
                </c:pt>
                <c:pt idx="234">
                  <c:v>0.33595284872298598</c:v>
                </c:pt>
                <c:pt idx="235">
                  <c:v>0.33526011560693603</c:v>
                </c:pt>
                <c:pt idx="236">
                  <c:v>0.33517196625567802</c:v>
                </c:pt>
                <c:pt idx="237">
                  <c:v>0.33134723601456401</c:v>
                </c:pt>
                <c:pt idx="238">
                  <c:v>0.33201450708869101</c:v>
                </c:pt>
                <c:pt idx="239">
                  <c:v>0.32922877511341497</c:v>
                </c:pt>
                <c:pt idx="240">
                  <c:v>0.33614810003247803</c:v>
                </c:pt>
                <c:pt idx="241">
                  <c:v>0.333868378812199</c:v>
                </c:pt>
                <c:pt idx="242">
                  <c:v>0.32528987778125901</c:v>
                </c:pt>
                <c:pt idx="243">
                  <c:v>0.315692872438054</c:v>
                </c:pt>
                <c:pt idx="244">
                  <c:v>0.31542785758900599</c:v>
                </c:pt>
                <c:pt idx="245">
                  <c:v>0.32049649904519401</c:v>
                </c:pt>
                <c:pt idx="246">
                  <c:v>0.31730465042708</c:v>
                </c:pt>
                <c:pt idx="247">
                  <c:v>0.31170046801871998</c:v>
                </c:pt>
                <c:pt idx="248">
                  <c:v>0.31063964534515498</c:v>
                </c:pt>
                <c:pt idx="249">
                  <c:v>0.31348955034832099</c:v>
                </c:pt>
                <c:pt idx="250">
                  <c:v>0.31468531468531402</c:v>
                </c:pt>
                <c:pt idx="251">
                  <c:v>0.311749842072015</c:v>
                </c:pt>
                <c:pt idx="252">
                  <c:v>0.30890217049386598</c:v>
                </c:pt>
                <c:pt idx="253">
                  <c:v>0.30339195979899403</c:v>
                </c:pt>
                <c:pt idx="254">
                  <c:v>0.30380536494073601</c:v>
                </c:pt>
                <c:pt idx="255">
                  <c:v>0.30406453614644702</c:v>
                </c:pt>
                <c:pt idx="256">
                  <c:v>0.30186915887850402</c:v>
                </c:pt>
                <c:pt idx="257">
                  <c:v>0.30195003046922603</c:v>
                </c:pt>
                <c:pt idx="258">
                  <c:v>0.303963414634146</c:v>
                </c:pt>
                <c:pt idx="259">
                  <c:v>0.300551470588235</c:v>
                </c:pt>
                <c:pt idx="260">
                  <c:v>0.31464849798699202</c:v>
                </c:pt>
                <c:pt idx="261">
                  <c:v>0.30479348809164902</c:v>
                </c:pt>
                <c:pt idx="262">
                  <c:v>0.313743781094527</c:v>
                </c:pt>
                <c:pt idx="263">
                  <c:v>0.318041871921182</c:v>
                </c:pt>
                <c:pt idx="264">
                  <c:v>0.303598892648415</c:v>
                </c:pt>
                <c:pt idx="265">
                  <c:v>0.29929034248688602</c:v>
                </c:pt>
                <c:pt idx="266">
                  <c:v>0.31701708278580798</c:v>
                </c:pt>
                <c:pt idx="267">
                  <c:v>0.32395309882746998</c:v>
                </c:pt>
                <c:pt idx="268">
                  <c:v>0.32544080604533998</c:v>
                </c:pt>
                <c:pt idx="269">
                  <c:v>0.31983598154792398</c:v>
                </c:pt>
                <c:pt idx="270">
                  <c:v>0.35011593242795602</c:v>
                </c:pt>
                <c:pt idx="271">
                  <c:v>0.34805712387910898</c:v>
                </c:pt>
                <c:pt idx="272">
                  <c:v>0.34502923976608102</c:v>
                </c:pt>
                <c:pt idx="273">
                  <c:v>0.348123980424143</c:v>
                </c:pt>
                <c:pt idx="274">
                  <c:v>0.34841628959276</c:v>
                </c:pt>
                <c:pt idx="275">
                  <c:v>0.35195350339037701</c:v>
                </c:pt>
                <c:pt idx="276">
                  <c:v>0.35234680573663602</c:v>
                </c:pt>
                <c:pt idx="277">
                  <c:v>0.35802059116572499</c:v>
                </c:pt>
                <c:pt idx="278">
                  <c:v>0.35510996119016802</c:v>
                </c:pt>
                <c:pt idx="279">
                  <c:v>0.35883306320907599</c:v>
                </c:pt>
                <c:pt idx="280">
                  <c:v>0.34954786404739602</c:v>
                </c:pt>
                <c:pt idx="281">
                  <c:v>0.34998448650325698</c:v>
                </c:pt>
                <c:pt idx="282">
                  <c:v>0.34546001202645799</c:v>
                </c:pt>
                <c:pt idx="283">
                  <c:v>0.34817692767483499</c:v>
                </c:pt>
                <c:pt idx="284">
                  <c:v>0.34931096464949002</c:v>
                </c:pt>
                <c:pt idx="285">
                  <c:v>0.34193918531267897</c:v>
                </c:pt>
                <c:pt idx="286">
                  <c:v>0.344205008736167</c:v>
                </c:pt>
                <c:pt idx="287">
                  <c:v>0.34341378307647502</c:v>
                </c:pt>
                <c:pt idx="288">
                  <c:v>0.34370413853830301</c:v>
                </c:pt>
                <c:pt idx="289">
                  <c:v>0.34607528450539798</c:v>
                </c:pt>
                <c:pt idx="290">
                  <c:v>0.339021615472127</c:v>
                </c:pt>
                <c:pt idx="291">
                  <c:v>0.33342881695789101</c:v>
                </c:pt>
                <c:pt idx="292">
                  <c:v>0.34376828554710298</c:v>
                </c:pt>
                <c:pt idx="293">
                  <c:v>0.35175879396984899</c:v>
                </c:pt>
                <c:pt idx="294">
                  <c:v>0.35962241169305698</c:v>
                </c:pt>
                <c:pt idx="295">
                  <c:v>0.35809760646565097</c:v>
                </c:pt>
                <c:pt idx="296">
                  <c:v>0.36060415355569497</c:v>
                </c:pt>
                <c:pt idx="297">
                  <c:v>0.37183188963747099</c:v>
                </c:pt>
                <c:pt idx="298">
                  <c:v>0.37145557655954597</c:v>
                </c:pt>
                <c:pt idx="299">
                  <c:v>0.37005381449825803</c:v>
                </c:pt>
                <c:pt idx="300">
                  <c:v>0.36337850614560302</c:v>
                </c:pt>
                <c:pt idx="301">
                  <c:v>0.36537857367263499</c:v>
                </c:pt>
                <c:pt idx="302">
                  <c:v>0.36620603015075298</c:v>
                </c:pt>
                <c:pt idx="303">
                  <c:v>0.35985083903045301</c:v>
                </c:pt>
                <c:pt idx="304">
                  <c:v>0.35841523341523301</c:v>
                </c:pt>
                <c:pt idx="305">
                  <c:v>0.35692588092345001</c:v>
                </c:pt>
                <c:pt idx="306">
                  <c:v>0.35101311084624498</c:v>
                </c:pt>
                <c:pt idx="307">
                  <c:v>0.34668630338733403</c:v>
                </c:pt>
                <c:pt idx="308">
                  <c:v>0.34379626887770198</c:v>
                </c:pt>
                <c:pt idx="309">
                  <c:v>0.34632683658170899</c:v>
                </c:pt>
                <c:pt idx="310">
                  <c:v>0.345288753799392</c:v>
                </c:pt>
                <c:pt idx="311">
                  <c:v>0.33996383363471899</c:v>
                </c:pt>
                <c:pt idx="312">
                  <c:v>0.33451536643025997</c:v>
                </c:pt>
                <c:pt idx="313">
                  <c:v>0.33995784402288398</c:v>
                </c:pt>
                <c:pt idx="314">
                  <c:v>0.34127942063971001</c:v>
                </c:pt>
                <c:pt idx="315">
                  <c:v>0.345004527618472</c:v>
                </c:pt>
                <c:pt idx="316">
                  <c:v>0.34356014580801902</c:v>
                </c:pt>
                <c:pt idx="317">
                  <c:v>0.34418746195982902</c:v>
                </c:pt>
                <c:pt idx="318">
                  <c:v>0.34412470023980801</c:v>
                </c:pt>
                <c:pt idx="319">
                  <c:v>0.34688264058679702</c:v>
                </c:pt>
                <c:pt idx="320">
                  <c:v>0.345605700712589</c:v>
                </c:pt>
                <c:pt idx="321">
                  <c:v>0.35078379177758001</c:v>
                </c:pt>
                <c:pt idx="322">
                  <c:v>0.32350364963503597</c:v>
                </c:pt>
                <c:pt idx="323">
                  <c:v>0.32360665304931402</c:v>
                </c:pt>
                <c:pt idx="324">
                  <c:v>0.32576650943396201</c:v>
                </c:pt>
                <c:pt idx="325">
                  <c:v>0.32899408284023601</c:v>
                </c:pt>
                <c:pt idx="326">
                  <c:v>0.33084947839046103</c:v>
                </c:pt>
                <c:pt idx="327">
                  <c:v>0.32484076433121001</c:v>
                </c:pt>
                <c:pt idx="328">
                  <c:v>0.33233979135618402</c:v>
                </c:pt>
                <c:pt idx="329">
                  <c:v>0.328393598103141</c:v>
                </c:pt>
                <c:pt idx="330">
                  <c:v>0.33194650817236199</c:v>
                </c:pt>
                <c:pt idx="331">
                  <c:v>0.33353275501046897</c:v>
                </c:pt>
                <c:pt idx="332">
                  <c:v>0.33092876465283999</c:v>
                </c:pt>
                <c:pt idx="333">
                  <c:v>0.33130883692681401</c:v>
                </c:pt>
                <c:pt idx="334">
                  <c:v>0.33446049800184402</c:v>
                </c:pt>
                <c:pt idx="335">
                  <c:v>0.33110571081409401</c:v>
                </c:pt>
                <c:pt idx="336">
                  <c:v>0.33283177851339102</c:v>
                </c:pt>
                <c:pt idx="337">
                  <c:v>0.32953181272509002</c:v>
                </c:pt>
                <c:pt idx="338">
                  <c:v>0.32681312067408902</c:v>
                </c:pt>
                <c:pt idx="339">
                  <c:v>0.32503037667071599</c:v>
                </c:pt>
                <c:pt idx="340">
                  <c:v>0.32402577477753902</c:v>
                </c:pt>
                <c:pt idx="341">
                  <c:v>0.323038912909203</c:v>
                </c:pt>
                <c:pt idx="342">
                  <c:v>0.32600061106018902</c:v>
                </c:pt>
                <c:pt idx="343">
                  <c:v>0.32469135802469101</c:v>
                </c:pt>
                <c:pt idx="344">
                  <c:v>0.320631970260223</c:v>
                </c:pt>
                <c:pt idx="345">
                  <c:v>0.324120603015075</c:v>
                </c:pt>
                <c:pt idx="346">
                  <c:v>0.32810539523212001</c:v>
                </c:pt>
                <c:pt idx="347">
                  <c:v>0.32087227414330199</c:v>
                </c:pt>
                <c:pt idx="348">
                  <c:v>0.32091421415153398</c:v>
                </c:pt>
                <c:pt idx="349">
                  <c:v>0.32093452197971101</c:v>
                </c:pt>
                <c:pt idx="350">
                  <c:v>0.321461752864664</c:v>
                </c:pt>
                <c:pt idx="351">
                  <c:v>0.31472868217054201</c:v>
                </c:pt>
                <c:pt idx="352">
                  <c:v>0.32630310334438001</c:v>
                </c:pt>
                <c:pt idx="353">
                  <c:v>0.32356495468277902</c:v>
                </c:pt>
                <c:pt idx="354">
                  <c:v>0.31567923399162101</c:v>
                </c:pt>
                <c:pt idx="355">
                  <c:v>0.31035494279847398</c:v>
                </c:pt>
                <c:pt idx="356">
                  <c:v>0.30955860859397799</c:v>
                </c:pt>
                <c:pt idx="357">
                  <c:v>0.30789397028837701</c:v>
                </c:pt>
                <c:pt idx="358">
                  <c:v>0.30513335245196399</c:v>
                </c:pt>
                <c:pt idx="359">
                  <c:v>0.30823662609680103</c:v>
                </c:pt>
                <c:pt idx="360">
                  <c:v>0.31264108352144399</c:v>
                </c:pt>
                <c:pt idx="361">
                  <c:v>0.31072818232351301</c:v>
                </c:pt>
                <c:pt idx="362">
                  <c:v>0.31842475386779101</c:v>
                </c:pt>
                <c:pt idx="363">
                  <c:v>0.31552447552447499</c:v>
                </c:pt>
                <c:pt idx="364">
                  <c:v>0.32101222632925702</c:v>
                </c:pt>
                <c:pt idx="365">
                  <c:v>0.32126696832579099</c:v>
                </c:pt>
                <c:pt idx="366">
                  <c:v>0.32165242165242097</c:v>
                </c:pt>
                <c:pt idx="367">
                  <c:v>0.31889427187232799</c:v>
                </c:pt>
                <c:pt idx="368">
                  <c:v>0.31079177233023297</c:v>
                </c:pt>
                <c:pt idx="369">
                  <c:v>0.31361800346220398</c:v>
                </c:pt>
                <c:pt idx="370">
                  <c:v>0.31128517551494</c:v>
                </c:pt>
                <c:pt idx="371">
                  <c:v>0.31304856641310702</c:v>
                </c:pt>
                <c:pt idx="372">
                  <c:v>0.31060820367751002</c:v>
                </c:pt>
                <c:pt idx="373">
                  <c:v>0.31778343228724898</c:v>
                </c:pt>
                <c:pt idx="374">
                  <c:v>0.32304173813607701</c:v>
                </c:pt>
                <c:pt idx="375">
                  <c:v>0.32625318606627002</c:v>
                </c:pt>
                <c:pt idx="376">
                  <c:v>0.32339261285909698</c:v>
                </c:pt>
                <c:pt idx="377">
                  <c:v>0.32277281343081499</c:v>
                </c:pt>
                <c:pt idx="378">
                  <c:v>0.32258064516128998</c:v>
                </c:pt>
                <c:pt idx="379">
                  <c:v>0.31794871794871699</c:v>
                </c:pt>
                <c:pt idx="380">
                  <c:v>0.32167258813883498</c:v>
                </c:pt>
                <c:pt idx="381">
                  <c:v>0.32335164835164798</c:v>
                </c:pt>
                <c:pt idx="382">
                  <c:v>0.31824417009602102</c:v>
                </c:pt>
                <c:pt idx="383">
                  <c:v>0.315229257641921</c:v>
                </c:pt>
                <c:pt idx="384">
                  <c:v>0.33314932376483503</c:v>
                </c:pt>
                <c:pt idx="385">
                  <c:v>0.34</c:v>
                </c:pt>
                <c:pt idx="386">
                  <c:v>0.33944178178742601</c:v>
                </c:pt>
                <c:pt idx="387">
                  <c:v>0.33691460055096401</c:v>
                </c:pt>
                <c:pt idx="388">
                  <c:v>0.337662337662337</c:v>
                </c:pt>
                <c:pt idx="389">
                  <c:v>0.33260093380939298</c:v>
                </c:pt>
                <c:pt idx="390">
                  <c:v>0.32734584450402099</c:v>
                </c:pt>
                <c:pt idx="391">
                  <c:v>0.32067958587735601</c:v>
                </c:pt>
                <c:pt idx="392">
                  <c:v>0.31340531998946503</c:v>
                </c:pt>
                <c:pt idx="393">
                  <c:v>0.315455746367239</c:v>
                </c:pt>
                <c:pt idx="394">
                  <c:v>0.32085561497326198</c:v>
                </c:pt>
                <c:pt idx="395">
                  <c:v>0.32136054421768701</c:v>
                </c:pt>
                <c:pt idx="396">
                  <c:v>0.322922324823465</c:v>
                </c:pt>
                <c:pt idx="397">
                  <c:v>0.32565700352207999</c:v>
                </c:pt>
                <c:pt idx="398">
                  <c:v>0.31772935162765598</c:v>
                </c:pt>
                <c:pt idx="399">
                  <c:v>0.30742613787596401</c:v>
                </c:pt>
                <c:pt idx="400">
                  <c:v>0.30750925436277099</c:v>
                </c:pt>
                <c:pt idx="401">
                  <c:v>0.30903790087463501</c:v>
                </c:pt>
                <c:pt idx="402">
                  <c:v>0.30548862115127101</c:v>
                </c:pt>
                <c:pt idx="403">
                  <c:v>0.30222104706504399</c:v>
                </c:pt>
                <c:pt idx="404">
                  <c:v>0.30338266384778001</c:v>
                </c:pt>
                <c:pt idx="405">
                  <c:v>0.30667028199566099</c:v>
                </c:pt>
                <c:pt idx="406">
                  <c:v>0.30861179027438101</c:v>
                </c:pt>
                <c:pt idx="407">
                  <c:v>0.306403674682518</c:v>
                </c:pt>
                <c:pt idx="408">
                  <c:v>0.308301474604041</c:v>
                </c:pt>
                <c:pt idx="409">
                  <c:v>0.310373443983402</c:v>
                </c:pt>
                <c:pt idx="410">
                  <c:v>0.309170785282811</c:v>
                </c:pt>
                <c:pt idx="411">
                  <c:v>0.30737704918032699</c:v>
                </c:pt>
                <c:pt idx="412">
                  <c:v>0.30925569898379501</c:v>
                </c:pt>
                <c:pt idx="413">
                  <c:v>0.30405035577449302</c:v>
                </c:pt>
                <c:pt idx="414">
                  <c:v>0.31028761061946902</c:v>
                </c:pt>
                <c:pt idx="415">
                  <c:v>0.31316317751648898</c:v>
                </c:pt>
                <c:pt idx="416">
                  <c:v>0.31172572745606397</c:v>
                </c:pt>
                <c:pt idx="417">
                  <c:v>0.30212882096069799</c:v>
                </c:pt>
                <c:pt idx="418">
                  <c:v>0.30642504118616098</c:v>
                </c:pt>
                <c:pt idx="419">
                  <c:v>0.29898323715306402</c:v>
                </c:pt>
                <c:pt idx="420">
                  <c:v>0.29880369766177201</c:v>
                </c:pt>
                <c:pt idx="421">
                  <c:v>0.301570113697888</c:v>
                </c:pt>
                <c:pt idx="422">
                  <c:v>0.30187144019528001</c:v>
                </c:pt>
                <c:pt idx="423">
                  <c:v>0.30070118662351603</c:v>
                </c:pt>
                <c:pt idx="424">
                  <c:v>0.29580101631452199</c:v>
                </c:pt>
                <c:pt idx="425">
                  <c:v>0.29809550096604998</c:v>
                </c:pt>
                <c:pt idx="426">
                  <c:v>0.28996181123840697</c:v>
                </c:pt>
                <c:pt idx="427">
                  <c:v>0.29251513483764402</c:v>
                </c:pt>
                <c:pt idx="428">
                  <c:v>0.292962356792144</c:v>
                </c:pt>
                <c:pt idx="429">
                  <c:v>0.29296008869179602</c:v>
                </c:pt>
                <c:pt idx="430">
                  <c:v>0.28893109061312999</c:v>
                </c:pt>
                <c:pt idx="431">
                  <c:v>0.28660924040720398</c:v>
                </c:pt>
                <c:pt idx="432">
                  <c:v>0.29086229086228998</c:v>
                </c:pt>
                <c:pt idx="433">
                  <c:v>0.28675730110775399</c:v>
                </c:pt>
                <c:pt idx="434">
                  <c:v>0.28487027998972497</c:v>
                </c:pt>
                <c:pt idx="435">
                  <c:v>0.28530559167750302</c:v>
                </c:pt>
                <c:pt idx="436">
                  <c:v>0.27922248489624302</c:v>
                </c:pt>
                <c:pt idx="437">
                  <c:v>0.277358981024174</c:v>
                </c:pt>
                <c:pt idx="438">
                  <c:v>0.28137384412153199</c:v>
                </c:pt>
                <c:pt idx="439">
                  <c:v>0.27681121786548901</c:v>
                </c:pt>
                <c:pt idx="440">
                  <c:v>0.27450980392156799</c:v>
                </c:pt>
                <c:pt idx="441">
                  <c:v>0.27048741296197099</c:v>
                </c:pt>
                <c:pt idx="442">
                  <c:v>0.27637645782478898</c:v>
                </c:pt>
                <c:pt idx="443">
                  <c:v>0.27345844504021399</c:v>
                </c:pt>
                <c:pt idx="444">
                  <c:v>0.27536231884057899</c:v>
                </c:pt>
                <c:pt idx="445">
                  <c:v>0.27911179963852301</c:v>
                </c:pt>
                <c:pt idx="446">
                  <c:v>0.28046874999999999</c:v>
                </c:pt>
                <c:pt idx="447">
                  <c:v>0.29711286089238798</c:v>
                </c:pt>
                <c:pt idx="448">
                  <c:v>0.30219088390833498</c:v>
                </c:pt>
                <c:pt idx="449">
                  <c:v>0.3146529562982</c:v>
                </c:pt>
                <c:pt idx="450">
                  <c:v>0.32029023062969603</c:v>
                </c:pt>
                <c:pt idx="451">
                  <c:v>0.31651855723993699</c:v>
                </c:pt>
                <c:pt idx="452">
                  <c:v>0.30955414012738802</c:v>
                </c:pt>
                <c:pt idx="453">
                  <c:v>0.31188244236128698</c:v>
                </c:pt>
                <c:pt idx="454">
                  <c:v>0.31172133231629801</c:v>
                </c:pt>
                <c:pt idx="455">
                  <c:v>0.31100963977676299</c:v>
                </c:pt>
                <c:pt idx="456">
                  <c:v>0.31046569854782102</c:v>
                </c:pt>
                <c:pt idx="457">
                  <c:v>0.30602171767028602</c:v>
                </c:pt>
                <c:pt idx="458">
                  <c:v>0.310050251256281</c:v>
                </c:pt>
                <c:pt idx="459">
                  <c:v>0.30652010991756101</c:v>
                </c:pt>
                <c:pt idx="460">
                  <c:v>0.30852401307518201</c:v>
                </c:pt>
                <c:pt idx="461">
                  <c:v>0.31127146056232802</c:v>
                </c:pt>
                <c:pt idx="462">
                  <c:v>0.314865881173226</c:v>
                </c:pt>
                <c:pt idx="463">
                  <c:v>0.31499623210248601</c:v>
                </c:pt>
                <c:pt idx="464">
                  <c:v>0.31728830645161199</c:v>
                </c:pt>
                <c:pt idx="465">
                  <c:v>0.31395926477893599</c:v>
                </c:pt>
                <c:pt idx="466">
                  <c:v>0.30765480253534799</c:v>
                </c:pt>
                <c:pt idx="467">
                  <c:v>0.315211970074812</c:v>
                </c:pt>
                <c:pt idx="468">
                  <c:v>0.31584183039045</c:v>
                </c:pt>
                <c:pt idx="469">
                  <c:v>0.31585549422980402</c:v>
                </c:pt>
                <c:pt idx="470">
                  <c:v>0.32107716209218001</c:v>
                </c:pt>
                <c:pt idx="471">
                  <c:v>0.32048629073978202</c:v>
                </c:pt>
                <c:pt idx="472">
                  <c:v>0.31912708600770201</c:v>
                </c:pt>
                <c:pt idx="473">
                  <c:v>0.31790281329923198</c:v>
                </c:pt>
                <c:pt idx="474">
                  <c:v>0.31712904046831197</c:v>
                </c:pt>
                <c:pt idx="475">
                  <c:v>0.320338548345729</c:v>
                </c:pt>
                <c:pt idx="476">
                  <c:v>0.31741140215716401</c:v>
                </c:pt>
                <c:pt idx="477">
                  <c:v>0.31619537275064202</c:v>
                </c:pt>
                <c:pt idx="478">
                  <c:v>0.314991000257135</c:v>
                </c:pt>
                <c:pt idx="479">
                  <c:v>0.31958224543080899</c:v>
                </c:pt>
                <c:pt idx="480">
                  <c:v>0.31729243786356398</c:v>
                </c:pt>
                <c:pt idx="481">
                  <c:v>0.32007327924626999</c:v>
                </c:pt>
                <c:pt idx="482">
                  <c:v>0.322117892540427</c:v>
                </c:pt>
                <c:pt idx="483">
                  <c:v>0.32790331056227001</c:v>
                </c:pt>
                <c:pt idx="484">
                  <c:v>0.328054895750857</c:v>
                </c:pt>
                <c:pt idx="485">
                  <c:v>0.32891598197720601</c:v>
                </c:pt>
                <c:pt idx="486">
                  <c:v>0.32747603833865802</c:v>
                </c:pt>
                <c:pt idx="487">
                  <c:v>0.32903572387859198</c:v>
                </c:pt>
                <c:pt idx="488">
                  <c:v>0.32837801964427898</c:v>
                </c:pt>
                <c:pt idx="489">
                  <c:v>0.32928439397940301</c:v>
                </c:pt>
                <c:pt idx="490">
                  <c:v>0.33033112582781399</c:v>
                </c:pt>
                <c:pt idx="491">
                  <c:v>0.33386752136752101</c:v>
                </c:pt>
                <c:pt idx="492">
                  <c:v>0.33727492609513499</c:v>
                </c:pt>
                <c:pt idx="493">
                  <c:v>0.32992189604093702</c:v>
                </c:pt>
                <c:pt idx="494">
                  <c:v>0.33632653061224399</c:v>
                </c:pt>
                <c:pt idx="495">
                  <c:v>0.33893709327548799</c:v>
                </c:pt>
                <c:pt idx="496">
                  <c:v>0.33701211305518097</c:v>
                </c:pt>
                <c:pt idx="497">
                  <c:v>0.33693596325317399</c:v>
                </c:pt>
                <c:pt idx="498">
                  <c:v>0.33848657445077202</c:v>
                </c:pt>
                <c:pt idx="499">
                  <c:v>0.33814713896457699</c:v>
                </c:pt>
                <c:pt idx="500">
                  <c:v>0.336338797814207</c:v>
                </c:pt>
                <c:pt idx="501">
                  <c:v>0.34171270718232</c:v>
                </c:pt>
                <c:pt idx="502">
                  <c:v>0.34258760107816699</c:v>
                </c:pt>
                <c:pt idx="503">
                  <c:v>0.33852767329392802</c:v>
                </c:pt>
                <c:pt idx="504">
                  <c:v>0.33333333333333298</c:v>
                </c:pt>
                <c:pt idx="505">
                  <c:v>0.32382461701003601</c:v>
                </c:pt>
                <c:pt idx="506">
                  <c:v>0.35010427528675703</c:v>
                </c:pt>
                <c:pt idx="507">
                  <c:v>0.35209799322387197</c:v>
                </c:pt>
                <c:pt idx="508">
                  <c:v>0.34656568294593798</c:v>
                </c:pt>
                <c:pt idx="509">
                  <c:v>0.351940457203615</c:v>
                </c:pt>
                <c:pt idx="510">
                  <c:v>0.36744966442952998</c:v>
                </c:pt>
                <c:pt idx="511">
                  <c:v>0.36559750212886699</c:v>
                </c:pt>
                <c:pt idx="512">
                  <c:v>0.36476566911349501</c:v>
                </c:pt>
                <c:pt idx="513">
                  <c:v>0.361990950226244</c:v>
                </c:pt>
                <c:pt idx="514">
                  <c:v>0.36231470923603099</c:v>
                </c:pt>
                <c:pt idx="515">
                  <c:v>0.36897935779816499</c:v>
                </c:pt>
                <c:pt idx="516">
                  <c:v>0.36931004866876599</c:v>
                </c:pt>
                <c:pt idx="517">
                  <c:v>0.36848170556035698</c:v>
                </c:pt>
                <c:pt idx="518">
                  <c:v>0.37252042007001102</c:v>
                </c:pt>
                <c:pt idx="519">
                  <c:v>0.36613603473227202</c:v>
                </c:pt>
                <c:pt idx="520">
                  <c:v>0.36509324009324001</c:v>
                </c:pt>
                <c:pt idx="521">
                  <c:v>0.36270790779106998</c:v>
                </c:pt>
                <c:pt idx="522">
                  <c:v>0.36499999999999999</c:v>
                </c:pt>
                <c:pt idx="523">
                  <c:v>0.367877177443165</c:v>
                </c:pt>
                <c:pt idx="524">
                  <c:v>0.36542412679776898</c:v>
                </c:pt>
                <c:pt idx="525">
                  <c:v>0.367538959129667</c:v>
                </c:pt>
                <c:pt idx="526">
                  <c:v>0.370044052863436</c:v>
                </c:pt>
                <c:pt idx="527">
                  <c:v>0.36524300441826202</c:v>
                </c:pt>
                <c:pt idx="528">
                  <c:v>0.36097992916174698</c:v>
                </c:pt>
                <c:pt idx="529">
                  <c:v>0.36261127596439102</c:v>
                </c:pt>
                <c:pt idx="530">
                  <c:v>0.36049601417183302</c:v>
                </c:pt>
                <c:pt idx="531">
                  <c:v>0.36179104477611901</c:v>
                </c:pt>
                <c:pt idx="532">
                  <c:v>0.36404561824729798</c:v>
                </c:pt>
                <c:pt idx="533">
                  <c:v>0.362284354550862</c:v>
                </c:pt>
                <c:pt idx="534">
                  <c:v>0.35509838998211002</c:v>
                </c:pt>
                <c:pt idx="535">
                  <c:v>0.35773809523809502</c:v>
                </c:pt>
                <c:pt idx="536">
                  <c:v>0.356632956573468</c:v>
                </c:pt>
                <c:pt idx="537">
                  <c:v>0.35501193317422403</c:v>
                </c:pt>
                <c:pt idx="538">
                  <c:v>0.35694986490543301</c:v>
                </c:pt>
                <c:pt idx="539">
                  <c:v>0.361027190332326</c:v>
                </c:pt>
                <c:pt idx="540">
                  <c:v>0.35974499089253098</c:v>
                </c:pt>
                <c:pt idx="541">
                  <c:v>0.35993836671802698</c:v>
                </c:pt>
                <c:pt idx="542">
                  <c:v>0.360385572139303</c:v>
                </c:pt>
                <c:pt idx="543">
                  <c:v>0.362647607209446</c:v>
                </c:pt>
                <c:pt idx="544">
                  <c:v>0.36198243412797898</c:v>
                </c:pt>
                <c:pt idx="545">
                  <c:v>0.36518114780378302</c:v>
                </c:pt>
                <c:pt idx="546">
                  <c:v>0.367100977198697</c:v>
                </c:pt>
                <c:pt idx="547">
                  <c:v>0.36667749269243199</c:v>
                </c:pt>
                <c:pt idx="548">
                  <c:v>0.37154150197628399</c:v>
                </c:pt>
                <c:pt idx="549">
                  <c:v>0.368007850834151</c:v>
                </c:pt>
                <c:pt idx="550">
                  <c:v>0.36754098360655701</c:v>
                </c:pt>
                <c:pt idx="551">
                  <c:v>0.35562015503875899</c:v>
                </c:pt>
                <c:pt idx="552">
                  <c:v>0.35670236936059702</c:v>
                </c:pt>
                <c:pt idx="553">
                  <c:v>0.36282894736842097</c:v>
                </c:pt>
                <c:pt idx="554">
                  <c:v>0.35953947368421002</c:v>
                </c:pt>
                <c:pt idx="555">
                  <c:v>0.35665024630541797</c:v>
                </c:pt>
                <c:pt idx="556">
                  <c:v>0.355715689485751</c:v>
                </c:pt>
                <c:pt idx="557">
                  <c:v>0.35530652603823298</c:v>
                </c:pt>
                <c:pt idx="558">
                  <c:v>0.35943178064089798</c:v>
                </c:pt>
                <c:pt idx="559">
                  <c:v>0.35903375248179997</c:v>
                </c:pt>
                <c:pt idx="560">
                  <c:v>0.35593220338983</c:v>
                </c:pt>
                <c:pt idx="561">
                  <c:v>0.35695364238410598</c:v>
                </c:pt>
                <c:pt idx="562">
                  <c:v>0.35984226092671701</c:v>
                </c:pt>
                <c:pt idx="563">
                  <c:v>0.35989549314173702</c:v>
                </c:pt>
                <c:pt idx="564">
                  <c:v>0.36223821989528798</c:v>
                </c:pt>
                <c:pt idx="565">
                  <c:v>0.36522599802045502</c:v>
                </c:pt>
                <c:pt idx="566">
                  <c:v>0.36062378167641301</c:v>
                </c:pt>
                <c:pt idx="567">
                  <c:v>0.36783854166666602</c:v>
                </c:pt>
                <c:pt idx="568">
                  <c:v>0.38951431328401398</c:v>
                </c:pt>
                <c:pt idx="569">
                  <c:v>0.38279501119283599</c:v>
                </c:pt>
                <c:pt idx="570">
                  <c:v>0.38335999999999998</c:v>
                </c:pt>
                <c:pt idx="571">
                  <c:v>0.37739403453689102</c:v>
                </c:pt>
                <c:pt idx="572">
                  <c:v>0.37585563161169799</c:v>
                </c:pt>
                <c:pt idx="573">
                  <c:v>0.39015030380556398</c:v>
                </c:pt>
                <c:pt idx="574">
                  <c:v>0.38384813384813299</c:v>
                </c:pt>
                <c:pt idx="575">
                  <c:v>0.38771530711732199</c:v>
                </c:pt>
                <c:pt idx="576">
                  <c:v>0.39155844155844099</c:v>
                </c:pt>
                <c:pt idx="577">
                  <c:v>0.39078221356702297</c:v>
                </c:pt>
                <c:pt idx="578">
                  <c:v>0.39138943248532199</c:v>
                </c:pt>
                <c:pt idx="579">
                  <c:v>0.39381985535831598</c:v>
                </c:pt>
                <c:pt idx="580">
                  <c:v>0.38816644993498001</c:v>
                </c:pt>
                <c:pt idx="581">
                  <c:v>0.38851242336237402</c:v>
                </c:pt>
                <c:pt idx="582">
                  <c:v>0.38951795535425399</c:v>
                </c:pt>
                <c:pt idx="583">
                  <c:v>0.39082687338501199</c:v>
                </c:pt>
                <c:pt idx="584">
                  <c:v>0.39151244416081599</c:v>
                </c:pt>
                <c:pt idx="585">
                  <c:v>0.39857651245551601</c:v>
                </c:pt>
                <c:pt idx="586">
                  <c:v>0.39735739606832099</c:v>
                </c:pt>
                <c:pt idx="587">
                  <c:v>0.39980670103092703</c:v>
                </c:pt>
                <c:pt idx="588">
                  <c:v>0.39626288659793801</c:v>
                </c:pt>
                <c:pt idx="589">
                  <c:v>0.39390994493035297</c:v>
                </c:pt>
                <c:pt idx="590">
                  <c:v>0.389748549323017</c:v>
                </c:pt>
                <c:pt idx="591">
                  <c:v>0.38285714285714201</c:v>
                </c:pt>
                <c:pt idx="592">
                  <c:v>0.38139386189258301</c:v>
                </c:pt>
                <c:pt idx="593">
                  <c:v>0.38669709814150599</c:v>
                </c:pt>
                <c:pt idx="594">
                  <c:v>0.38544386422976501</c:v>
                </c:pt>
                <c:pt idx="595">
                  <c:v>0.38651102464331999</c:v>
                </c:pt>
                <c:pt idx="596">
                  <c:v>0.38138626749105098</c:v>
                </c:pt>
                <c:pt idx="597">
                  <c:v>0.38028627195836001</c:v>
                </c:pt>
                <c:pt idx="598">
                  <c:v>0.37846655791190797</c:v>
                </c:pt>
                <c:pt idx="599">
                  <c:v>0.38255472067951601</c:v>
                </c:pt>
                <c:pt idx="600">
                  <c:v>0.38226600985221598</c:v>
                </c:pt>
                <c:pt idx="601">
                  <c:v>0.38050211933485401</c:v>
                </c:pt>
                <c:pt idx="602">
                  <c:v>0.38617090671885101</c:v>
                </c:pt>
                <c:pt idx="603">
                  <c:v>0.38323548597521201</c:v>
                </c:pt>
                <c:pt idx="604">
                  <c:v>0.37959051023724399</c:v>
                </c:pt>
                <c:pt idx="605">
                  <c:v>0.38305528295714703</c:v>
                </c:pt>
                <c:pt idx="606">
                  <c:v>0.38740208877284499</c:v>
                </c:pt>
                <c:pt idx="607">
                  <c:v>0.38992476283938499</c:v>
                </c:pt>
                <c:pt idx="608">
                  <c:v>0.38551859099804298</c:v>
                </c:pt>
                <c:pt idx="609">
                  <c:v>0.387642276422764</c:v>
                </c:pt>
                <c:pt idx="610">
                  <c:v>0.38363754889178597</c:v>
                </c:pt>
                <c:pt idx="611">
                  <c:v>0.38024531956100699</c:v>
                </c:pt>
                <c:pt idx="612">
                  <c:v>0.382069408740359</c:v>
                </c:pt>
                <c:pt idx="613">
                  <c:v>0.38402309913378202</c:v>
                </c:pt>
                <c:pt idx="614">
                  <c:v>0.380713838447088</c:v>
                </c:pt>
                <c:pt idx="615">
                  <c:v>0.388817480719794</c:v>
                </c:pt>
                <c:pt idx="616">
                  <c:v>0.37375681745267803</c:v>
                </c:pt>
                <c:pt idx="617">
                  <c:v>0.38333875691506603</c:v>
                </c:pt>
                <c:pt idx="618">
                  <c:v>0.381853785900783</c:v>
                </c:pt>
                <c:pt idx="619">
                  <c:v>0.37998691955526398</c:v>
                </c:pt>
                <c:pt idx="620">
                  <c:v>0.37964458804523399</c:v>
                </c:pt>
                <c:pt idx="621">
                  <c:v>0.37543859649122802</c:v>
                </c:pt>
                <c:pt idx="622">
                  <c:v>0.38318670576734998</c:v>
                </c:pt>
                <c:pt idx="623">
                  <c:v>0.38282009724473198</c:v>
                </c:pt>
                <c:pt idx="624">
                  <c:v>0.38459016393442602</c:v>
                </c:pt>
                <c:pt idx="625">
                  <c:v>0.38140293637846601</c:v>
                </c:pt>
                <c:pt idx="626">
                  <c:v>0.37639553429027101</c:v>
                </c:pt>
                <c:pt idx="627">
                  <c:v>0.37890748342279701</c:v>
                </c:pt>
                <c:pt idx="628">
                  <c:v>0.37820914214151502</c:v>
                </c:pt>
                <c:pt idx="629">
                  <c:v>0.381369177868083</c:v>
                </c:pt>
                <c:pt idx="630">
                  <c:v>0.38461538461538403</c:v>
                </c:pt>
                <c:pt idx="631">
                  <c:v>0.39102167182662501</c:v>
                </c:pt>
                <c:pt idx="632">
                  <c:v>0.40249609984399298</c:v>
                </c:pt>
                <c:pt idx="633">
                  <c:v>0.39681079423489701</c:v>
                </c:pt>
                <c:pt idx="634">
                  <c:v>0.39103554868624402</c:v>
                </c:pt>
                <c:pt idx="635">
                  <c:v>0.38459167950693302</c:v>
                </c:pt>
                <c:pt idx="636">
                  <c:v>0.38459158415841499</c:v>
                </c:pt>
                <c:pt idx="637">
                  <c:v>0.383359013867488</c:v>
                </c:pt>
                <c:pt idx="638">
                  <c:v>0.38452088452088401</c:v>
                </c:pt>
                <c:pt idx="639">
                  <c:v>0.38413295703982397</c:v>
                </c:pt>
                <c:pt idx="640">
                  <c:v>0.38167456556082102</c:v>
                </c:pt>
                <c:pt idx="641">
                  <c:v>0.38459069020866699</c:v>
                </c:pt>
                <c:pt idx="642">
                  <c:v>0.38089047773805601</c:v>
                </c:pt>
                <c:pt idx="643">
                  <c:v>0.38059457693564103</c:v>
                </c:pt>
                <c:pt idx="644">
                  <c:v>0.37798579728857301</c:v>
                </c:pt>
                <c:pt idx="645">
                  <c:v>0.37399161019683702</c:v>
                </c:pt>
                <c:pt idx="646">
                  <c:v>0.37407763875521299</c:v>
                </c:pt>
                <c:pt idx="647">
                  <c:v>0.37416267942583697</c:v>
                </c:pt>
                <c:pt idx="648">
                  <c:v>0.37559885020760098</c:v>
                </c:pt>
                <c:pt idx="649">
                  <c:v>0.37429289754871098</c:v>
                </c:pt>
                <c:pt idx="650">
                  <c:v>0.37649277184160901</c:v>
                </c:pt>
                <c:pt idx="651">
                  <c:v>0.37694013303769403</c:v>
                </c:pt>
                <c:pt idx="652">
                  <c:v>0.376111817026683</c:v>
                </c:pt>
                <c:pt idx="653">
                  <c:v>0.376635514018691</c:v>
                </c:pt>
                <c:pt idx="654">
                  <c:v>0.370018393623543</c:v>
                </c:pt>
                <c:pt idx="655">
                  <c:v>0.36377200835571399</c:v>
                </c:pt>
                <c:pt idx="656">
                  <c:v>0.36675619218143801</c:v>
                </c:pt>
                <c:pt idx="657">
                  <c:v>0.36347569955817299</c:v>
                </c:pt>
                <c:pt idx="658">
                  <c:v>0.36233993015133797</c:v>
                </c:pt>
                <c:pt idx="659">
                  <c:v>0.37143696738172199</c:v>
                </c:pt>
                <c:pt idx="660">
                  <c:v>0.36578171091445399</c:v>
                </c:pt>
                <c:pt idx="661">
                  <c:v>0.36918604651162701</c:v>
                </c:pt>
              </c:numCache>
            </c:numRef>
          </c:val>
        </c:ser>
        <c:ser>
          <c:idx val="1"/>
          <c:order val="1"/>
          <c:tx>
            <c:strRef>
              <c:f>グラフ!$N$41</c:f>
              <c:strCache>
                <c:ptCount val="1"/>
                <c:pt idx="0">
                  <c:v>+2-Sigama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43805</c:v>
                </c:pt>
                <c:pt idx="1">
                  <c:v>43804</c:v>
                </c:pt>
                <c:pt idx="2">
                  <c:v>43803</c:v>
                </c:pt>
                <c:pt idx="3">
                  <c:v>43802</c:v>
                </c:pt>
                <c:pt idx="4">
                  <c:v>43801</c:v>
                </c:pt>
                <c:pt idx="5">
                  <c:v>43798</c:v>
                </c:pt>
                <c:pt idx="6">
                  <c:v>43797</c:v>
                </c:pt>
                <c:pt idx="7">
                  <c:v>43796</c:v>
                </c:pt>
                <c:pt idx="8">
                  <c:v>43795</c:v>
                </c:pt>
                <c:pt idx="9">
                  <c:v>43794</c:v>
                </c:pt>
                <c:pt idx="10">
                  <c:v>43791</c:v>
                </c:pt>
                <c:pt idx="11">
                  <c:v>43790</c:v>
                </c:pt>
                <c:pt idx="12">
                  <c:v>43789</c:v>
                </c:pt>
                <c:pt idx="13">
                  <c:v>43788</c:v>
                </c:pt>
                <c:pt idx="14">
                  <c:v>43787</c:v>
                </c:pt>
                <c:pt idx="15">
                  <c:v>43784</c:v>
                </c:pt>
                <c:pt idx="16">
                  <c:v>43783</c:v>
                </c:pt>
                <c:pt idx="17">
                  <c:v>43782</c:v>
                </c:pt>
                <c:pt idx="18">
                  <c:v>43781</c:v>
                </c:pt>
                <c:pt idx="19">
                  <c:v>43780</c:v>
                </c:pt>
                <c:pt idx="20">
                  <c:v>43777</c:v>
                </c:pt>
                <c:pt idx="21">
                  <c:v>43776</c:v>
                </c:pt>
                <c:pt idx="22">
                  <c:v>43775</c:v>
                </c:pt>
                <c:pt idx="23">
                  <c:v>43774</c:v>
                </c:pt>
                <c:pt idx="24">
                  <c:v>43770</c:v>
                </c:pt>
                <c:pt idx="25">
                  <c:v>43769</c:v>
                </c:pt>
                <c:pt idx="26">
                  <c:v>43768</c:v>
                </c:pt>
                <c:pt idx="27">
                  <c:v>43767</c:v>
                </c:pt>
                <c:pt idx="28">
                  <c:v>43766</c:v>
                </c:pt>
                <c:pt idx="29">
                  <c:v>43763</c:v>
                </c:pt>
                <c:pt idx="30">
                  <c:v>43762</c:v>
                </c:pt>
                <c:pt idx="31">
                  <c:v>43761</c:v>
                </c:pt>
                <c:pt idx="32">
                  <c:v>43759</c:v>
                </c:pt>
                <c:pt idx="33">
                  <c:v>43756</c:v>
                </c:pt>
                <c:pt idx="34">
                  <c:v>43755</c:v>
                </c:pt>
                <c:pt idx="35">
                  <c:v>43754</c:v>
                </c:pt>
                <c:pt idx="36">
                  <c:v>43753</c:v>
                </c:pt>
                <c:pt idx="37">
                  <c:v>43749</c:v>
                </c:pt>
                <c:pt idx="38">
                  <c:v>43748</c:v>
                </c:pt>
                <c:pt idx="39">
                  <c:v>43747</c:v>
                </c:pt>
                <c:pt idx="40">
                  <c:v>43746</c:v>
                </c:pt>
                <c:pt idx="41">
                  <c:v>43745</c:v>
                </c:pt>
                <c:pt idx="42">
                  <c:v>43742</c:v>
                </c:pt>
                <c:pt idx="43">
                  <c:v>43741</c:v>
                </c:pt>
                <c:pt idx="44">
                  <c:v>43740</c:v>
                </c:pt>
                <c:pt idx="45">
                  <c:v>43739</c:v>
                </c:pt>
                <c:pt idx="46">
                  <c:v>43738</c:v>
                </c:pt>
                <c:pt idx="47">
                  <c:v>43735</c:v>
                </c:pt>
                <c:pt idx="48">
                  <c:v>43734</c:v>
                </c:pt>
                <c:pt idx="49">
                  <c:v>43733</c:v>
                </c:pt>
                <c:pt idx="50">
                  <c:v>43732</c:v>
                </c:pt>
                <c:pt idx="51">
                  <c:v>43728</c:v>
                </c:pt>
                <c:pt idx="52">
                  <c:v>43727</c:v>
                </c:pt>
                <c:pt idx="53">
                  <c:v>43726</c:v>
                </c:pt>
                <c:pt idx="54">
                  <c:v>43725</c:v>
                </c:pt>
                <c:pt idx="55">
                  <c:v>43721</c:v>
                </c:pt>
                <c:pt idx="56">
                  <c:v>43720</c:v>
                </c:pt>
                <c:pt idx="57">
                  <c:v>43719</c:v>
                </c:pt>
                <c:pt idx="58">
                  <c:v>43718</c:v>
                </c:pt>
                <c:pt idx="59">
                  <c:v>43717</c:v>
                </c:pt>
                <c:pt idx="60">
                  <c:v>43714</c:v>
                </c:pt>
                <c:pt idx="61">
                  <c:v>43713</c:v>
                </c:pt>
                <c:pt idx="62">
                  <c:v>43712</c:v>
                </c:pt>
                <c:pt idx="63">
                  <c:v>43711</c:v>
                </c:pt>
                <c:pt idx="64">
                  <c:v>43710</c:v>
                </c:pt>
                <c:pt idx="65">
                  <c:v>43707</c:v>
                </c:pt>
                <c:pt idx="66">
                  <c:v>43706</c:v>
                </c:pt>
                <c:pt idx="67">
                  <c:v>43705</c:v>
                </c:pt>
                <c:pt idx="68">
                  <c:v>43704</c:v>
                </c:pt>
                <c:pt idx="69">
                  <c:v>43703</c:v>
                </c:pt>
                <c:pt idx="70">
                  <c:v>43700</c:v>
                </c:pt>
                <c:pt idx="71">
                  <c:v>43699</c:v>
                </c:pt>
                <c:pt idx="72">
                  <c:v>43698</c:v>
                </c:pt>
                <c:pt idx="73">
                  <c:v>43697</c:v>
                </c:pt>
                <c:pt idx="74">
                  <c:v>43696</c:v>
                </c:pt>
                <c:pt idx="75">
                  <c:v>43693</c:v>
                </c:pt>
                <c:pt idx="76">
                  <c:v>43692</c:v>
                </c:pt>
                <c:pt idx="77">
                  <c:v>43691</c:v>
                </c:pt>
                <c:pt idx="78">
                  <c:v>43690</c:v>
                </c:pt>
                <c:pt idx="79">
                  <c:v>43686</c:v>
                </c:pt>
                <c:pt idx="80">
                  <c:v>43685</c:v>
                </c:pt>
                <c:pt idx="81">
                  <c:v>43684</c:v>
                </c:pt>
                <c:pt idx="82">
                  <c:v>43683</c:v>
                </c:pt>
                <c:pt idx="83">
                  <c:v>43682</c:v>
                </c:pt>
                <c:pt idx="84">
                  <c:v>43679</c:v>
                </c:pt>
                <c:pt idx="85">
                  <c:v>43678</c:v>
                </c:pt>
                <c:pt idx="86">
                  <c:v>43677</c:v>
                </c:pt>
                <c:pt idx="87">
                  <c:v>43676</c:v>
                </c:pt>
                <c:pt idx="88">
                  <c:v>43675</c:v>
                </c:pt>
                <c:pt idx="89">
                  <c:v>43672</c:v>
                </c:pt>
                <c:pt idx="90">
                  <c:v>43671</c:v>
                </c:pt>
                <c:pt idx="91">
                  <c:v>43670</c:v>
                </c:pt>
                <c:pt idx="92">
                  <c:v>43669</c:v>
                </c:pt>
                <c:pt idx="93">
                  <c:v>43668</c:v>
                </c:pt>
                <c:pt idx="94">
                  <c:v>43665</c:v>
                </c:pt>
                <c:pt idx="95">
                  <c:v>43664</c:v>
                </c:pt>
                <c:pt idx="96">
                  <c:v>43663</c:v>
                </c:pt>
                <c:pt idx="97">
                  <c:v>43662</c:v>
                </c:pt>
                <c:pt idx="98">
                  <c:v>43658</c:v>
                </c:pt>
                <c:pt idx="99">
                  <c:v>43657</c:v>
                </c:pt>
                <c:pt idx="100">
                  <c:v>43656</c:v>
                </c:pt>
                <c:pt idx="101">
                  <c:v>43655</c:v>
                </c:pt>
                <c:pt idx="102">
                  <c:v>43654</c:v>
                </c:pt>
                <c:pt idx="103">
                  <c:v>43651</c:v>
                </c:pt>
                <c:pt idx="104">
                  <c:v>43650</c:v>
                </c:pt>
                <c:pt idx="105">
                  <c:v>43649</c:v>
                </c:pt>
                <c:pt idx="106">
                  <c:v>43648</c:v>
                </c:pt>
                <c:pt idx="107">
                  <c:v>43647</c:v>
                </c:pt>
                <c:pt idx="108">
                  <c:v>43644</c:v>
                </c:pt>
                <c:pt idx="109">
                  <c:v>43643</c:v>
                </c:pt>
                <c:pt idx="110">
                  <c:v>43642</c:v>
                </c:pt>
                <c:pt idx="111">
                  <c:v>43641</c:v>
                </c:pt>
                <c:pt idx="112">
                  <c:v>43640</c:v>
                </c:pt>
                <c:pt idx="113">
                  <c:v>43637</c:v>
                </c:pt>
                <c:pt idx="114">
                  <c:v>43636</c:v>
                </c:pt>
                <c:pt idx="115">
                  <c:v>43635</c:v>
                </c:pt>
                <c:pt idx="116">
                  <c:v>43634</c:v>
                </c:pt>
                <c:pt idx="117">
                  <c:v>43633</c:v>
                </c:pt>
                <c:pt idx="118">
                  <c:v>43630</c:v>
                </c:pt>
                <c:pt idx="119">
                  <c:v>43629</c:v>
                </c:pt>
                <c:pt idx="120">
                  <c:v>43628</c:v>
                </c:pt>
                <c:pt idx="121">
                  <c:v>43627</c:v>
                </c:pt>
                <c:pt idx="122">
                  <c:v>43626</c:v>
                </c:pt>
                <c:pt idx="123">
                  <c:v>43623</c:v>
                </c:pt>
                <c:pt idx="124">
                  <c:v>43622</c:v>
                </c:pt>
                <c:pt idx="125">
                  <c:v>43621</c:v>
                </c:pt>
                <c:pt idx="126">
                  <c:v>43620</c:v>
                </c:pt>
                <c:pt idx="127">
                  <c:v>43619</c:v>
                </c:pt>
                <c:pt idx="128">
                  <c:v>43616</c:v>
                </c:pt>
                <c:pt idx="129">
                  <c:v>43615</c:v>
                </c:pt>
                <c:pt idx="130">
                  <c:v>43614</c:v>
                </c:pt>
                <c:pt idx="131">
                  <c:v>43613</c:v>
                </c:pt>
                <c:pt idx="132">
                  <c:v>43612</c:v>
                </c:pt>
                <c:pt idx="133">
                  <c:v>43609</c:v>
                </c:pt>
                <c:pt idx="134">
                  <c:v>43608</c:v>
                </c:pt>
                <c:pt idx="135">
                  <c:v>43607</c:v>
                </c:pt>
                <c:pt idx="136">
                  <c:v>43606</c:v>
                </c:pt>
                <c:pt idx="137">
                  <c:v>43605</c:v>
                </c:pt>
                <c:pt idx="138">
                  <c:v>43602</c:v>
                </c:pt>
                <c:pt idx="139">
                  <c:v>43601</c:v>
                </c:pt>
                <c:pt idx="140">
                  <c:v>43600</c:v>
                </c:pt>
                <c:pt idx="141">
                  <c:v>43599</c:v>
                </c:pt>
                <c:pt idx="142">
                  <c:v>43598</c:v>
                </c:pt>
                <c:pt idx="143">
                  <c:v>43595</c:v>
                </c:pt>
                <c:pt idx="144">
                  <c:v>43594</c:v>
                </c:pt>
                <c:pt idx="145">
                  <c:v>43593</c:v>
                </c:pt>
                <c:pt idx="146">
                  <c:v>43592</c:v>
                </c:pt>
                <c:pt idx="147">
                  <c:v>43581</c:v>
                </c:pt>
                <c:pt idx="148">
                  <c:v>43580</c:v>
                </c:pt>
                <c:pt idx="149">
                  <c:v>43579</c:v>
                </c:pt>
                <c:pt idx="150">
                  <c:v>43578</c:v>
                </c:pt>
                <c:pt idx="151">
                  <c:v>43577</c:v>
                </c:pt>
                <c:pt idx="152">
                  <c:v>43574</c:v>
                </c:pt>
                <c:pt idx="153">
                  <c:v>43573</c:v>
                </c:pt>
                <c:pt idx="154">
                  <c:v>43572</c:v>
                </c:pt>
                <c:pt idx="155">
                  <c:v>43571</c:v>
                </c:pt>
                <c:pt idx="156">
                  <c:v>43570</c:v>
                </c:pt>
                <c:pt idx="157">
                  <c:v>43567</c:v>
                </c:pt>
                <c:pt idx="158">
                  <c:v>43566</c:v>
                </c:pt>
                <c:pt idx="159">
                  <c:v>43565</c:v>
                </c:pt>
                <c:pt idx="160">
                  <c:v>43564</c:v>
                </c:pt>
                <c:pt idx="161">
                  <c:v>43563</c:v>
                </c:pt>
                <c:pt idx="162">
                  <c:v>43560</c:v>
                </c:pt>
                <c:pt idx="163">
                  <c:v>43559</c:v>
                </c:pt>
                <c:pt idx="164">
                  <c:v>43558</c:v>
                </c:pt>
                <c:pt idx="165">
                  <c:v>43557</c:v>
                </c:pt>
                <c:pt idx="166">
                  <c:v>43556</c:v>
                </c:pt>
                <c:pt idx="167">
                  <c:v>43553</c:v>
                </c:pt>
                <c:pt idx="168">
                  <c:v>43552</c:v>
                </c:pt>
                <c:pt idx="169">
                  <c:v>43551</c:v>
                </c:pt>
                <c:pt idx="170">
                  <c:v>43550</c:v>
                </c:pt>
                <c:pt idx="171">
                  <c:v>43549</c:v>
                </c:pt>
                <c:pt idx="172">
                  <c:v>43546</c:v>
                </c:pt>
                <c:pt idx="173">
                  <c:v>43544</c:v>
                </c:pt>
                <c:pt idx="174">
                  <c:v>43543</c:v>
                </c:pt>
                <c:pt idx="175">
                  <c:v>43542</c:v>
                </c:pt>
                <c:pt idx="176">
                  <c:v>43539</c:v>
                </c:pt>
                <c:pt idx="177">
                  <c:v>43538</c:v>
                </c:pt>
                <c:pt idx="178">
                  <c:v>43537</c:v>
                </c:pt>
                <c:pt idx="179">
                  <c:v>43536</c:v>
                </c:pt>
                <c:pt idx="180">
                  <c:v>43535</c:v>
                </c:pt>
                <c:pt idx="181">
                  <c:v>43532</c:v>
                </c:pt>
                <c:pt idx="182">
                  <c:v>43531</c:v>
                </c:pt>
                <c:pt idx="183">
                  <c:v>43530</c:v>
                </c:pt>
                <c:pt idx="184">
                  <c:v>43529</c:v>
                </c:pt>
                <c:pt idx="185">
                  <c:v>43528</c:v>
                </c:pt>
                <c:pt idx="186">
                  <c:v>43525</c:v>
                </c:pt>
                <c:pt idx="187">
                  <c:v>43524</c:v>
                </c:pt>
                <c:pt idx="188">
                  <c:v>43523</c:v>
                </c:pt>
                <c:pt idx="189">
                  <c:v>43522</c:v>
                </c:pt>
                <c:pt idx="190">
                  <c:v>43521</c:v>
                </c:pt>
                <c:pt idx="191">
                  <c:v>43518</c:v>
                </c:pt>
                <c:pt idx="192">
                  <c:v>43517</c:v>
                </c:pt>
                <c:pt idx="193">
                  <c:v>43516</c:v>
                </c:pt>
                <c:pt idx="194">
                  <c:v>43515</c:v>
                </c:pt>
                <c:pt idx="195">
                  <c:v>43514</c:v>
                </c:pt>
                <c:pt idx="196">
                  <c:v>43511</c:v>
                </c:pt>
                <c:pt idx="197">
                  <c:v>43510</c:v>
                </c:pt>
                <c:pt idx="198">
                  <c:v>43509</c:v>
                </c:pt>
                <c:pt idx="199">
                  <c:v>43508</c:v>
                </c:pt>
                <c:pt idx="200">
                  <c:v>43504</c:v>
                </c:pt>
                <c:pt idx="201">
                  <c:v>43503</c:v>
                </c:pt>
                <c:pt idx="202">
                  <c:v>43502</c:v>
                </c:pt>
                <c:pt idx="203">
                  <c:v>43501</c:v>
                </c:pt>
                <c:pt idx="204">
                  <c:v>43500</c:v>
                </c:pt>
                <c:pt idx="205">
                  <c:v>43497</c:v>
                </c:pt>
                <c:pt idx="206">
                  <c:v>43496</c:v>
                </c:pt>
                <c:pt idx="207">
                  <c:v>43495</c:v>
                </c:pt>
                <c:pt idx="208">
                  <c:v>43494</c:v>
                </c:pt>
                <c:pt idx="209">
                  <c:v>43493</c:v>
                </c:pt>
                <c:pt idx="210">
                  <c:v>43490</c:v>
                </c:pt>
                <c:pt idx="211">
                  <c:v>43489</c:v>
                </c:pt>
                <c:pt idx="212">
                  <c:v>43488</c:v>
                </c:pt>
                <c:pt idx="213">
                  <c:v>43487</c:v>
                </c:pt>
                <c:pt idx="214">
                  <c:v>43486</c:v>
                </c:pt>
                <c:pt idx="215">
                  <c:v>43483</c:v>
                </c:pt>
                <c:pt idx="216">
                  <c:v>43482</c:v>
                </c:pt>
                <c:pt idx="217">
                  <c:v>43481</c:v>
                </c:pt>
                <c:pt idx="218">
                  <c:v>43480</c:v>
                </c:pt>
                <c:pt idx="219">
                  <c:v>43476</c:v>
                </c:pt>
                <c:pt idx="220">
                  <c:v>43475</c:v>
                </c:pt>
                <c:pt idx="221">
                  <c:v>43474</c:v>
                </c:pt>
                <c:pt idx="222">
                  <c:v>43473</c:v>
                </c:pt>
                <c:pt idx="223">
                  <c:v>43472</c:v>
                </c:pt>
                <c:pt idx="224">
                  <c:v>43469</c:v>
                </c:pt>
                <c:pt idx="225">
                  <c:v>43462</c:v>
                </c:pt>
                <c:pt idx="226">
                  <c:v>43461</c:v>
                </c:pt>
                <c:pt idx="227">
                  <c:v>43460</c:v>
                </c:pt>
                <c:pt idx="228">
                  <c:v>43459</c:v>
                </c:pt>
                <c:pt idx="229">
                  <c:v>43455</c:v>
                </c:pt>
                <c:pt idx="230">
                  <c:v>43454</c:v>
                </c:pt>
                <c:pt idx="231">
                  <c:v>43453</c:v>
                </c:pt>
                <c:pt idx="232">
                  <c:v>43452</c:v>
                </c:pt>
                <c:pt idx="233">
                  <c:v>43451</c:v>
                </c:pt>
                <c:pt idx="234">
                  <c:v>43448</c:v>
                </c:pt>
                <c:pt idx="235">
                  <c:v>43447</c:v>
                </c:pt>
                <c:pt idx="236">
                  <c:v>43446</c:v>
                </c:pt>
                <c:pt idx="237">
                  <c:v>43445</c:v>
                </c:pt>
                <c:pt idx="238">
                  <c:v>43444</c:v>
                </c:pt>
                <c:pt idx="239">
                  <c:v>43441</c:v>
                </c:pt>
                <c:pt idx="240">
                  <c:v>43440</c:v>
                </c:pt>
                <c:pt idx="241">
                  <c:v>43439</c:v>
                </c:pt>
                <c:pt idx="242">
                  <c:v>43438</c:v>
                </c:pt>
                <c:pt idx="243">
                  <c:v>43437</c:v>
                </c:pt>
                <c:pt idx="244">
                  <c:v>43434</c:v>
                </c:pt>
                <c:pt idx="245">
                  <c:v>43433</c:v>
                </c:pt>
                <c:pt idx="246">
                  <c:v>43432</c:v>
                </c:pt>
                <c:pt idx="247">
                  <c:v>43431</c:v>
                </c:pt>
                <c:pt idx="248">
                  <c:v>43430</c:v>
                </c:pt>
                <c:pt idx="249">
                  <c:v>43426</c:v>
                </c:pt>
                <c:pt idx="250">
                  <c:v>43425</c:v>
                </c:pt>
                <c:pt idx="251">
                  <c:v>43424</c:v>
                </c:pt>
                <c:pt idx="252">
                  <c:v>43423</c:v>
                </c:pt>
                <c:pt idx="253">
                  <c:v>43420</c:v>
                </c:pt>
                <c:pt idx="254">
                  <c:v>43419</c:v>
                </c:pt>
                <c:pt idx="255">
                  <c:v>43418</c:v>
                </c:pt>
                <c:pt idx="256">
                  <c:v>43417</c:v>
                </c:pt>
                <c:pt idx="257">
                  <c:v>43416</c:v>
                </c:pt>
                <c:pt idx="258">
                  <c:v>43413</c:v>
                </c:pt>
                <c:pt idx="259">
                  <c:v>43412</c:v>
                </c:pt>
                <c:pt idx="260">
                  <c:v>43411</c:v>
                </c:pt>
                <c:pt idx="261">
                  <c:v>43410</c:v>
                </c:pt>
                <c:pt idx="262">
                  <c:v>43409</c:v>
                </c:pt>
                <c:pt idx="263">
                  <c:v>43406</c:v>
                </c:pt>
                <c:pt idx="264">
                  <c:v>43405</c:v>
                </c:pt>
                <c:pt idx="265">
                  <c:v>43404</c:v>
                </c:pt>
                <c:pt idx="266">
                  <c:v>43403</c:v>
                </c:pt>
                <c:pt idx="267">
                  <c:v>43402</c:v>
                </c:pt>
                <c:pt idx="268">
                  <c:v>43399</c:v>
                </c:pt>
                <c:pt idx="269">
                  <c:v>43398</c:v>
                </c:pt>
                <c:pt idx="270">
                  <c:v>43397</c:v>
                </c:pt>
                <c:pt idx="271">
                  <c:v>43396</c:v>
                </c:pt>
                <c:pt idx="272">
                  <c:v>43395</c:v>
                </c:pt>
                <c:pt idx="273">
                  <c:v>43392</c:v>
                </c:pt>
                <c:pt idx="274">
                  <c:v>43391</c:v>
                </c:pt>
                <c:pt idx="275">
                  <c:v>43390</c:v>
                </c:pt>
                <c:pt idx="276">
                  <c:v>43389</c:v>
                </c:pt>
                <c:pt idx="277">
                  <c:v>43388</c:v>
                </c:pt>
                <c:pt idx="278">
                  <c:v>43385</c:v>
                </c:pt>
                <c:pt idx="279">
                  <c:v>43384</c:v>
                </c:pt>
                <c:pt idx="280">
                  <c:v>43383</c:v>
                </c:pt>
                <c:pt idx="281">
                  <c:v>43382</c:v>
                </c:pt>
                <c:pt idx="282">
                  <c:v>43378</c:v>
                </c:pt>
                <c:pt idx="283">
                  <c:v>43377</c:v>
                </c:pt>
                <c:pt idx="284">
                  <c:v>43376</c:v>
                </c:pt>
                <c:pt idx="285">
                  <c:v>43375</c:v>
                </c:pt>
                <c:pt idx="286">
                  <c:v>43374</c:v>
                </c:pt>
                <c:pt idx="287">
                  <c:v>43371</c:v>
                </c:pt>
                <c:pt idx="288">
                  <c:v>43370</c:v>
                </c:pt>
                <c:pt idx="289">
                  <c:v>43369</c:v>
                </c:pt>
                <c:pt idx="290">
                  <c:v>43368</c:v>
                </c:pt>
                <c:pt idx="291">
                  <c:v>43364</c:v>
                </c:pt>
                <c:pt idx="292">
                  <c:v>43363</c:v>
                </c:pt>
                <c:pt idx="293">
                  <c:v>43362</c:v>
                </c:pt>
                <c:pt idx="294">
                  <c:v>43361</c:v>
                </c:pt>
                <c:pt idx="295">
                  <c:v>43357</c:v>
                </c:pt>
                <c:pt idx="296">
                  <c:v>43356</c:v>
                </c:pt>
                <c:pt idx="297">
                  <c:v>43355</c:v>
                </c:pt>
                <c:pt idx="298">
                  <c:v>43354</c:v>
                </c:pt>
                <c:pt idx="299">
                  <c:v>43353</c:v>
                </c:pt>
                <c:pt idx="300">
                  <c:v>43350</c:v>
                </c:pt>
                <c:pt idx="301">
                  <c:v>43349</c:v>
                </c:pt>
                <c:pt idx="302">
                  <c:v>43348</c:v>
                </c:pt>
                <c:pt idx="303">
                  <c:v>43347</c:v>
                </c:pt>
                <c:pt idx="304">
                  <c:v>43346</c:v>
                </c:pt>
                <c:pt idx="305">
                  <c:v>43343</c:v>
                </c:pt>
                <c:pt idx="306">
                  <c:v>43342</c:v>
                </c:pt>
                <c:pt idx="307">
                  <c:v>43341</c:v>
                </c:pt>
                <c:pt idx="308">
                  <c:v>43340</c:v>
                </c:pt>
                <c:pt idx="309">
                  <c:v>43339</c:v>
                </c:pt>
                <c:pt idx="310">
                  <c:v>43336</c:v>
                </c:pt>
                <c:pt idx="311">
                  <c:v>43335</c:v>
                </c:pt>
                <c:pt idx="312">
                  <c:v>43334</c:v>
                </c:pt>
                <c:pt idx="313">
                  <c:v>43333</c:v>
                </c:pt>
                <c:pt idx="314">
                  <c:v>43332</c:v>
                </c:pt>
                <c:pt idx="315">
                  <c:v>43329</c:v>
                </c:pt>
                <c:pt idx="316">
                  <c:v>43328</c:v>
                </c:pt>
                <c:pt idx="317">
                  <c:v>43327</c:v>
                </c:pt>
                <c:pt idx="318">
                  <c:v>43326</c:v>
                </c:pt>
                <c:pt idx="319">
                  <c:v>43325</c:v>
                </c:pt>
                <c:pt idx="320">
                  <c:v>43322</c:v>
                </c:pt>
                <c:pt idx="321">
                  <c:v>43321</c:v>
                </c:pt>
                <c:pt idx="322">
                  <c:v>43320</c:v>
                </c:pt>
                <c:pt idx="323">
                  <c:v>43319</c:v>
                </c:pt>
                <c:pt idx="324">
                  <c:v>43318</c:v>
                </c:pt>
                <c:pt idx="325">
                  <c:v>43315</c:v>
                </c:pt>
                <c:pt idx="326">
                  <c:v>43314</c:v>
                </c:pt>
                <c:pt idx="327">
                  <c:v>43313</c:v>
                </c:pt>
                <c:pt idx="328">
                  <c:v>43312</c:v>
                </c:pt>
                <c:pt idx="329">
                  <c:v>43311</c:v>
                </c:pt>
                <c:pt idx="330">
                  <c:v>43308</c:v>
                </c:pt>
                <c:pt idx="331">
                  <c:v>43307</c:v>
                </c:pt>
                <c:pt idx="332">
                  <c:v>43306</c:v>
                </c:pt>
                <c:pt idx="333">
                  <c:v>43305</c:v>
                </c:pt>
                <c:pt idx="334">
                  <c:v>43304</c:v>
                </c:pt>
                <c:pt idx="335">
                  <c:v>43301</c:v>
                </c:pt>
                <c:pt idx="336">
                  <c:v>43300</c:v>
                </c:pt>
                <c:pt idx="337">
                  <c:v>43299</c:v>
                </c:pt>
                <c:pt idx="338">
                  <c:v>43298</c:v>
                </c:pt>
                <c:pt idx="339">
                  <c:v>43294</c:v>
                </c:pt>
                <c:pt idx="340">
                  <c:v>43293</c:v>
                </c:pt>
                <c:pt idx="341">
                  <c:v>43292</c:v>
                </c:pt>
                <c:pt idx="342">
                  <c:v>43291</c:v>
                </c:pt>
                <c:pt idx="343">
                  <c:v>43290</c:v>
                </c:pt>
                <c:pt idx="344">
                  <c:v>43287</c:v>
                </c:pt>
                <c:pt idx="345">
                  <c:v>43286</c:v>
                </c:pt>
                <c:pt idx="346">
                  <c:v>43285</c:v>
                </c:pt>
                <c:pt idx="347">
                  <c:v>43284</c:v>
                </c:pt>
                <c:pt idx="348">
                  <c:v>43283</c:v>
                </c:pt>
                <c:pt idx="349">
                  <c:v>43280</c:v>
                </c:pt>
                <c:pt idx="350">
                  <c:v>43279</c:v>
                </c:pt>
                <c:pt idx="351">
                  <c:v>43278</c:v>
                </c:pt>
                <c:pt idx="352">
                  <c:v>43277</c:v>
                </c:pt>
                <c:pt idx="353">
                  <c:v>43276</c:v>
                </c:pt>
                <c:pt idx="354">
                  <c:v>43273</c:v>
                </c:pt>
                <c:pt idx="355">
                  <c:v>43272</c:v>
                </c:pt>
                <c:pt idx="356">
                  <c:v>43271</c:v>
                </c:pt>
                <c:pt idx="357">
                  <c:v>43270</c:v>
                </c:pt>
                <c:pt idx="358">
                  <c:v>43269</c:v>
                </c:pt>
                <c:pt idx="359">
                  <c:v>43266</c:v>
                </c:pt>
                <c:pt idx="360">
                  <c:v>43265</c:v>
                </c:pt>
                <c:pt idx="361">
                  <c:v>43264</c:v>
                </c:pt>
                <c:pt idx="362">
                  <c:v>43263</c:v>
                </c:pt>
                <c:pt idx="363">
                  <c:v>43262</c:v>
                </c:pt>
                <c:pt idx="364">
                  <c:v>43259</c:v>
                </c:pt>
                <c:pt idx="365">
                  <c:v>43258</c:v>
                </c:pt>
                <c:pt idx="366">
                  <c:v>43257</c:v>
                </c:pt>
                <c:pt idx="367">
                  <c:v>43256</c:v>
                </c:pt>
                <c:pt idx="368">
                  <c:v>43255</c:v>
                </c:pt>
                <c:pt idx="369">
                  <c:v>43252</c:v>
                </c:pt>
                <c:pt idx="370">
                  <c:v>43251</c:v>
                </c:pt>
                <c:pt idx="371">
                  <c:v>43250</c:v>
                </c:pt>
                <c:pt idx="372">
                  <c:v>43249</c:v>
                </c:pt>
                <c:pt idx="373">
                  <c:v>43248</c:v>
                </c:pt>
                <c:pt idx="374">
                  <c:v>43245</c:v>
                </c:pt>
                <c:pt idx="375">
                  <c:v>43244</c:v>
                </c:pt>
                <c:pt idx="376">
                  <c:v>43243</c:v>
                </c:pt>
                <c:pt idx="377">
                  <c:v>43242</c:v>
                </c:pt>
                <c:pt idx="378">
                  <c:v>43241</c:v>
                </c:pt>
                <c:pt idx="379">
                  <c:v>43238</c:v>
                </c:pt>
                <c:pt idx="380">
                  <c:v>43237</c:v>
                </c:pt>
                <c:pt idx="381">
                  <c:v>43236</c:v>
                </c:pt>
                <c:pt idx="382">
                  <c:v>43235</c:v>
                </c:pt>
                <c:pt idx="383">
                  <c:v>43234</c:v>
                </c:pt>
                <c:pt idx="384">
                  <c:v>43231</c:v>
                </c:pt>
                <c:pt idx="385">
                  <c:v>43230</c:v>
                </c:pt>
                <c:pt idx="386">
                  <c:v>43229</c:v>
                </c:pt>
                <c:pt idx="387">
                  <c:v>43228</c:v>
                </c:pt>
                <c:pt idx="388">
                  <c:v>43227</c:v>
                </c:pt>
                <c:pt idx="389">
                  <c:v>43222</c:v>
                </c:pt>
                <c:pt idx="390">
                  <c:v>43221</c:v>
                </c:pt>
                <c:pt idx="391">
                  <c:v>43217</c:v>
                </c:pt>
                <c:pt idx="392">
                  <c:v>43216</c:v>
                </c:pt>
                <c:pt idx="393">
                  <c:v>43215</c:v>
                </c:pt>
                <c:pt idx="394">
                  <c:v>43214</c:v>
                </c:pt>
                <c:pt idx="395">
                  <c:v>43213</c:v>
                </c:pt>
                <c:pt idx="396">
                  <c:v>43210</c:v>
                </c:pt>
                <c:pt idx="397">
                  <c:v>43209</c:v>
                </c:pt>
                <c:pt idx="398">
                  <c:v>43208</c:v>
                </c:pt>
                <c:pt idx="399">
                  <c:v>43207</c:v>
                </c:pt>
                <c:pt idx="400">
                  <c:v>43206</c:v>
                </c:pt>
                <c:pt idx="401">
                  <c:v>43203</c:v>
                </c:pt>
                <c:pt idx="402">
                  <c:v>43202</c:v>
                </c:pt>
                <c:pt idx="403">
                  <c:v>43201</c:v>
                </c:pt>
                <c:pt idx="404">
                  <c:v>43200</c:v>
                </c:pt>
                <c:pt idx="405">
                  <c:v>43199</c:v>
                </c:pt>
                <c:pt idx="406">
                  <c:v>43196</c:v>
                </c:pt>
                <c:pt idx="407">
                  <c:v>43195</c:v>
                </c:pt>
                <c:pt idx="408">
                  <c:v>43194</c:v>
                </c:pt>
                <c:pt idx="409">
                  <c:v>43193</c:v>
                </c:pt>
                <c:pt idx="410">
                  <c:v>43192</c:v>
                </c:pt>
                <c:pt idx="411">
                  <c:v>43189</c:v>
                </c:pt>
                <c:pt idx="412">
                  <c:v>43188</c:v>
                </c:pt>
                <c:pt idx="413">
                  <c:v>43187</c:v>
                </c:pt>
                <c:pt idx="414">
                  <c:v>43186</c:v>
                </c:pt>
                <c:pt idx="415">
                  <c:v>43185</c:v>
                </c:pt>
                <c:pt idx="416">
                  <c:v>43182</c:v>
                </c:pt>
                <c:pt idx="417">
                  <c:v>43181</c:v>
                </c:pt>
                <c:pt idx="418">
                  <c:v>43179</c:v>
                </c:pt>
                <c:pt idx="419">
                  <c:v>43178</c:v>
                </c:pt>
                <c:pt idx="420">
                  <c:v>43175</c:v>
                </c:pt>
                <c:pt idx="421">
                  <c:v>43174</c:v>
                </c:pt>
                <c:pt idx="422">
                  <c:v>43173</c:v>
                </c:pt>
                <c:pt idx="423">
                  <c:v>43172</c:v>
                </c:pt>
                <c:pt idx="424">
                  <c:v>43171</c:v>
                </c:pt>
                <c:pt idx="425">
                  <c:v>43168</c:v>
                </c:pt>
                <c:pt idx="426">
                  <c:v>43167</c:v>
                </c:pt>
                <c:pt idx="427">
                  <c:v>43166</c:v>
                </c:pt>
                <c:pt idx="428">
                  <c:v>43165</c:v>
                </c:pt>
                <c:pt idx="429">
                  <c:v>43164</c:v>
                </c:pt>
                <c:pt idx="430">
                  <c:v>43161</c:v>
                </c:pt>
                <c:pt idx="431">
                  <c:v>43160</c:v>
                </c:pt>
                <c:pt idx="432">
                  <c:v>43159</c:v>
                </c:pt>
                <c:pt idx="433">
                  <c:v>43158</c:v>
                </c:pt>
                <c:pt idx="434">
                  <c:v>43157</c:v>
                </c:pt>
                <c:pt idx="435">
                  <c:v>43154</c:v>
                </c:pt>
                <c:pt idx="436">
                  <c:v>43153</c:v>
                </c:pt>
                <c:pt idx="437">
                  <c:v>43152</c:v>
                </c:pt>
                <c:pt idx="438">
                  <c:v>43151</c:v>
                </c:pt>
                <c:pt idx="439">
                  <c:v>43150</c:v>
                </c:pt>
                <c:pt idx="440">
                  <c:v>43147</c:v>
                </c:pt>
                <c:pt idx="441">
                  <c:v>43146</c:v>
                </c:pt>
                <c:pt idx="442">
                  <c:v>43145</c:v>
                </c:pt>
                <c:pt idx="443">
                  <c:v>43144</c:v>
                </c:pt>
                <c:pt idx="444">
                  <c:v>43140</c:v>
                </c:pt>
                <c:pt idx="445">
                  <c:v>43139</c:v>
                </c:pt>
                <c:pt idx="446">
                  <c:v>43138</c:v>
                </c:pt>
                <c:pt idx="447">
                  <c:v>43137</c:v>
                </c:pt>
                <c:pt idx="448">
                  <c:v>43136</c:v>
                </c:pt>
                <c:pt idx="449">
                  <c:v>43133</c:v>
                </c:pt>
                <c:pt idx="450">
                  <c:v>43132</c:v>
                </c:pt>
                <c:pt idx="451">
                  <c:v>43131</c:v>
                </c:pt>
                <c:pt idx="452">
                  <c:v>43130</c:v>
                </c:pt>
                <c:pt idx="453">
                  <c:v>43129</c:v>
                </c:pt>
                <c:pt idx="454">
                  <c:v>43126</c:v>
                </c:pt>
                <c:pt idx="455">
                  <c:v>43125</c:v>
                </c:pt>
                <c:pt idx="456">
                  <c:v>43124</c:v>
                </c:pt>
                <c:pt idx="457">
                  <c:v>43123</c:v>
                </c:pt>
                <c:pt idx="458">
                  <c:v>43122</c:v>
                </c:pt>
                <c:pt idx="459">
                  <c:v>43119</c:v>
                </c:pt>
                <c:pt idx="460">
                  <c:v>43118</c:v>
                </c:pt>
                <c:pt idx="461">
                  <c:v>43117</c:v>
                </c:pt>
                <c:pt idx="462">
                  <c:v>43116</c:v>
                </c:pt>
                <c:pt idx="463">
                  <c:v>43115</c:v>
                </c:pt>
                <c:pt idx="464">
                  <c:v>43112</c:v>
                </c:pt>
                <c:pt idx="465">
                  <c:v>43111</c:v>
                </c:pt>
                <c:pt idx="466">
                  <c:v>43110</c:v>
                </c:pt>
                <c:pt idx="467">
                  <c:v>43109</c:v>
                </c:pt>
                <c:pt idx="468">
                  <c:v>43105</c:v>
                </c:pt>
                <c:pt idx="469">
                  <c:v>43104</c:v>
                </c:pt>
                <c:pt idx="470">
                  <c:v>43098</c:v>
                </c:pt>
                <c:pt idx="471">
                  <c:v>43097</c:v>
                </c:pt>
                <c:pt idx="472">
                  <c:v>43096</c:v>
                </c:pt>
                <c:pt idx="473">
                  <c:v>43095</c:v>
                </c:pt>
                <c:pt idx="474">
                  <c:v>43094</c:v>
                </c:pt>
                <c:pt idx="475">
                  <c:v>43091</c:v>
                </c:pt>
                <c:pt idx="476">
                  <c:v>43090</c:v>
                </c:pt>
                <c:pt idx="477">
                  <c:v>43089</c:v>
                </c:pt>
                <c:pt idx="478">
                  <c:v>43088</c:v>
                </c:pt>
                <c:pt idx="479">
                  <c:v>43087</c:v>
                </c:pt>
                <c:pt idx="480">
                  <c:v>43084</c:v>
                </c:pt>
                <c:pt idx="481">
                  <c:v>43083</c:v>
                </c:pt>
                <c:pt idx="482">
                  <c:v>43082</c:v>
                </c:pt>
                <c:pt idx="483">
                  <c:v>43081</c:v>
                </c:pt>
                <c:pt idx="484">
                  <c:v>43080</c:v>
                </c:pt>
                <c:pt idx="485">
                  <c:v>43077</c:v>
                </c:pt>
                <c:pt idx="486">
                  <c:v>43076</c:v>
                </c:pt>
                <c:pt idx="487">
                  <c:v>43075</c:v>
                </c:pt>
                <c:pt idx="488">
                  <c:v>43074</c:v>
                </c:pt>
                <c:pt idx="489">
                  <c:v>43073</c:v>
                </c:pt>
                <c:pt idx="490">
                  <c:v>43070</c:v>
                </c:pt>
                <c:pt idx="491">
                  <c:v>43069</c:v>
                </c:pt>
                <c:pt idx="492">
                  <c:v>43068</c:v>
                </c:pt>
                <c:pt idx="493">
                  <c:v>43067</c:v>
                </c:pt>
                <c:pt idx="494">
                  <c:v>43066</c:v>
                </c:pt>
                <c:pt idx="495">
                  <c:v>43063</c:v>
                </c:pt>
                <c:pt idx="496">
                  <c:v>43061</c:v>
                </c:pt>
                <c:pt idx="497">
                  <c:v>43060</c:v>
                </c:pt>
                <c:pt idx="498">
                  <c:v>43059</c:v>
                </c:pt>
                <c:pt idx="499">
                  <c:v>43056</c:v>
                </c:pt>
                <c:pt idx="500">
                  <c:v>43055</c:v>
                </c:pt>
                <c:pt idx="501">
                  <c:v>43054</c:v>
                </c:pt>
                <c:pt idx="502">
                  <c:v>43053</c:v>
                </c:pt>
                <c:pt idx="503">
                  <c:v>43052</c:v>
                </c:pt>
                <c:pt idx="504">
                  <c:v>43049</c:v>
                </c:pt>
                <c:pt idx="505">
                  <c:v>43048</c:v>
                </c:pt>
                <c:pt idx="506">
                  <c:v>43047</c:v>
                </c:pt>
                <c:pt idx="507">
                  <c:v>43046</c:v>
                </c:pt>
                <c:pt idx="508">
                  <c:v>43045</c:v>
                </c:pt>
                <c:pt idx="509">
                  <c:v>43041</c:v>
                </c:pt>
                <c:pt idx="510">
                  <c:v>43040</c:v>
                </c:pt>
                <c:pt idx="511">
                  <c:v>43039</c:v>
                </c:pt>
                <c:pt idx="512">
                  <c:v>43038</c:v>
                </c:pt>
                <c:pt idx="513">
                  <c:v>43035</c:v>
                </c:pt>
                <c:pt idx="514">
                  <c:v>43034</c:v>
                </c:pt>
                <c:pt idx="515">
                  <c:v>43033</c:v>
                </c:pt>
                <c:pt idx="516">
                  <c:v>43032</c:v>
                </c:pt>
                <c:pt idx="517">
                  <c:v>43031</c:v>
                </c:pt>
                <c:pt idx="518">
                  <c:v>43028</c:v>
                </c:pt>
                <c:pt idx="519">
                  <c:v>43027</c:v>
                </c:pt>
                <c:pt idx="520">
                  <c:v>43026</c:v>
                </c:pt>
                <c:pt idx="521">
                  <c:v>43025</c:v>
                </c:pt>
                <c:pt idx="522">
                  <c:v>43024</c:v>
                </c:pt>
                <c:pt idx="523">
                  <c:v>43021</c:v>
                </c:pt>
                <c:pt idx="524">
                  <c:v>43020</c:v>
                </c:pt>
                <c:pt idx="525">
                  <c:v>43019</c:v>
                </c:pt>
                <c:pt idx="526">
                  <c:v>43018</c:v>
                </c:pt>
                <c:pt idx="527">
                  <c:v>43014</c:v>
                </c:pt>
                <c:pt idx="528">
                  <c:v>43013</c:v>
                </c:pt>
                <c:pt idx="529">
                  <c:v>43012</c:v>
                </c:pt>
                <c:pt idx="530">
                  <c:v>43011</c:v>
                </c:pt>
                <c:pt idx="531">
                  <c:v>43010</c:v>
                </c:pt>
                <c:pt idx="532">
                  <c:v>43007</c:v>
                </c:pt>
                <c:pt idx="533">
                  <c:v>43006</c:v>
                </c:pt>
                <c:pt idx="534">
                  <c:v>43005</c:v>
                </c:pt>
                <c:pt idx="535">
                  <c:v>43004</c:v>
                </c:pt>
                <c:pt idx="536">
                  <c:v>43003</c:v>
                </c:pt>
                <c:pt idx="537">
                  <c:v>43000</c:v>
                </c:pt>
                <c:pt idx="538">
                  <c:v>42999</c:v>
                </c:pt>
                <c:pt idx="539">
                  <c:v>42998</c:v>
                </c:pt>
                <c:pt idx="540">
                  <c:v>42997</c:v>
                </c:pt>
                <c:pt idx="541">
                  <c:v>42993</c:v>
                </c:pt>
                <c:pt idx="542">
                  <c:v>42992</c:v>
                </c:pt>
                <c:pt idx="543">
                  <c:v>42991</c:v>
                </c:pt>
                <c:pt idx="544">
                  <c:v>42990</c:v>
                </c:pt>
                <c:pt idx="545">
                  <c:v>42989</c:v>
                </c:pt>
                <c:pt idx="546">
                  <c:v>42986</c:v>
                </c:pt>
                <c:pt idx="547">
                  <c:v>42985</c:v>
                </c:pt>
                <c:pt idx="548">
                  <c:v>42984</c:v>
                </c:pt>
                <c:pt idx="549">
                  <c:v>42983</c:v>
                </c:pt>
                <c:pt idx="550">
                  <c:v>42982</c:v>
                </c:pt>
                <c:pt idx="551">
                  <c:v>42979</c:v>
                </c:pt>
                <c:pt idx="552">
                  <c:v>42978</c:v>
                </c:pt>
                <c:pt idx="553">
                  <c:v>42977</c:v>
                </c:pt>
                <c:pt idx="554">
                  <c:v>42976</c:v>
                </c:pt>
                <c:pt idx="555">
                  <c:v>42975</c:v>
                </c:pt>
                <c:pt idx="556">
                  <c:v>42972</c:v>
                </c:pt>
                <c:pt idx="557">
                  <c:v>42971</c:v>
                </c:pt>
                <c:pt idx="558">
                  <c:v>42970</c:v>
                </c:pt>
                <c:pt idx="559">
                  <c:v>42969</c:v>
                </c:pt>
                <c:pt idx="560">
                  <c:v>42968</c:v>
                </c:pt>
                <c:pt idx="561">
                  <c:v>42965</c:v>
                </c:pt>
                <c:pt idx="562">
                  <c:v>42964</c:v>
                </c:pt>
                <c:pt idx="563">
                  <c:v>42963</c:v>
                </c:pt>
                <c:pt idx="564">
                  <c:v>42962</c:v>
                </c:pt>
                <c:pt idx="565">
                  <c:v>42961</c:v>
                </c:pt>
                <c:pt idx="566">
                  <c:v>42957</c:v>
                </c:pt>
                <c:pt idx="567">
                  <c:v>42956</c:v>
                </c:pt>
                <c:pt idx="568">
                  <c:v>42955</c:v>
                </c:pt>
                <c:pt idx="569">
                  <c:v>42954</c:v>
                </c:pt>
                <c:pt idx="570">
                  <c:v>42951</c:v>
                </c:pt>
                <c:pt idx="571">
                  <c:v>42950</c:v>
                </c:pt>
                <c:pt idx="572">
                  <c:v>42949</c:v>
                </c:pt>
                <c:pt idx="573">
                  <c:v>42948</c:v>
                </c:pt>
                <c:pt idx="574">
                  <c:v>42947</c:v>
                </c:pt>
                <c:pt idx="575">
                  <c:v>42944</c:v>
                </c:pt>
                <c:pt idx="576">
                  <c:v>42943</c:v>
                </c:pt>
                <c:pt idx="577">
                  <c:v>42942</c:v>
                </c:pt>
                <c:pt idx="578">
                  <c:v>42941</c:v>
                </c:pt>
                <c:pt idx="579">
                  <c:v>42940</c:v>
                </c:pt>
                <c:pt idx="580">
                  <c:v>42937</c:v>
                </c:pt>
                <c:pt idx="581">
                  <c:v>42936</c:v>
                </c:pt>
                <c:pt idx="582">
                  <c:v>42935</c:v>
                </c:pt>
                <c:pt idx="583">
                  <c:v>42934</c:v>
                </c:pt>
                <c:pt idx="584">
                  <c:v>42930</c:v>
                </c:pt>
                <c:pt idx="585">
                  <c:v>42929</c:v>
                </c:pt>
                <c:pt idx="586">
                  <c:v>42928</c:v>
                </c:pt>
                <c:pt idx="587">
                  <c:v>42927</c:v>
                </c:pt>
                <c:pt idx="588">
                  <c:v>42926</c:v>
                </c:pt>
                <c:pt idx="589">
                  <c:v>42923</c:v>
                </c:pt>
                <c:pt idx="590">
                  <c:v>42922</c:v>
                </c:pt>
                <c:pt idx="591">
                  <c:v>42921</c:v>
                </c:pt>
                <c:pt idx="592">
                  <c:v>42920</c:v>
                </c:pt>
                <c:pt idx="593">
                  <c:v>42919</c:v>
                </c:pt>
                <c:pt idx="594">
                  <c:v>42916</c:v>
                </c:pt>
                <c:pt idx="595">
                  <c:v>42915</c:v>
                </c:pt>
                <c:pt idx="596">
                  <c:v>42914</c:v>
                </c:pt>
                <c:pt idx="597">
                  <c:v>42913</c:v>
                </c:pt>
                <c:pt idx="598">
                  <c:v>42912</c:v>
                </c:pt>
                <c:pt idx="599">
                  <c:v>42909</c:v>
                </c:pt>
                <c:pt idx="600">
                  <c:v>42908</c:v>
                </c:pt>
                <c:pt idx="601">
                  <c:v>42907</c:v>
                </c:pt>
                <c:pt idx="602">
                  <c:v>42906</c:v>
                </c:pt>
                <c:pt idx="603">
                  <c:v>42905</c:v>
                </c:pt>
                <c:pt idx="604">
                  <c:v>42902</c:v>
                </c:pt>
                <c:pt idx="605">
                  <c:v>42901</c:v>
                </c:pt>
                <c:pt idx="606">
                  <c:v>42900</c:v>
                </c:pt>
                <c:pt idx="607">
                  <c:v>42899</c:v>
                </c:pt>
                <c:pt idx="608">
                  <c:v>42898</c:v>
                </c:pt>
                <c:pt idx="609">
                  <c:v>42895</c:v>
                </c:pt>
                <c:pt idx="610">
                  <c:v>42894</c:v>
                </c:pt>
                <c:pt idx="611">
                  <c:v>42893</c:v>
                </c:pt>
                <c:pt idx="612">
                  <c:v>42892</c:v>
                </c:pt>
                <c:pt idx="613">
                  <c:v>42891</c:v>
                </c:pt>
                <c:pt idx="614">
                  <c:v>42888</c:v>
                </c:pt>
                <c:pt idx="615">
                  <c:v>42887</c:v>
                </c:pt>
                <c:pt idx="616">
                  <c:v>42886</c:v>
                </c:pt>
                <c:pt idx="617">
                  <c:v>42885</c:v>
                </c:pt>
                <c:pt idx="618">
                  <c:v>42884</c:v>
                </c:pt>
                <c:pt idx="619">
                  <c:v>42881</c:v>
                </c:pt>
                <c:pt idx="620">
                  <c:v>42880</c:v>
                </c:pt>
                <c:pt idx="621">
                  <c:v>42879</c:v>
                </c:pt>
                <c:pt idx="622">
                  <c:v>42878</c:v>
                </c:pt>
                <c:pt idx="623">
                  <c:v>42877</c:v>
                </c:pt>
                <c:pt idx="624">
                  <c:v>42874</c:v>
                </c:pt>
                <c:pt idx="625">
                  <c:v>42873</c:v>
                </c:pt>
                <c:pt idx="626">
                  <c:v>42872</c:v>
                </c:pt>
                <c:pt idx="627">
                  <c:v>42871</c:v>
                </c:pt>
                <c:pt idx="628">
                  <c:v>42870</c:v>
                </c:pt>
                <c:pt idx="629">
                  <c:v>42867</c:v>
                </c:pt>
                <c:pt idx="630">
                  <c:v>42866</c:v>
                </c:pt>
                <c:pt idx="631">
                  <c:v>42865</c:v>
                </c:pt>
                <c:pt idx="632">
                  <c:v>42864</c:v>
                </c:pt>
                <c:pt idx="633">
                  <c:v>42863</c:v>
                </c:pt>
                <c:pt idx="634">
                  <c:v>42857</c:v>
                </c:pt>
                <c:pt idx="635">
                  <c:v>42856</c:v>
                </c:pt>
                <c:pt idx="636">
                  <c:v>42853</c:v>
                </c:pt>
                <c:pt idx="637">
                  <c:v>42852</c:v>
                </c:pt>
                <c:pt idx="638">
                  <c:v>42851</c:v>
                </c:pt>
                <c:pt idx="639">
                  <c:v>42850</c:v>
                </c:pt>
                <c:pt idx="640">
                  <c:v>42849</c:v>
                </c:pt>
                <c:pt idx="641">
                  <c:v>42846</c:v>
                </c:pt>
                <c:pt idx="642">
                  <c:v>42845</c:v>
                </c:pt>
                <c:pt idx="643">
                  <c:v>42844</c:v>
                </c:pt>
                <c:pt idx="644">
                  <c:v>42843</c:v>
                </c:pt>
                <c:pt idx="645">
                  <c:v>42842</c:v>
                </c:pt>
                <c:pt idx="646">
                  <c:v>42839</c:v>
                </c:pt>
                <c:pt idx="647">
                  <c:v>42838</c:v>
                </c:pt>
                <c:pt idx="648">
                  <c:v>42837</c:v>
                </c:pt>
                <c:pt idx="649">
                  <c:v>42836</c:v>
                </c:pt>
                <c:pt idx="650">
                  <c:v>42835</c:v>
                </c:pt>
                <c:pt idx="651">
                  <c:v>42832</c:v>
                </c:pt>
                <c:pt idx="652">
                  <c:v>42831</c:v>
                </c:pt>
                <c:pt idx="653">
                  <c:v>42830</c:v>
                </c:pt>
                <c:pt idx="654">
                  <c:v>42829</c:v>
                </c:pt>
                <c:pt idx="655">
                  <c:v>42828</c:v>
                </c:pt>
                <c:pt idx="656">
                  <c:v>42825</c:v>
                </c:pt>
                <c:pt idx="657">
                  <c:v>42824</c:v>
                </c:pt>
                <c:pt idx="658">
                  <c:v>42823</c:v>
                </c:pt>
                <c:pt idx="659">
                  <c:v>42822</c:v>
                </c:pt>
                <c:pt idx="660">
                  <c:v>42821</c:v>
                </c:pt>
                <c:pt idx="661">
                  <c:v>42818</c:v>
                </c:pt>
              </c:numCache>
            </c:numRef>
          </c:cat>
          <c:val>
            <c:numRef>
              <c:f>グラフ!$N$42:$N$703</c:f>
              <c:numCache>
                <c:formatCode>General</c:formatCode>
                <c:ptCount val="662"/>
                <c:pt idx="0">
                  <c:v>0.31727235058593178</c:v>
                </c:pt>
                <c:pt idx="1">
                  <c:v>0.31636807415356605</c:v>
                </c:pt>
                <c:pt idx="2">
                  <c:v>0.31528010698653064</c:v>
                </c:pt>
                <c:pt idx="3">
                  <c:v>0.31422484060589317</c:v>
                </c:pt>
                <c:pt idx="4">
                  <c:v>0.31348352869479873</c:v>
                </c:pt>
                <c:pt idx="5">
                  <c:v>0.31260165012431951</c:v>
                </c:pt>
                <c:pt idx="6">
                  <c:v>0.31175374990971183</c:v>
                </c:pt>
                <c:pt idx="7">
                  <c:v>0.31166853618080886</c:v>
                </c:pt>
                <c:pt idx="8">
                  <c:v>0.31176727304551632</c:v>
                </c:pt>
                <c:pt idx="9">
                  <c:v>0.31204906435506363</c:v>
                </c:pt>
                <c:pt idx="10">
                  <c:v>0.3124175446270292</c:v>
                </c:pt>
                <c:pt idx="11">
                  <c:v>0.31261321388660757</c:v>
                </c:pt>
                <c:pt idx="12">
                  <c:v>0.31305980312485315</c:v>
                </c:pt>
                <c:pt idx="13">
                  <c:v>0.31332365431420561</c:v>
                </c:pt>
                <c:pt idx="14">
                  <c:v>0.31345021206971474</c:v>
                </c:pt>
                <c:pt idx="15">
                  <c:v>0.31383972381136399</c:v>
                </c:pt>
                <c:pt idx="16">
                  <c:v>0.31413098367834519</c:v>
                </c:pt>
                <c:pt idx="17">
                  <c:v>0.31405690775931999</c:v>
                </c:pt>
                <c:pt idx="18">
                  <c:v>0.31405991477300121</c:v>
                </c:pt>
                <c:pt idx="19">
                  <c:v>0.31390409109782585</c:v>
                </c:pt>
                <c:pt idx="20">
                  <c:v>0.31376424962529026</c:v>
                </c:pt>
                <c:pt idx="21">
                  <c:v>0.31290363818773953</c:v>
                </c:pt>
                <c:pt idx="22">
                  <c:v>0.31182264851125457</c:v>
                </c:pt>
                <c:pt idx="23">
                  <c:v>0.31148947435341601</c:v>
                </c:pt>
                <c:pt idx="24">
                  <c:v>0.3112737151920541</c:v>
                </c:pt>
                <c:pt idx="25">
                  <c:v>0.31113693309040608</c:v>
                </c:pt>
                <c:pt idx="26">
                  <c:v>0.31092075446007755</c:v>
                </c:pt>
                <c:pt idx="27">
                  <c:v>0.31089508621941886</c:v>
                </c:pt>
                <c:pt idx="28">
                  <c:v>0.31098766140705614</c:v>
                </c:pt>
                <c:pt idx="29">
                  <c:v>0.31121338122344322</c:v>
                </c:pt>
                <c:pt idx="30">
                  <c:v>0.31124247082619039</c:v>
                </c:pt>
                <c:pt idx="31">
                  <c:v>0.31143383952653536</c:v>
                </c:pt>
                <c:pt idx="32">
                  <c:v>0.31156055597016352</c:v>
                </c:pt>
                <c:pt idx="33">
                  <c:v>0.31166479403171671</c:v>
                </c:pt>
                <c:pt idx="34">
                  <c:v>0.31172134575267652</c:v>
                </c:pt>
                <c:pt idx="35">
                  <c:v>0.31184024250549863</c:v>
                </c:pt>
                <c:pt idx="36">
                  <c:v>0.31191657193292421</c:v>
                </c:pt>
                <c:pt idx="37">
                  <c:v>0.31192305605183002</c:v>
                </c:pt>
                <c:pt idx="38">
                  <c:v>0.31192010191494624</c:v>
                </c:pt>
                <c:pt idx="39">
                  <c:v>0.31192152293526898</c:v>
                </c:pt>
                <c:pt idx="40">
                  <c:v>0.31197233447788797</c:v>
                </c:pt>
                <c:pt idx="41">
                  <c:v>0.31194434609120086</c:v>
                </c:pt>
                <c:pt idx="42">
                  <c:v>0.31193293930474841</c:v>
                </c:pt>
                <c:pt idx="43">
                  <c:v>0.31192452940069504</c:v>
                </c:pt>
                <c:pt idx="44">
                  <c:v>0.31200340053086062</c:v>
                </c:pt>
                <c:pt idx="45">
                  <c:v>0.31208199610018694</c:v>
                </c:pt>
                <c:pt idx="46">
                  <c:v>0.31221243110617991</c:v>
                </c:pt>
                <c:pt idx="47">
                  <c:v>0.31241864043197148</c:v>
                </c:pt>
                <c:pt idx="48">
                  <c:v>0.31255193187453306</c:v>
                </c:pt>
                <c:pt idx="49">
                  <c:v>0.312667929336303</c:v>
                </c:pt>
                <c:pt idx="50">
                  <c:v>0.31272229808419</c:v>
                </c:pt>
                <c:pt idx="51">
                  <c:v>0.31292293702658175</c:v>
                </c:pt>
                <c:pt idx="52">
                  <c:v>0.31304338579096003</c:v>
                </c:pt>
                <c:pt idx="53">
                  <c:v>0.31304306540202143</c:v>
                </c:pt>
                <c:pt idx="54">
                  <c:v>0.31309636243519201</c:v>
                </c:pt>
                <c:pt idx="55">
                  <c:v>0.31305871696433207</c:v>
                </c:pt>
                <c:pt idx="56">
                  <c:v>0.31306895015847092</c:v>
                </c:pt>
                <c:pt idx="57">
                  <c:v>0.31305883627183534</c:v>
                </c:pt>
                <c:pt idx="58">
                  <c:v>0.31303425856248718</c:v>
                </c:pt>
                <c:pt idx="59">
                  <c:v>0.31304165677321544</c:v>
                </c:pt>
                <c:pt idx="60">
                  <c:v>0.31296929693809883</c:v>
                </c:pt>
                <c:pt idx="61">
                  <c:v>0.31291723345710576</c:v>
                </c:pt>
                <c:pt idx="62">
                  <c:v>0.31292084933509551</c:v>
                </c:pt>
                <c:pt idx="63">
                  <c:v>0.31291249421166728</c:v>
                </c:pt>
                <c:pt idx="64">
                  <c:v>0.31293894324202187</c:v>
                </c:pt>
                <c:pt idx="65">
                  <c:v>0.31292986882021345</c:v>
                </c:pt>
                <c:pt idx="66">
                  <c:v>0.31288917380532832</c:v>
                </c:pt>
                <c:pt idx="67">
                  <c:v>0.31284580183270544</c:v>
                </c:pt>
                <c:pt idx="68">
                  <c:v>0.3129643650176504</c:v>
                </c:pt>
                <c:pt idx="69">
                  <c:v>0.313824481404614</c:v>
                </c:pt>
                <c:pt idx="70">
                  <c:v>0.31468309587546878</c:v>
                </c:pt>
                <c:pt idx="71">
                  <c:v>0.31526353892039449</c:v>
                </c:pt>
                <c:pt idx="72">
                  <c:v>0.31578167506516824</c:v>
                </c:pt>
                <c:pt idx="73">
                  <c:v>0.31683547031228904</c:v>
                </c:pt>
                <c:pt idx="74">
                  <c:v>0.31867218487932208</c:v>
                </c:pt>
                <c:pt idx="75">
                  <c:v>0.32100951158332081</c:v>
                </c:pt>
                <c:pt idx="76">
                  <c:v>0.32315206763805676</c:v>
                </c:pt>
                <c:pt idx="77">
                  <c:v>0.32535573763385278</c:v>
                </c:pt>
                <c:pt idx="78">
                  <c:v>0.32714275567492085</c:v>
                </c:pt>
                <c:pt idx="79">
                  <c:v>0.32848489852111101</c:v>
                </c:pt>
                <c:pt idx="80">
                  <c:v>0.33018086361355881</c:v>
                </c:pt>
                <c:pt idx="81">
                  <c:v>0.33164594961087679</c:v>
                </c:pt>
                <c:pt idx="82">
                  <c:v>0.33313250132127664</c:v>
                </c:pt>
                <c:pt idx="83">
                  <c:v>0.33423363958799396</c:v>
                </c:pt>
                <c:pt idx="84">
                  <c:v>0.335391970194439</c:v>
                </c:pt>
                <c:pt idx="85">
                  <c:v>0.33645814502691418</c:v>
                </c:pt>
                <c:pt idx="86">
                  <c:v>0.33753860666437296</c:v>
                </c:pt>
                <c:pt idx="87">
                  <c:v>0.33844767566879774</c:v>
                </c:pt>
                <c:pt idx="88">
                  <c:v>0.33915845726101379</c:v>
                </c:pt>
                <c:pt idx="89">
                  <c:v>0.33981554388457103</c:v>
                </c:pt>
                <c:pt idx="90">
                  <c:v>0.34032740236308939</c:v>
                </c:pt>
                <c:pt idx="91">
                  <c:v>0.34089811281890742</c:v>
                </c:pt>
                <c:pt idx="92">
                  <c:v>0.34171117110457461</c:v>
                </c:pt>
                <c:pt idx="93">
                  <c:v>0.34251982245309159</c:v>
                </c:pt>
                <c:pt idx="94">
                  <c:v>0.34316665279305097</c:v>
                </c:pt>
                <c:pt idx="95">
                  <c:v>0.34388893703419998</c:v>
                </c:pt>
                <c:pt idx="96">
                  <c:v>0.34453811983725757</c:v>
                </c:pt>
                <c:pt idx="97">
                  <c:v>0.3451400472361052</c:v>
                </c:pt>
                <c:pt idx="98">
                  <c:v>0.3455154546727594</c:v>
                </c:pt>
                <c:pt idx="99">
                  <c:v>0.34560593174755116</c:v>
                </c:pt>
                <c:pt idx="100">
                  <c:v>0.34567891127474115</c:v>
                </c:pt>
                <c:pt idx="101">
                  <c:v>0.34576419790196139</c:v>
                </c:pt>
                <c:pt idx="102">
                  <c:v>0.34586700429386719</c:v>
                </c:pt>
                <c:pt idx="103">
                  <c:v>0.34599902987109882</c:v>
                </c:pt>
                <c:pt idx="104">
                  <c:v>0.3461746742557944</c:v>
                </c:pt>
                <c:pt idx="105">
                  <c:v>0.3464857992665894</c:v>
                </c:pt>
                <c:pt idx="106">
                  <c:v>0.346789215525101</c:v>
                </c:pt>
                <c:pt idx="107">
                  <c:v>0.34715865039141219</c:v>
                </c:pt>
                <c:pt idx="108">
                  <c:v>0.34748279236750501</c:v>
                </c:pt>
                <c:pt idx="109">
                  <c:v>0.34786128027344465</c:v>
                </c:pt>
                <c:pt idx="110">
                  <c:v>0.34836468408972682</c:v>
                </c:pt>
                <c:pt idx="111">
                  <c:v>0.34873211371366181</c:v>
                </c:pt>
                <c:pt idx="112">
                  <c:v>0.34902931503913898</c:v>
                </c:pt>
                <c:pt idx="113">
                  <c:v>0.3493108716600502</c:v>
                </c:pt>
                <c:pt idx="114">
                  <c:v>0.34962738968323159</c:v>
                </c:pt>
                <c:pt idx="115">
                  <c:v>0.35010582017227904</c:v>
                </c:pt>
                <c:pt idx="116">
                  <c:v>0.35057076848864038</c:v>
                </c:pt>
                <c:pt idx="117">
                  <c:v>0.35103427697957962</c:v>
                </c:pt>
                <c:pt idx="118">
                  <c:v>0.35166458274582602</c:v>
                </c:pt>
                <c:pt idx="119">
                  <c:v>0.35270857089592117</c:v>
                </c:pt>
                <c:pt idx="120">
                  <c:v>0.35377642792723041</c:v>
                </c:pt>
                <c:pt idx="121">
                  <c:v>0.35509798171375201</c:v>
                </c:pt>
                <c:pt idx="122">
                  <c:v>0.35621983827516679</c:v>
                </c:pt>
                <c:pt idx="123">
                  <c:v>0.35682341238788479</c:v>
                </c:pt>
                <c:pt idx="124">
                  <c:v>0.35748854590778623</c:v>
                </c:pt>
                <c:pt idx="125">
                  <c:v>0.3583511445404528</c:v>
                </c:pt>
                <c:pt idx="126">
                  <c:v>0.358946096618808</c:v>
                </c:pt>
                <c:pt idx="127">
                  <c:v>0.35949362751728964</c:v>
                </c:pt>
                <c:pt idx="128">
                  <c:v>0.36002197277135339</c:v>
                </c:pt>
                <c:pt idx="129">
                  <c:v>0.3604389497547314</c:v>
                </c:pt>
                <c:pt idx="130">
                  <c:v>0.36032545522550102</c:v>
                </c:pt>
                <c:pt idx="131">
                  <c:v>0.35989049194401856</c:v>
                </c:pt>
                <c:pt idx="132">
                  <c:v>0.35952999119597262</c:v>
                </c:pt>
                <c:pt idx="133">
                  <c:v>0.35915721912990939</c:v>
                </c:pt>
                <c:pt idx="134">
                  <c:v>0.35870323053682296</c:v>
                </c:pt>
                <c:pt idx="135">
                  <c:v>0.35801602150406037</c:v>
                </c:pt>
                <c:pt idx="136">
                  <c:v>0.35742476339730439</c:v>
                </c:pt>
                <c:pt idx="137">
                  <c:v>0.3566495895587608</c:v>
                </c:pt>
                <c:pt idx="138">
                  <c:v>0.35580450072596781</c:v>
                </c:pt>
                <c:pt idx="139">
                  <c:v>0.35512521931057162</c:v>
                </c:pt>
                <c:pt idx="140">
                  <c:v>0.354514567763139</c:v>
                </c:pt>
                <c:pt idx="141">
                  <c:v>0.35395687771990242</c:v>
                </c:pt>
                <c:pt idx="142">
                  <c:v>0.35331111570581863</c:v>
                </c:pt>
                <c:pt idx="143">
                  <c:v>0.35211784252112416</c:v>
                </c:pt>
                <c:pt idx="144">
                  <c:v>0.35219316611449419</c:v>
                </c:pt>
                <c:pt idx="145">
                  <c:v>0.35231360673098</c:v>
                </c:pt>
                <c:pt idx="146">
                  <c:v>0.35227018548228284</c:v>
                </c:pt>
                <c:pt idx="147">
                  <c:v>0.35222183015880776</c:v>
                </c:pt>
                <c:pt idx="148">
                  <c:v>0.35229199630097441</c:v>
                </c:pt>
                <c:pt idx="149">
                  <c:v>0.35219685452625199</c:v>
                </c:pt>
                <c:pt idx="150">
                  <c:v>0.35193057458767241</c:v>
                </c:pt>
                <c:pt idx="151">
                  <c:v>0.35181380774223103</c:v>
                </c:pt>
                <c:pt idx="152">
                  <c:v>0.35154254831384896</c:v>
                </c:pt>
                <c:pt idx="153">
                  <c:v>0.35128943285172021</c:v>
                </c:pt>
                <c:pt idx="154">
                  <c:v>0.35116073789299296</c:v>
                </c:pt>
                <c:pt idx="155">
                  <c:v>0.35085028350570197</c:v>
                </c:pt>
                <c:pt idx="156">
                  <c:v>0.35060087069593343</c:v>
                </c:pt>
                <c:pt idx="157">
                  <c:v>0.35021957011498545</c:v>
                </c:pt>
                <c:pt idx="158">
                  <c:v>0.35016811739845255</c:v>
                </c:pt>
                <c:pt idx="159">
                  <c:v>0.35001799148110879</c:v>
                </c:pt>
                <c:pt idx="160">
                  <c:v>0.35001967019514402</c:v>
                </c:pt>
                <c:pt idx="161">
                  <c:v>0.34999855483130238</c:v>
                </c:pt>
                <c:pt idx="162">
                  <c:v>0.34999238317120385</c:v>
                </c:pt>
                <c:pt idx="163">
                  <c:v>0.34997927665572942</c:v>
                </c:pt>
                <c:pt idx="164">
                  <c:v>0.35005946766237778</c:v>
                </c:pt>
                <c:pt idx="165">
                  <c:v>0.35009869561551782</c:v>
                </c:pt>
                <c:pt idx="166">
                  <c:v>0.35031105058553524</c:v>
                </c:pt>
                <c:pt idx="167">
                  <c:v>0.35037829354724243</c:v>
                </c:pt>
                <c:pt idx="168">
                  <c:v>0.35025902817800258</c:v>
                </c:pt>
                <c:pt idx="169">
                  <c:v>0.35021039386370079</c:v>
                </c:pt>
                <c:pt idx="170">
                  <c:v>0.35008134104929539</c:v>
                </c:pt>
                <c:pt idx="171">
                  <c:v>0.34994791224254579</c:v>
                </c:pt>
                <c:pt idx="172">
                  <c:v>0.34985139852744623</c:v>
                </c:pt>
                <c:pt idx="173">
                  <c:v>0.34989689205403762</c:v>
                </c:pt>
                <c:pt idx="174">
                  <c:v>0.34996737211670859</c:v>
                </c:pt>
                <c:pt idx="175">
                  <c:v>0.34996613627681961</c:v>
                </c:pt>
                <c:pt idx="176">
                  <c:v>0.349978373284766</c:v>
                </c:pt>
                <c:pt idx="177">
                  <c:v>0.35002852029700476</c:v>
                </c:pt>
                <c:pt idx="178">
                  <c:v>0.35013126587313897</c:v>
                </c:pt>
                <c:pt idx="179">
                  <c:v>0.35038932271277023</c:v>
                </c:pt>
                <c:pt idx="180">
                  <c:v>0.35059645880872276</c:v>
                </c:pt>
                <c:pt idx="181">
                  <c:v>0.35077755779568159</c:v>
                </c:pt>
                <c:pt idx="182">
                  <c:v>0.35097479816573501</c:v>
                </c:pt>
                <c:pt idx="183">
                  <c:v>0.35115924230379719</c:v>
                </c:pt>
                <c:pt idx="184">
                  <c:v>0.35122355595494598</c:v>
                </c:pt>
                <c:pt idx="185">
                  <c:v>0.35128113585968518</c:v>
                </c:pt>
                <c:pt idx="186">
                  <c:v>0.35116056766124643</c:v>
                </c:pt>
                <c:pt idx="187">
                  <c:v>0.35114521260728077</c:v>
                </c:pt>
                <c:pt idx="188">
                  <c:v>0.35098270917721358</c:v>
                </c:pt>
                <c:pt idx="189">
                  <c:v>0.35078154036871201</c:v>
                </c:pt>
                <c:pt idx="190">
                  <c:v>0.35059920227112723</c:v>
                </c:pt>
                <c:pt idx="191">
                  <c:v>0.3504272980913602</c:v>
                </c:pt>
                <c:pt idx="192">
                  <c:v>0.34996945690368497</c:v>
                </c:pt>
                <c:pt idx="193">
                  <c:v>0.34941632125292421</c:v>
                </c:pt>
                <c:pt idx="194">
                  <c:v>0.34851133080692143</c:v>
                </c:pt>
                <c:pt idx="195">
                  <c:v>0.34737945695152123</c:v>
                </c:pt>
                <c:pt idx="196">
                  <c:v>0.34716418211857081</c:v>
                </c:pt>
                <c:pt idx="197">
                  <c:v>0.34701184771021276</c:v>
                </c:pt>
                <c:pt idx="198">
                  <c:v>0.34722910830427101</c:v>
                </c:pt>
                <c:pt idx="199">
                  <c:v>0.34751999063579542</c:v>
                </c:pt>
                <c:pt idx="200">
                  <c:v>0.34746903358146902</c:v>
                </c:pt>
                <c:pt idx="201">
                  <c:v>0.34807614532086356</c:v>
                </c:pt>
                <c:pt idx="202">
                  <c:v>0.34868069382605898</c:v>
                </c:pt>
                <c:pt idx="203">
                  <c:v>0.3495888883199712</c:v>
                </c:pt>
                <c:pt idx="204">
                  <c:v>0.35041892718030682</c:v>
                </c:pt>
                <c:pt idx="205">
                  <c:v>0.35194095611716597</c:v>
                </c:pt>
                <c:pt idx="206">
                  <c:v>0.35303761855087701</c:v>
                </c:pt>
                <c:pt idx="207">
                  <c:v>0.3541074116782344</c:v>
                </c:pt>
                <c:pt idx="208">
                  <c:v>0.35486565292214656</c:v>
                </c:pt>
                <c:pt idx="209">
                  <c:v>0.35575078223465062</c:v>
                </c:pt>
                <c:pt idx="210">
                  <c:v>0.35667425209869119</c:v>
                </c:pt>
                <c:pt idx="211">
                  <c:v>0.35720765820749517</c:v>
                </c:pt>
                <c:pt idx="212">
                  <c:v>0.35782723322344134</c:v>
                </c:pt>
                <c:pt idx="213">
                  <c:v>0.35832992909013323</c:v>
                </c:pt>
                <c:pt idx="214">
                  <c:v>0.35883944632690762</c:v>
                </c:pt>
                <c:pt idx="215">
                  <c:v>0.35944537764190021</c:v>
                </c:pt>
                <c:pt idx="216">
                  <c:v>0.35969340741647515</c:v>
                </c:pt>
                <c:pt idx="217">
                  <c:v>0.35980669452785563</c:v>
                </c:pt>
                <c:pt idx="218">
                  <c:v>0.36022786244434063</c:v>
                </c:pt>
                <c:pt idx="219">
                  <c:v>0.36102908902662156</c:v>
                </c:pt>
                <c:pt idx="220">
                  <c:v>0.36222299732188717</c:v>
                </c:pt>
                <c:pt idx="221">
                  <c:v>0.3633334629546196</c:v>
                </c:pt>
                <c:pt idx="222">
                  <c:v>0.36454519771083699</c:v>
                </c:pt>
                <c:pt idx="223">
                  <c:v>0.36642917512010842</c:v>
                </c:pt>
                <c:pt idx="224">
                  <c:v>0.36823640411113523</c:v>
                </c:pt>
                <c:pt idx="225">
                  <c:v>0.36987094466727521</c:v>
                </c:pt>
                <c:pt idx="226">
                  <c:v>0.3709544020682628</c:v>
                </c:pt>
                <c:pt idx="227">
                  <c:v>0.3721595182260754</c:v>
                </c:pt>
                <c:pt idx="228">
                  <c:v>0.37341183215201895</c:v>
                </c:pt>
                <c:pt idx="229">
                  <c:v>0.37429194982209962</c:v>
                </c:pt>
                <c:pt idx="230">
                  <c:v>0.37508053799702662</c:v>
                </c:pt>
                <c:pt idx="231">
                  <c:v>0.3757809800422936</c:v>
                </c:pt>
                <c:pt idx="232">
                  <c:v>0.37623687140936057</c:v>
                </c:pt>
                <c:pt idx="233">
                  <c:v>0.37649461003660001</c:v>
                </c:pt>
                <c:pt idx="234">
                  <c:v>0.37668561912140502</c:v>
                </c:pt>
                <c:pt idx="235">
                  <c:v>0.37690163439149077</c:v>
                </c:pt>
                <c:pt idx="236">
                  <c:v>0.37709744062031919</c:v>
                </c:pt>
                <c:pt idx="237">
                  <c:v>0.3771737335321616</c:v>
                </c:pt>
                <c:pt idx="238">
                  <c:v>0.37720511996733619</c:v>
                </c:pt>
                <c:pt idx="239">
                  <c:v>0.37731417998625338</c:v>
                </c:pt>
                <c:pt idx="240">
                  <c:v>0.3774662565579362</c:v>
                </c:pt>
                <c:pt idx="241">
                  <c:v>0.37763687154538345</c:v>
                </c:pt>
                <c:pt idx="242">
                  <c:v>0.37779887333612944</c:v>
                </c:pt>
                <c:pt idx="243">
                  <c:v>0.37801392291585501</c:v>
                </c:pt>
                <c:pt idx="244">
                  <c:v>0.37814928347376958</c:v>
                </c:pt>
                <c:pt idx="245">
                  <c:v>0.37833191146072981</c:v>
                </c:pt>
                <c:pt idx="246">
                  <c:v>0.37852634678323505</c:v>
                </c:pt>
                <c:pt idx="247">
                  <c:v>0.37881119535626262</c:v>
                </c:pt>
                <c:pt idx="248">
                  <c:v>0.37865220052753523</c:v>
                </c:pt>
                <c:pt idx="249">
                  <c:v>0.37846356829455741</c:v>
                </c:pt>
                <c:pt idx="250">
                  <c:v>0.37832035357116717</c:v>
                </c:pt>
                <c:pt idx="251">
                  <c:v>0.37818971704152582</c:v>
                </c:pt>
                <c:pt idx="252">
                  <c:v>0.37799134814951701</c:v>
                </c:pt>
                <c:pt idx="253">
                  <c:v>0.37771921774998501</c:v>
                </c:pt>
                <c:pt idx="254">
                  <c:v>0.37723749891335018</c:v>
                </c:pt>
                <c:pt idx="255">
                  <c:v>0.3767369601540414</c:v>
                </c:pt>
                <c:pt idx="256">
                  <c:v>0.3762106112415422</c:v>
                </c:pt>
                <c:pt idx="257">
                  <c:v>0.37555099517063678</c:v>
                </c:pt>
                <c:pt idx="258">
                  <c:v>0.37484104030859638</c:v>
                </c:pt>
                <c:pt idx="259">
                  <c:v>0.37417401121292859</c:v>
                </c:pt>
                <c:pt idx="260">
                  <c:v>0.37326897661026781</c:v>
                </c:pt>
                <c:pt idx="261">
                  <c:v>0.37295151831752638</c:v>
                </c:pt>
                <c:pt idx="262">
                  <c:v>0.37217006371979861</c:v>
                </c:pt>
                <c:pt idx="263">
                  <c:v>0.37178310764524319</c:v>
                </c:pt>
                <c:pt idx="264">
                  <c:v>0.37157293813048936</c:v>
                </c:pt>
                <c:pt idx="265">
                  <c:v>0.370701914878178</c:v>
                </c:pt>
                <c:pt idx="266">
                  <c:v>0.36948403435456723</c:v>
                </c:pt>
                <c:pt idx="267">
                  <c:v>0.3692751878551534</c:v>
                </c:pt>
                <c:pt idx="268">
                  <c:v>0.36922420574070164</c:v>
                </c:pt>
                <c:pt idx="269">
                  <c:v>0.36924276929444644</c:v>
                </c:pt>
                <c:pt idx="270">
                  <c:v>0.3692150824945396</c:v>
                </c:pt>
                <c:pt idx="271">
                  <c:v>0.36919953329942801</c:v>
                </c:pt>
                <c:pt idx="272">
                  <c:v>0.36913340879909079</c:v>
                </c:pt>
                <c:pt idx="273">
                  <c:v>0.36928535350830799</c:v>
                </c:pt>
                <c:pt idx="274">
                  <c:v>0.36934474841255382</c:v>
                </c:pt>
                <c:pt idx="275">
                  <c:v>0.36937048685853202</c:v>
                </c:pt>
                <c:pt idx="276">
                  <c:v>0.3692517121589336</c:v>
                </c:pt>
                <c:pt idx="277">
                  <c:v>0.36929371721038839</c:v>
                </c:pt>
                <c:pt idx="278">
                  <c:v>0.36878318444435421</c:v>
                </c:pt>
                <c:pt idx="279">
                  <c:v>0.36841806660133064</c:v>
                </c:pt>
                <c:pt idx="280">
                  <c:v>0.36804628532479444</c:v>
                </c:pt>
                <c:pt idx="281">
                  <c:v>0.36819453666611279</c:v>
                </c:pt>
                <c:pt idx="282">
                  <c:v>0.36830638176046659</c:v>
                </c:pt>
                <c:pt idx="283">
                  <c:v>0.36856665601797617</c:v>
                </c:pt>
                <c:pt idx="284">
                  <c:v>0.36880467020572538</c:v>
                </c:pt>
                <c:pt idx="285">
                  <c:v>0.36882997250194038</c:v>
                </c:pt>
                <c:pt idx="286">
                  <c:v>0.36889068006935882</c:v>
                </c:pt>
                <c:pt idx="287">
                  <c:v>0.36892026988646043</c:v>
                </c:pt>
                <c:pt idx="288">
                  <c:v>0.36878381208253042</c:v>
                </c:pt>
                <c:pt idx="289">
                  <c:v>0.36867131800717001</c:v>
                </c:pt>
                <c:pt idx="290">
                  <c:v>0.36839889927397962</c:v>
                </c:pt>
                <c:pt idx="291">
                  <c:v>0.36829370077431622</c:v>
                </c:pt>
                <c:pt idx="292">
                  <c:v>0.36826847315362338</c:v>
                </c:pt>
                <c:pt idx="293">
                  <c:v>0.3680557848645114</c:v>
                </c:pt>
                <c:pt idx="294">
                  <c:v>0.36768000707045262</c:v>
                </c:pt>
                <c:pt idx="295">
                  <c:v>0.36682954036841497</c:v>
                </c:pt>
                <c:pt idx="296">
                  <c:v>0.36605976401955542</c:v>
                </c:pt>
                <c:pt idx="297">
                  <c:v>0.36506718176257541</c:v>
                </c:pt>
                <c:pt idx="298">
                  <c:v>0.36327028108837156</c:v>
                </c:pt>
                <c:pt idx="299">
                  <c:v>0.36128808360121639</c:v>
                </c:pt>
                <c:pt idx="300">
                  <c:v>0.35928891445342781</c:v>
                </c:pt>
                <c:pt idx="301">
                  <c:v>0.35774470948913778</c:v>
                </c:pt>
                <c:pt idx="302">
                  <c:v>0.35594198929172638</c:v>
                </c:pt>
                <c:pt idx="303">
                  <c:v>0.35395476120443758</c:v>
                </c:pt>
                <c:pt idx="304">
                  <c:v>0.35240480123540358</c:v>
                </c:pt>
                <c:pt idx="305">
                  <c:v>0.35089683006258543</c:v>
                </c:pt>
                <c:pt idx="306">
                  <c:v>0.349417446286101</c:v>
                </c:pt>
                <c:pt idx="307">
                  <c:v>0.34833736832653639</c:v>
                </c:pt>
                <c:pt idx="308">
                  <c:v>0.3475069320349668</c:v>
                </c:pt>
                <c:pt idx="309">
                  <c:v>0.34684634224948879</c:v>
                </c:pt>
                <c:pt idx="310">
                  <c:v>0.34619204335636622</c:v>
                </c:pt>
                <c:pt idx="311">
                  <c:v>0.34588527087300519</c:v>
                </c:pt>
                <c:pt idx="312">
                  <c:v>0.34585873689681756</c:v>
                </c:pt>
                <c:pt idx="313">
                  <c:v>0.34595596576170162</c:v>
                </c:pt>
                <c:pt idx="314">
                  <c:v>0.34584469189138539</c:v>
                </c:pt>
                <c:pt idx="315">
                  <c:v>0.3454617779408814</c:v>
                </c:pt>
                <c:pt idx="316">
                  <c:v>0.34469941868061166</c:v>
                </c:pt>
                <c:pt idx="317">
                  <c:v>0.34392867275446937</c:v>
                </c:pt>
                <c:pt idx="318">
                  <c:v>0.34313027085747011</c:v>
                </c:pt>
                <c:pt idx="319">
                  <c:v>0.34226561905771302</c:v>
                </c:pt>
                <c:pt idx="320">
                  <c:v>0.34112679801218115</c:v>
                </c:pt>
                <c:pt idx="321">
                  <c:v>0.34003675715319626</c:v>
                </c:pt>
                <c:pt idx="322">
                  <c:v>0.338393047848836</c:v>
                </c:pt>
                <c:pt idx="323">
                  <c:v>0.33843599850926864</c:v>
                </c:pt>
                <c:pt idx="324">
                  <c:v>0.33839586876484867</c:v>
                </c:pt>
                <c:pt idx="325">
                  <c:v>0.33850798412608379</c:v>
                </c:pt>
                <c:pt idx="326">
                  <c:v>0.33849647312411818</c:v>
                </c:pt>
                <c:pt idx="327">
                  <c:v>0.33834199039979629</c:v>
                </c:pt>
                <c:pt idx="328">
                  <c:v>0.33847969609912676</c:v>
                </c:pt>
                <c:pt idx="329">
                  <c:v>0.33845168050629415</c:v>
                </c:pt>
                <c:pt idx="330">
                  <c:v>0.33849956940584219</c:v>
                </c:pt>
                <c:pt idx="331">
                  <c:v>0.33825844654721365</c:v>
                </c:pt>
                <c:pt idx="332">
                  <c:v>0.33786411206857003</c:v>
                </c:pt>
                <c:pt idx="333">
                  <c:v>0.33762836856547057</c:v>
                </c:pt>
                <c:pt idx="334">
                  <c:v>0.33730708758665079</c:v>
                </c:pt>
                <c:pt idx="335">
                  <c:v>0.336758914005581</c:v>
                </c:pt>
                <c:pt idx="336">
                  <c:v>0.33638899473928574</c:v>
                </c:pt>
                <c:pt idx="337">
                  <c:v>0.33593735280686915</c:v>
                </c:pt>
                <c:pt idx="338">
                  <c:v>0.33560233422767483</c:v>
                </c:pt>
                <c:pt idx="339">
                  <c:v>0.33548176187163381</c:v>
                </c:pt>
                <c:pt idx="340">
                  <c:v>0.33529217974880726</c:v>
                </c:pt>
                <c:pt idx="341">
                  <c:v>0.3351160016154065</c:v>
                </c:pt>
                <c:pt idx="342">
                  <c:v>0.33496908977723644</c:v>
                </c:pt>
                <c:pt idx="343">
                  <c:v>0.3348812643053799</c:v>
                </c:pt>
                <c:pt idx="344">
                  <c:v>0.33471551603190536</c:v>
                </c:pt>
                <c:pt idx="345">
                  <c:v>0.33486805801277264</c:v>
                </c:pt>
                <c:pt idx="346">
                  <c:v>0.33489146503162637</c:v>
                </c:pt>
                <c:pt idx="347">
                  <c:v>0.3346298551734167</c:v>
                </c:pt>
                <c:pt idx="348">
                  <c:v>0.33461179736971208</c:v>
                </c:pt>
                <c:pt idx="349">
                  <c:v>0.33460638904946766</c:v>
                </c:pt>
                <c:pt idx="350">
                  <c:v>0.33474054351594901</c:v>
                </c:pt>
                <c:pt idx="351">
                  <c:v>0.3347478988312938</c:v>
                </c:pt>
                <c:pt idx="352">
                  <c:v>0.33520633717043824</c:v>
                </c:pt>
                <c:pt idx="353">
                  <c:v>0.33516244142932022</c:v>
                </c:pt>
                <c:pt idx="354">
                  <c:v>0.33517013936964341</c:v>
                </c:pt>
                <c:pt idx="355">
                  <c:v>0.33536794750581561</c:v>
                </c:pt>
                <c:pt idx="356">
                  <c:v>0.33576469447685398</c:v>
                </c:pt>
                <c:pt idx="357">
                  <c:v>0.33623334785059622</c:v>
                </c:pt>
                <c:pt idx="358">
                  <c:v>0.33650636992144584</c:v>
                </c:pt>
                <c:pt idx="359">
                  <c:v>0.3369164081605952</c:v>
                </c:pt>
                <c:pt idx="360">
                  <c:v>0.33737033874680983</c:v>
                </c:pt>
                <c:pt idx="361">
                  <c:v>0.33772044319595956</c:v>
                </c:pt>
                <c:pt idx="362">
                  <c:v>0.33832367145393138</c:v>
                </c:pt>
                <c:pt idx="363">
                  <c:v>0.33879281472933459</c:v>
                </c:pt>
                <c:pt idx="364">
                  <c:v>0.3390895782984516</c:v>
                </c:pt>
                <c:pt idx="365">
                  <c:v>0.33936813008304983</c:v>
                </c:pt>
                <c:pt idx="366">
                  <c:v>0.3396699247646322</c:v>
                </c:pt>
                <c:pt idx="367">
                  <c:v>0.34006918949220083</c:v>
                </c:pt>
                <c:pt idx="368">
                  <c:v>0.34022199624292859</c:v>
                </c:pt>
                <c:pt idx="369">
                  <c:v>0.34064011662980004</c:v>
                </c:pt>
                <c:pt idx="370">
                  <c:v>0.34087302317730761</c:v>
                </c:pt>
                <c:pt idx="371">
                  <c:v>0.34099869761495261</c:v>
                </c:pt>
                <c:pt idx="372">
                  <c:v>0.34101918459485642</c:v>
                </c:pt>
                <c:pt idx="373">
                  <c:v>0.340875357692212</c:v>
                </c:pt>
                <c:pt idx="374">
                  <c:v>0.34056023447084321</c:v>
                </c:pt>
                <c:pt idx="375">
                  <c:v>0.34027562329009281</c:v>
                </c:pt>
                <c:pt idx="376">
                  <c:v>0.34003161713661423</c:v>
                </c:pt>
                <c:pt idx="377">
                  <c:v>0.33978347772352702</c:v>
                </c:pt>
                <c:pt idx="378">
                  <c:v>0.33937913750132981</c:v>
                </c:pt>
                <c:pt idx="379">
                  <c:v>0.33903037036262224</c:v>
                </c:pt>
                <c:pt idx="380">
                  <c:v>0.33884896696355243</c:v>
                </c:pt>
                <c:pt idx="381">
                  <c:v>0.33851063440177381</c:v>
                </c:pt>
                <c:pt idx="382">
                  <c:v>0.33808549502097585</c:v>
                </c:pt>
                <c:pt idx="383">
                  <c:v>0.33777000753370323</c:v>
                </c:pt>
                <c:pt idx="384">
                  <c:v>0.3376309864401108</c:v>
                </c:pt>
                <c:pt idx="385">
                  <c:v>0.33659512400911262</c:v>
                </c:pt>
                <c:pt idx="386">
                  <c:v>0.33509866923738402</c:v>
                </c:pt>
                <c:pt idx="387">
                  <c:v>0.33365450378116895</c:v>
                </c:pt>
                <c:pt idx="388">
                  <c:v>0.332463236188907</c:v>
                </c:pt>
                <c:pt idx="389">
                  <c:v>0.33117863772806821</c:v>
                </c:pt>
                <c:pt idx="390">
                  <c:v>0.33032421141781443</c:v>
                </c:pt>
                <c:pt idx="391">
                  <c:v>0.32967061465390102</c:v>
                </c:pt>
                <c:pt idx="392">
                  <c:v>0.3291872300460818</c:v>
                </c:pt>
                <c:pt idx="393">
                  <c:v>0.3292552481621564</c:v>
                </c:pt>
                <c:pt idx="394">
                  <c:v>0.3292707692912834</c:v>
                </c:pt>
                <c:pt idx="395">
                  <c:v>0.32904270449291378</c:v>
                </c:pt>
                <c:pt idx="396">
                  <c:v>0.32902814384207063</c:v>
                </c:pt>
                <c:pt idx="397">
                  <c:v>0.32890039222561418</c:v>
                </c:pt>
                <c:pt idx="398">
                  <c:v>0.32854661035355237</c:v>
                </c:pt>
                <c:pt idx="399">
                  <c:v>0.32855448403163678</c:v>
                </c:pt>
                <c:pt idx="400">
                  <c:v>0.32888635477369321</c:v>
                </c:pt>
                <c:pt idx="401">
                  <c:v>0.32936022097804241</c:v>
                </c:pt>
                <c:pt idx="402">
                  <c:v>0.32965411770750358</c:v>
                </c:pt>
                <c:pt idx="403">
                  <c:v>0.32997662541880601</c:v>
                </c:pt>
                <c:pt idx="404">
                  <c:v>0.3303015009215774</c:v>
                </c:pt>
                <c:pt idx="405">
                  <c:v>0.33079470202961681</c:v>
                </c:pt>
                <c:pt idx="406">
                  <c:v>0.3311230138793112</c:v>
                </c:pt>
                <c:pt idx="407">
                  <c:v>0.33152318483411203</c:v>
                </c:pt>
                <c:pt idx="408">
                  <c:v>0.3320608016930604</c:v>
                </c:pt>
                <c:pt idx="409">
                  <c:v>0.33285433647549778</c:v>
                </c:pt>
                <c:pt idx="410">
                  <c:v>0.33358916783168302</c:v>
                </c:pt>
                <c:pt idx="411">
                  <c:v>0.33438564326599057</c:v>
                </c:pt>
                <c:pt idx="412">
                  <c:v>0.33512198145620459</c:v>
                </c:pt>
                <c:pt idx="413">
                  <c:v>0.33588852245802059</c:v>
                </c:pt>
                <c:pt idx="414">
                  <c:v>0.3366899322097634</c:v>
                </c:pt>
                <c:pt idx="415">
                  <c:v>0.33741348421234163</c:v>
                </c:pt>
                <c:pt idx="416">
                  <c:v>0.33810946380986462</c:v>
                </c:pt>
                <c:pt idx="417">
                  <c:v>0.33902520268524761</c:v>
                </c:pt>
                <c:pt idx="418">
                  <c:v>0.34026648562374462</c:v>
                </c:pt>
                <c:pt idx="419">
                  <c:v>0.34101764330779138</c:v>
                </c:pt>
                <c:pt idx="420">
                  <c:v>0.3421483441777422</c:v>
                </c:pt>
                <c:pt idx="421">
                  <c:v>0.34339261895217754</c:v>
                </c:pt>
                <c:pt idx="422">
                  <c:v>0.34447577533368778</c:v>
                </c:pt>
                <c:pt idx="423">
                  <c:v>0.34551963554811382</c:v>
                </c:pt>
                <c:pt idx="424">
                  <c:v>0.34661896725781843</c:v>
                </c:pt>
                <c:pt idx="425">
                  <c:v>0.34765476059230721</c:v>
                </c:pt>
                <c:pt idx="426">
                  <c:v>0.34856979772507363</c:v>
                </c:pt>
                <c:pt idx="427">
                  <c:v>0.3496620747289384</c:v>
                </c:pt>
                <c:pt idx="428">
                  <c:v>0.35078488746175701</c:v>
                </c:pt>
                <c:pt idx="429">
                  <c:v>0.35165346305121759</c:v>
                </c:pt>
                <c:pt idx="430">
                  <c:v>0.3522510143526012</c:v>
                </c:pt>
                <c:pt idx="431">
                  <c:v>0.352427548729428</c:v>
                </c:pt>
                <c:pt idx="432">
                  <c:v>0.35371166281148342</c:v>
                </c:pt>
                <c:pt idx="433">
                  <c:v>0.3551300046745352</c:v>
                </c:pt>
                <c:pt idx="434">
                  <c:v>0.35606961743902743</c:v>
                </c:pt>
                <c:pt idx="435">
                  <c:v>0.35720103210492299</c:v>
                </c:pt>
                <c:pt idx="436">
                  <c:v>0.35931762052454519</c:v>
                </c:pt>
                <c:pt idx="437">
                  <c:v>0.36096993163442276</c:v>
                </c:pt>
                <c:pt idx="438">
                  <c:v>0.36236403590521116</c:v>
                </c:pt>
                <c:pt idx="439">
                  <c:v>0.36359876579737116</c:v>
                </c:pt>
                <c:pt idx="440">
                  <c:v>0.36456524250943084</c:v>
                </c:pt>
                <c:pt idx="441">
                  <c:v>0.36574818485467137</c:v>
                </c:pt>
                <c:pt idx="442">
                  <c:v>0.36659630210903721</c:v>
                </c:pt>
                <c:pt idx="443">
                  <c:v>0.36752950172317939</c:v>
                </c:pt>
                <c:pt idx="444">
                  <c:v>0.3684401503225096</c:v>
                </c:pt>
                <c:pt idx="445">
                  <c:v>0.36885666919613996</c:v>
                </c:pt>
                <c:pt idx="446">
                  <c:v>0.36925672990303998</c:v>
                </c:pt>
                <c:pt idx="447">
                  <c:v>0.36944305028126262</c:v>
                </c:pt>
                <c:pt idx="448">
                  <c:v>0.37037220081392019</c:v>
                </c:pt>
                <c:pt idx="449">
                  <c:v>0.37154652328169718</c:v>
                </c:pt>
                <c:pt idx="450">
                  <c:v>0.37274036264612298</c:v>
                </c:pt>
                <c:pt idx="451">
                  <c:v>0.37404588294428182</c:v>
                </c:pt>
                <c:pt idx="452">
                  <c:v>0.37542134254808318</c:v>
                </c:pt>
                <c:pt idx="453">
                  <c:v>0.37637065437062461</c:v>
                </c:pt>
                <c:pt idx="454">
                  <c:v>0.37710191613628019</c:v>
                </c:pt>
                <c:pt idx="455">
                  <c:v>0.37786419325748</c:v>
                </c:pt>
                <c:pt idx="456">
                  <c:v>0.37847333563693075</c:v>
                </c:pt>
                <c:pt idx="457">
                  <c:v>0.37908550343987141</c:v>
                </c:pt>
                <c:pt idx="458">
                  <c:v>0.37964099444037563</c:v>
                </c:pt>
                <c:pt idx="459">
                  <c:v>0.38016707162390201</c:v>
                </c:pt>
                <c:pt idx="460">
                  <c:v>0.3802725873307316</c:v>
                </c:pt>
                <c:pt idx="461">
                  <c:v>0.3804813337915664</c:v>
                </c:pt>
                <c:pt idx="462">
                  <c:v>0.38068088515155463</c:v>
                </c:pt>
                <c:pt idx="463">
                  <c:v>0.3808766642660264</c:v>
                </c:pt>
                <c:pt idx="464">
                  <c:v>0.38110599560299196</c:v>
                </c:pt>
                <c:pt idx="465">
                  <c:v>0.38149922329150499</c:v>
                </c:pt>
                <c:pt idx="466">
                  <c:v>0.38172616630539058</c:v>
                </c:pt>
                <c:pt idx="467">
                  <c:v>0.38170777728165917</c:v>
                </c:pt>
                <c:pt idx="468">
                  <c:v>0.38189758696984882</c:v>
                </c:pt>
                <c:pt idx="469">
                  <c:v>0.38214563863120121</c:v>
                </c:pt>
                <c:pt idx="470">
                  <c:v>0.38232274512471998</c:v>
                </c:pt>
                <c:pt idx="471">
                  <c:v>0.38272131754731398</c:v>
                </c:pt>
                <c:pt idx="472">
                  <c:v>0.38314560366671163</c:v>
                </c:pt>
                <c:pt idx="473">
                  <c:v>0.38347000469036724</c:v>
                </c:pt>
                <c:pt idx="474">
                  <c:v>0.38392486664039577</c:v>
                </c:pt>
                <c:pt idx="475">
                  <c:v>0.38413503392617582</c:v>
                </c:pt>
                <c:pt idx="476">
                  <c:v>0.38437639588929523</c:v>
                </c:pt>
                <c:pt idx="477">
                  <c:v>0.38409203853661417</c:v>
                </c:pt>
                <c:pt idx="478">
                  <c:v>0.38373112162679524</c:v>
                </c:pt>
                <c:pt idx="479">
                  <c:v>0.38342134341206441</c:v>
                </c:pt>
                <c:pt idx="480">
                  <c:v>0.38314507071384341</c:v>
                </c:pt>
                <c:pt idx="481">
                  <c:v>0.38263635727215878</c:v>
                </c:pt>
                <c:pt idx="482">
                  <c:v>0.38217166715492279</c:v>
                </c:pt>
                <c:pt idx="483">
                  <c:v>0.38173337213953479</c:v>
                </c:pt>
                <c:pt idx="484">
                  <c:v>0.38156550272062922</c:v>
                </c:pt>
                <c:pt idx="485">
                  <c:v>0.3813554433644466</c:v>
                </c:pt>
                <c:pt idx="486">
                  <c:v>0.38107882309874058</c:v>
                </c:pt>
                <c:pt idx="487">
                  <c:v>0.38072349664143956</c:v>
                </c:pt>
                <c:pt idx="488">
                  <c:v>0.38044758436963483</c:v>
                </c:pt>
                <c:pt idx="489">
                  <c:v>0.38009589553351159</c:v>
                </c:pt>
                <c:pt idx="490">
                  <c:v>0.3797901503041774</c:v>
                </c:pt>
                <c:pt idx="491">
                  <c:v>0.37956717563881681</c:v>
                </c:pt>
                <c:pt idx="492">
                  <c:v>0.37932167954164359</c:v>
                </c:pt>
                <c:pt idx="493">
                  <c:v>0.37938900755522176</c:v>
                </c:pt>
                <c:pt idx="494">
                  <c:v>0.3804610913355298</c:v>
                </c:pt>
                <c:pt idx="495">
                  <c:v>0.3811992515658908</c:v>
                </c:pt>
                <c:pt idx="496">
                  <c:v>0.38200743590286601</c:v>
                </c:pt>
                <c:pt idx="497">
                  <c:v>0.38231032650658381</c:v>
                </c:pt>
                <c:pt idx="498">
                  <c:v>0.38247431995941861</c:v>
                </c:pt>
                <c:pt idx="499">
                  <c:v>0.38359957775541698</c:v>
                </c:pt>
                <c:pt idx="500">
                  <c:v>0.38416033017690643</c:v>
                </c:pt>
                <c:pt idx="501">
                  <c:v>0.38483739490189078</c:v>
                </c:pt>
                <c:pt idx="502">
                  <c:v>0.38595647098111002</c:v>
                </c:pt>
                <c:pt idx="503">
                  <c:v>0.38696325606396698</c:v>
                </c:pt>
                <c:pt idx="504">
                  <c:v>0.38777277974755281</c:v>
                </c:pt>
                <c:pt idx="505">
                  <c:v>0.38840250344873639</c:v>
                </c:pt>
                <c:pt idx="506">
                  <c:v>0.38777697328773941</c:v>
                </c:pt>
                <c:pt idx="507">
                  <c:v>0.38856540608040641</c:v>
                </c:pt>
                <c:pt idx="508">
                  <c:v>0.3894194031900946</c:v>
                </c:pt>
                <c:pt idx="509">
                  <c:v>0.39014456478746001</c:v>
                </c:pt>
                <c:pt idx="510">
                  <c:v>0.39102231060342119</c:v>
                </c:pt>
                <c:pt idx="511">
                  <c:v>0.39247506786117276</c:v>
                </c:pt>
                <c:pt idx="512">
                  <c:v>0.39377902100264917</c:v>
                </c:pt>
                <c:pt idx="513">
                  <c:v>0.39520909989677283</c:v>
                </c:pt>
                <c:pt idx="514">
                  <c:v>0.39632377265555196</c:v>
                </c:pt>
                <c:pt idx="515">
                  <c:v>0.39724597919097415</c:v>
                </c:pt>
                <c:pt idx="516">
                  <c:v>0.39788396065557557</c:v>
                </c:pt>
                <c:pt idx="517">
                  <c:v>0.39820489960510841</c:v>
                </c:pt>
                <c:pt idx="518">
                  <c:v>0.39847694636627939</c:v>
                </c:pt>
                <c:pt idx="519">
                  <c:v>0.39889825579454424</c:v>
                </c:pt>
                <c:pt idx="520">
                  <c:v>0.399319736405851</c:v>
                </c:pt>
                <c:pt idx="521">
                  <c:v>0.39977557104584738</c:v>
                </c:pt>
                <c:pt idx="522">
                  <c:v>0.4000294930595184</c:v>
                </c:pt>
                <c:pt idx="523">
                  <c:v>0.40024806126639062</c:v>
                </c:pt>
                <c:pt idx="524">
                  <c:v>0.40040664637348838</c:v>
                </c:pt>
                <c:pt idx="525">
                  <c:v>0.40068376743064699</c:v>
                </c:pt>
                <c:pt idx="526">
                  <c:v>0.40094150501444459</c:v>
                </c:pt>
                <c:pt idx="527">
                  <c:v>0.4011284617428636</c:v>
                </c:pt>
                <c:pt idx="528">
                  <c:v>0.4015112103039522</c:v>
                </c:pt>
                <c:pt idx="529">
                  <c:v>0.4017548864452542</c:v>
                </c:pt>
                <c:pt idx="530">
                  <c:v>0.40189995769407738</c:v>
                </c:pt>
                <c:pt idx="531">
                  <c:v>0.40210997375509255</c:v>
                </c:pt>
                <c:pt idx="532">
                  <c:v>0.40246989963153762</c:v>
                </c:pt>
                <c:pt idx="533">
                  <c:v>0.402933865100152</c:v>
                </c:pt>
                <c:pt idx="534">
                  <c:v>0.40320026520602098</c:v>
                </c:pt>
                <c:pt idx="535">
                  <c:v>0.40339338467942837</c:v>
                </c:pt>
                <c:pt idx="536">
                  <c:v>0.40349211040437399</c:v>
                </c:pt>
                <c:pt idx="537">
                  <c:v>0.40346159468755</c:v>
                </c:pt>
                <c:pt idx="538">
                  <c:v>0.403408514114175</c:v>
                </c:pt>
                <c:pt idx="539">
                  <c:v>0.40343518299990122</c:v>
                </c:pt>
                <c:pt idx="540">
                  <c:v>0.40345479318821204</c:v>
                </c:pt>
                <c:pt idx="541">
                  <c:v>0.40366317476585739</c:v>
                </c:pt>
                <c:pt idx="542">
                  <c:v>0.40354262677788799</c:v>
                </c:pt>
                <c:pt idx="543">
                  <c:v>0.40356370426760135</c:v>
                </c:pt>
                <c:pt idx="544">
                  <c:v>0.40358322360321103</c:v>
                </c:pt>
                <c:pt idx="545">
                  <c:v>0.40354151591555237</c:v>
                </c:pt>
                <c:pt idx="546">
                  <c:v>0.40354332917902319</c:v>
                </c:pt>
                <c:pt idx="547">
                  <c:v>0.40352041965450419</c:v>
                </c:pt>
                <c:pt idx="548">
                  <c:v>0.40359847003050303</c:v>
                </c:pt>
                <c:pt idx="549">
                  <c:v>0.40370196570570477</c:v>
                </c:pt>
                <c:pt idx="550">
                  <c:v>0.40381534247178402</c:v>
                </c:pt>
                <c:pt idx="551">
                  <c:v>0.4038480001797512</c:v>
                </c:pt>
                <c:pt idx="552">
                  <c:v>0.40349102340896958</c:v>
                </c:pt>
                <c:pt idx="553">
                  <c:v>0.40316796344101596</c:v>
                </c:pt>
                <c:pt idx="554">
                  <c:v>0.40302356676912676</c:v>
                </c:pt>
                <c:pt idx="555">
                  <c:v>0.4027927242547108</c:v>
                </c:pt>
                <c:pt idx="556">
                  <c:v>0.4024677957257754</c:v>
                </c:pt>
                <c:pt idx="557">
                  <c:v>0.40223484154507338</c:v>
                </c:pt>
                <c:pt idx="558">
                  <c:v>0.40250894890589795</c:v>
                </c:pt>
                <c:pt idx="559">
                  <c:v>0.40258792883891115</c:v>
                </c:pt>
                <c:pt idx="560">
                  <c:v>0.402336970277061</c:v>
                </c:pt>
                <c:pt idx="561">
                  <c:v>0.40166249270328308</c:v>
                </c:pt>
                <c:pt idx="562">
                  <c:v>0.40096215856988171</c:v>
                </c:pt>
                <c:pt idx="563">
                  <c:v>0.4003484818908391</c:v>
                </c:pt>
                <c:pt idx="564">
                  <c:v>0.39967013646160232</c:v>
                </c:pt>
                <c:pt idx="565">
                  <c:v>0.39906199613392024</c:v>
                </c:pt>
                <c:pt idx="566">
                  <c:v>0.39856663736828946</c:v>
                </c:pt>
                <c:pt idx="567">
                  <c:v>0.39765772943417288</c:v>
                </c:pt>
                <c:pt idx="568">
                  <c:v>0.39719825253986685</c:v>
                </c:pt>
                <c:pt idx="569">
                  <c:v>0.39709252190397293</c:v>
                </c:pt>
                <c:pt idx="570">
                  <c:v>0.39713466645993201</c:v>
                </c:pt>
                <c:pt idx="571">
                  <c:v>0.39728089564082375</c:v>
                </c:pt>
                <c:pt idx="572">
                  <c:v>0.39737240397691903</c:v>
                </c:pt>
                <c:pt idx="573">
                  <c:v>0.39742360852937791</c:v>
                </c:pt>
                <c:pt idx="574">
                  <c:v>0.3973603977397594</c:v>
                </c:pt>
                <c:pt idx="575">
                  <c:v>0.39746495470055299</c:v>
                </c:pt>
                <c:pt idx="576">
                  <c:v>0.39743545483870757</c:v>
                </c:pt>
                <c:pt idx="577">
                  <c:v>0.39725557875358869</c:v>
                </c:pt>
                <c:pt idx="578">
                  <c:v>0.39711189125170898</c:v>
                </c:pt>
                <c:pt idx="579">
                  <c:v>0.39692085047534137</c:v>
                </c:pt>
                <c:pt idx="580">
                  <c:v>0.39679179355794664</c:v>
                </c:pt>
                <c:pt idx="581">
                  <c:v>0.39719671579654131</c:v>
                </c:pt>
                <c:pt idx="582">
                  <c:v>0.39736749198299753</c:v>
                </c:pt>
                <c:pt idx="583">
                  <c:v>0.3976295987143984</c:v>
                </c:pt>
                <c:pt idx="584">
                  <c:v>0.39784491112481085</c:v>
                </c:pt>
                <c:pt idx="585">
                  <c:v>0.39762820968966417</c:v>
                </c:pt>
                <c:pt idx="586">
                  <c:v>0.3971551446210268</c:v>
                </c:pt>
                <c:pt idx="587">
                  <c:v>0.39660253680159946</c:v>
                </c:pt>
                <c:pt idx="588">
                  <c:v>0.3959769617001242</c:v>
                </c:pt>
                <c:pt idx="589">
                  <c:v>0.39535092401839883</c:v>
                </c:pt>
                <c:pt idx="590">
                  <c:v>0.39494901454175896</c:v>
                </c:pt>
                <c:pt idx="591">
                  <c:v>0.3946647524324729</c:v>
                </c:pt>
                <c:pt idx="592">
                  <c:v>0.39462589685657523</c:v>
                </c:pt>
                <c:pt idx="593">
                  <c:v>0.39464922057603863</c:v>
                </c:pt>
                <c:pt idx="594">
                  <c:v>0.3944379500769743</c:v>
                </c:pt>
                <c:pt idx="595">
                  <c:v>0.39429520438319704</c:v>
                </c:pt>
                <c:pt idx="596">
                  <c:v>0.39418317982488055</c:v>
                </c:pt>
                <c:pt idx="597">
                  <c:v>0.3941518446087357</c:v>
                </c:pt>
                <c:pt idx="598">
                  <c:v>0.39418097495374693</c:v>
                </c:pt>
                <c:pt idx="599">
                  <c:v>0.39423291460229154</c:v>
                </c:pt>
                <c:pt idx="600">
                  <c:v>0.39413085398629771</c:v>
                </c:pt>
                <c:pt idx="601">
                  <c:v>0.39412507995027607</c:v>
                </c:pt>
                <c:pt idx="602">
                  <c:v>0.39411200948407343</c:v>
                </c:pt>
                <c:pt idx="603">
                  <c:v>0.39391706886674849</c:v>
                </c:pt>
                <c:pt idx="604">
                  <c:v>0.39381693577893895</c:v>
                </c:pt>
                <c:pt idx="605">
                  <c:v>0.39387470832242122</c:v>
                </c:pt>
                <c:pt idx="606">
                  <c:v>0.39389414931172673</c:v>
                </c:pt>
                <c:pt idx="607">
                  <c:v>0.39360292983619544</c:v>
                </c:pt>
                <c:pt idx="608">
                  <c:v>0.39330113469294331</c:v>
                </c:pt>
                <c:pt idx="609">
                  <c:v>0.39312645884220915</c:v>
                </c:pt>
                <c:pt idx="610">
                  <c:v>0.39291238333746331</c:v>
                </c:pt>
                <c:pt idx="611">
                  <c:v>0.39283236544314931</c:v>
                </c:pt>
                <c:pt idx="612">
                  <c:v>0.39288931544207695</c:v>
                </c:pt>
                <c:pt idx="613">
                  <c:v>0.39303033687110456</c:v>
                </c:pt>
                <c:pt idx="614">
                  <c:v>0.39304589414389279</c:v>
                </c:pt>
                <c:pt idx="615">
                  <c:v>0.39334773793587485</c:v>
                </c:pt>
                <c:pt idx="616">
                  <c:v>0.39315818321897761</c:v>
                </c:pt>
                <c:pt idx="617">
                  <c:v>0.39347041826190859</c:v>
                </c:pt>
                <c:pt idx="618">
                  <c:v>0.39364137911160502</c:v>
                </c:pt>
                <c:pt idx="619">
                  <c:v>0.39421511445738261</c:v>
                </c:pt>
                <c:pt idx="620">
                  <c:v>0.39442339507824437</c:v>
                </c:pt>
                <c:pt idx="621">
                  <c:v>0.395083419303489</c:v>
                </c:pt>
                <c:pt idx="622">
                  <c:v>0.39613462686118517</c:v>
                </c:pt>
                <c:pt idx="623">
                  <c:v>0.3965408118802638</c:v>
                </c:pt>
                <c:pt idx="624">
                  <c:v>0.39689009761784477</c:v>
                </c:pt>
                <c:pt idx="625">
                  <c:v>0.39765351919448444</c:v>
                </c:pt>
                <c:pt idx="626">
                  <c:v>0.39841354737103524</c:v>
                </c:pt>
                <c:pt idx="627">
                  <c:v>0.39941500299110039</c:v>
                </c:pt>
                <c:pt idx="628">
                  <c:v>0.40040106538011239</c:v>
                </c:pt>
                <c:pt idx="629">
                  <c:v>0.40142563693711042</c:v>
                </c:pt>
                <c:pt idx="630">
                  <c:v>0.40227455607495161</c:v>
                </c:pt>
                <c:pt idx="631">
                  <c:v>0.40291074834162183</c:v>
                </c:pt>
                <c:pt idx="632">
                  <c:v>0.40312205699130416</c:v>
                </c:pt>
                <c:pt idx="633">
                  <c:v>0.40228992977854339</c:v>
                </c:pt>
                <c:pt idx="634">
                  <c:v>0.40153189556922719</c:v>
                </c:pt>
                <c:pt idx="635">
                  <c:v>0.40112345406701699</c:v>
                </c:pt>
                <c:pt idx="636">
                  <c:v>0.40078182449709621</c:v>
                </c:pt>
                <c:pt idx="637">
                  <c:v>0.40047211898987639</c:v>
                </c:pt>
                <c:pt idx="638">
                  <c:v>0.4000401195133314</c:v>
                </c:pt>
                <c:pt idx="639">
                  <c:v>0.39942149589312043</c:v>
                </c:pt>
                <c:pt idx="640">
                  <c:v>0.39880297821450778</c:v>
                </c:pt>
                <c:pt idx="641">
                  <c:v>0.39829172732588941</c:v>
                </c:pt>
                <c:pt idx="642">
                  <c:v>0.39752641197143079</c:v>
                </c:pt>
                <c:pt idx="643">
                  <c:v>0.39678324506758261</c:v>
                </c:pt>
                <c:pt idx="644">
                  <c:v>0.39602296012149418</c:v>
                </c:pt>
                <c:pt idx="645">
                  <c:v>0.39530716910264363</c:v>
                </c:pt>
                <c:pt idx="646">
                  <c:v>0.39476005677314496</c:v>
                </c:pt>
                <c:pt idx="647">
                  <c:v>0.3942581374382334</c:v>
                </c:pt>
                <c:pt idx="648">
                  <c:v>0.39371786343616183</c:v>
                </c:pt>
                <c:pt idx="649">
                  <c:v>0.39340329676831637</c:v>
                </c:pt>
                <c:pt idx="650">
                  <c:v>0.39306281281449462</c:v>
                </c:pt>
                <c:pt idx="651">
                  <c:v>0.39257703656232701</c:v>
                </c:pt>
                <c:pt idx="652">
                  <c:v>0.39198486847675063</c:v>
                </c:pt>
                <c:pt idx="653">
                  <c:v>0.39145134718558339</c:v>
                </c:pt>
                <c:pt idx="654">
                  <c:v>0.39076596866160057</c:v>
                </c:pt>
                <c:pt idx="655">
                  <c:v>0.39029525801446197</c:v>
                </c:pt>
                <c:pt idx="656">
                  <c:v>0.3900126971703432</c:v>
                </c:pt>
                <c:pt idx="657">
                  <c:v>0.38956734684147321</c:v>
                </c:pt>
                <c:pt idx="658">
                  <c:v>0.38910057150870403</c:v>
                </c:pt>
                <c:pt idx="659">
                  <c:v>0.38857813213377862</c:v>
                </c:pt>
                <c:pt idx="660">
                  <c:v>0.38759582617055199</c:v>
                </c:pt>
                <c:pt idx="661">
                  <c:v>0.38680835743000119</c:v>
                </c:pt>
              </c:numCache>
            </c:numRef>
          </c:val>
        </c:ser>
        <c:ser>
          <c:idx val="2"/>
          <c:order val="2"/>
          <c:tx>
            <c:strRef>
              <c:f>グラフ!$O$41</c:f>
              <c:strCache>
                <c:ptCount val="1"/>
                <c:pt idx="0">
                  <c:v>-2-Sigama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43805</c:v>
                </c:pt>
                <c:pt idx="1">
                  <c:v>43804</c:v>
                </c:pt>
                <c:pt idx="2">
                  <c:v>43803</c:v>
                </c:pt>
                <c:pt idx="3">
                  <c:v>43802</c:v>
                </c:pt>
                <c:pt idx="4">
                  <c:v>43801</c:v>
                </c:pt>
                <c:pt idx="5">
                  <c:v>43798</c:v>
                </c:pt>
                <c:pt idx="6">
                  <c:v>43797</c:v>
                </c:pt>
                <c:pt idx="7">
                  <c:v>43796</c:v>
                </c:pt>
                <c:pt idx="8">
                  <c:v>43795</c:v>
                </c:pt>
                <c:pt idx="9">
                  <c:v>43794</c:v>
                </c:pt>
                <c:pt idx="10">
                  <c:v>43791</c:v>
                </c:pt>
                <c:pt idx="11">
                  <c:v>43790</c:v>
                </c:pt>
                <c:pt idx="12">
                  <c:v>43789</c:v>
                </c:pt>
                <c:pt idx="13">
                  <c:v>43788</c:v>
                </c:pt>
                <c:pt idx="14">
                  <c:v>43787</c:v>
                </c:pt>
                <c:pt idx="15">
                  <c:v>43784</c:v>
                </c:pt>
                <c:pt idx="16">
                  <c:v>43783</c:v>
                </c:pt>
                <c:pt idx="17">
                  <c:v>43782</c:v>
                </c:pt>
                <c:pt idx="18">
                  <c:v>43781</c:v>
                </c:pt>
                <c:pt idx="19">
                  <c:v>43780</c:v>
                </c:pt>
                <c:pt idx="20">
                  <c:v>43777</c:v>
                </c:pt>
                <c:pt idx="21">
                  <c:v>43776</c:v>
                </c:pt>
                <c:pt idx="22">
                  <c:v>43775</c:v>
                </c:pt>
                <c:pt idx="23">
                  <c:v>43774</c:v>
                </c:pt>
                <c:pt idx="24">
                  <c:v>43770</c:v>
                </c:pt>
                <c:pt idx="25">
                  <c:v>43769</c:v>
                </c:pt>
                <c:pt idx="26">
                  <c:v>43768</c:v>
                </c:pt>
                <c:pt idx="27">
                  <c:v>43767</c:v>
                </c:pt>
                <c:pt idx="28">
                  <c:v>43766</c:v>
                </c:pt>
                <c:pt idx="29">
                  <c:v>43763</c:v>
                </c:pt>
                <c:pt idx="30">
                  <c:v>43762</c:v>
                </c:pt>
                <c:pt idx="31">
                  <c:v>43761</c:v>
                </c:pt>
                <c:pt idx="32">
                  <c:v>43759</c:v>
                </c:pt>
                <c:pt idx="33">
                  <c:v>43756</c:v>
                </c:pt>
                <c:pt idx="34">
                  <c:v>43755</c:v>
                </c:pt>
                <c:pt idx="35">
                  <c:v>43754</c:v>
                </c:pt>
                <c:pt idx="36">
                  <c:v>43753</c:v>
                </c:pt>
                <c:pt idx="37">
                  <c:v>43749</c:v>
                </c:pt>
                <c:pt idx="38">
                  <c:v>43748</c:v>
                </c:pt>
                <c:pt idx="39">
                  <c:v>43747</c:v>
                </c:pt>
                <c:pt idx="40">
                  <c:v>43746</c:v>
                </c:pt>
                <c:pt idx="41">
                  <c:v>43745</c:v>
                </c:pt>
                <c:pt idx="42">
                  <c:v>43742</c:v>
                </c:pt>
                <c:pt idx="43">
                  <c:v>43741</c:v>
                </c:pt>
                <c:pt idx="44">
                  <c:v>43740</c:v>
                </c:pt>
                <c:pt idx="45">
                  <c:v>43739</c:v>
                </c:pt>
                <c:pt idx="46">
                  <c:v>43738</c:v>
                </c:pt>
                <c:pt idx="47">
                  <c:v>43735</c:v>
                </c:pt>
                <c:pt idx="48">
                  <c:v>43734</c:v>
                </c:pt>
                <c:pt idx="49">
                  <c:v>43733</c:v>
                </c:pt>
                <c:pt idx="50">
                  <c:v>43732</c:v>
                </c:pt>
                <c:pt idx="51">
                  <c:v>43728</c:v>
                </c:pt>
                <c:pt idx="52">
                  <c:v>43727</c:v>
                </c:pt>
                <c:pt idx="53">
                  <c:v>43726</c:v>
                </c:pt>
                <c:pt idx="54">
                  <c:v>43725</c:v>
                </c:pt>
                <c:pt idx="55">
                  <c:v>43721</c:v>
                </c:pt>
                <c:pt idx="56">
                  <c:v>43720</c:v>
                </c:pt>
                <c:pt idx="57">
                  <c:v>43719</c:v>
                </c:pt>
                <c:pt idx="58">
                  <c:v>43718</c:v>
                </c:pt>
                <c:pt idx="59">
                  <c:v>43717</c:v>
                </c:pt>
                <c:pt idx="60">
                  <c:v>43714</c:v>
                </c:pt>
                <c:pt idx="61">
                  <c:v>43713</c:v>
                </c:pt>
                <c:pt idx="62">
                  <c:v>43712</c:v>
                </c:pt>
                <c:pt idx="63">
                  <c:v>43711</c:v>
                </c:pt>
                <c:pt idx="64">
                  <c:v>43710</c:v>
                </c:pt>
                <c:pt idx="65">
                  <c:v>43707</c:v>
                </c:pt>
                <c:pt idx="66">
                  <c:v>43706</c:v>
                </c:pt>
                <c:pt idx="67">
                  <c:v>43705</c:v>
                </c:pt>
                <c:pt idx="68">
                  <c:v>43704</c:v>
                </c:pt>
                <c:pt idx="69">
                  <c:v>43703</c:v>
                </c:pt>
                <c:pt idx="70">
                  <c:v>43700</c:v>
                </c:pt>
                <c:pt idx="71">
                  <c:v>43699</c:v>
                </c:pt>
                <c:pt idx="72">
                  <c:v>43698</c:v>
                </c:pt>
                <c:pt idx="73">
                  <c:v>43697</c:v>
                </c:pt>
                <c:pt idx="74">
                  <c:v>43696</c:v>
                </c:pt>
                <c:pt idx="75">
                  <c:v>43693</c:v>
                </c:pt>
                <c:pt idx="76">
                  <c:v>43692</c:v>
                </c:pt>
                <c:pt idx="77">
                  <c:v>43691</c:v>
                </c:pt>
                <c:pt idx="78">
                  <c:v>43690</c:v>
                </c:pt>
                <c:pt idx="79">
                  <c:v>43686</c:v>
                </c:pt>
                <c:pt idx="80">
                  <c:v>43685</c:v>
                </c:pt>
                <c:pt idx="81">
                  <c:v>43684</c:v>
                </c:pt>
                <c:pt idx="82">
                  <c:v>43683</c:v>
                </c:pt>
                <c:pt idx="83">
                  <c:v>43682</c:v>
                </c:pt>
                <c:pt idx="84">
                  <c:v>43679</c:v>
                </c:pt>
                <c:pt idx="85">
                  <c:v>43678</c:v>
                </c:pt>
                <c:pt idx="86">
                  <c:v>43677</c:v>
                </c:pt>
                <c:pt idx="87">
                  <c:v>43676</c:v>
                </c:pt>
                <c:pt idx="88">
                  <c:v>43675</c:v>
                </c:pt>
                <c:pt idx="89">
                  <c:v>43672</c:v>
                </c:pt>
                <c:pt idx="90">
                  <c:v>43671</c:v>
                </c:pt>
                <c:pt idx="91">
                  <c:v>43670</c:v>
                </c:pt>
                <c:pt idx="92">
                  <c:v>43669</c:v>
                </c:pt>
                <c:pt idx="93">
                  <c:v>43668</c:v>
                </c:pt>
                <c:pt idx="94">
                  <c:v>43665</c:v>
                </c:pt>
                <c:pt idx="95">
                  <c:v>43664</c:v>
                </c:pt>
                <c:pt idx="96">
                  <c:v>43663</c:v>
                </c:pt>
                <c:pt idx="97">
                  <c:v>43662</c:v>
                </c:pt>
                <c:pt idx="98">
                  <c:v>43658</c:v>
                </c:pt>
                <c:pt idx="99">
                  <c:v>43657</c:v>
                </c:pt>
                <c:pt idx="100">
                  <c:v>43656</c:v>
                </c:pt>
                <c:pt idx="101">
                  <c:v>43655</c:v>
                </c:pt>
                <c:pt idx="102">
                  <c:v>43654</c:v>
                </c:pt>
                <c:pt idx="103">
                  <c:v>43651</c:v>
                </c:pt>
                <c:pt idx="104">
                  <c:v>43650</c:v>
                </c:pt>
                <c:pt idx="105">
                  <c:v>43649</c:v>
                </c:pt>
                <c:pt idx="106">
                  <c:v>43648</c:v>
                </c:pt>
                <c:pt idx="107">
                  <c:v>43647</c:v>
                </c:pt>
                <c:pt idx="108">
                  <c:v>43644</c:v>
                </c:pt>
                <c:pt idx="109">
                  <c:v>43643</c:v>
                </c:pt>
                <c:pt idx="110">
                  <c:v>43642</c:v>
                </c:pt>
                <c:pt idx="111">
                  <c:v>43641</c:v>
                </c:pt>
                <c:pt idx="112">
                  <c:v>43640</c:v>
                </c:pt>
                <c:pt idx="113">
                  <c:v>43637</c:v>
                </c:pt>
                <c:pt idx="114">
                  <c:v>43636</c:v>
                </c:pt>
                <c:pt idx="115">
                  <c:v>43635</c:v>
                </c:pt>
                <c:pt idx="116">
                  <c:v>43634</c:v>
                </c:pt>
                <c:pt idx="117">
                  <c:v>43633</c:v>
                </c:pt>
                <c:pt idx="118">
                  <c:v>43630</c:v>
                </c:pt>
                <c:pt idx="119">
                  <c:v>43629</c:v>
                </c:pt>
                <c:pt idx="120">
                  <c:v>43628</c:v>
                </c:pt>
                <c:pt idx="121">
                  <c:v>43627</c:v>
                </c:pt>
                <c:pt idx="122">
                  <c:v>43626</c:v>
                </c:pt>
                <c:pt idx="123">
                  <c:v>43623</c:v>
                </c:pt>
                <c:pt idx="124">
                  <c:v>43622</c:v>
                </c:pt>
                <c:pt idx="125">
                  <c:v>43621</c:v>
                </c:pt>
                <c:pt idx="126">
                  <c:v>43620</c:v>
                </c:pt>
                <c:pt idx="127">
                  <c:v>43619</c:v>
                </c:pt>
                <c:pt idx="128">
                  <c:v>43616</c:v>
                </c:pt>
                <c:pt idx="129">
                  <c:v>43615</c:v>
                </c:pt>
                <c:pt idx="130">
                  <c:v>43614</c:v>
                </c:pt>
                <c:pt idx="131">
                  <c:v>43613</c:v>
                </c:pt>
                <c:pt idx="132">
                  <c:v>43612</c:v>
                </c:pt>
                <c:pt idx="133">
                  <c:v>43609</c:v>
                </c:pt>
                <c:pt idx="134">
                  <c:v>43608</c:v>
                </c:pt>
                <c:pt idx="135">
                  <c:v>43607</c:v>
                </c:pt>
                <c:pt idx="136">
                  <c:v>43606</c:v>
                </c:pt>
                <c:pt idx="137">
                  <c:v>43605</c:v>
                </c:pt>
                <c:pt idx="138">
                  <c:v>43602</c:v>
                </c:pt>
                <c:pt idx="139">
                  <c:v>43601</c:v>
                </c:pt>
                <c:pt idx="140">
                  <c:v>43600</c:v>
                </c:pt>
                <c:pt idx="141">
                  <c:v>43599</c:v>
                </c:pt>
                <c:pt idx="142">
                  <c:v>43598</c:v>
                </c:pt>
                <c:pt idx="143">
                  <c:v>43595</c:v>
                </c:pt>
                <c:pt idx="144">
                  <c:v>43594</c:v>
                </c:pt>
                <c:pt idx="145">
                  <c:v>43593</c:v>
                </c:pt>
                <c:pt idx="146">
                  <c:v>43592</c:v>
                </c:pt>
                <c:pt idx="147">
                  <c:v>43581</c:v>
                </c:pt>
                <c:pt idx="148">
                  <c:v>43580</c:v>
                </c:pt>
                <c:pt idx="149">
                  <c:v>43579</c:v>
                </c:pt>
                <c:pt idx="150">
                  <c:v>43578</c:v>
                </c:pt>
                <c:pt idx="151">
                  <c:v>43577</c:v>
                </c:pt>
                <c:pt idx="152">
                  <c:v>43574</c:v>
                </c:pt>
                <c:pt idx="153">
                  <c:v>43573</c:v>
                </c:pt>
                <c:pt idx="154">
                  <c:v>43572</c:v>
                </c:pt>
                <c:pt idx="155">
                  <c:v>43571</c:v>
                </c:pt>
                <c:pt idx="156">
                  <c:v>43570</c:v>
                </c:pt>
                <c:pt idx="157">
                  <c:v>43567</c:v>
                </c:pt>
                <c:pt idx="158">
                  <c:v>43566</c:v>
                </c:pt>
                <c:pt idx="159">
                  <c:v>43565</c:v>
                </c:pt>
                <c:pt idx="160">
                  <c:v>43564</c:v>
                </c:pt>
                <c:pt idx="161">
                  <c:v>43563</c:v>
                </c:pt>
                <c:pt idx="162">
                  <c:v>43560</c:v>
                </c:pt>
                <c:pt idx="163">
                  <c:v>43559</c:v>
                </c:pt>
                <c:pt idx="164">
                  <c:v>43558</c:v>
                </c:pt>
                <c:pt idx="165">
                  <c:v>43557</c:v>
                </c:pt>
                <c:pt idx="166">
                  <c:v>43556</c:v>
                </c:pt>
                <c:pt idx="167">
                  <c:v>43553</c:v>
                </c:pt>
                <c:pt idx="168">
                  <c:v>43552</c:v>
                </c:pt>
                <c:pt idx="169">
                  <c:v>43551</c:v>
                </c:pt>
                <c:pt idx="170">
                  <c:v>43550</c:v>
                </c:pt>
                <c:pt idx="171">
                  <c:v>43549</c:v>
                </c:pt>
                <c:pt idx="172">
                  <c:v>43546</c:v>
                </c:pt>
                <c:pt idx="173">
                  <c:v>43544</c:v>
                </c:pt>
                <c:pt idx="174">
                  <c:v>43543</c:v>
                </c:pt>
                <c:pt idx="175">
                  <c:v>43542</c:v>
                </c:pt>
                <c:pt idx="176">
                  <c:v>43539</c:v>
                </c:pt>
                <c:pt idx="177">
                  <c:v>43538</c:v>
                </c:pt>
                <c:pt idx="178">
                  <c:v>43537</c:v>
                </c:pt>
                <c:pt idx="179">
                  <c:v>43536</c:v>
                </c:pt>
                <c:pt idx="180">
                  <c:v>43535</c:v>
                </c:pt>
                <c:pt idx="181">
                  <c:v>43532</c:v>
                </c:pt>
                <c:pt idx="182">
                  <c:v>43531</c:v>
                </c:pt>
                <c:pt idx="183">
                  <c:v>43530</c:v>
                </c:pt>
                <c:pt idx="184">
                  <c:v>43529</c:v>
                </c:pt>
                <c:pt idx="185">
                  <c:v>43528</c:v>
                </c:pt>
                <c:pt idx="186">
                  <c:v>43525</c:v>
                </c:pt>
                <c:pt idx="187">
                  <c:v>43524</c:v>
                </c:pt>
                <c:pt idx="188">
                  <c:v>43523</c:v>
                </c:pt>
                <c:pt idx="189">
                  <c:v>43522</c:v>
                </c:pt>
                <c:pt idx="190">
                  <c:v>43521</c:v>
                </c:pt>
                <c:pt idx="191">
                  <c:v>43518</c:v>
                </c:pt>
                <c:pt idx="192">
                  <c:v>43517</c:v>
                </c:pt>
                <c:pt idx="193">
                  <c:v>43516</c:v>
                </c:pt>
                <c:pt idx="194">
                  <c:v>43515</c:v>
                </c:pt>
                <c:pt idx="195">
                  <c:v>43514</c:v>
                </c:pt>
                <c:pt idx="196">
                  <c:v>43511</c:v>
                </c:pt>
                <c:pt idx="197">
                  <c:v>43510</c:v>
                </c:pt>
                <c:pt idx="198">
                  <c:v>43509</c:v>
                </c:pt>
                <c:pt idx="199">
                  <c:v>43508</c:v>
                </c:pt>
                <c:pt idx="200">
                  <c:v>43504</c:v>
                </c:pt>
                <c:pt idx="201">
                  <c:v>43503</c:v>
                </c:pt>
                <c:pt idx="202">
                  <c:v>43502</c:v>
                </c:pt>
                <c:pt idx="203">
                  <c:v>43501</c:v>
                </c:pt>
                <c:pt idx="204">
                  <c:v>43500</c:v>
                </c:pt>
                <c:pt idx="205">
                  <c:v>43497</c:v>
                </c:pt>
                <c:pt idx="206">
                  <c:v>43496</c:v>
                </c:pt>
                <c:pt idx="207">
                  <c:v>43495</c:v>
                </c:pt>
                <c:pt idx="208">
                  <c:v>43494</c:v>
                </c:pt>
                <c:pt idx="209">
                  <c:v>43493</c:v>
                </c:pt>
                <c:pt idx="210">
                  <c:v>43490</c:v>
                </c:pt>
                <c:pt idx="211">
                  <c:v>43489</c:v>
                </c:pt>
                <c:pt idx="212">
                  <c:v>43488</c:v>
                </c:pt>
                <c:pt idx="213">
                  <c:v>43487</c:v>
                </c:pt>
                <c:pt idx="214">
                  <c:v>43486</c:v>
                </c:pt>
                <c:pt idx="215">
                  <c:v>43483</c:v>
                </c:pt>
                <c:pt idx="216">
                  <c:v>43482</c:v>
                </c:pt>
                <c:pt idx="217">
                  <c:v>43481</c:v>
                </c:pt>
                <c:pt idx="218">
                  <c:v>43480</c:v>
                </c:pt>
                <c:pt idx="219">
                  <c:v>43476</c:v>
                </c:pt>
                <c:pt idx="220">
                  <c:v>43475</c:v>
                </c:pt>
                <c:pt idx="221">
                  <c:v>43474</c:v>
                </c:pt>
                <c:pt idx="222">
                  <c:v>43473</c:v>
                </c:pt>
                <c:pt idx="223">
                  <c:v>43472</c:v>
                </c:pt>
                <c:pt idx="224">
                  <c:v>43469</c:v>
                </c:pt>
                <c:pt idx="225">
                  <c:v>43462</c:v>
                </c:pt>
                <c:pt idx="226">
                  <c:v>43461</c:v>
                </c:pt>
                <c:pt idx="227">
                  <c:v>43460</c:v>
                </c:pt>
                <c:pt idx="228">
                  <c:v>43459</c:v>
                </c:pt>
                <c:pt idx="229">
                  <c:v>43455</c:v>
                </c:pt>
                <c:pt idx="230">
                  <c:v>43454</c:v>
                </c:pt>
                <c:pt idx="231">
                  <c:v>43453</c:v>
                </c:pt>
                <c:pt idx="232">
                  <c:v>43452</c:v>
                </c:pt>
                <c:pt idx="233">
                  <c:v>43451</c:v>
                </c:pt>
                <c:pt idx="234">
                  <c:v>43448</c:v>
                </c:pt>
                <c:pt idx="235">
                  <c:v>43447</c:v>
                </c:pt>
                <c:pt idx="236">
                  <c:v>43446</c:v>
                </c:pt>
                <c:pt idx="237">
                  <c:v>43445</c:v>
                </c:pt>
                <c:pt idx="238">
                  <c:v>43444</c:v>
                </c:pt>
                <c:pt idx="239">
                  <c:v>43441</c:v>
                </c:pt>
                <c:pt idx="240">
                  <c:v>43440</c:v>
                </c:pt>
                <c:pt idx="241">
                  <c:v>43439</c:v>
                </c:pt>
                <c:pt idx="242">
                  <c:v>43438</c:v>
                </c:pt>
                <c:pt idx="243">
                  <c:v>43437</c:v>
                </c:pt>
                <c:pt idx="244">
                  <c:v>43434</c:v>
                </c:pt>
                <c:pt idx="245">
                  <c:v>43433</c:v>
                </c:pt>
                <c:pt idx="246">
                  <c:v>43432</c:v>
                </c:pt>
                <c:pt idx="247">
                  <c:v>43431</c:v>
                </c:pt>
                <c:pt idx="248">
                  <c:v>43430</c:v>
                </c:pt>
                <c:pt idx="249">
                  <c:v>43426</c:v>
                </c:pt>
                <c:pt idx="250">
                  <c:v>43425</c:v>
                </c:pt>
                <c:pt idx="251">
                  <c:v>43424</c:v>
                </c:pt>
                <c:pt idx="252">
                  <c:v>43423</c:v>
                </c:pt>
                <c:pt idx="253">
                  <c:v>43420</c:v>
                </c:pt>
                <c:pt idx="254">
                  <c:v>43419</c:v>
                </c:pt>
                <c:pt idx="255">
                  <c:v>43418</c:v>
                </c:pt>
                <c:pt idx="256">
                  <c:v>43417</c:v>
                </c:pt>
                <c:pt idx="257">
                  <c:v>43416</c:v>
                </c:pt>
                <c:pt idx="258">
                  <c:v>43413</c:v>
                </c:pt>
                <c:pt idx="259">
                  <c:v>43412</c:v>
                </c:pt>
                <c:pt idx="260">
                  <c:v>43411</c:v>
                </c:pt>
                <c:pt idx="261">
                  <c:v>43410</c:v>
                </c:pt>
                <c:pt idx="262">
                  <c:v>43409</c:v>
                </c:pt>
                <c:pt idx="263">
                  <c:v>43406</c:v>
                </c:pt>
                <c:pt idx="264">
                  <c:v>43405</c:v>
                </c:pt>
                <c:pt idx="265">
                  <c:v>43404</c:v>
                </c:pt>
                <c:pt idx="266">
                  <c:v>43403</c:v>
                </c:pt>
                <c:pt idx="267">
                  <c:v>43402</c:v>
                </c:pt>
                <c:pt idx="268">
                  <c:v>43399</c:v>
                </c:pt>
                <c:pt idx="269">
                  <c:v>43398</c:v>
                </c:pt>
                <c:pt idx="270">
                  <c:v>43397</c:v>
                </c:pt>
                <c:pt idx="271">
                  <c:v>43396</c:v>
                </c:pt>
                <c:pt idx="272">
                  <c:v>43395</c:v>
                </c:pt>
                <c:pt idx="273">
                  <c:v>43392</c:v>
                </c:pt>
                <c:pt idx="274">
                  <c:v>43391</c:v>
                </c:pt>
                <c:pt idx="275">
                  <c:v>43390</c:v>
                </c:pt>
                <c:pt idx="276">
                  <c:v>43389</c:v>
                </c:pt>
                <c:pt idx="277">
                  <c:v>43388</c:v>
                </c:pt>
                <c:pt idx="278">
                  <c:v>43385</c:v>
                </c:pt>
                <c:pt idx="279">
                  <c:v>43384</c:v>
                </c:pt>
                <c:pt idx="280">
                  <c:v>43383</c:v>
                </c:pt>
                <c:pt idx="281">
                  <c:v>43382</c:v>
                </c:pt>
                <c:pt idx="282">
                  <c:v>43378</c:v>
                </c:pt>
                <c:pt idx="283">
                  <c:v>43377</c:v>
                </c:pt>
                <c:pt idx="284">
                  <c:v>43376</c:v>
                </c:pt>
                <c:pt idx="285">
                  <c:v>43375</c:v>
                </c:pt>
                <c:pt idx="286">
                  <c:v>43374</c:v>
                </c:pt>
                <c:pt idx="287">
                  <c:v>43371</c:v>
                </c:pt>
                <c:pt idx="288">
                  <c:v>43370</c:v>
                </c:pt>
                <c:pt idx="289">
                  <c:v>43369</c:v>
                </c:pt>
                <c:pt idx="290">
                  <c:v>43368</c:v>
                </c:pt>
                <c:pt idx="291">
                  <c:v>43364</c:v>
                </c:pt>
                <c:pt idx="292">
                  <c:v>43363</c:v>
                </c:pt>
                <c:pt idx="293">
                  <c:v>43362</c:v>
                </c:pt>
                <c:pt idx="294">
                  <c:v>43361</c:v>
                </c:pt>
                <c:pt idx="295">
                  <c:v>43357</c:v>
                </c:pt>
                <c:pt idx="296">
                  <c:v>43356</c:v>
                </c:pt>
                <c:pt idx="297">
                  <c:v>43355</c:v>
                </c:pt>
                <c:pt idx="298">
                  <c:v>43354</c:v>
                </c:pt>
                <c:pt idx="299">
                  <c:v>43353</c:v>
                </c:pt>
                <c:pt idx="300">
                  <c:v>43350</c:v>
                </c:pt>
                <c:pt idx="301">
                  <c:v>43349</c:v>
                </c:pt>
                <c:pt idx="302">
                  <c:v>43348</c:v>
                </c:pt>
                <c:pt idx="303">
                  <c:v>43347</c:v>
                </c:pt>
                <c:pt idx="304">
                  <c:v>43346</c:v>
                </c:pt>
                <c:pt idx="305">
                  <c:v>43343</c:v>
                </c:pt>
                <c:pt idx="306">
                  <c:v>43342</c:v>
                </c:pt>
                <c:pt idx="307">
                  <c:v>43341</c:v>
                </c:pt>
                <c:pt idx="308">
                  <c:v>43340</c:v>
                </c:pt>
                <c:pt idx="309">
                  <c:v>43339</c:v>
                </c:pt>
                <c:pt idx="310">
                  <c:v>43336</c:v>
                </c:pt>
                <c:pt idx="311">
                  <c:v>43335</c:v>
                </c:pt>
                <c:pt idx="312">
                  <c:v>43334</c:v>
                </c:pt>
                <c:pt idx="313">
                  <c:v>43333</c:v>
                </c:pt>
                <c:pt idx="314">
                  <c:v>43332</c:v>
                </c:pt>
                <c:pt idx="315">
                  <c:v>43329</c:v>
                </c:pt>
                <c:pt idx="316">
                  <c:v>43328</c:v>
                </c:pt>
                <c:pt idx="317">
                  <c:v>43327</c:v>
                </c:pt>
                <c:pt idx="318">
                  <c:v>43326</c:v>
                </c:pt>
                <c:pt idx="319">
                  <c:v>43325</c:v>
                </c:pt>
                <c:pt idx="320">
                  <c:v>43322</c:v>
                </c:pt>
                <c:pt idx="321">
                  <c:v>43321</c:v>
                </c:pt>
                <c:pt idx="322">
                  <c:v>43320</c:v>
                </c:pt>
                <c:pt idx="323">
                  <c:v>43319</c:v>
                </c:pt>
                <c:pt idx="324">
                  <c:v>43318</c:v>
                </c:pt>
                <c:pt idx="325">
                  <c:v>43315</c:v>
                </c:pt>
                <c:pt idx="326">
                  <c:v>43314</c:v>
                </c:pt>
                <c:pt idx="327">
                  <c:v>43313</c:v>
                </c:pt>
                <c:pt idx="328">
                  <c:v>43312</c:v>
                </c:pt>
                <c:pt idx="329">
                  <c:v>43311</c:v>
                </c:pt>
                <c:pt idx="330">
                  <c:v>43308</c:v>
                </c:pt>
                <c:pt idx="331">
                  <c:v>43307</c:v>
                </c:pt>
                <c:pt idx="332">
                  <c:v>43306</c:v>
                </c:pt>
                <c:pt idx="333">
                  <c:v>43305</c:v>
                </c:pt>
                <c:pt idx="334">
                  <c:v>43304</c:v>
                </c:pt>
                <c:pt idx="335">
                  <c:v>43301</c:v>
                </c:pt>
                <c:pt idx="336">
                  <c:v>43300</c:v>
                </c:pt>
                <c:pt idx="337">
                  <c:v>43299</c:v>
                </c:pt>
                <c:pt idx="338">
                  <c:v>43298</c:v>
                </c:pt>
                <c:pt idx="339">
                  <c:v>43294</c:v>
                </c:pt>
                <c:pt idx="340">
                  <c:v>43293</c:v>
                </c:pt>
                <c:pt idx="341">
                  <c:v>43292</c:v>
                </c:pt>
                <c:pt idx="342">
                  <c:v>43291</c:v>
                </c:pt>
                <c:pt idx="343">
                  <c:v>43290</c:v>
                </c:pt>
                <c:pt idx="344">
                  <c:v>43287</c:v>
                </c:pt>
                <c:pt idx="345">
                  <c:v>43286</c:v>
                </c:pt>
                <c:pt idx="346">
                  <c:v>43285</c:v>
                </c:pt>
                <c:pt idx="347">
                  <c:v>43284</c:v>
                </c:pt>
                <c:pt idx="348">
                  <c:v>43283</c:v>
                </c:pt>
                <c:pt idx="349">
                  <c:v>43280</c:v>
                </c:pt>
                <c:pt idx="350">
                  <c:v>43279</c:v>
                </c:pt>
                <c:pt idx="351">
                  <c:v>43278</c:v>
                </c:pt>
                <c:pt idx="352">
                  <c:v>43277</c:v>
                </c:pt>
                <c:pt idx="353">
                  <c:v>43276</c:v>
                </c:pt>
                <c:pt idx="354">
                  <c:v>43273</c:v>
                </c:pt>
                <c:pt idx="355">
                  <c:v>43272</c:v>
                </c:pt>
                <c:pt idx="356">
                  <c:v>43271</c:v>
                </c:pt>
                <c:pt idx="357">
                  <c:v>43270</c:v>
                </c:pt>
                <c:pt idx="358">
                  <c:v>43269</c:v>
                </c:pt>
                <c:pt idx="359">
                  <c:v>43266</c:v>
                </c:pt>
                <c:pt idx="360">
                  <c:v>43265</c:v>
                </c:pt>
                <c:pt idx="361">
                  <c:v>43264</c:v>
                </c:pt>
                <c:pt idx="362">
                  <c:v>43263</c:v>
                </c:pt>
                <c:pt idx="363">
                  <c:v>43262</c:v>
                </c:pt>
                <c:pt idx="364">
                  <c:v>43259</c:v>
                </c:pt>
                <c:pt idx="365">
                  <c:v>43258</c:v>
                </c:pt>
                <c:pt idx="366">
                  <c:v>43257</c:v>
                </c:pt>
                <c:pt idx="367">
                  <c:v>43256</c:v>
                </c:pt>
                <c:pt idx="368">
                  <c:v>43255</c:v>
                </c:pt>
                <c:pt idx="369">
                  <c:v>43252</c:v>
                </c:pt>
                <c:pt idx="370">
                  <c:v>43251</c:v>
                </c:pt>
                <c:pt idx="371">
                  <c:v>43250</c:v>
                </c:pt>
                <c:pt idx="372">
                  <c:v>43249</c:v>
                </c:pt>
                <c:pt idx="373">
                  <c:v>43248</c:v>
                </c:pt>
                <c:pt idx="374">
                  <c:v>43245</c:v>
                </c:pt>
                <c:pt idx="375">
                  <c:v>43244</c:v>
                </c:pt>
                <c:pt idx="376">
                  <c:v>43243</c:v>
                </c:pt>
                <c:pt idx="377">
                  <c:v>43242</c:v>
                </c:pt>
                <c:pt idx="378">
                  <c:v>43241</c:v>
                </c:pt>
                <c:pt idx="379">
                  <c:v>43238</c:v>
                </c:pt>
                <c:pt idx="380">
                  <c:v>43237</c:v>
                </c:pt>
                <c:pt idx="381">
                  <c:v>43236</c:v>
                </c:pt>
                <c:pt idx="382">
                  <c:v>43235</c:v>
                </c:pt>
                <c:pt idx="383">
                  <c:v>43234</c:v>
                </c:pt>
                <c:pt idx="384">
                  <c:v>43231</c:v>
                </c:pt>
                <c:pt idx="385">
                  <c:v>43230</c:v>
                </c:pt>
                <c:pt idx="386">
                  <c:v>43229</c:v>
                </c:pt>
                <c:pt idx="387">
                  <c:v>43228</c:v>
                </c:pt>
                <c:pt idx="388">
                  <c:v>43227</c:v>
                </c:pt>
                <c:pt idx="389">
                  <c:v>43222</c:v>
                </c:pt>
                <c:pt idx="390">
                  <c:v>43221</c:v>
                </c:pt>
                <c:pt idx="391">
                  <c:v>43217</c:v>
                </c:pt>
                <c:pt idx="392">
                  <c:v>43216</c:v>
                </c:pt>
                <c:pt idx="393">
                  <c:v>43215</c:v>
                </c:pt>
                <c:pt idx="394">
                  <c:v>43214</c:v>
                </c:pt>
                <c:pt idx="395">
                  <c:v>43213</c:v>
                </c:pt>
                <c:pt idx="396">
                  <c:v>43210</c:v>
                </c:pt>
                <c:pt idx="397">
                  <c:v>43209</c:v>
                </c:pt>
                <c:pt idx="398">
                  <c:v>43208</c:v>
                </c:pt>
                <c:pt idx="399">
                  <c:v>43207</c:v>
                </c:pt>
                <c:pt idx="400">
                  <c:v>43206</c:v>
                </c:pt>
                <c:pt idx="401">
                  <c:v>43203</c:v>
                </c:pt>
                <c:pt idx="402">
                  <c:v>43202</c:v>
                </c:pt>
                <c:pt idx="403">
                  <c:v>43201</c:v>
                </c:pt>
                <c:pt idx="404">
                  <c:v>43200</c:v>
                </c:pt>
                <c:pt idx="405">
                  <c:v>43199</c:v>
                </c:pt>
                <c:pt idx="406">
                  <c:v>43196</c:v>
                </c:pt>
                <c:pt idx="407">
                  <c:v>43195</c:v>
                </c:pt>
                <c:pt idx="408">
                  <c:v>43194</c:v>
                </c:pt>
                <c:pt idx="409">
                  <c:v>43193</c:v>
                </c:pt>
                <c:pt idx="410">
                  <c:v>43192</c:v>
                </c:pt>
                <c:pt idx="411">
                  <c:v>43189</c:v>
                </c:pt>
                <c:pt idx="412">
                  <c:v>43188</c:v>
                </c:pt>
                <c:pt idx="413">
                  <c:v>43187</c:v>
                </c:pt>
                <c:pt idx="414">
                  <c:v>43186</c:v>
                </c:pt>
                <c:pt idx="415">
                  <c:v>43185</c:v>
                </c:pt>
                <c:pt idx="416">
                  <c:v>43182</c:v>
                </c:pt>
                <c:pt idx="417">
                  <c:v>43181</c:v>
                </c:pt>
                <c:pt idx="418">
                  <c:v>43179</c:v>
                </c:pt>
                <c:pt idx="419">
                  <c:v>43178</c:v>
                </c:pt>
                <c:pt idx="420">
                  <c:v>43175</c:v>
                </c:pt>
                <c:pt idx="421">
                  <c:v>43174</c:v>
                </c:pt>
                <c:pt idx="422">
                  <c:v>43173</c:v>
                </c:pt>
                <c:pt idx="423">
                  <c:v>43172</c:v>
                </c:pt>
                <c:pt idx="424">
                  <c:v>43171</c:v>
                </c:pt>
                <c:pt idx="425">
                  <c:v>43168</c:v>
                </c:pt>
                <c:pt idx="426">
                  <c:v>43167</c:v>
                </c:pt>
                <c:pt idx="427">
                  <c:v>43166</c:v>
                </c:pt>
                <c:pt idx="428">
                  <c:v>43165</c:v>
                </c:pt>
                <c:pt idx="429">
                  <c:v>43164</c:v>
                </c:pt>
                <c:pt idx="430">
                  <c:v>43161</c:v>
                </c:pt>
                <c:pt idx="431">
                  <c:v>43160</c:v>
                </c:pt>
                <c:pt idx="432">
                  <c:v>43159</c:v>
                </c:pt>
                <c:pt idx="433">
                  <c:v>43158</c:v>
                </c:pt>
                <c:pt idx="434">
                  <c:v>43157</c:v>
                </c:pt>
                <c:pt idx="435">
                  <c:v>43154</c:v>
                </c:pt>
                <c:pt idx="436">
                  <c:v>43153</c:v>
                </c:pt>
                <c:pt idx="437">
                  <c:v>43152</c:v>
                </c:pt>
                <c:pt idx="438">
                  <c:v>43151</c:v>
                </c:pt>
                <c:pt idx="439">
                  <c:v>43150</c:v>
                </c:pt>
                <c:pt idx="440">
                  <c:v>43147</c:v>
                </c:pt>
                <c:pt idx="441">
                  <c:v>43146</c:v>
                </c:pt>
                <c:pt idx="442">
                  <c:v>43145</c:v>
                </c:pt>
                <c:pt idx="443">
                  <c:v>43144</c:v>
                </c:pt>
                <c:pt idx="444">
                  <c:v>43140</c:v>
                </c:pt>
                <c:pt idx="445">
                  <c:v>43139</c:v>
                </c:pt>
                <c:pt idx="446">
                  <c:v>43138</c:v>
                </c:pt>
                <c:pt idx="447">
                  <c:v>43137</c:v>
                </c:pt>
                <c:pt idx="448">
                  <c:v>43136</c:v>
                </c:pt>
                <c:pt idx="449">
                  <c:v>43133</c:v>
                </c:pt>
                <c:pt idx="450">
                  <c:v>43132</c:v>
                </c:pt>
                <c:pt idx="451">
                  <c:v>43131</c:v>
                </c:pt>
                <c:pt idx="452">
                  <c:v>43130</c:v>
                </c:pt>
                <c:pt idx="453">
                  <c:v>43129</c:v>
                </c:pt>
                <c:pt idx="454">
                  <c:v>43126</c:v>
                </c:pt>
                <c:pt idx="455">
                  <c:v>43125</c:v>
                </c:pt>
                <c:pt idx="456">
                  <c:v>43124</c:v>
                </c:pt>
                <c:pt idx="457">
                  <c:v>43123</c:v>
                </c:pt>
                <c:pt idx="458">
                  <c:v>43122</c:v>
                </c:pt>
                <c:pt idx="459">
                  <c:v>43119</c:v>
                </c:pt>
                <c:pt idx="460">
                  <c:v>43118</c:v>
                </c:pt>
                <c:pt idx="461">
                  <c:v>43117</c:v>
                </c:pt>
                <c:pt idx="462">
                  <c:v>43116</c:v>
                </c:pt>
                <c:pt idx="463">
                  <c:v>43115</c:v>
                </c:pt>
                <c:pt idx="464">
                  <c:v>43112</c:v>
                </c:pt>
                <c:pt idx="465">
                  <c:v>43111</c:v>
                </c:pt>
                <c:pt idx="466">
                  <c:v>43110</c:v>
                </c:pt>
                <c:pt idx="467">
                  <c:v>43109</c:v>
                </c:pt>
                <c:pt idx="468">
                  <c:v>43105</c:v>
                </c:pt>
                <c:pt idx="469">
                  <c:v>43104</c:v>
                </c:pt>
                <c:pt idx="470">
                  <c:v>43098</c:v>
                </c:pt>
                <c:pt idx="471">
                  <c:v>43097</c:v>
                </c:pt>
                <c:pt idx="472">
                  <c:v>43096</c:v>
                </c:pt>
                <c:pt idx="473">
                  <c:v>43095</c:v>
                </c:pt>
                <c:pt idx="474">
                  <c:v>43094</c:v>
                </c:pt>
                <c:pt idx="475">
                  <c:v>43091</c:v>
                </c:pt>
                <c:pt idx="476">
                  <c:v>43090</c:v>
                </c:pt>
                <c:pt idx="477">
                  <c:v>43089</c:v>
                </c:pt>
                <c:pt idx="478">
                  <c:v>43088</c:v>
                </c:pt>
                <c:pt idx="479">
                  <c:v>43087</c:v>
                </c:pt>
                <c:pt idx="480">
                  <c:v>43084</c:v>
                </c:pt>
                <c:pt idx="481">
                  <c:v>43083</c:v>
                </c:pt>
                <c:pt idx="482">
                  <c:v>43082</c:v>
                </c:pt>
                <c:pt idx="483">
                  <c:v>43081</c:v>
                </c:pt>
                <c:pt idx="484">
                  <c:v>43080</c:v>
                </c:pt>
                <c:pt idx="485">
                  <c:v>43077</c:v>
                </c:pt>
                <c:pt idx="486">
                  <c:v>43076</c:v>
                </c:pt>
                <c:pt idx="487">
                  <c:v>43075</c:v>
                </c:pt>
                <c:pt idx="488">
                  <c:v>43074</c:v>
                </c:pt>
                <c:pt idx="489">
                  <c:v>43073</c:v>
                </c:pt>
                <c:pt idx="490">
                  <c:v>43070</c:v>
                </c:pt>
                <c:pt idx="491">
                  <c:v>43069</c:v>
                </c:pt>
                <c:pt idx="492">
                  <c:v>43068</c:v>
                </c:pt>
                <c:pt idx="493">
                  <c:v>43067</c:v>
                </c:pt>
                <c:pt idx="494">
                  <c:v>43066</c:v>
                </c:pt>
                <c:pt idx="495">
                  <c:v>43063</c:v>
                </c:pt>
                <c:pt idx="496">
                  <c:v>43061</c:v>
                </c:pt>
                <c:pt idx="497">
                  <c:v>43060</c:v>
                </c:pt>
                <c:pt idx="498">
                  <c:v>43059</c:v>
                </c:pt>
                <c:pt idx="499">
                  <c:v>43056</c:v>
                </c:pt>
                <c:pt idx="500">
                  <c:v>43055</c:v>
                </c:pt>
                <c:pt idx="501">
                  <c:v>43054</c:v>
                </c:pt>
                <c:pt idx="502">
                  <c:v>43053</c:v>
                </c:pt>
                <c:pt idx="503">
                  <c:v>43052</c:v>
                </c:pt>
                <c:pt idx="504">
                  <c:v>43049</c:v>
                </c:pt>
                <c:pt idx="505">
                  <c:v>43048</c:v>
                </c:pt>
                <c:pt idx="506">
                  <c:v>43047</c:v>
                </c:pt>
                <c:pt idx="507">
                  <c:v>43046</c:v>
                </c:pt>
                <c:pt idx="508">
                  <c:v>43045</c:v>
                </c:pt>
                <c:pt idx="509">
                  <c:v>43041</c:v>
                </c:pt>
                <c:pt idx="510">
                  <c:v>43040</c:v>
                </c:pt>
                <c:pt idx="511">
                  <c:v>43039</c:v>
                </c:pt>
                <c:pt idx="512">
                  <c:v>43038</c:v>
                </c:pt>
                <c:pt idx="513">
                  <c:v>43035</c:v>
                </c:pt>
                <c:pt idx="514">
                  <c:v>43034</c:v>
                </c:pt>
                <c:pt idx="515">
                  <c:v>43033</c:v>
                </c:pt>
                <c:pt idx="516">
                  <c:v>43032</c:v>
                </c:pt>
                <c:pt idx="517">
                  <c:v>43031</c:v>
                </c:pt>
                <c:pt idx="518">
                  <c:v>43028</c:v>
                </c:pt>
                <c:pt idx="519">
                  <c:v>43027</c:v>
                </c:pt>
                <c:pt idx="520">
                  <c:v>43026</c:v>
                </c:pt>
                <c:pt idx="521">
                  <c:v>43025</c:v>
                </c:pt>
                <c:pt idx="522">
                  <c:v>43024</c:v>
                </c:pt>
                <c:pt idx="523">
                  <c:v>43021</c:v>
                </c:pt>
                <c:pt idx="524">
                  <c:v>43020</c:v>
                </c:pt>
                <c:pt idx="525">
                  <c:v>43019</c:v>
                </c:pt>
                <c:pt idx="526">
                  <c:v>43018</c:v>
                </c:pt>
                <c:pt idx="527">
                  <c:v>43014</c:v>
                </c:pt>
                <c:pt idx="528">
                  <c:v>43013</c:v>
                </c:pt>
                <c:pt idx="529">
                  <c:v>43012</c:v>
                </c:pt>
                <c:pt idx="530">
                  <c:v>43011</c:v>
                </c:pt>
                <c:pt idx="531">
                  <c:v>43010</c:v>
                </c:pt>
                <c:pt idx="532">
                  <c:v>43007</c:v>
                </c:pt>
                <c:pt idx="533">
                  <c:v>43006</c:v>
                </c:pt>
                <c:pt idx="534">
                  <c:v>43005</c:v>
                </c:pt>
                <c:pt idx="535">
                  <c:v>43004</c:v>
                </c:pt>
                <c:pt idx="536">
                  <c:v>43003</c:v>
                </c:pt>
                <c:pt idx="537">
                  <c:v>43000</c:v>
                </c:pt>
                <c:pt idx="538">
                  <c:v>42999</c:v>
                </c:pt>
                <c:pt idx="539">
                  <c:v>42998</c:v>
                </c:pt>
                <c:pt idx="540">
                  <c:v>42997</c:v>
                </c:pt>
                <c:pt idx="541">
                  <c:v>42993</c:v>
                </c:pt>
                <c:pt idx="542">
                  <c:v>42992</c:v>
                </c:pt>
                <c:pt idx="543">
                  <c:v>42991</c:v>
                </c:pt>
                <c:pt idx="544">
                  <c:v>42990</c:v>
                </c:pt>
                <c:pt idx="545">
                  <c:v>42989</c:v>
                </c:pt>
                <c:pt idx="546">
                  <c:v>42986</c:v>
                </c:pt>
                <c:pt idx="547">
                  <c:v>42985</c:v>
                </c:pt>
                <c:pt idx="548">
                  <c:v>42984</c:v>
                </c:pt>
                <c:pt idx="549">
                  <c:v>42983</c:v>
                </c:pt>
                <c:pt idx="550">
                  <c:v>42982</c:v>
                </c:pt>
                <c:pt idx="551">
                  <c:v>42979</c:v>
                </c:pt>
                <c:pt idx="552">
                  <c:v>42978</c:v>
                </c:pt>
                <c:pt idx="553">
                  <c:v>42977</c:v>
                </c:pt>
                <c:pt idx="554">
                  <c:v>42976</c:v>
                </c:pt>
                <c:pt idx="555">
                  <c:v>42975</c:v>
                </c:pt>
                <c:pt idx="556">
                  <c:v>42972</c:v>
                </c:pt>
                <c:pt idx="557">
                  <c:v>42971</c:v>
                </c:pt>
                <c:pt idx="558">
                  <c:v>42970</c:v>
                </c:pt>
                <c:pt idx="559">
                  <c:v>42969</c:v>
                </c:pt>
                <c:pt idx="560">
                  <c:v>42968</c:v>
                </c:pt>
                <c:pt idx="561">
                  <c:v>42965</c:v>
                </c:pt>
                <c:pt idx="562">
                  <c:v>42964</c:v>
                </c:pt>
                <c:pt idx="563">
                  <c:v>42963</c:v>
                </c:pt>
                <c:pt idx="564">
                  <c:v>42962</c:v>
                </c:pt>
                <c:pt idx="565">
                  <c:v>42961</c:v>
                </c:pt>
                <c:pt idx="566">
                  <c:v>42957</c:v>
                </c:pt>
                <c:pt idx="567">
                  <c:v>42956</c:v>
                </c:pt>
                <c:pt idx="568">
                  <c:v>42955</c:v>
                </c:pt>
                <c:pt idx="569">
                  <c:v>42954</c:v>
                </c:pt>
                <c:pt idx="570">
                  <c:v>42951</c:v>
                </c:pt>
                <c:pt idx="571">
                  <c:v>42950</c:v>
                </c:pt>
                <c:pt idx="572">
                  <c:v>42949</c:v>
                </c:pt>
                <c:pt idx="573">
                  <c:v>42948</c:v>
                </c:pt>
                <c:pt idx="574">
                  <c:v>42947</c:v>
                </c:pt>
                <c:pt idx="575">
                  <c:v>42944</c:v>
                </c:pt>
                <c:pt idx="576">
                  <c:v>42943</c:v>
                </c:pt>
                <c:pt idx="577">
                  <c:v>42942</c:v>
                </c:pt>
                <c:pt idx="578">
                  <c:v>42941</c:v>
                </c:pt>
                <c:pt idx="579">
                  <c:v>42940</c:v>
                </c:pt>
                <c:pt idx="580">
                  <c:v>42937</c:v>
                </c:pt>
                <c:pt idx="581">
                  <c:v>42936</c:v>
                </c:pt>
                <c:pt idx="582">
                  <c:v>42935</c:v>
                </c:pt>
                <c:pt idx="583">
                  <c:v>42934</c:v>
                </c:pt>
                <c:pt idx="584">
                  <c:v>42930</c:v>
                </c:pt>
                <c:pt idx="585">
                  <c:v>42929</c:v>
                </c:pt>
                <c:pt idx="586">
                  <c:v>42928</c:v>
                </c:pt>
                <c:pt idx="587">
                  <c:v>42927</c:v>
                </c:pt>
                <c:pt idx="588">
                  <c:v>42926</c:v>
                </c:pt>
                <c:pt idx="589">
                  <c:v>42923</c:v>
                </c:pt>
                <c:pt idx="590">
                  <c:v>42922</c:v>
                </c:pt>
                <c:pt idx="591">
                  <c:v>42921</c:v>
                </c:pt>
                <c:pt idx="592">
                  <c:v>42920</c:v>
                </c:pt>
                <c:pt idx="593">
                  <c:v>42919</c:v>
                </c:pt>
                <c:pt idx="594">
                  <c:v>42916</c:v>
                </c:pt>
                <c:pt idx="595">
                  <c:v>42915</c:v>
                </c:pt>
                <c:pt idx="596">
                  <c:v>42914</c:v>
                </c:pt>
                <c:pt idx="597">
                  <c:v>42913</c:v>
                </c:pt>
                <c:pt idx="598">
                  <c:v>42912</c:v>
                </c:pt>
                <c:pt idx="599">
                  <c:v>42909</c:v>
                </c:pt>
                <c:pt idx="600">
                  <c:v>42908</c:v>
                </c:pt>
                <c:pt idx="601">
                  <c:v>42907</c:v>
                </c:pt>
                <c:pt idx="602">
                  <c:v>42906</c:v>
                </c:pt>
                <c:pt idx="603">
                  <c:v>42905</c:v>
                </c:pt>
                <c:pt idx="604">
                  <c:v>42902</c:v>
                </c:pt>
                <c:pt idx="605">
                  <c:v>42901</c:v>
                </c:pt>
                <c:pt idx="606">
                  <c:v>42900</c:v>
                </c:pt>
                <c:pt idx="607">
                  <c:v>42899</c:v>
                </c:pt>
                <c:pt idx="608">
                  <c:v>42898</c:v>
                </c:pt>
                <c:pt idx="609">
                  <c:v>42895</c:v>
                </c:pt>
                <c:pt idx="610">
                  <c:v>42894</c:v>
                </c:pt>
                <c:pt idx="611">
                  <c:v>42893</c:v>
                </c:pt>
                <c:pt idx="612">
                  <c:v>42892</c:v>
                </c:pt>
                <c:pt idx="613">
                  <c:v>42891</c:v>
                </c:pt>
                <c:pt idx="614">
                  <c:v>42888</c:v>
                </c:pt>
                <c:pt idx="615">
                  <c:v>42887</c:v>
                </c:pt>
                <c:pt idx="616">
                  <c:v>42886</c:v>
                </c:pt>
                <c:pt idx="617">
                  <c:v>42885</c:v>
                </c:pt>
                <c:pt idx="618">
                  <c:v>42884</c:v>
                </c:pt>
                <c:pt idx="619">
                  <c:v>42881</c:v>
                </c:pt>
                <c:pt idx="620">
                  <c:v>42880</c:v>
                </c:pt>
                <c:pt idx="621">
                  <c:v>42879</c:v>
                </c:pt>
                <c:pt idx="622">
                  <c:v>42878</c:v>
                </c:pt>
                <c:pt idx="623">
                  <c:v>42877</c:v>
                </c:pt>
                <c:pt idx="624">
                  <c:v>42874</c:v>
                </c:pt>
                <c:pt idx="625">
                  <c:v>42873</c:v>
                </c:pt>
                <c:pt idx="626">
                  <c:v>42872</c:v>
                </c:pt>
                <c:pt idx="627">
                  <c:v>42871</c:v>
                </c:pt>
                <c:pt idx="628">
                  <c:v>42870</c:v>
                </c:pt>
                <c:pt idx="629">
                  <c:v>42867</c:v>
                </c:pt>
                <c:pt idx="630">
                  <c:v>42866</c:v>
                </c:pt>
                <c:pt idx="631">
                  <c:v>42865</c:v>
                </c:pt>
                <c:pt idx="632">
                  <c:v>42864</c:v>
                </c:pt>
                <c:pt idx="633">
                  <c:v>42863</c:v>
                </c:pt>
                <c:pt idx="634">
                  <c:v>42857</c:v>
                </c:pt>
                <c:pt idx="635">
                  <c:v>42856</c:v>
                </c:pt>
                <c:pt idx="636">
                  <c:v>42853</c:v>
                </c:pt>
                <c:pt idx="637">
                  <c:v>42852</c:v>
                </c:pt>
                <c:pt idx="638">
                  <c:v>42851</c:v>
                </c:pt>
                <c:pt idx="639">
                  <c:v>42850</c:v>
                </c:pt>
                <c:pt idx="640">
                  <c:v>42849</c:v>
                </c:pt>
                <c:pt idx="641">
                  <c:v>42846</c:v>
                </c:pt>
                <c:pt idx="642">
                  <c:v>42845</c:v>
                </c:pt>
                <c:pt idx="643">
                  <c:v>42844</c:v>
                </c:pt>
                <c:pt idx="644">
                  <c:v>42843</c:v>
                </c:pt>
                <c:pt idx="645">
                  <c:v>42842</c:v>
                </c:pt>
                <c:pt idx="646">
                  <c:v>42839</c:v>
                </c:pt>
                <c:pt idx="647">
                  <c:v>42838</c:v>
                </c:pt>
                <c:pt idx="648">
                  <c:v>42837</c:v>
                </c:pt>
                <c:pt idx="649">
                  <c:v>42836</c:v>
                </c:pt>
                <c:pt idx="650">
                  <c:v>42835</c:v>
                </c:pt>
                <c:pt idx="651">
                  <c:v>42832</c:v>
                </c:pt>
                <c:pt idx="652">
                  <c:v>42831</c:v>
                </c:pt>
                <c:pt idx="653">
                  <c:v>42830</c:v>
                </c:pt>
                <c:pt idx="654">
                  <c:v>42829</c:v>
                </c:pt>
                <c:pt idx="655">
                  <c:v>42828</c:v>
                </c:pt>
                <c:pt idx="656">
                  <c:v>42825</c:v>
                </c:pt>
                <c:pt idx="657">
                  <c:v>42824</c:v>
                </c:pt>
                <c:pt idx="658">
                  <c:v>42823</c:v>
                </c:pt>
                <c:pt idx="659">
                  <c:v>42822</c:v>
                </c:pt>
                <c:pt idx="660">
                  <c:v>42821</c:v>
                </c:pt>
                <c:pt idx="661">
                  <c:v>42818</c:v>
                </c:pt>
              </c:numCache>
            </c:numRef>
          </c:cat>
          <c:val>
            <c:numRef>
              <c:f>グラフ!$O$42:$O$703</c:f>
              <c:numCache>
                <c:formatCode>General</c:formatCode>
                <c:ptCount val="662"/>
                <c:pt idx="0">
                  <c:v>0.28092628492483024</c:v>
                </c:pt>
                <c:pt idx="1">
                  <c:v>0.28107027650653593</c:v>
                </c:pt>
                <c:pt idx="2">
                  <c:v>0.28138492717722341</c:v>
                </c:pt>
                <c:pt idx="3">
                  <c:v>0.2817492883302628</c:v>
                </c:pt>
                <c:pt idx="4">
                  <c:v>0.28189140552409525</c:v>
                </c:pt>
                <c:pt idx="5">
                  <c:v>0.28212075517154644</c:v>
                </c:pt>
                <c:pt idx="6">
                  <c:v>0.28239782299871419</c:v>
                </c:pt>
                <c:pt idx="7">
                  <c:v>0.28244892693833318</c:v>
                </c:pt>
                <c:pt idx="8">
                  <c:v>0.2823880467800457</c:v>
                </c:pt>
                <c:pt idx="9">
                  <c:v>0.28221580425322634</c:v>
                </c:pt>
                <c:pt idx="10">
                  <c:v>0.2820156284643548</c:v>
                </c:pt>
                <c:pt idx="11">
                  <c:v>0.28191376729858442</c:v>
                </c:pt>
                <c:pt idx="12">
                  <c:v>0.28165461114765689</c:v>
                </c:pt>
                <c:pt idx="13">
                  <c:v>0.28149997755782041</c:v>
                </c:pt>
                <c:pt idx="14">
                  <c:v>0.28145078901805126</c:v>
                </c:pt>
                <c:pt idx="15">
                  <c:v>0.2812873526197</c:v>
                </c:pt>
                <c:pt idx="16">
                  <c:v>0.28116837071381079</c:v>
                </c:pt>
                <c:pt idx="17">
                  <c:v>0.28118848576977401</c:v>
                </c:pt>
                <c:pt idx="18">
                  <c:v>0.28118766659816674</c:v>
                </c:pt>
                <c:pt idx="19">
                  <c:v>0.28117084006927812</c:v>
                </c:pt>
                <c:pt idx="20">
                  <c:v>0.28097916121029376</c:v>
                </c:pt>
                <c:pt idx="21">
                  <c:v>0.28117399154612249</c:v>
                </c:pt>
                <c:pt idx="22">
                  <c:v>0.28164848864177344</c:v>
                </c:pt>
                <c:pt idx="23">
                  <c:v>0.28167779840321194</c:v>
                </c:pt>
                <c:pt idx="24">
                  <c:v>0.28158596041047385</c:v>
                </c:pt>
                <c:pt idx="25">
                  <c:v>0.28155735398189191</c:v>
                </c:pt>
                <c:pt idx="26">
                  <c:v>0.28149415172596842</c:v>
                </c:pt>
                <c:pt idx="27">
                  <c:v>0.28147161238101714</c:v>
                </c:pt>
                <c:pt idx="28">
                  <c:v>0.28147601943224787</c:v>
                </c:pt>
                <c:pt idx="29">
                  <c:v>0.28141059105484079</c:v>
                </c:pt>
                <c:pt idx="30">
                  <c:v>0.28140558097433765</c:v>
                </c:pt>
                <c:pt idx="31">
                  <c:v>0.28139486428335059</c:v>
                </c:pt>
                <c:pt idx="32">
                  <c:v>0.28137153037679452</c:v>
                </c:pt>
                <c:pt idx="33">
                  <c:v>0.28139681688793933</c:v>
                </c:pt>
                <c:pt idx="34">
                  <c:v>0.28144932292675751</c:v>
                </c:pt>
                <c:pt idx="35">
                  <c:v>0.28150869006021134</c:v>
                </c:pt>
                <c:pt idx="36">
                  <c:v>0.2815572851841498</c:v>
                </c:pt>
                <c:pt idx="37">
                  <c:v>0.28162933047251804</c:v>
                </c:pt>
                <c:pt idx="38">
                  <c:v>0.28167576676947781</c:v>
                </c:pt>
                <c:pt idx="39">
                  <c:v>0.28170044410963901</c:v>
                </c:pt>
                <c:pt idx="40">
                  <c:v>0.28180171374352403</c:v>
                </c:pt>
                <c:pt idx="41">
                  <c:v>0.28175665507809117</c:v>
                </c:pt>
                <c:pt idx="42">
                  <c:v>0.28170402948814754</c:v>
                </c:pt>
                <c:pt idx="43">
                  <c:v>0.28168441281753098</c:v>
                </c:pt>
                <c:pt idx="44">
                  <c:v>0.28170509714880343</c:v>
                </c:pt>
                <c:pt idx="45">
                  <c:v>0.28177830599286702</c:v>
                </c:pt>
                <c:pt idx="46">
                  <c:v>0.28188741391150007</c:v>
                </c:pt>
                <c:pt idx="47">
                  <c:v>0.28194178578004253</c:v>
                </c:pt>
                <c:pt idx="48">
                  <c:v>0.28203506237882298</c:v>
                </c:pt>
                <c:pt idx="49">
                  <c:v>0.28213452946197098</c:v>
                </c:pt>
                <c:pt idx="50">
                  <c:v>0.282217748116038</c:v>
                </c:pt>
                <c:pt idx="51">
                  <c:v>0.2822814341857543</c:v>
                </c:pt>
                <c:pt idx="52">
                  <c:v>0.28239924004324002</c:v>
                </c:pt>
                <c:pt idx="53">
                  <c:v>0.28262494348408063</c:v>
                </c:pt>
                <c:pt idx="54">
                  <c:v>0.28286666932020998</c:v>
                </c:pt>
                <c:pt idx="55">
                  <c:v>0.2830396144691999</c:v>
                </c:pt>
                <c:pt idx="56">
                  <c:v>0.28298181581849313</c:v>
                </c:pt>
                <c:pt idx="57">
                  <c:v>0.28304537335656871</c:v>
                </c:pt>
                <c:pt idx="58">
                  <c:v>0.28314385726828878</c:v>
                </c:pt>
                <c:pt idx="59">
                  <c:v>0.28310103199147058</c:v>
                </c:pt>
                <c:pt idx="60">
                  <c:v>0.28324293545177315</c:v>
                </c:pt>
                <c:pt idx="61">
                  <c:v>0.2833697200301083</c:v>
                </c:pt>
                <c:pt idx="62">
                  <c:v>0.28336185271330044</c:v>
                </c:pt>
                <c:pt idx="63">
                  <c:v>0.28337762639696668</c:v>
                </c:pt>
                <c:pt idx="64">
                  <c:v>0.28323314282797618</c:v>
                </c:pt>
                <c:pt idx="65">
                  <c:v>0.28313826589147451</c:v>
                </c:pt>
                <c:pt idx="66">
                  <c:v>0.28301524069629969</c:v>
                </c:pt>
                <c:pt idx="67">
                  <c:v>0.28290039776229853</c:v>
                </c:pt>
                <c:pt idx="68">
                  <c:v>0.28254281090469963</c:v>
                </c:pt>
                <c:pt idx="69">
                  <c:v>0.28228278367592002</c:v>
                </c:pt>
                <c:pt idx="70">
                  <c:v>0.28231183682642919</c:v>
                </c:pt>
                <c:pt idx="71">
                  <c:v>0.28234010117789154</c:v>
                </c:pt>
                <c:pt idx="72">
                  <c:v>0.2824327502481398</c:v>
                </c:pt>
                <c:pt idx="73">
                  <c:v>0.28234546182909298</c:v>
                </c:pt>
                <c:pt idx="74">
                  <c:v>0.28163143923752992</c:v>
                </c:pt>
                <c:pt idx="75">
                  <c:v>0.28052735165940323</c:v>
                </c:pt>
                <c:pt idx="76">
                  <c:v>0.27962163725355721</c:v>
                </c:pt>
                <c:pt idx="77">
                  <c:v>0.27868644819643923</c:v>
                </c:pt>
                <c:pt idx="78">
                  <c:v>0.2780389388486712</c:v>
                </c:pt>
                <c:pt idx="79">
                  <c:v>0.277757866951647</c:v>
                </c:pt>
                <c:pt idx="80">
                  <c:v>0.27728746838778717</c:v>
                </c:pt>
                <c:pt idx="81">
                  <c:v>0.27694230575778123</c:v>
                </c:pt>
                <c:pt idx="82">
                  <c:v>0.2762064937921534</c:v>
                </c:pt>
                <c:pt idx="83">
                  <c:v>0.27569933561040599</c:v>
                </c:pt>
                <c:pt idx="84">
                  <c:v>0.27515029050224304</c:v>
                </c:pt>
                <c:pt idx="85">
                  <c:v>0.27469357486441182</c:v>
                </c:pt>
                <c:pt idx="86">
                  <c:v>0.27427355993320102</c:v>
                </c:pt>
                <c:pt idx="87">
                  <c:v>0.27389558854288421</c:v>
                </c:pt>
                <c:pt idx="88">
                  <c:v>0.27364590166781821</c:v>
                </c:pt>
                <c:pt idx="89">
                  <c:v>0.27353385421945298</c:v>
                </c:pt>
                <c:pt idx="90">
                  <c:v>0.27343106331775863</c:v>
                </c:pt>
                <c:pt idx="91">
                  <c:v>0.27332400269819063</c:v>
                </c:pt>
                <c:pt idx="92">
                  <c:v>0.27324629812073542</c:v>
                </c:pt>
                <c:pt idx="93">
                  <c:v>0.27315862258384244</c:v>
                </c:pt>
                <c:pt idx="94">
                  <c:v>0.27333320989502302</c:v>
                </c:pt>
                <c:pt idx="95">
                  <c:v>0.27371240222879201</c:v>
                </c:pt>
                <c:pt idx="96">
                  <c:v>0.27412505833342038</c:v>
                </c:pt>
                <c:pt idx="97">
                  <c:v>0.27443014774504476</c:v>
                </c:pt>
                <c:pt idx="98">
                  <c:v>0.27482088737781057</c:v>
                </c:pt>
                <c:pt idx="99">
                  <c:v>0.27536028129650281</c:v>
                </c:pt>
                <c:pt idx="100">
                  <c:v>0.27575886846201081</c:v>
                </c:pt>
                <c:pt idx="101">
                  <c:v>0.27628801515417861</c:v>
                </c:pt>
                <c:pt idx="102">
                  <c:v>0.27673096444089684</c:v>
                </c:pt>
                <c:pt idx="103">
                  <c:v>0.27698658299083917</c:v>
                </c:pt>
                <c:pt idx="104">
                  <c:v>0.27713950664212561</c:v>
                </c:pt>
                <c:pt idx="105">
                  <c:v>0.27739426705766257</c:v>
                </c:pt>
                <c:pt idx="106">
                  <c:v>0.27760613601681294</c:v>
                </c:pt>
                <c:pt idx="107">
                  <c:v>0.27781662335321383</c:v>
                </c:pt>
                <c:pt idx="108">
                  <c:v>0.27811802503286498</c:v>
                </c:pt>
                <c:pt idx="109">
                  <c:v>0.2784982868582454</c:v>
                </c:pt>
                <c:pt idx="110">
                  <c:v>0.27877603442118321</c:v>
                </c:pt>
                <c:pt idx="111">
                  <c:v>0.27914628043416417</c:v>
                </c:pt>
                <c:pt idx="112">
                  <c:v>0.279720267702049</c:v>
                </c:pt>
                <c:pt idx="113">
                  <c:v>0.28038773786754584</c:v>
                </c:pt>
                <c:pt idx="114">
                  <c:v>0.28104091118451435</c:v>
                </c:pt>
                <c:pt idx="115">
                  <c:v>0.28148993226321301</c:v>
                </c:pt>
                <c:pt idx="116">
                  <c:v>0.28210536102635958</c:v>
                </c:pt>
                <c:pt idx="117">
                  <c:v>0.28280016769570043</c:v>
                </c:pt>
                <c:pt idx="118">
                  <c:v>0.28338428989270403</c:v>
                </c:pt>
                <c:pt idx="119">
                  <c:v>0.28356547137793281</c:v>
                </c:pt>
                <c:pt idx="120">
                  <c:v>0.28379098283426962</c:v>
                </c:pt>
                <c:pt idx="121">
                  <c:v>0.28383373614949597</c:v>
                </c:pt>
                <c:pt idx="122">
                  <c:v>0.28393841329705516</c:v>
                </c:pt>
                <c:pt idx="123">
                  <c:v>0.28437955421796518</c:v>
                </c:pt>
                <c:pt idx="124">
                  <c:v>0.2848310097873118</c:v>
                </c:pt>
                <c:pt idx="125">
                  <c:v>0.28530006637447325</c:v>
                </c:pt>
                <c:pt idx="126">
                  <c:v>0.28572532634685804</c:v>
                </c:pt>
                <c:pt idx="127">
                  <c:v>0.28626934436137841</c:v>
                </c:pt>
                <c:pt idx="128">
                  <c:v>0.28699775720483256</c:v>
                </c:pt>
                <c:pt idx="129">
                  <c:v>0.28767826593298257</c:v>
                </c:pt>
                <c:pt idx="130">
                  <c:v>0.28877964539699902</c:v>
                </c:pt>
                <c:pt idx="131">
                  <c:v>0.28981613819210739</c:v>
                </c:pt>
                <c:pt idx="132">
                  <c:v>0.2906218197029834</c:v>
                </c:pt>
                <c:pt idx="133">
                  <c:v>0.29139501886603458</c:v>
                </c:pt>
                <c:pt idx="134">
                  <c:v>0.29232635980525301</c:v>
                </c:pt>
                <c:pt idx="135">
                  <c:v>0.29364794818632362</c:v>
                </c:pt>
                <c:pt idx="136">
                  <c:v>0.29478965904433357</c:v>
                </c:pt>
                <c:pt idx="137">
                  <c:v>0.29621899887407521</c:v>
                </c:pt>
                <c:pt idx="138">
                  <c:v>0.29762329944178822</c:v>
                </c:pt>
                <c:pt idx="139">
                  <c:v>0.2987878268317804</c:v>
                </c:pt>
                <c:pt idx="140">
                  <c:v>0.29985621149765501</c:v>
                </c:pt>
                <c:pt idx="141">
                  <c:v>0.30077761552641563</c:v>
                </c:pt>
                <c:pt idx="142">
                  <c:v>0.30185438056454339</c:v>
                </c:pt>
                <c:pt idx="143">
                  <c:v>0.3036668147938098</c:v>
                </c:pt>
                <c:pt idx="144">
                  <c:v>0.30347186251272179</c:v>
                </c:pt>
                <c:pt idx="145">
                  <c:v>0.30314003941339396</c:v>
                </c:pt>
                <c:pt idx="146">
                  <c:v>0.30326874065345921</c:v>
                </c:pt>
                <c:pt idx="147">
                  <c:v>0.30340480633219019</c:v>
                </c:pt>
                <c:pt idx="148">
                  <c:v>0.30309669901014957</c:v>
                </c:pt>
                <c:pt idx="149">
                  <c:v>0.30299025856543799</c:v>
                </c:pt>
                <c:pt idx="150">
                  <c:v>0.30287999047336955</c:v>
                </c:pt>
                <c:pt idx="151">
                  <c:v>0.30289493362485098</c:v>
                </c:pt>
                <c:pt idx="152">
                  <c:v>0.30292514780579499</c:v>
                </c:pt>
                <c:pt idx="153">
                  <c:v>0.30283442682301775</c:v>
                </c:pt>
                <c:pt idx="154">
                  <c:v>0.30275210737904701</c:v>
                </c:pt>
                <c:pt idx="155">
                  <c:v>0.302687931748086</c:v>
                </c:pt>
                <c:pt idx="156">
                  <c:v>0.3025994551709566</c:v>
                </c:pt>
                <c:pt idx="157">
                  <c:v>0.30255562250668661</c:v>
                </c:pt>
                <c:pt idx="158">
                  <c:v>0.3025641265368374</c:v>
                </c:pt>
                <c:pt idx="159">
                  <c:v>0.30259268997528921</c:v>
                </c:pt>
                <c:pt idx="160">
                  <c:v>0.30259229112733999</c:v>
                </c:pt>
                <c:pt idx="161">
                  <c:v>0.30259693323815562</c:v>
                </c:pt>
                <c:pt idx="162">
                  <c:v>0.3025981942315582</c:v>
                </c:pt>
                <c:pt idx="163">
                  <c:v>0.30259748393495461</c:v>
                </c:pt>
                <c:pt idx="164">
                  <c:v>0.30261416524544621</c:v>
                </c:pt>
                <c:pt idx="165">
                  <c:v>0.30263560468182821</c:v>
                </c:pt>
                <c:pt idx="166">
                  <c:v>0.30264121833861479</c:v>
                </c:pt>
                <c:pt idx="167">
                  <c:v>0.30264027577666758</c:v>
                </c:pt>
                <c:pt idx="168">
                  <c:v>0.30258363182107739</c:v>
                </c:pt>
                <c:pt idx="169">
                  <c:v>0.3022921373595312</c:v>
                </c:pt>
                <c:pt idx="170">
                  <c:v>0.3019818353854386</c:v>
                </c:pt>
                <c:pt idx="171">
                  <c:v>0.30183696024965018</c:v>
                </c:pt>
                <c:pt idx="172">
                  <c:v>0.30160955859498578</c:v>
                </c:pt>
                <c:pt idx="173">
                  <c:v>0.30123167676303841</c:v>
                </c:pt>
                <c:pt idx="174">
                  <c:v>0.30102205110482538</c:v>
                </c:pt>
                <c:pt idx="175">
                  <c:v>0.30102583446852438</c:v>
                </c:pt>
                <c:pt idx="176">
                  <c:v>0.30097588648045803</c:v>
                </c:pt>
                <c:pt idx="177">
                  <c:v>0.30081250660126319</c:v>
                </c:pt>
                <c:pt idx="178">
                  <c:v>0.30052284966910697</c:v>
                </c:pt>
                <c:pt idx="179">
                  <c:v>0.2998663856158198</c:v>
                </c:pt>
                <c:pt idx="180">
                  <c:v>0.29914022487901321</c:v>
                </c:pt>
                <c:pt idx="181">
                  <c:v>0.29844709090950644</c:v>
                </c:pt>
                <c:pt idx="182">
                  <c:v>0.29761731692786503</c:v>
                </c:pt>
                <c:pt idx="183">
                  <c:v>0.29682652385401082</c:v>
                </c:pt>
                <c:pt idx="184">
                  <c:v>0.29614266439500198</c:v>
                </c:pt>
                <c:pt idx="185">
                  <c:v>0.29528564634501681</c:v>
                </c:pt>
                <c:pt idx="186">
                  <c:v>0.29506209484944163</c:v>
                </c:pt>
                <c:pt idx="187">
                  <c:v>0.29446570942737321</c:v>
                </c:pt>
                <c:pt idx="188">
                  <c:v>0.29422423054887442</c:v>
                </c:pt>
                <c:pt idx="189">
                  <c:v>0.294098791340766</c:v>
                </c:pt>
                <c:pt idx="190">
                  <c:v>0.29349102931079279</c:v>
                </c:pt>
                <c:pt idx="191">
                  <c:v>0.29270716384431983</c:v>
                </c:pt>
                <c:pt idx="192">
                  <c:v>0.29264172723961701</c:v>
                </c:pt>
                <c:pt idx="193">
                  <c:v>0.29275852356852983</c:v>
                </c:pt>
                <c:pt idx="194">
                  <c:v>0.29309256744665058</c:v>
                </c:pt>
                <c:pt idx="195">
                  <c:v>0.2934634207170968</c:v>
                </c:pt>
                <c:pt idx="196">
                  <c:v>0.2936023110019832</c:v>
                </c:pt>
                <c:pt idx="197">
                  <c:v>0.29369722842782919</c:v>
                </c:pt>
                <c:pt idx="198">
                  <c:v>0.29357847857040298</c:v>
                </c:pt>
                <c:pt idx="199">
                  <c:v>0.29340951173596064</c:v>
                </c:pt>
                <c:pt idx="200">
                  <c:v>0.29344083538281701</c:v>
                </c:pt>
                <c:pt idx="201">
                  <c:v>0.29307967776538241</c:v>
                </c:pt>
                <c:pt idx="202">
                  <c:v>0.29272158816155497</c:v>
                </c:pt>
                <c:pt idx="203">
                  <c:v>0.29215248202953675</c:v>
                </c:pt>
                <c:pt idx="204">
                  <c:v>0.29166739686031323</c:v>
                </c:pt>
                <c:pt idx="205">
                  <c:v>0.29086793202708</c:v>
                </c:pt>
                <c:pt idx="206">
                  <c:v>0.29071041961973898</c:v>
                </c:pt>
                <c:pt idx="207">
                  <c:v>0.29069202361271756</c:v>
                </c:pt>
                <c:pt idx="208">
                  <c:v>0.29092636407385741</c:v>
                </c:pt>
                <c:pt idx="209">
                  <c:v>0.29105887527746943</c:v>
                </c:pt>
                <c:pt idx="210">
                  <c:v>0.29113856959895479</c:v>
                </c:pt>
                <c:pt idx="211">
                  <c:v>0.29142219137425279</c:v>
                </c:pt>
                <c:pt idx="212">
                  <c:v>0.29164499111198861</c:v>
                </c:pt>
                <c:pt idx="213">
                  <c:v>0.29210692682040479</c:v>
                </c:pt>
                <c:pt idx="214">
                  <c:v>0.29252985955564242</c:v>
                </c:pt>
                <c:pt idx="215">
                  <c:v>0.29288042652537383</c:v>
                </c:pt>
                <c:pt idx="216">
                  <c:v>0.29349464242207279</c:v>
                </c:pt>
                <c:pt idx="217">
                  <c:v>0.29402159475479239</c:v>
                </c:pt>
                <c:pt idx="218">
                  <c:v>0.29452666730855742</c:v>
                </c:pt>
                <c:pt idx="219">
                  <c:v>0.29478839243209642</c:v>
                </c:pt>
                <c:pt idx="220">
                  <c:v>0.29489840039396681</c:v>
                </c:pt>
                <c:pt idx="221">
                  <c:v>0.29488486177910039</c:v>
                </c:pt>
                <c:pt idx="222">
                  <c:v>0.29484706962389101</c:v>
                </c:pt>
                <c:pt idx="223">
                  <c:v>0.29451717390629162</c:v>
                </c:pt>
                <c:pt idx="224">
                  <c:v>0.29398823837650279</c:v>
                </c:pt>
                <c:pt idx="225">
                  <c:v>0.29360890564034681</c:v>
                </c:pt>
                <c:pt idx="226">
                  <c:v>0.29332511736851918</c:v>
                </c:pt>
                <c:pt idx="227">
                  <c:v>0.29305279631876058</c:v>
                </c:pt>
                <c:pt idx="228">
                  <c:v>0.29293753863694699</c:v>
                </c:pt>
                <c:pt idx="229">
                  <c:v>0.2930032256341904</c:v>
                </c:pt>
                <c:pt idx="230">
                  <c:v>0.29313754331285541</c:v>
                </c:pt>
                <c:pt idx="231">
                  <c:v>0.29333614140305436</c:v>
                </c:pt>
                <c:pt idx="232">
                  <c:v>0.2936200986192814</c:v>
                </c:pt>
                <c:pt idx="233">
                  <c:v>0.29370376137166998</c:v>
                </c:pt>
                <c:pt idx="234">
                  <c:v>0.29380633585037902</c:v>
                </c:pt>
                <c:pt idx="235">
                  <c:v>0.2938669602565272</c:v>
                </c:pt>
                <c:pt idx="236">
                  <c:v>0.29393858437949677</c:v>
                </c:pt>
                <c:pt idx="237">
                  <c:v>0.29399007459776244</c:v>
                </c:pt>
                <c:pt idx="238">
                  <c:v>0.29404317164033977</c:v>
                </c:pt>
                <c:pt idx="239">
                  <c:v>0.29414593393966859</c:v>
                </c:pt>
                <c:pt idx="240">
                  <c:v>0.29431520791535382</c:v>
                </c:pt>
                <c:pt idx="241">
                  <c:v>0.29438076433019861</c:v>
                </c:pt>
                <c:pt idx="242">
                  <c:v>0.2944772096593406</c:v>
                </c:pt>
                <c:pt idx="243">
                  <c:v>0.29476609565771095</c:v>
                </c:pt>
                <c:pt idx="244">
                  <c:v>0.29538891717451038</c:v>
                </c:pt>
                <c:pt idx="245">
                  <c:v>0.29604508340082419</c:v>
                </c:pt>
                <c:pt idx="246">
                  <c:v>0.296520226789449</c:v>
                </c:pt>
                <c:pt idx="247">
                  <c:v>0.29712815531910142</c:v>
                </c:pt>
                <c:pt idx="248">
                  <c:v>0.29760190165759681</c:v>
                </c:pt>
                <c:pt idx="249">
                  <c:v>0.29813632076268659</c:v>
                </c:pt>
                <c:pt idx="250">
                  <c:v>0.29860692106169279</c:v>
                </c:pt>
                <c:pt idx="251">
                  <c:v>0.2991191247421322</c:v>
                </c:pt>
                <c:pt idx="252">
                  <c:v>0.29982681726930099</c:v>
                </c:pt>
                <c:pt idx="253">
                  <c:v>0.300523976837829</c:v>
                </c:pt>
                <c:pt idx="254">
                  <c:v>0.30177763784932182</c:v>
                </c:pt>
                <c:pt idx="255">
                  <c:v>0.30293386282629459</c:v>
                </c:pt>
                <c:pt idx="256">
                  <c:v>0.30420373099281783</c:v>
                </c:pt>
                <c:pt idx="257">
                  <c:v>0.3057077096272432</c:v>
                </c:pt>
                <c:pt idx="258">
                  <c:v>0.30719043073417956</c:v>
                </c:pt>
                <c:pt idx="259">
                  <c:v>0.30858667109098536</c:v>
                </c:pt>
                <c:pt idx="260">
                  <c:v>0.31039594642467616</c:v>
                </c:pt>
                <c:pt idx="261">
                  <c:v>0.31115226372613958</c:v>
                </c:pt>
                <c:pt idx="262">
                  <c:v>0.31268140606844735</c:v>
                </c:pt>
                <c:pt idx="263">
                  <c:v>0.31348937631981683</c:v>
                </c:pt>
                <c:pt idx="264">
                  <c:v>0.3139334458013146</c:v>
                </c:pt>
                <c:pt idx="265">
                  <c:v>0.31537597529422196</c:v>
                </c:pt>
                <c:pt idx="266">
                  <c:v>0.3172534673455828</c:v>
                </c:pt>
                <c:pt idx="267">
                  <c:v>0.31762289598162058</c:v>
                </c:pt>
                <c:pt idx="268">
                  <c:v>0.31772847842227842</c:v>
                </c:pt>
                <c:pt idx="269">
                  <c:v>0.31768992958798359</c:v>
                </c:pt>
                <c:pt idx="270">
                  <c:v>0.31773884275355035</c:v>
                </c:pt>
                <c:pt idx="271">
                  <c:v>0.31706118316431797</c:v>
                </c:pt>
                <c:pt idx="272">
                  <c:v>0.3165952615674032</c:v>
                </c:pt>
                <c:pt idx="273">
                  <c:v>0.31579913110824603</c:v>
                </c:pt>
                <c:pt idx="274">
                  <c:v>0.3150141424367302</c:v>
                </c:pt>
                <c:pt idx="275">
                  <c:v>0.31425555685440398</c:v>
                </c:pt>
                <c:pt idx="276">
                  <c:v>0.31356121820665039</c:v>
                </c:pt>
                <c:pt idx="277">
                  <c:v>0.31251606319343161</c:v>
                </c:pt>
                <c:pt idx="278">
                  <c:v>0.31218079628422979</c:v>
                </c:pt>
                <c:pt idx="279">
                  <c:v>0.3117047139537234</c:v>
                </c:pt>
                <c:pt idx="280">
                  <c:v>0.31092572645112759</c:v>
                </c:pt>
                <c:pt idx="281">
                  <c:v>0.30973233054317117</c:v>
                </c:pt>
                <c:pt idx="282">
                  <c:v>0.30854246203790336</c:v>
                </c:pt>
                <c:pt idx="283">
                  <c:v>0.30728042666737981</c:v>
                </c:pt>
                <c:pt idx="284">
                  <c:v>0.30589458380702061</c:v>
                </c:pt>
                <c:pt idx="285">
                  <c:v>0.30477396581606564</c:v>
                </c:pt>
                <c:pt idx="286">
                  <c:v>0.30393197553421519</c:v>
                </c:pt>
                <c:pt idx="287">
                  <c:v>0.30300967034610959</c:v>
                </c:pt>
                <c:pt idx="288">
                  <c:v>0.30247975403780758</c:v>
                </c:pt>
                <c:pt idx="289">
                  <c:v>0.30184079043279999</c:v>
                </c:pt>
                <c:pt idx="290">
                  <c:v>0.30144486094795842</c:v>
                </c:pt>
                <c:pt idx="291">
                  <c:v>0.30107660219038779</c:v>
                </c:pt>
                <c:pt idx="292">
                  <c:v>0.30078779260293459</c:v>
                </c:pt>
                <c:pt idx="293">
                  <c:v>0.30033717386071856</c:v>
                </c:pt>
                <c:pt idx="294">
                  <c:v>0.29962049774438743</c:v>
                </c:pt>
                <c:pt idx="295">
                  <c:v>0.299244180226935</c:v>
                </c:pt>
                <c:pt idx="296">
                  <c:v>0.29876562508377658</c:v>
                </c:pt>
                <c:pt idx="297">
                  <c:v>0.29849005835028658</c:v>
                </c:pt>
                <c:pt idx="298">
                  <c:v>0.29865432739889242</c:v>
                </c:pt>
                <c:pt idx="299">
                  <c:v>0.29920526770545358</c:v>
                </c:pt>
                <c:pt idx="300">
                  <c:v>0.29995078148358423</c:v>
                </c:pt>
                <c:pt idx="301">
                  <c:v>0.3005049779124242</c:v>
                </c:pt>
                <c:pt idx="302">
                  <c:v>0.30118807248814161</c:v>
                </c:pt>
                <c:pt idx="303">
                  <c:v>0.30201708146289841</c:v>
                </c:pt>
                <c:pt idx="304">
                  <c:v>0.30257316959542241</c:v>
                </c:pt>
                <c:pt idx="305">
                  <c:v>0.30300203368913259</c:v>
                </c:pt>
                <c:pt idx="306">
                  <c:v>0.30354132965802699</c:v>
                </c:pt>
                <c:pt idx="307">
                  <c:v>0.30388376861773558</c:v>
                </c:pt>
                <c:pt idx="308">
                  <c:v>0.30395574802153719</c:v>
                </c:pt>
                <c:pt idx="309">
                  <c:v>0.30385455084072716</c:v>
                </c:pt>
                <c:pt idx="310">
                  <c:v>0.30415744939206779</c:v>
                </c:pt>
                <c:pt idx="311">
                  <c:v>0.30432318844077683</c:v>
                </c:pt>
                <c:pt idx="312">
                  <c:v>0.30433580103437041</c:v>
                </c:pt>
                <c:pt idx="313">
                  <c:v>0.30430255174603837</c:v>
                </c:pt>
                <c:pt idx="314">
                  <c:v>0.30435261211340664</c:v>
                </c:pt>
                <c:pt idx="315">
                  <c:v>0.30450409974843662</c:v>
                </c:pt>
                <c:pt idx="316">
                  <c:v>0.30479556079232034</c:v>
                </c:pt>
                <c:pt idx="317">
                  <c:v>0.30495615845364465</c:v>
                </c:pt>
                <c:pt idx="318">
                  <c:v>0.30493370323143393</c:v>
                </c:pt>
                <c:pt idx="319">
                  <c:v>0.30503384959458901</c:v>
                </c:pt>
                <c:pt idx="320">
                  <c:v>0.30547861662376086</c:v>
                </c:pt>
                <c:pt idx="321">
                  <c:v>0.30592211997621377</c:v>
                </c:pt>
                <c:pt idx="322">
                  <c:v>0.30682285682846605</c:v>
                </c:pt>
                <c:pt idx="323">
                  <c:v>0.30683732893835336</c:v>
                </c:pt>
                <c:pt idx="324">
                  <c:v>0.30672073064486333</c:v>
                </c:pt>
                <c:pt idx="325">
                  <c:v>0.30611953870874825</c:v>
                </c:pt>
                <c:pt idx="326">
                  <c:v>0.30555812095131379</c:v>
                </c:pt>
                <c:pt idx="327">
                  <c:v>0.30513096160854769</c:v>
                </c:pt>
                <c:pt idx="328">
                  <c:v>0.30447719875775126</c:v>
                </c:pt>
                <c:pt idx="329">
                  <c:v>0.30370204783615384</c:v>
                </c:pt>
                <c:pt idx="330">
                  <c:v>0.30298720068979784</c:v>
                </c:pt>
                <c:pt idx="331">
                  <c:v>0.30255429085038038</c:v>
                </c:pt>
                <c:pt idx="332">
                  <c:v>0.30228406626939397</c:v>
                </c:pt>
                <c:pt idx="333">
                  <c:v>0.30186580737328544</c:v>
                </c:pt>
                <c:pt idx="334">
                  <c:v>0.30157355869016517</c:v>
                </c:pt>
                <c:pt idx="335">
                  <c:v>0.30147941083074303</c:v>
                </c:pt>
                <c:pt idx="336">
                  <c:v>0.30126439874953626</c:v>
                </c:pt>
                <c:pt idx="337">
                  <c:v>0.3010372478997389</c:v>
                </c:pt>
                <c:pt idx="338">
                  <c:v>0.30083157011249917</c:v>
                </c:pt>
                <c:pt idx="339">
                  <c:v>0.30034513540455021</c:v>
                </c:pt>
                <c:pt idx="340">
                  <c:v>0.30014157709934269</c:v>
                </c:pt>
                <c:pt idx="341">
                  <c:v>0.30002808597244951</c:v>
                </c:pt>
                <c:pt idx="342">
                  <c:v>0.29987331286520352</c:v>
                </c:pt>
                <c:pt idx="343">
                  <c:v>0.2993245572677401</c:v>
                </c:pt>
                <c:pt idx="344">
                  <c:v>0.29900320375885264</c:v>
                </c:pt>
                <c:pt idx="345">
                  <c:v>0.29827336222846135</c:v>
                </c:pt>
                <c:pt idx="346">
                  <c:v>0.29757483773351967</c:v>
                </c:pt>
                <c:pt idx="347">
                  <c:v>0.2971288400841493</c:v>
                </c:pt>
                <c:pt idx="348">
                  <c:v>0.29664020898257387</c:v>
                </c:pt>
                <c:pt idx="349">
                  <c:v>0.29610660323540433</c:v>
                </c:pt>
                <c:pt idx="350">
                  <c:v>0.295302221951185</c:v>
                </c:pt>
                <c:pt idx="351">
                  <c:v>0.29467176658521016</c:v>
                </c:pt>
                <c:pt idx="352">
                  <c:v>0.2935528783545418</c:v>
                </c:pt>
                <c:pt idx="353">
                  <c:v>0.29269576160214777</c:v>
                </c:pt>
                <c:pt idx="354">
                  <c:v>0.2918719943847406</c:v>
                </c:pt>
                <c:pt idx="355">
                  <c:v>0.29106834237390639</c:v>
                </c:pt>
                <c:pt idx="356">
                  <c:v>0.29010029267792603</c:v>
                </c:pt>
                <c:pt idx="357">
                  <c:v>0.28901965615253578</c:v>
                </c:pt>
                <c:pt idx="358">
                  <c:v>0.28829245596365821</c:v>
                </c:pt>
                <c:pt idx="359">
                  <c:v>0.28739238968866276</c:v>
                </c:pt>
                <c:pt idx="360">
                  <c:v>0.28631535653959223</c:v>
                </c:pt>
                <c:pt idx="361">
                  <c:v>0.28523630564127039</c:v>
                </c:pt>
                <c:pt idx="362">
                  <c:v>0.2837929254519046</c:v>
                </c:pt>
                <c:pt idx="363">
                  <c:v>0.28222869490067143</c:v>
                </c:pt>
                <c:pt idx="364">
                  <c:v>0.28102124782747645</c:v>
                </c:pt>
                <c:pt idx="365">
                  <c:v>0.27956400248384422</c:v>
                </c:pt>
                <c:pt idx="366">
                  <c:v>0.27801535008481582</c:v>
                </c:pt>
                <c:pt idx="367">
                  <c:v>0.27625168512550319</c:v>
                </c:pt>
                <c:pt idx="368">
                  <c:v>0.27496507000017345</c:v>
                </c:pt>
                <c:pt idx="369">
                  <c:v>0.27355139421890201</c:v>
                </c:pt>
                <c:pt idx="370">
                  <c:v>0.27229833608148435</c:v>
                </c:pt>
                <c:pt idx="371">
                  <c:v>0.27131470495380139</c:v>
                </c:pt>
                <c:pt idx="372">
                  <c:v>0.27042542286954757</c:v>
                </c:pt>
                <c:pt idx="373">
                  <c:v>0.27020937396458999</c:v>
                </c:pt>
                <c:pt idx="374">
                  <c:v>0.27010869589585279</c:v>
                </c:pt>
                <c:pt idx="375">
                  <c:v>0.27016960622759317</c:v>
                </c:pt>
                <c:pt idx="376">
                  <c:v>0.27025460023609782</c:v>
                </c:pt>
                <c:pt idx="377">
                  <c:v>0.27031943149934101</c:v>
                </c:pt>
                <c:pt idx="378">
                  <c:v>0.27037127376678022</c:v>
                </c:pt>
                <c:pt idx="379">
                  <c:v>0.2704347554974878</c:v>
                </c:pt>
                <c:pt idx="380">
                  <c:v>0.2704500952796916</c:v>
                </c:pt>
                <c:pt idx="381">
                  <c:v>0.27050408255181618</c:v>
                </c:pt>
                <c:pt idx="382">
                  <c:v>0.2705855966045122</c:v>
                </c:pt>
                <c:pt idx="383">
                  <c:v>0.27057515202709881</c:v>
                </c:pt>
                <c:pt idx="384">
                  <c:v>0.2705760662837392</c:v>
                </c:pt>
                <c:pt idx="385">
                  <c:v>0.27090181634547739</c:v>
                </c:pt>
                <c:pt idx="386">
                  <c:v>0.27155891146587802</c:v>
                </c:pt>
                <c:pt idx="387">
                  <c:v>0.272251868356091</c:v>
                </c:pt>
                <c:pt idx="388">
                  <c:v>0.27285517009827903</c:v>
                </c:pt>
                <c:pt idx="389">
                  <c:v>0.27353533907752181</c:v>
                </c:pt>
                <c:pt idx="390">
                  <c:v>0.2739814286582356</c:v>
                </c:pt>
                <c:pt idx="391">
                  <c:v>0.27427804996281302</c:v>
                </c:pt>
                <c:pt idx="392">
                  <c:v>0.2744141070148442</c:v>
                </c:pt>
                <c:pt idx="393">
                  <c:v>0.27439426623437962</c:v>
                </c:pt>
                <c:pt idx="394">
                  <c:v>0.27438904067920455</c:v>
                </c:pt>
                <c:pt idx="395">
                  <c:v>0.27448376892441623</c:v>
                </c:pt>
                <c:pt idx="396">
                  <c:v>0.27449077271857941</c:v>
                </c:pt>
                <c:pt idx="397">
                  <c:v>0.27455356342613779</c:v>
                </c:pt>
                <c:pt idx="398">
                  <c:v>0.2747332141644816</c:v>
                </c:pt>
                <c:pt idx="399">
                  <c:v>0.27472996613097322</c:v>
                </c:pt>
                <c:pt idx="400">
                  <c:v>0.27465683945804475</c:v>
                </c:pt>
                <c:pt idx="401">
                  <c:v>0.27452508775990958</c:v>
                </c:pt>
                <c:pt idx="402">
                  <c:v>0.27445448439798242</c:v>
                </c:pt>
                <c:pt idx="403">
                  <c:v>0.27441749006266203</c:v>
                </c:pt>
                <c:pt idx="404">
                  <c:v>0.27443314664501262</c:v>
                </c:pt>
                <c:pt idx="405">
                  <c:v>0.27437193437918717</c:v>
                </c:pt>
                <c:pt idx="406">
                  <c:v>0.27432688001930483</c:v>
                </c:pt>
                <c:pt idx="407">
                  <c:v>0.27423234877042002</c:v>
                </c:pt>
                <c:pt idx="408">
                  <c:v>0.27411377772101564</c:v>
                </c:pt>
                <c:pt idx="409">
                  <c:v>0.27384295856413221</c:v>
                </c:pt>
                <c:pt idx="410">
                  <c:v>0.273579632588413</c:v>
                </c:pt>
                <c:pt idx="411">
                  <c:v>0.27330969573262137</c:v>
                </c:pt>
                <c:pt idx="412">
                  <c:v>0.2731093305866294</c:v>
                </c:pt>
                <c:pt idx="413">
                  <c:v>0.27287025691534139</c:v>
                </c:pt>
                <c:pt idx="414">
                  <c:v>0.27271758486679265</c:v>
                </c:pt>
                <c:pt idx="415">
                  <c:v>0.2725006137538144</c:v>
                </c:pt>
                <c:pt idx="416">
                  <c:v>0.27226244611125938</c:v>
                </c:pt>
                <c:pt idx="417">
                  <c:v>0.27193715507351435</c:v>
                </c:pt>
                <c:pt idx="418">
                  <c:v>0.27163310160526943</c:v>
                </c:pt>
                <c:pt idx="419">
                  <c:v>0.2715085267173506</c:v>
                </c:pt>
                <c:pt idx="420">
                  <c:v>0.27137364700631184</c:v>
                </c:pt>
                <c:pt idx="421">
                  <c:v>0.2711995961149084</c:v>
                </c:pt>
                <c:pt idx="422">
                  <c:v>0.27106155971625823</c:v>
                </c:pt>
                <c:pt idx="423">
                  <c:v>0.27095275345004421</c:v>
                </c:pt>
                <c:pt idx="424">
                  <c:v>0.27086103208239959</c:v>
                </c:pt>
                <c:pt idx="425">
                  <c:v>0.27095446868524481</c:v>
                </c:pt>
                <c:pt idx="426">
                  <c:v>0.27105925280176241</c:v>
                </c:pt>
                <c:pt idx="427">
                  <c:v>0.27134699968973564</c:v>
                </c:pt>
                <c:pt idx="428">
                  <c:v>0.27155945272333099</c:v>
                </c:pt>
                <c:pt idx="429">
                  <c:v>0.27190595224058445</c:v>
                </c:pt>
                <c:pt idx="430">
                  <c:v>0.27238502079630877</c:v>
                </c:pt>
                <c:pt idx="431">
                  <c:v>0.27313898045673196</c:v>
                </c:pt>
                <c:pt idx="432">
                  <c:v>0.27354806730479858</c:v>
                </c:pt>
                <c:pt idx="433">
                  <c:v>0.27376267750472277</c:v>
                </c:pt>
                <c:pt idx="434">
                  <c:v>0.27441795492258259</c:v>
                </c:pt>
                <c:pt idx="435">
                  <c:v>0.27507507831572303</c:v>
                </c:pt>
                <c:pt idx="436">
                  <c:v>0.27514899850282082</c:v>
                </c:pt>
                <c:pt idx="437">
                  <c:v>0.2758000211858132</c:v>
                </c:pt>
                <c:pt idx="438">
                  <c:v>0.27673676193074082</c:v>
                </c:pt>
                <c:pt idx="439">
                  <c:v>0.2776518215347068</c:v>
                </c:pt>
                <c:pt idx="440">
                  <c:v>0.2789654379258612</c:v>
                </c:pt>
                <c:pt idx="441">
                  <c:v>0.28030168368399661</c:v>
                </c:pt>
                <c:pt idx="442">
                  <c:v>0.28208883671514479</c:v>
                </c:pt>
                <c:pt idx="443">
                  <c:v>0.28361177704061863</c:v>
                </c:pt>
                <c:pt idx="444">
                  <c:v>0.28534278110874839</c:v>
                </c:pt>
                <c:pt idx="445">
                  <c:v>0.28734689465889801</c:v>
                </c:pt>
                <c:pt idx="446">
                  <c:v>0.28923967236412401</c:v>
                </c:pt>
                <c:pt idx="447">
                  <c:v>0.29124639619366138</c:v>
                </c:pt>
                <c:pt idx="448">
                  <c:v>0.29212756937054185</c:v>
                </c:pt>
                <c:pt idx="449">
                  <c:v>0.29270488139702683</c:v>
                </c:pt>
                <c:pt idx="450">
                  <c:v>0.292864939912589</c:v>
                </c:pt>
                <c:pt idx="451">
                  <c:v>0.29281938570776217</c:v>
                </c:pt>
                <c:pt idx="452">
                  <c:v>0.29287127265392082</c:v>
                </c:pt>
                <c:pt idx="453">
                  <c:v>0.29340699721246938</c:v>
                </c:pt>
                <c:pt idx="454">
                  <c:v>0.29398500176149378</c:v>
                </c:pt>
                <c:pt idx="455">
                  <c:v>0.29457978980424204</c:v>
                </c:pt>
                <c:pt idx="456">
                  <c:v>0.2952902840753272</c:v>
                </c:pt>
                <c:pt idx="457">
                  <c:v>0.29604679217180657</c:v>
                </c:pt>
                <c:pt idx="458">
                  <c:v>0.2970386051866904</c:v>
                </c:pt>
                <c:pt idx="459">
                  <c:v>0.29790543742435199</c:v>
                </c:pt>
                <c:pt idx="460">
                  <c:v>0.29909534251924436</c:v>
                </c:pt>
                <c:pt idx="461">
                  <c:v>0.3001989715827536</c:v>
                </c:pt>
                <c:pt idx="462">
                  <c:v>0.30120906011639537</c:v>
                </c:pt>
                <c:pt idx="463">
                  <c:v>0.30208384238861763</c:v>
                </c:pt>
                <c:pt idx="464">
                  <c:v>0.302973274593064</c:v>
                </c:pt>
                <c:pt idx="465">
                  <c:v>0.30374641714136896</c:v>
                </c:pt>
                <c:pt idx="466">
                  <c:v>0.30474042682384739</c:v>
                </c:pt>
                <c:pt idx="467">
                  <c:v>0.30615304422578282</c:v>
                </c:pt>
                <c:pt idx="468">
                  <c:v>0.30716786392597922</c:v>
                </c:pt>
                <c:pt idx="469">
                  <c:v>0.30816796631313481</c:v>
                </c:pt>
                <c:pt idx="470">
                  <c:v>0.30922091155023401</c:v>
                </c:pt>
                <c:pt idx="471">
                  <c:v>0.30999844541328203</c:v>
                </c:pt>
                <c:pt idx="472">
                  <c:v>0.31081721759945441</c:v>
                </c:pt>
                <c:pt idx="473">
                  <c:v>0.3117608274207268</c:v>
                </c:pt>
                <c:pt idx="474">
                  <c:v>0.31273633050208621</c:v>
                </c:pt>
                <c:pt idx="475">
                  <c:v>0.31388293149272822</c:v>
                </c:pt>
                <c:pt idx="476">
                  <c:v>0.31490030113656281</c:v>
                </c:pt>
                <c:pt idx="477">
                  <c:v>0.31620355856608778</c:v>
                </c:pt>
                <c:pt idx="478">
                  <c:v>0.31764466205217079</c:v>
                </c:pt>
                <c:pt idx="479">
                  <c:v>0.31923011885653757</c:v>
                </c:pt>
                <c:pt idx="480">
                  <c:v>0.3205719176415146</c:v>
                </c:pt>
                <c:pt idx="481">
                  <c:v>0.32213017264164917</c:v>
                </c:pt>
                <c:pt idx="482">
                  <c:v>0.32354532703193717</c:v>
                </c:pt>
                <c:pt idx="483">
                  <c:v>0.32486865227393519</c:v>
                </c:pt>
                <c:pt idx="484">
                  <c:v>0.32587728089493678</c:v>
                </c:pt>
                <c:pt idx="485">
                  <c:v>0.32691344309727743</c:v>
                </c:pt>
                <c:pt idx="486">
                  <c:v>0.32791049593398741</c:v>
                </c:pt>
                <c:pt idx="487">
                  <c:v>0.32905189183250039</c:v>
                </c:pt>
                <c:pt idx="488">
                  <c:v>0.3301493117589212</c:v>
                </c:pt>
                <c:pt idx="489">
                  <c:v>0.33134146655497637</c:v>
                </c:pt>
                <c:pt idx="490">
                  <c:v>0.33252598047540061</c:v>
                </c:pt>
                <c:pt idx="491">
                  <c:v>0.33367948506589917</c:v>
                </c:pt>
                <c:pt idx="492">
                  <c:v>0.33463848143797642</c:v>
                </c:pt>
                <c:pt idx="493">
                  <c:v>0.3353861831729722</c:v>
                </c:pt>
                <c:pt idx="494">
                  <c:v>0.33590323051914622</c:v>
                </c:pt>
                <c:pt idx="495">
                  <c:v>0.33640422977093315</c:v>
                </c:pt>
                <c:pt idx="496">
                  <c:v>0.33678065627994602</c:v>
                </c:pt>
                <c:pt idx="497">
                  <c:v>0.33755461691574018</c:v>
                </c:pt>
                <c:pt idx="498">
                  <c:v>0.33842848128579939</c:v>
                </c:pt>
                <c:pt idx="499">
                  <c:v>0.338680922939263</c:v>
                </c:pt>
                <c:pt idx="500">
                  <c:v>0.33933886371466759</c:v>
                </c:pt>
                <c:pt idx="501">
                  <c:v>0.3400318392377672</c:v>
                </c:pt>
                <c:pt idx="502">
                  <c:v>0.34024198274191003</c:v>
                </c:pt>
                <c:pt idx="503">
                  <c:v>0.340520387325423</c:v>
                </c:pt>
                <c:pt idx="504">
                  <c:v>0.3411205105536072</c:v>
                </c:pt>
                <c:pt idx="505">
                  <c:v>0.34210376077308957</c:v>
                </c:pt>
                <c:pt idx="506">
                  <c:v>0.34444507314541861</c:v>
                </c:pt>
                <c:pt idx="507">
                  <c:v>0.34468085763476758</c:v>
                </c:pt>
                <c:pt idx="508">
                  <c:v>0.34482472618189142</c:v>
                </c:pt>
                <c:pt idx="509">
                  <c:v>0.34527986299623398</c:v>
                </c:pt>
                <c:pt idx="510">
                  <c:v>0.3454573701657988</c:v>
                </c:pt>
                <c:pt idx="511">
                  <c:v>0.3448346621887392</c:v>
                </c:pt>
                <c:pt idx="512">
                  <c:v>0.34437763955231482</c:v>
                </c:pt>
                <c:pt idx="513">
                  <c:v>0.34388198817598919</c:v>
                </c:pt>
                <c:pt idx="514">
                  <c:v>0.343681233720456</c:v>
                </c:pt>
                <c:pt idx="515">
                  <c:v>0.34360156680354981</c:v>
                </c:pt>
                <c:pt idx="516">
                  <c:v>0.34351743044627642</c:v>
                </c:pt>
                <c:pt idx="517">
                  <c:v>0.34355774734176758</c:v>
                </c:pt>
                <c:pt idx="518">
                  <c:v>0.34363002474945659</c:v>
                </c:pt>
                <c:pt idx="519">
                  <c:v>0.3435867600697638</c:v>
                </c:pt>
                <c:pt idx="520">
                  <c:v>0.34368015491172305</c:v>
                </c:pt>
                <c:pt idx="521">
                  <c:v>0.34379546119306259</c:v>
                </c:pt>
                <c:pt idx="522">
                  <c:v>0.3440396287713916</c:v>
                </c:pt>
                <c:pt idx="523">
                  <c:v>0.34422869448340937</c:v>
                </c:pt>
                <c:pt idx="524">
                  <c:v>0.34435249285547759</c:v>
                </c:pt>
                <c:pt idx="525">
                  <c:v>0.34453218763516497</c:v>
                </c:pt>
                <c:pt idx="526">
                  <c:v>0.34466717140396941</c:v>
                </c:pt>
                <c:pt idx="527">
                  <c:v>0.34475909644812236</c:v>
                </c:pt>
                <c:pt idx="528">
                  <c:v>0.34493442528171581</c:v>
                </c:pt>
                <c:pt idx="529">
                  <c:v>0.34528423065543984</c:v>
                </c:pt>
                <c:pt idx="530">
                  <c:v>0.34559193898722462</c:v>
                </c:pt>
                <c:pt idx="531">
                  <c:v>0.3459835034271514</c:v>
                </c:pt>
                <c:pt idx="532">
                  <c:v>0.3463065387239524</c:v>
                </c:pt>
                <c:pt idx="533">
                  <c:v>0.34653268377779395</c:v>
                </c:pt>
                <c:pt idx="534">
                  <c:v>0.34688586331051702</c:v>
                </c:pt>
                <c:pt idx="535">
                  <c:v>0.3475605808088596</c:v>
                </c:pt>
                <c:pt idx="536">
                  <c:v>0.34815250718134599</c:v>
                </c:pt>
                <c:pt idx="537">
                  <c:v>0.34881268591117204</c:v>
                </c:pt>
                <c:pt idx="538">
                  <c:v>0.34958729916630904</c:v>
                </c:pt>
                <c:pt idx="539">
                  <c:v>0.35028258319333883</c:v>
                </c:pt>
                <c:pt idx="540">
                  <c:v>0.35078795028809001</c:v>
                </c:pt>
                <c:pt idx="541">
                  <c:v>0.35135483510583659</c:v>
                </c:pt>
                <c:pt idx="542">
                  <c:v>0.35184387511339799</c:v>
                </c:pt>
                <c:pt idx="543">
                  <c:v>0.35243488255103861</c:v>
                </c:pt>
                <c:pt idx="544">
                  <c:v>0.35292752798053101</c:v>
                </c:pt>
                <c:pt idx="545">
                  <c:v>0.3534493552795836</c:v>
                </c:pt>
                <c:pt idx="546">
                  <c:v>0.35383323375588477</c:v>
                </c:pt>
                <c:pt idx="547">
                  <c:v>0.35407847979487178</c:v>
                </c:pt>
                <c:pt idx="548">
                  <c:v>0.35444067510087102</c:v>
                </c:pt>
                <c:pt idx="549">
                  <c:v>0.35463794196616122</c:v>
                </c:pt>
                <c:pt idx="550">
                  <c:v>0.35496676021608803</c:v>
                </c:pt>
                <c:pt idx="551">
                  <c:v>0.35530375458203878</c:v>
                </c:pt>
                <c:pt idx="552">
                  <c:v>0.35621474146619436</c:v>
                </c:pt>
                <c:pt idx="553">
                  <c:v>0.35712993780913999</c:v>
                </c:pt>
                <c:pt idx="554">
                  <c:v>0.35768447300831119</c:v>
                </c:pt>
                <c:pt idx="555">
                  <c:v>0.35849744096763125</c:v>
                </c:pt>
                <c:pt idx="556">
                  <c:v>0.35956810651816462</c:v>
                </c:pt>
                <c:pt idx="557">
                  <c:v>0.36074255356129059</c:v>
                </c:pt>
                <c:pt idx="558">
                  <c:v>0.361726834835286</c:v>
                </c:pt>
                <c:pt idx="559">
                  <c:v>0.36264462859811286</c:v>
                </c:pt>
                <c:pt idx="560">
                  <c:v>0.36374896839208098</c:v>
                </c:pt>
                <c:pt idx="561">
                  <c:v>0.36518769866231487</c:v>
                </c:pt>
                <c:pt idx="562">
                  <c:v>0.36662504457636425</c:v>
                </c:pt>
                <c:pt idx="563">
                  <c:v>0.36786583466716088</c:v>
                </c:pt>
                <c:pt idx="564">
                  <c:v>0.36920085719984164</c:v>
                </c:pt>
                <c:pt idx="565">
                  <c:v>0.37039285718471171</c:v>
                </c:pt>
                <c:pt idx="566">
                  <c:v>0.3713268444180865</c:v>
                </c:pt>
                <c:pt idx="567">
                  <c:v>0.37287486991306307</c:v>
                </c:pt>
                <c:pt idx="568">
                  <c:v>0.3736823984359392</c:v>
                </c:pt>
                <c:pt idx="569">
                  <c:v>0.3735502694358771</c:v>
                </c:pt>
                <c:pt idx="570">
                  <c:v>0.37337987917580395</c:v>
                </c:pt>
                <c:pt idx="571">
                  <c:v>0.3729838262668283</c:v>
                </c:pt>
                <c:pt idx="572">
                  <c:v>0.37280388070988696</c:v>
                </c:pt>
                <c:pt idx="573">
                  <c:v>0.37270753076580604</c:v>
                </c:pt>
                <c:pt idx="574">
                  <c:v>0.3723827027928126</c:v>
                </c:pt>
                <c:pt idx="575">
                  <c:v>0.37202333953070099</c:v>
                </c:pt>
                <c:pt idx="576">
                  <c:v>0.37175357178519242</c:v>
                </c:pt>
                <c:pt idx="577">
                  <c:v>0.37154362630975929</c:v>
                </c:pt>
                <c:pt idx="578">
                  <c:v>0.37129610323722906</c:v>
                </c:pt>
                <c:pt idx="579">
                  <c:v>0.37109370618782062</c:v>
                </c:pt>
                <c:pt idx="580">
                  <c:v>0.37058805745895534</c:v>
                </c:pt>
                <c:pt idx="581">
                  <c:v>0.36953261677824673</c:v>
                </c:pt>
                <c:pt idx="582">
                  <c:v>0.36878167442696447</c:v>
                </c:pt>
                <c:pt idx="583">
                  <c:v>0.36782510754100162</c:v>
                </c:pt>
                <c:pt idx="584">
                  <c:v>0.36685014331102511</c:v>
                </c:pt>
                <c:pt idx="585">
                  <c:v>0.36653149869872781</c:v>
                </c:pt>
                <c:pt idx="586">
                  <c:v>0.36613003572627117</c:v>
                </c:pt>
                <c:pt idx="587">
                  <c:v>0.36593140755752057</c:v>
                </c:pt>
                <c:pt idx="588">
                  <c:v>0.36562562011703981</c:v>
                </c:pt>
                <c:pt idx="589">
                  <c:v>0.36560749151722521</c:v>
                </c:pt>
                <c:pt idx="590">
                  <c:v>0.36531503604040499</c:v>
                </c:pt>
                <c:pt idx="591">
                  <c:v>0.36511356811152706</c:v>
                </c:pt>
                <c:pt idx="592">
                  <c:v>0.36484166253257078</c:v>
                </c:pt>
                <c:pt idx="593">
                  <c:v>0.36449674461497933</c:v>
                </c:pt>
                <c:pt idx="594">
                  <c:v>0.36438855101880568</c:v>
                </c:pt>
                <c:pt idx="595">
                  <c:v>0.36415712681220697</c:v>
                </c:pt>
                <c:pt idx="596">
                  <c:v>0.36376098533552942</c:v>
                </c:pt>
                <c:pt idx="597">
                  <c:v>0.36349967865855631</c:v>
                </c:pt>
                <c:pt idx="598">
                  <c:v>0.36314580950350506</c:v>
                </c:pt>
                <c:pt idx="599">
                  <c:v>0.36281494157088051</c:v>
                </c:pt>
                <c:pt idx="600">
                  <c:v>0.36264766966558631</c:v>
                </c:pt>
                <c:pt idx="601">
                  <c:v>0.36223571192730991</c:v>
                </c:pt>
                <c:pt idx="602">
                  <c:v>0.36192424380058053</c:v>
                </c:pt>
                <c:pt idx="603">
                  <c:v>0.36163668692622952</c:v>
                </c:pt>
                <c:pt idx="604">
                  <c:v>0.36133090725533101</c:v>
                </c:pt>
                <c:pt idx="605">
                  <c:v>0.36087818441789077</c:v>
                </c:pt>
                <c:pt idx="606">
                  <c:v>0.36031088400202327</c:v>
                </c:pt>
                <c:pt idx="607">
                  <c:v>0.36006409819711255</c:v>
                </c:pt>
                <c:pt idx="608">
                  <c:v>0.35961328973557066</c:v>
                </c:pt>
                <c:pt idx="609">
                  <c:v>0.35920713612224081</c:v>
                </c:pt>
                <c:pt idx="610">
                  <c:v>0.35870915420534871</c:v>
                </c:pt>
                <c:pt idx="611">
                  <c:v>0.3581963165478807</c:v>
                </c:pt>
                <c:pt idx="612">
                  <c:v>0.35759771801624307</c:v>
                </c:pt>
                <c:pt idx="613">
                  <c:v>0.35674949729859939</c:v>
                </c:pt>
                <c:pt idx="614">
                  <c:v>0.35598221293779919</c:v>
                </c:pt>
                <c:pt idx="615">
                  <c:v>0.35489421016622313</c:v>
                </c:pt>
                <c:pt idx="616">
                  <c:v>0.35413184981704643</c:v>
                </c:pt>
                <c:pt idx="617">
                  <c:v>0.35325154865269742</c:v>
                </c:pt>
                <c:pt idx="618">
                  <c:v>0.35216245523658096</c:v>
                </c:pt>
                <c:pt idx="619">
                  <c:v>0.3505107249298734</c:v>
                </c:pt>
                <c:pt idx="620">
                  <c:v>0.34944515403317161</c:v>
                </c:pt>
                <c:pt idx="621">
                  <c:v>0.34768260044866095</c:v>
                </c:pt>
                <c:pt idx="622">
                  <c:v>0.34547736940673479</c:v>
                </c:pt>
                <c:pt idx="623">
                  <c:v>0.34382505378583617</c:v>
                </c:pt>
                <c:pt idx="624">
                  <c:v>0.34222698017802322</c:v>
                </c:pt>
                <c:pt idx="625">
                  <c:v>0.3399003125272636</c:v>
                </c:pt>
                <c:pt idx="626">
                  <c:v>0.3376492179110448</c:v>
                </c:pt>
                <c:pt idx="627">
                  <c:v>0.33519231084544759</c:v>
                </c:pt>
                <c:pt idx="628">
                  <c:v>0.33258900542023356</c:v>
                </c:pt>
                <c:pt idx="629">
                  <c:v>0.32988577031970756</c:v>
                </c:pt>
                <c:pt idx="630">
                  <c:v>0.32722753479924643</c:v>
                </c:pt>
                <c:pt idx="631">
                  <c:v>0.32465871998139822</c:v>
                </c:pt>
                <c:pt idx="632">
                  <c:v>0.32233056430318779</c:v>
                </c:pt>
                <c:pt idx="633">
                  <c:v>0.32086123807080058</c:v>
                </c:pt>
                <c:pt idx="634">
                  <c:v>0.31957130255692678</c:v>
                </c:pt>
                <c:pt idx="635">
                  <c:v>0.31800495961618302</c:v>
                </c:pt>
                <c:pt idx="636">
                  <c:v>0.31665726492546575</c:v>
                </c:pt>
                <c:pt idx="637">
                  <c:v>0.31519639396803761</c:v>
                </c:pt>
                <c:pt idx="638">
                  <c:v>0.31397170171590461</c:v>
                </c:pt>
                <c:pt idx="639">
                  <c:v>0.3129634329639896</c:v>
                </c:pt>
                <c:pt idx="640">
                  <c:v>0.31192261915562619</c:v>
                </c:pt>
                <c:pt idx="641">
                  <c:v>0.31078861722282664</c:v>
                </c:pt>
                <c:pt idx="642">
                  <c:v>0.30987841046594322</c:v>
                </c:pt>
                <c:pt idx="643">
                  <c:v>0.30916337546466338</c:v>
                </c:pt>
                <c:pt idx="644">
                  <c:v>0.30844907717218384</c:v>
                </c:pt>
                <c:pt idx="645">
                  <c:v>0.30780348952790437</c:v>
                </c:pt>
                <c:pt idx="646">
                  <c:v>0.30704015548730901</c:v>
                </c:pt>
                <c:pt idx="647">
                  <c:v>0.30611221237148462</c:v>
                </c:pt>
                <c:pt idx="648">
                  <c:v>0.3052051603937222</c:v>
                </c:pt>
                <c:pt idx="649">
                  <c:v>0.30371470186786559</c:v>
                </c:pt>
                <c:pt idx="650">
                  <c:v>0.30228964472393338</c:v>
                </c:pt>
                <c:pt idx="651">
                  <c:v>0.30092506556207099</c:v>
                </c:pt>
                <c:pt idx="652">
                  <c:v>0.29966025332094937</c:v>
                </c:pt>
                <c:pt idx="653">
                  <c:v>0.29827908172623263</c:v>
                </c:pt>
                <c:pt idx="654">
                  <c:v>0.2970734685351874</c:v>
                </c:pt>
                <c:pt idx="655">
                  <c:v>0.29585130387752401</c:v>
                </c:pt>
                <c:pt idx="656">
                  <c:v>0.29461177369674679</c:v>
                </c:pt>
                <c:pt idx="657">
                  <c:v>0.29344664889022076</c:v>
                </c:pt>
                <c:pt idx="658">
                  <c:v>0.292507035089976</c:v>
                </c:pt>
                <c:pt idx="659">
                  <c:v>0.29174238496950738</c:v>
                </c:pt>
                <c:pt idx="660">
                  <c:v>0.29125213756832002</c:v>
                </c:pt>
                <c:pt idx="661">
                  <c:v>0.29077321253185084</c:v>
                </c:pt>
              </c:numCache>
            </c:numRef>
          </c:val>
        </c:ser>
        <c:ser>
          <c:idx val="3"/>
          <c:order val="3"/>
          <c:tx>
            <c:strRef>
              <c:f>グラフ!$G$41</c:f>
              <c:strCache>
                <c:ptCount val="1"/>
                <c:pt idx="0">
                  <c:v>saya_divide_mean</c:v>
                </c:pt>
              </c:strCache>
            </c:strRef>
          </c:tx>
          <c:marker>
            <c:symbol val="none"/>
          </c:marker>
          <c:cat>
            <c:numRef>
              <c:f>グラフ!$A$42:$A$703</c:f>
              <c:numCache>
                <c:formatCode>yyyy/mm/dd</c:formatCode>
                <c:ptCount val="662"/>
                <c:pt idx="0">
                  <c:v>43805</c:v>
                </c:pt>
                <c:pt idx="1">
                  <c:v>43804</c:v>
                </c:pt>
                <c:pt idx="2">
                  <c:v>43803</c:v>
                </c:pt>
                <c:pt idx="3">
                  <c:v>43802</c:v>
                </c:pt>
                <c:pt idx="4">
                  <c:v>43801</c:v>
                </c:pt>
                <c:pt idx="5">
                  <c:v>43798</c:v>
                </c:pt>
                <c:pt idx="6">
                  <c:v>43797</c:v>
                </c:pt>
                <c:pt idx="7">
                  <c:v>43796</c:v>
                </c:pt>
                <c:pt idx="8">
                  <c:v>43795</c:v>
                </c:pt>
                <c:pt idx="9">
                  <c:v>43794</c:v>
                </c:pt>
                <c:pt idx="10">
                  <c:v>43791</c:v>
                </c:pt>
                <c:pt idx="11">
                  <c:v>43790</c:v>
                </c:pt>
                <c:pt idx="12">
                  <c:v>43789</c:v>
                </c:pt>
                <c:pt idx="13">
                  <c:v>43788</c:v>
                </c:pt>
                <c:pt idx="14">
                  <c:v>43787</c:v>
                </c:pt>
                <c:pt idx="15">
                  <c:v>43784</c:v>
                </c:pt>
                <c:pt idx="16">
                  <c:v>43783</c:v>
                </c:pt>
                <c:pt idx="17">
                  <c:v>43782</c:v>
                </c:pt>
                <c:pt idx="18">
                  <c:v>43781</c:v>
                </c:pt>
                <c:pt idx="19">
                  <c:v>43780</c:v>
                </c:pt>
                <c:pt idx="20">
                  <c:v>43777</c:v>
                </c:pt>
                <c:pt idx="21">
                  <c:v>43776</c:v>
                </c:pt>
                <c:pt idx="22">
                  <c:v>43775</c:v>
                </c:pt>
                <c:pt idx="23">
                  <c:v>43774</c:v>
                </c:pt>
                <c:pt idx="24">
                  <c:v>43770</c:v>
                </c:pt>
                <c:pt idx="25">
                  <c:v>43769</c:v>
                </c:pt>
                <c:pt idx="26">
                  <c:v>43768</c:v>
                </c:pt>
                <c:pt idx="27">
                  <c:v>43767</c:v>
                </c:pt>
                <c:pt idx="28">
                  <c:v>43766</c:v>
                </c:pt>
                <c:pt idx="29">
                  <c:v>43763</c:v>
                </c:pt>
                <c:pt idx="30">
                  <c:v>43762</c:v>
                </c:pt>
                <c:pt idx="31">
                  <c:v>43761</c:v>
                </c:pt>
                <c:pt idx="32">
                  <c:v>43759</c:v>
                </c:pt>
                <c:pt idx="33">
                  <c:v>43756</c:v>
                </c:pt>
                <c:pt idx="34">
                  <c:v>43755</c:v>
                </c:pt>
                <c:pt idx="35">
                  <c:v>43754</c:v>
                </c:pt>
                <c:pt idx="36">
                  <c:v>43753</c:v>
                </c:pt>
                <c:pt idx="37">
                  <c:v>43749</c:v>
                </c:pt>
                <c:pt idx="38">
                  <c:v>43748</c:v>
                </c:pt>
                <c:pt idx="39">
                  <c:v>43747</c:v>
                </c:pt>
                <c:pt idx="40">
                  <c:v>43746</c:v>
                </c:pt>
                <c:pt idx="41">
                  <c:v>43745</c:v>
                </c:pt>
                <c:pt idx="42">
                  <c:v>43742</c:v>
                </c:pt>
                <c:pt idx="43">
                  <c:v>43741</c:v>
                </c:pt>
                <c:pt idx="44">
                  <c:v>43740</c:v>
                </c:pt>
                <c:pt idx="45">
                  <c:v>43739</c:v>
                </c:pt>
                <c:pt idx="46">
                  <c:v>43738</c:v>
                </c:pt>
                <c:pt idx="47">
                  <c:v>43735</c:v>
                </c:pt>
                <c:pt idx="48">
                  <c:v>43734</c:v>
                </c:pt>
                <c:pt idx="49">
                  <c:v>43733</c:v>
                </c:pt>
                <c:pt idx="50">
                  <c:v>43732</c:v>
                </c:pt>
                <c:pt idx="51">
                  <c:v>43728</c:v>
                </c:pt>
                <c:pt idx="52">
                  <c:v>43727</c:v>
                </c:pt>
                <c:pt idx="53">
                  <c:v>43726</c:v>
                </c:pt>
                <c:pt idx="54">
                  <c:v>43725</c:v>
                </c:pt>
                <c:pt idx="55">
                  <c:v>43721</c:v>
                </c:pt>
                <c:pt idx="56">
                  <c:v>43720</c:v>
                </c:pt>
                <c:pt idx="57">
                  <c:v>43719</c:v>
                </c:pt>
                <c:pt idx="58">
                  <c:v>43718</c:v>
                </c:pt>
                <c:pt idx="59">
                  <c:v>43717</c:v>
                </c:pt>
                <c:pt idx="60">
                  <c:v>43714</c:v>
                </c:pt>
                <c:pt idx="61">
                  <c:v>43713</c:v>
                </c:pt>
                <c:pt idx="62">
                  <c:v>43712</c:v>
                </c:pt>
                <c:pt idx="63">
                  <c:v>43711</c:v>
                </c:pt>
                <c:pt idx="64">
                  <c:v>43710</c:v>
                </c:pt>
                <c:pt idx="65">
                  <c:v>43707</c:v>
                </c:pt>
                <c:pt idx="66">
                  <c:v>43706</c:v>
                </c:pt>
                <c:pt idx="67">
                  <c:v>43705</c:v>
                </c:pt>
                <c:pt idx="68">
                  <c:v>43704</c:v>
                </c:pt>
                <c:pt idx="69">
                  <c:v>43703</c:v>
                </c:pt>
                <c:pt idx="70">
                  <c:v>43700</c:v>
                </c:pt>
                <c:pt idx="71">
                  <c:v>43699</c:v>
                </c:pt>
                <c:pt idx="72">
                  <c:v>43698</c:v>
                </c:pt>
                <c:pt idx="73">
                  <c:v>43697</c:v>
                </c:pt>
                <c:pt idx="74">
                  <c:v>43696</c:v>
                </c:pt>
                <c:pt idx="75">
                  <c:v>43693</c:v>
                </c:pt>
                <c:pt idx="76">
                  <c:v>43692</c:v>
                </c:pt>
                <c:pt idx="77">
                  <c:v>43691</c:v>
                </c:pt>
                <c:pt idx="78">
                  <c:v>43690</c:v>
                </c:pt>
                <c:pt idx="79">
                  <c:v>43686</c:v>
                </c:pt>
                <c:pt idx="80">
                  <c:v>43685</c:v>
                </c:pt>
                <c:pt idx="81">
                  <c:v>43684</c:v>
                </c:pt>
                <c:pt idx="82">
                  <c:v>43683</c:v>
                </c:pt>
                <c:pt idx="83">
                  <c:v>43682</c:v>
                </c:pt>
                <c:pt idx="84">
                  <c:v>43679</c:v>
                </c:pt>
                <c:pt idx="85">
                  <c:v>43678</c:v>
                </c:pt>
                <c:pt idx="86">
                  <c:v>43677</c:v>
                </c:pt>
                <c:pt idx="87">
                  <c:v>43676</c:v>
                </c:pt>
                <c:pt idx="88">
                  <c:v>43675</c:v>
                </c:pt>
                <c:pt idx="89">
                  <c:v>43672</c:v>
                </c:pt>
                <c:pt idx="90">
                  <c:v>43671</c:v>
                </c:pt>
                <c:pt idx="91">
                  <c:v>43670</c:v>
                </c:pt>
                <c:pt idx="92">
                  <c:v>43669</c:v>
                </c:pt>
                <c:pt idx="93">
                  <c:v>43668</c:v>
                </c:pt>
                <c:pt idx="94">
                  <c:v>43665</c:v>
                </c:pt>
                <c:pt idx="95">
                  <c:v>43664</c:v>
                </c:pt>
                <c:pt idx="96">
                  <c:v>43663</c:v>
                </c:pt>
                <c:pt idx="97">
                  <c:v>43662</c:v>
                </c:pt>
                <c:pt idx="98">
                  <c:v>43658</c:v>
                </c:pt>
                <c:pt idx="99">
                  <c:v>43657</c:v>
                </c:pt>
                <c:pt idx="100">
                  <c:v>43656</c:v>
                </c:pt>
                <c:pt idx="101">
                  <c:v>43655</c:v>
                </c:pt>
                <c:pt idx="102">
                  <c:v>43654</c:v>
                </c:pt>
                <c:pt idx="103">
                  <c:v>43651</c:v>
                </c:pt>
                <c:pt idx="104">
                  <c:v>43650</c:v>
                </c:pt>
                <c:pt idx="105">
                  <c:v>43649</c:v>
                </c:pt>
                <c:pt idx="106">
                  <c:v>43648</c:v>
                </c:pt>
                <c:pt idx="107">
                  <c:v>43647</c:v>
                </c:pt>
                <c:pt idx="108">
                  <c:v>43644</c:v>
                </c:pt>
                <c:pt idx="109">
                  <c:v>43643</c:v>
                </c:pt>
                <c:pt idx="110">
                  <c:v>43642</c:v>
                </c:pt>
                <c:pt idx="111">
                  <c:v>43641</c:v>
                </c:pt>
                <c:pt idx="112">
                  <c:v>43640</c:v>
                </c:pt>
                <c:pt idx="113">
                  <c:v>43637</c:v>
                </c:pt>
                <c:pt idx="114">
                  <c:v>43636</c:v>
                </c:pt>
                <c:pt idx="115">
                  <c:v>43635</c:v>
                </c:pt>
                <c:pt idx="116">
                  <c:v>43634</c:v>
                </c:pt>
                <c:pt idx="117">
                  <c:v>43633</c:v>
                </c:pt>
                <c:pt idx="118">
                  <c:v>43630</c:v>
                </c:pt>
                <c:pt idx="119">
                  <c:v>43629</c:v>
                </c:pt>
                <c:pt idx="120">
                  <c:v>43628</c:v>
                </c:pt>
                <c:pt idx="121">
                  <c:v>43627</c:v>
                </c:pt>
                <c:pt idx="122">
                  <c:v>43626</c:v>
                </c:pt>
                <c:pt idx="123">
                  <c:v>43623</c:v>
                </c:pt>
                <c:pt idx="124">
                  <c:v>43622</c:v>
                </c:pt>
                <c:pt idx="125">
                  <c:v>43621</c:v>
                </c:pt>
                <c:pt idx="126">
                  <c:v>43620</c:v>
                </c:pt>
                <c:pt idx="127">
                  <c:v>43619</c:v>
                </c:pt>
                <c:pt idx="128">
                  <c:v>43616</c:v>
                </c:pt>
                <c:pt idx="129">
                  <c:v>43615</c:v>
                </c:pt>
                <c:pt idx="130">
                  <c:v>43614</c:v>
                </c:pt>
                <c:pt idx="131">
                  <c:v>43613</c:v>
                </c:pt>
                <c:pt idx="132">
                  <c:v>43612</c:v>
                </c:pt>
                <c:pt idx="133">
                  <c:v>43609</c:v>
                </c:pt>
                <c:pt idx="134">
                  <c:v>43608</c:v>
                </c:pt>
                <c:pt idx="135">
                  <c:v>43607</c:v>
                </c:pt>
                <c:pt idx="136">
                  <c:v>43606</c:v>
                </c:pt>
                <c:pt idx="137">
                  <c:v>43605</c:v>
                </c:pt>
                <c:pt idx="138">
                  <c:v>43602</c:v>
                </c:pt>
                <c:pt idx="139">
                  <c:v>43601</c:v>
                </c:pt>
                <c:pt idx="140">
                  <c:v>43600</c:v>
                </c:pt>
                <c:pt idx="141">
                  <c:v>43599</c:v>
                </c:pt>
                <c:pt idx="142">
                  <c:v>43598</c:v>
                </c:pt>
                <c:pt idx="143">
                  <c:v>43595</c:v>
                </c:pt>
                <c:pt idx="144">
                  <c:v>43594</c:v>
                </c:pt>
                <c:pt idx="145">
                  <c:v>43593</c:v>
                </c:pt>
                <c:pt idx="146">
                  <c:v>43592</c:v>
                </c:pt>
                <c:pt idx="147">
                  <c:v>43581</c:v>
                </c:pt>
                <c:pt idx="148">
                  <c:v>43580</c:v>
                </c:pt>
                <c:pt idx="149">
                  <c:v>43579</c:v>
                </c:pt>
                <c:pt idx="150">
                  <c:v>43578</c:v>
                </c:pt>
                <c:pt idx="151">
                  <c:v>43577</c:v>
                </c:pt>
                <c:pt idx="152">
                  <c:v>43574</c:v>
                </c:pt>
                <c:pt idx="153">
                  <c:v>43573</c:v>
                </c:pt>
                <c:pt idx="154">
                  <c:v>43572</c:v>
                </c:pt>
                <c:pt idx="155">
                  <c:v>43571</c:v>
                </c:pt>
                <c:pt idx="156">
                  <c:v>43570</c:v>
                </c:pt>
                <c:pt idx="157">
                  <c:v>43567</c:v>
                </c:pt>
                <c:pt idx="158">
                  <c:v>43566</c:v>
                </c:pt>
                <c:pt idx="159">
                  <c:v>43565</c:v>
                </c:pt>
                <c:pt idx="160">
                  <c:v>43564</c:v>
                </c:pt>
                <c:pt idx="161">
                  <c:v>43563</c:v>
                </c:pt>
                <c:pt idx="162">
                  <c:v>43560</c:v>
                </c:pt>
                <c:pt idx="163">
                  <c:v>43559</c:v>
                </c:pt>
                <c:pt idx="164">
                  <c:v>43558</c:v>
                </c:pt>
                <c:pt idx="165">
                  <c:v>43557</c:v>
                </c:pt>
                <c:pt idx="166">
                  <c:v>43556</c:v>
                </c:pt>
                <c:pt idx="167">
                  <c:v>43553</c:v>
                </c:pt>
                <c:pt idx="168">
                  <c:v>43552</c:v>
                </c:pt>
                <c:pt idx="169">
                  <c:v>43551</c:v>
                </c:pt>
                <c:pt idx="170">
                  <c:v>43550</c:v>
                </c:pt>
                <c:pt idx="171">
                  <c:v>43549</c:v>
                </c:pt>
                <c:pt idx="172">
                  <c:v>43546</c:v>
                </c:pt>
                <c:pt idx="173">
                  <c:v>43544</c:v>
                </c:pt>
                <c:pt idx="174">
                  <c:v>43543</c:v>
                </c:pt>
                <c:pt idx="175">
                  <c:v>43542</c:v>
                </c:pt>
                <c:pt idx="176">
                  <c:v>43539</c:v>
                </c:pt>
                <c:pt idx="177">
                  <c:v>43538</c:v>
                </c:pt>
                <c:pt idx="178">
                  <c:v>43537</c:v>
                </c:pt>
                <c:pt idx="179">
                  <c:v>43536</c:v>
                </c:pt>
                <c:pt idx="180">
                  <c:v>43535</c:v>
                </c:pt>
                <c:pt idx="181">
                  <c:v>43532</c:v>
                </c:pt>
                <c:pt idx="182">
                  <c:v>43531</c:v>
                </c:pt>
                <c:pt idx="183">
                  <c:v>43530</c:v>
                </c:pt>
                <c:pt idx="184">
                  <c:v>43529</c:v>
                </c:pt>
                <c:pt idx="185">
                  <c:v>43528</c:v>
                </c:pt>
                <c:pt idx="186">
                  <c:v>43525</c:v>
                </c:pt>
                <c:pt idx="187">
                  <c:v>43524</c:v>
                </c:pt>
                <c:pt idx="188">
                  <c:v>43523</c:v>
                </c:pt>
                <c:pt idx="189">
                  <c:v>43522</c:v>
                </c:pt>
                <c:pt idx="190">
                  <c:v>43521</c:v>
                </c:pt>
                <c:pt idx="191">
                  <c:v>43518</c:v>
                </c:pt>
                <c:pt idx="192">
                  <c:v>43517</c:v>
                </c:pt>
                <c:pt idx="193">
                  <c:v>43516</c:v>
                </c:pt>
                <c:pt idx="194">
                  <c:v>43515</c:v>
                </c:pt>
                <c:pt idx="195">
                  <c:v>43514</c:v>
                </c:pt>
                <c:pt idx="196">
                  <c:v>43511</c:v>
                </c:pt>
                <c:pt idx="197">
                  <c:v>43510</c:v>
                </c:pt>
                <c:pt idx="198">
                  <c:v>43509</c:v>
                </c:pt>
                <c:pt idx="199">
                  <c:v>43508</c:v>
                </c:pt>
                <c:pt idx="200">
                  <c:v>43504</c:v>
                </c:pt>
                <c:pt idx="201">
                  <c:v>43503</c:v>
                </c:pt>
                <c:pt idx="202">
                  <c:v>43502</c:v>
                </c:pt>
                <c:pt idx="203">
                  <c:v>43501</c:v>
                </c:pt>
                <c:pt idx="204">
                  <c:v>43500</c:v>
                </c:pt>
                <c:pt idx="205">
                  <c:v>43497</c:v>
                </c:pt>
                <c:pt idx="206">
                  <c:v>43496</c:v>
                </c:pt>
                <c:pt idx="207">
                  <c:v>43495</c:v>
                </c:pt>
                <c:pt idx="208">
                  <c:v>43494</c:v>
                </c:pt>
                <c:pt idx="209">
                  <c:v>43493</c:v>
                </c:pt>
                <c:pt idx="210">
                  <c:v>43490</c:v>
                </c:pt>
                <c:pt idx="211">
                  <c:v>43489</c:v>
                </c:pt>
                <c:pt idx="212">
                  <c:v>43488</c:v>
                </c:pt>
                <c:pt idx="213">
                  <c:v>43487</c:v>
                </c:pt>
                <c:pt idx="214">
                  <c:v>43486</c:v>
                </c:pt>
                <c:pt idx="215">
                  <c:v>43483</c:v>
                </c:pt>
                <c:pt idx="216">
                  <c:v>43482</c:v>
                </c:pt>
                <c:pt idx="217">
                  <c:v>43481</c:v>
                </c:pt>
                <c:pt idx="218">
                  <c:v>43480</c:v>
                </c:pt>
                <c:pt idx="219">
                  <c:v>43476</c:v>
                </c:pt>
                <c:pt idx="220">
                  <c:v>43475</c:v>
                </c:pt>
                <c:pt idx="221">
                  <c:v>43474</c:v>
                </c:pt>
                <c:pt idx="222">
                  <c:v>43473</c:v>
                </c:pt>
                <c:pt idx="223">
                  <c:v>43472</c:v>
                </c:pt>
                <c:pt idx="224">
                  <c:v>43469</c:v>
                </c:pt>
                <c:pt idx="225">
                  <c:v>43462</c:v>
                </c:pt>
                <c:pt idx="226">
                  <c:v>43461</c:v>
                </c:pt>
                <c:pt idx="227">
                  <c:v>43460</c:v>
                </c:pt>
                <c:pt idx="228">
                  <c:v>43459</c:v>
                </c:pt>
                <c:pt idx="229">
                  <c:v>43455</c:v>
                </c:pt>
                <c:pt idx="230">
                  <c:v>43454</c:v>
                </c:pt>
                <c:pt idx="231">
                  <c:v>43453</c:v>
                </c:pt>
                <c:pt idx="232">
                  <c:v>43452</c:v>
                </c:pt>
                <c:pt idx="233">
                  <c:v>43451</c:v>
                </c:pt>
                <c:pt idx="234">
                  <c:v>43448</c:v>
                </c:pt>
                <c:pt idx="235">
                  <c:v>43447</c:v>
                </c:pt>
                <c:pt idx="236">
                  <c:v>43446</c:v>
                </c:pt>
                <c:pt idx="237">
                  <c:v>43445</c:v>
                </c:pt>
                <c:pt idx="238">
                  <c:v>43444</c:v>
                </c:pt>
                <c:pt idx="239">
                  <c:v>43441</c:v>
                </c:pt>
                <c:pt idx="240">
                  <c:v>43440</c:v>
                </c:pt>
                <c:pt idx="241">
                  <c:v>43439</c:v>
                </c:pt>
                <c:pt idx="242">
                  <c:v>43438</c:v>
                </c:pt>
                <c:pt idx="243">
                  <c:v>43437</c:v>
                </c:pt>
                <c:pt idx="244">
                  <c:v>43434</c:v>
                </c:pt>
                <c:pt idx="245">
                  <c:v>43433</c:v>
                </c:pt>
                <c:pt idx="246">
                  <c:v>43432</c:v>
                </c:pt>
                <c:pt idx="247">
                  <c:v>43431</c:v>
                </c:pt>
                <c:pt idx="248">
                  <c:v>43430</c:v>
                </c:pt>
                <c:pt idx="249">
                  <c:v>43426</c:v>
                </c:pt>
                <c:pt idx="250">
                  <c:v>43425</c:v>
                </c:pt>
                <c:pt idx="251">
                  <c:v>43424</c:v>
                </c:pt>
                <c:pt idx="252">
                  <c:v>43423</c:v>
                </c:pt>
                <c:pt idx="253">
                  <c:v>43420</c:v>
                </c:pt>
                <c:pt idx="254">
                  <c:v>43419</c:v>
                </c:pt>
                <c:pt idx="255">
                  <c:v>43418</c:v>
                </c:pt>
                <c:pt idx="256">
                  <c:v>43417</c:v>
                </c:pt>
                <c:pt idx="257">
                  <c:v>43416</c:v>
                </c:pt>
                <c:pt idx="258">
                  <c:v>43413</c:v>
                </c:pt>
                <c:pt idx="259">
                  <c:v>43412</c:v>
                </c:pt>
                <c:pt idx="260">
                  <c:v>43411</c:v>
                </c:pt>
                <c:pt idx="261">
                  <c:v>43410</c:v>
                </c:pt>
                <c:pt idx="262">
                  <c:v>43409</c:v>
                </c:pt>
                <c:pt idx="263">
                  <c:v>43406</c:v>
                </c:pt>
                <c:pt idx="264">
                  <c:v>43405</c:v>
                </c:pt>
                <c:pt idx="265">
                  <c:v>43404</c:v>
                </c:pt>
                <c:pt idx="266">
                  <c:v>43403</c:v>
                </c:pt>
                <c:pt idx="267">
                  <c:v>43402</c:v>
                </c:pt>
                <c:pt idx="268">
                  <c:v>43399</c:v>
                </c:pt>
                <c:pt idx="269">
                  <c:v>43398</c:v>
                </c:pt>
                <c:pt idx="270">
                  <c:v>43397</c:v>
                </c:pt>
                <c:pt idx="271">
                  <c:v>43396</c:v>
                </c:pt>
                <c:pt idx="272">
                  <c:v>43395</c:v>
                </c:pt>
                <c:pt idx="273">
                  <c:v>43392</c:v>
                </c:pt>
                <c:pt idx="274">
                  <c:v>43391</c:v>
                </c:pt>
                <c:pt idx="275">
                  <c:v>43390</c:v>
                </c:pt>
                <c:pt idx="276">
                  <c:v>43389</c:v>
                </c:pt>
                <c:pt idx="277">
                  <c:v>43388</c:v>
                </c:pt>
                <c:pt idx="278">
                  <c:v>43385</c:v>
                </c:pt>
                <c:pt idx="279">
                  <c:v>43384</c:v>
                </c:pt>
                <c:pt idx="280">
                  <c:v>43383</c:v>
                </c:pt>
                <c:pt idx="281">
                  <c:v>43382</c:v>
                </c:pt>
                <c:pt idx="282">
                  <c:v>43378</c:v>
                </c:pt>
                <c:pt idx="283">
                  <c:v>43377</c:v>
                </c:pt>
                <c:pt idx="284">
                  <c:v>43376</c:v>
                </c:pt>
                <c:pt idx="285">
                  <c:v>43375</c:v>
                </c:pt>
                <c:pt idx="286">
                  <c:v>43374</c:v>
                </c:pt>
                <c:pt idx="287">
                  <c:v>43371</c:v>
                </c:pt>
                <c:pt idx="288">
                  <c:v>43370</c:v>
                </c:pt>
                <c:pt idx="289">
                  <c:v>43369</c:v>
                </c:pt>
                <c:pt idx="290">
                  <c:v>43368</c:v>
                </c:pt>
                <c:pt idx="291">
                  <c:v>43364</c:v>
                </c:pt>
                <c:pt idx="292">
                  <c:v>43363</c:v>
                </c:pt>
                <c:pt idx="293">
                  <c:v>43362</c:v>
                </c:pt>
                <c:pt idx="294">
                  <c:v>43361</c:v>
                </c:pt>
                <c:pt idx="295">
                  <c:v>43357</c:v>
                </c:pt>
                <c:pt idx="296">
                  <c:v>43356</c:v>
                </c:pt>
                <c:pt idx="297">
                  <c:v>43355</c:v>
                </c:pt>
                <c:pt idx="298">
                  <c:v>43354</c:v>
                </c:pt>
                <c:pt idx="299">
                  <c:v>43353</c:v>
                </c:pt>
                <c:pt idx="300">
                  <c:v>43350</c:v>
                </c:pt>
                <c:pt idx="301">
                  <c:v>43349</c:v>
                </c:pt>
                <c:pt idx="302">
                  <c:v>43348</c:v>
                </c:pt>
                <c:pt idx="303">
                  <c:v>43347</c:v>
                </c:pt>
                <c:pt idx="304">
                  <c:v>43346</c:v>
                </c:pt>
                <c:pt idx="305">
                  <c:v>43343</c:v>
                </c:pt>
                <c:pt idx="306">
                  <c:v>43342</c:v>
                </c:pt>
                <c:pt idx="307">
                  <c:v>43341</c:v>
                </c:pt>
                <c:pt idx="308">
                  <c:v>43340</c:v>
                </c:pt>
                <c:pt idx="309">
                  <c:v>43339</c:v>
                </c:pt>
                <c:pt idx="310">
                  <c:v>43336</c:v>
                </c:pt>
                <c:pt idx="311">
                  <c:v>43335</c:v>
                </c:pt>
                <c:pt idx="312">
                  <c:v>43334</c:v>
                </c:pt>
                <c:pt idx="313">
                  <c:v>43333</c:v>
                </c:pt>
                <c:pt idx="314">
                  <c:v>43332</c:v>
                </c:pt>
                <c:pt idx="315">
                  <c:v>43329</c:v>
                </c:pt>
                <c:pt idx="316">
                  <c:v>43328</c:v>
                </c:pt>
                <c:pt idx="317">
                  <c:v>43327</c:v>
                </c:pt>
                <c:pt idx="318">
                  <c:v>43326</c:v>
                </c:pt>
                <c:pt idx="319">
                  <c:v>43325</c:v>
                </c:pt>
                <c:pt idx="320">
                  <c:v>43322</c:v>
                </c:pt>
                <c:pt idx="321">
                  <c:v>43321</c:v>
                </c:pt>
                <c:pt idx="322">
                  <c:v>43320</c:v>
                </c:pt>
                <c:pt idx="323">
                  <c:v>43319</c:v>
                </c:pt>
                <c:pt idx="324">
                  <c:v>43318</c:v>
                </c:pt>
                <c:pt idx="325">
                  <c:v>43315</c:v>
                </c:pt>
                <c:pt idx="326">
                  <c:v>43314</c:v>
                </c:pt>
                <c:pt idx="327">
                  <c:v>43313</c:v>
                </c:pt>
                <c:pt idx="328">
                  <c:v>43312</c:v>
                </c:pt>
                <c:pt idx="329">
                  <c:v>43311</c:v>
                </c:pt>
                <c:pt idx="330">
                  <c:v>43308</c:v>
                </c:pt>
                <c:pt idx="331">
                  <c:v>43307</c:v>
                </c:pt>
                <c:pt idx="332">
                  <c:v>43306</c:v>
                </c:pt>
                <c:pt idx="333">
                  <c:v>43305</c:v>
                </c:pt>
                <c:pt idx="334">
                  <c:v>43304</c:v>
                </c:pt>
                <c:pt idx="335">
                  <c:v>43301</c:v>
                </c:pt>
                <c:pt idx="336">
                  <c:v>43300</c:v>
                </c:pt>
                <c:pt idx="337">
                  <c:v>43299</c:v>
                </c:pt>
                <c:pt idx="338">
                  <c:v>43298</c:v>
                </c:pt>
                <c:pt idx="339">
                  <c:v>43294</c:v>
                </c:pt>
                <c:pt idx="340">
                  <c:v>43293</c:v>
                </c:pt>
                <c:pt idx="341">
                  <c:v>43292</c:v>
                </c:pt>
                <c:pt idx="342">
                  <c:v>43291</c:v>
                </c:pt>
                <c:pt idx="343">
                  <c:v>43290</c:v>
                </c:pt>
                <c:pt idx="344">
                  <c:v>43287</c:v>
                </c:pt>
                <c:pt idx="345">
                  <c:v>43286</c:v>
                </c:pt>
                <c:pt idx="346">
                  <c:v>43285</c:v>
                </c:pt>
                <c:pt idx="347">
                  <c:v>43284</c:v>
                </c:pt>
                <c:pt idx="348">
                  <c:v>43283</c:v>
                </c:pt>
                <c:pt idx="349">
                  <c:v>43280</c:v>
                </c:pt>
                <c:pt idx="350">
                  <c:v>43279</c:v>
                </c:pt>
                <c:pt idx="351">
                  <c:v>43278</c:v>
                </c:pt>
                <c:pt idx="352">
                  <c:v>43277</c:v>
                </c:pt>
                <c:pt idx="353">
                  <c:v>43276</c:v>
                </c:pt>
                <c:pt idx="354">
                  <c:v>43273</c:v>
                </c:pt>
                <c:pt idx="355">
                  <c:v>43272</c:v>
                </c:pt>
                <c:pt idx="356">
                  <c:v>43271</c:v>
                </c:pt>
                <c:pt idx="357">
                  <c:v>43270</c:v>
                </c:pt>
                <c:pt idx="358">
                  <c:v>43269</c:v>
                </c:pt>
                <c:pt idx="359">
                  <c:v>43266</c:v>
                </c:pt>
                <c:pt idx="360">
                  <c:v>43265</c:v>
                </c:pt>
                <c:pt idx="361">
                  <c:v>43264</c:v>
                </c:pt>
                <c:pt idx="362">
                  <c:v>43263</c:v>
                </c:pt>
                <c:pt idx="363">
                  <c:v>43262</c:v>
                </c:pt>
                <c:pt idx="364">
                  <c:v>43259</c:v>
                </c:pt>
                <c:pt idx="365">
                  <c:v>43258</c:v>
                </c:pt>
                <c:pt idx="366">
                  <c:v>43257</c:v>
                </c:pt>
                <c:pt idx="367">
                  <c:v>43256</c:v>
                </c:pt>
                <c:pt idx="368">
                  <c:v>43255</c:v>
                </c:pt>
                <c:pt idx="369">
                  <c:v>43252</c:v>
                </c:pt>
                <c:pt idx="370">
                  <c:v>43251</c:v>
                </c:pt>
                <c:pt idx="371">
                  <c:v>43250</c:v>
                </c:pt>
                <c:pt idx="372">
                  <c:v>43249</c:v>
                </c:pt>
                <c:pt idx="373">
                  <c:v>43248</c:v>
                </c:pt>
                <c:pt idx="374">
                  <c:v>43245</c:v>
                </c:pt>
                <c:pt idx="375">
                  <c:v>43244</c:v>
                </c:pt>
                <c:pt idx="376">
                  <c:v>43243</c:v>
                </c:pt>
                <c:pt idx="377">
                  <c:v>43242</c:v>
                </c:pt>
                <c:pt idx="378">
                  <c:v>43241</c:v>
                </c:pt>
                <c:pt idx="379">
                  <c:v>43238</c:v>
                </c:pt>
                <c:pt idx="380">
                  <c:v>43237</c:v>
                </c:pt>
                <c:pt idx="381">
                  <c:v>43236</c:v>
                </c:pt>
                <c:pt idx="382">
                  <c:v>43235</c:v>
                </c:pt>
                <c:pt idx="383">
                  <c:v>43234</c:v>
                </c:pt>
                <c:pt idx="384">
                  <c:v>43231</c:v>
                </c:pt>
                <c:pt idx="385">
                  <c:v>43230</c:v>
                </c:pt>
                <c:pt idx="386">
                  <c:v>43229</c:v>
                </c:pt>
                <c:pt idx="387">
                  <c:v>43228</c:v>
                </c:pt>
                <c:pt idx="388">
                  <c:v>43227</c:v>
                </c:pt>
                <c:pt idx="389">
                  <c:v>43222</c:v>
                </c:pt>
                <c:pt idx="390">
                  <c:v>43221</c:v>
                </c:pt>
                <c:pt idx="391">
                  <c:v>43217</c:v>
                </c:pt>
                <c:pt idx="392">
                  <c:v>43216</c:v>
                </c:pt>
                <c:pt idx="393">
                  <c:v>43215</c:v>
                </c:pt>
                <c:pt idx="394">
                  <c:v>43214</c:v>
                </c:pt>
                <c:pt idx="395">
                  <c:v>43213</c:v>
                </c:pt>
                <c:pt idx="396">
                  <c:v>43210</c:v>
                </c:pt>
                <c:pt idx="397">
                  <c:v>43209</c:v>
                </c:pt>
                <c:pt idx="398">
                  <c:v>43208</c:v>
                </c:pt>
                <c:pt idx="399">
                  <c:v>43207</c:v>
                </c:pt>
                <c:pt idx="400">
                  <c:v>43206</c:v>
                </c:pt>
                <c:pt idx="401">
                  <c:v>43203</c:v>
                </c:pt>
                <c:pt idx="402">
                  <c:v>43202</c:v>
                </c:pt>
                <c:pt idx="403">
                  <c:v>43201</c:v>
                </c:pt>
                <c:pt idx="404">
                  <c:v>43200</c:v>
                </c:pt>
                <c:pt idx="405">
                  <c:v>43199</c:v>
                </c:pt>
                <c:pt idx="406">
                  <c:v>43196</c:v>
                </c:pt>
                <c:pt idx="407">
                  <c:v>43195</c:v>
                </c:pt>
                <c:pt idx="408">
                  <c:v>43194</c:v>
                </c:pt>
                <c:pt idx="409">
                  <c:v>43193</c:v>
                </c:pt>
                <c:pt idx="410">
                  <c:v>43192</c:v>
                </c:pt>
                <c:pt idx="411">
                  <c:v>43189</c:v>
                </c:pt>
                <c:pt idx="412">
                  <c:v>43188</c:v>
                </c:pt>
                <c:pt idx="413">
                  <c:v>43187</c:v>
                </c:pt>
                <c:pt idx="414">
                  <c:v>43186</c:v>
                </c:pt>
                <c:pt idx="415">
                  <c:v>43185</c:v>
                </c:pt>
                <c:pt idx="416">
                  <c:v>43182</c:v>
                </c:pt>
                <c:pt idx="417">
                  <c:v>43181</c:v>
                </c:pt>
                <c:pt idx="418">
                  <c:v>43179</c:v>
                </c:pt>
                <c:pt idx="419">
                  <c:v>43178</c:v>
                </c:pt>
                <c:pt idx="420">
                  <c:v>43175</c:v>
                </c:pt>
                <c:pt idx="421">
                  <c:v>43174</c:v>
                </c:pt>
                <c:pt idx="422">
                  <c:v>43173</c:v>
                </c:pt>
                <c:pt idx="423">
                  <c:v>43172</c:v>
                </c:pt>
                <c:pt idx="424">
                  <c:v>43171</c:v>
                </c:pt>
                <c:pt idx="425">
                  <c:v>43168</c:v>
                </c:pt>
                <c:pt idx="426">
                  <c:v>43167</c:v>
                </c:pt>
                <c:pt idx="427">
                  <c:v>43166</c:v>
                </c:pt>
                <c:pt idx="428">
                  <c:v>43165</c:v>
                </c:pt>
                <c:pt idx="429">
                  <c:v>43164</c:v>
                </c:pt>
                <c:pt idx="430">
                  <c:v>43161</c:v>
                </c:pt>
                <c:pt idx="431">
                  <c:v>43160</c:v>
                </c:pt>
                <c:pt idx="432">
                  <c:v>43159</c:v>
                </c:pt>
                <c:pt idx="433">
                  <c:v>43158</c:v>
                </c:pt>
                <c:pt idx="434">
                  <c:v>43157</c:v>
                </c:pt>
                <c:pt idx="435">
                  <c:v>43154</c:v>
                </c:pt>
                <c:pt idx="436">
                  <c:v>43153</c:v>
                </c:pt>
                <c:pt idx="437">
                  <c:v>43152</c:v>
                </c:pt>
                <c:pt idx="438">
                  <c:v>43151</c:v>
                </c:pt>
                <c:pt idx="439">
                  <c:v>43150</c:v>
                </c:pt>
                <c:pt idx="440">
                  <c:v>43147</c:v>
                </c:pt>
                <c:pt idx="441">
                  <c:v>43146</c:v>
                </c:pt>
                <c:pt idx="442">
                  <c:v>43145</c:v>
                </c:pt>
                <c:pt idx="443">
                  <c:v>43144</c:v>
                </c:pt>
                <c:pt idx="444">
                  <c:v>43140</c:v>
                </c:pt>
                <c:pt idx="445">
                  <c:v>43139</c:v>
                </c:pt>
                <c:pt idx="446">
                  <c:v>43138</c:v>
                </c:pt>
                <c:pt idx="447">
                  <c:v>43137</c:v>
                </c:pt>
                <c:pt idx="448">
                  <c:v>43136</c:v>
                </c:pt>
                <c:pt idx="449">
                  <c:v>43133</c:v>
                </c:pt>
                <c:pt idx="450">
                  <c:v>43132</c:v>
                </c:pt>
                <c:pt idx="451">
                  <c:v>43131</c:v>
                </c:pt>
                <c:pt idx="452">
                  <c:v>43130</c:v>
                </c:pt>
                <c:pt idx="453">
                  <c:v>43129</c:v>
                </c:pt>
                <c:pt idx="454">
                  <c:v>43126</c:v>
                </c:pt>
                <c:pt idx="455">
                  <c:v>43125</c:v>
                </c:pt>
                <c:pt idx="456">
                  <c:v>43124</c:v>
                </c:pt>
                <c:pt idx="457">
                  <c:v>43123</c:v>
                </c:pt>
                <c:pt idx="458">
                  <c:v>43122</c:v>
                </c:pt>
                <c:pt idx="459">
                  <c:v>43119</c:v>
                </c:pt>
                <c:pt idx="460">
                  <c:v>43118</c:v>
                </c:pt>
                <c:pt idx="461">
                  <c:v>43117</c:v>
                </c:pt>
                <c:pt idx="462">
                  <c:v>43116</c:v>
                </c:pt>
                <c:pt idx="463">
                  <c:v>43115</c:v>
                </c:pt>
                <c:pt idx="464">
                  <c:v>43112</c:v>
                </c:pt>
                <c:pt idx="465">
                  <c:v>43111</c:v>
                </c:pt>
                <c:pt idx="466">
                  <c:v>43110</c:v>
                </c:pt>
                <c:pt idx="467">
                  <c:v>43109</c:v>
                </c:pt>
                <c:pt idx="468">
                  <c:v>43105</c:v>
                </c:pt>
                <c:pt idx="469">
                  <c:v>43104</c:v>
                </c:pt>
                <c:pt idx="470">
                  <c:v>43098</c:v>
                </c:pt>
                <c:pt idx="471">
                  <c:v>43097</c:v>
                </c:pt>
                <c:pt idx="472">
                  <c:v>43096</c:v>
                </c:pt>
                <c:pt idx="473">
                  <c:v>43095</c:v>
                </c:pt>
                <c:pt idx="474">
                  <c:v>43094</c:v>
                </c:pt>
                <c:pt idx="475">
                  <c:v>43091</c:v>
                </c:pt>
                <c:pt idx="476">
                  <c:v>43090</c:v>
                </c:pt>
                <c:pt idx="477">
                  <c:v>43089</c:v>
                </c:pt>
                <c:pt idx="478">
                  <c:v>43088</c:v>
                </c:pt>
                <c:pt idx="479">
                  <c:v>43087</c:v>
                </c:pt>
                <c:pt idx="480">
                  <c:v>43084</c:v>
                </c:pt>
                <c:pt idx="481">
                  <c:v>43083</c:v>
                </c:pt>
                <c:pt idx="482">
                  <c:v>43082</c:v>
                </c:pt>
                <c:pt idx="483">
                  <c:v>43081</c:v>
                </c:pt>
                <c:pt idx="484">
                  <c:v>43080</c:v>
                </c:pt>
                <c:pt idx="485">
                  <c:v>43077</c:v>
                </c:pt>
                <c:pt idx="486">
                  <c:v>43076</c:v>
                </c:pt>
                <c:pt idx="487">
                  <c:v>43075</c:v>
                </c:pt>
                <c:pt idx="488">
                  <c:v>43074</c:v>
                </c:pt>
                <c:pt idx="489">
                  <c:v>43073</c:v>
                </c:pt>
                <c:pt idx="490">
                  <c:v>43070</c:v>
                </c:pt>
                <c:pt idx="491">
                  <c:v>43069</c:v>
                </c:pt>
                <c:pt idx="492">
                  <c:v>43068</c:v>
                </c:pt>
                <c:pt idx="493">
                  <c:v>43067</c:v>
                </c:pt>
                <c:pt idx="494">
                  <c:v>43066</c:v>
                </c:pt>
                <c:pt idx="495">
                  <c:v>43063</c:v>
                </c:pt>
                <c:pt idx="496">
                  <c:v>43061</c:v>
                </c:pt>
                <c:pt idx="497">
                  <c:v>43060</c:v>
                </c:pt>
                <c:pt idx="498">
                  <c:v>43059</c:v>
                </c:pt>
                <c:pt idx="499">
                  <c:v>43056</c:v>
                </c:pt>
                <c:pt idx="500">
                  <c:v>43055</c:v>
                </c:pt>
                <c:pt idx="501">
                  <c:v>43054</c:v>
                </c:pt>
                <c:pt idx="502">
                  <c:v>43053</c:v>
                </c:pt>
                <c:pt idx="503">
                  <c:v>43052</c:v>
                </c:pt>
                <c:pt idx="504">
                  <c:v>43049</c:v>
                </c:pt>
                <c:pt idx="505">
                  <c:v>43048</c:v>
                </c:pt>
                <c:pt idx="506">
                  <c:v>43047</c:v>
                </c:pt>
                <c:pt idx="507">
                  <c:v>43046</c:v>
                </c:pt>
                <c:pt idx="508">
                  <c:v>43045</c:v>
                </c:pt>
                <c:pt idx="509">
                  <c:v>43041</c:v>
                </c:pt>
                <c:pt idx="510">
                  <c:v>43040</c:v>
                </c:pt>
                <c:pt idx="511">
                  <c:v>43039</c:v>
                </c:pt>
                <c:pt idx="512">
                  <c:v>43038</c:v>
                </c:pt>
                <c:pt idx="513">
                  <c:v>43035</c:v>
                </c:pt>
                <c:pt idx="514">
                  <c:v>43034</c:v>
                </c:pt>
                <c:pt idx="515">
                  <c:v>43033</c:v>
                </c:pt>
                <c:pt idx="516">
                  <c:v>43032</c:v>
                </c:pt>
                <c:pt idx="517">
                  <c:v>43031</c:v>
                </c:pt>
                <c:pt idx="518">
                  <c:v>43028</c:v>
                </c:pt>
                <c:pt idx="519">
                  <c:v>43027</c:v>
                </c:pt>
                <c:pt idx="520">
                  <c:v>43026</c:v>
                </c:pt>
                <c:pt idx="521">
                  <c:v>43025</c:v>
                </c:pt>
                <c:pt idx="522">
                  <c:v>43024</c:v>
                </c:pt>
                <c:pt idx="523">
                  <c:v>43021</c:v>
                </c:pt>
                <c:pt idx="524">
                  <c:v>43020</c:v>
                </c:pt>
                <c:pt idx="525">
                  <c:v>43019</c:v>
                </c:pt>
                <c:pt idx="526">
                  <c:v>43018</c:v>
                </c:pt>
                <c:pt idx="527">
                  <c:v>43014</c:v>
                </c:pt>
                <c:pt idx="528">
                  <c:v>43013</c:v>
                </c:pt>
                <c:pt idx="529">
                  <c:v>43012</c:v>
                </c:pt>
                <c:pt idx="530">
                  <c:v>43011</c:v>
                </c:pt>
                <c:pt idx="531">
                  <c:v>43010</c:v>
                </c:pt>
                <c:pt idx="532">
                  <c:v>43007</c:v>
                </c:pt>
                <c:pt idx="533">
                  <c:v>43006</c:v>
                </c:pt>
                <c:pt idx="534">
                  <c:v>43005</c:v>
                </c:pt>
                <c:pt idx="535">
                  <c:v>43004</c:v>
                </c:pt>
                <c:pt idx="536">
                  <c:v>43003</c:v>
                </c:pt>
                <c:pt idx="537">
                  <c:v>43000</c:v>
                </c:pt>
                <c:pt idx="538">
                  <c:v>42999</c:v>
                </c:pt>
                <c:pt idx="539">
                  <c:v>42998</c:v>
                </c:pt>
                <c:pt idx="540">
                  <c:v>42997</c:v>
                </c:pt>
                <c:pt idx="541">
                  <c:v>42993</c:v>
                </c:pt>
                <c:pt idx="542">
                  <c:v>42992</c:v>
                </c:pt>
                <c:pt idx="543">
                  <c:v>42991</c:v>
                </c:pt>
                <c:pt idx="544">
                  <c:v>42990</c:v>
                </c:pt>
                <c:pt idx="545">
                  <c:v>42989</c:v>
                </c:pt>
                <c:pt idx="546">
                  <c:v>42986</c:v>
                </c:pt>
                <c:pt idx="547">
                  <c:v>42985</c:v>
                </c:pt>
                <c:pt idx="548">
                  <c:v>42984</c:v>
                </c:pt>
                <c:pt idx="549">
                  <c:v>42983</c:v>
                </c:pt>
                <c:pt idx="550">
                  <c:v>42982</c:v>
                </c:pt>
                <c:pt idx="551">
                  <c:v>42979</c:v>
                </c:pt>
                <c:pt idx="552">
                  <c:v>42978</c:v>
                </c:pt>
                <c:pt idx="553">
                  <c:v>42977</c:v>
                </c:pt>
                <c:pt idx="554">
                  <c:v>42976</c:v>
                </c:pt>
                <c:pt idx="555">
                  <c:v>42975</c:v>
                </c:pt>
                <c:pt idx="556">
                  <c:v>42972</c:v>
                </c:pt>
                <c:pt idx="557">
                  <c:v>42971</c:v>
                </c:pt>
                <c:pt idx="558">
                  <c:v>42970</c:v>
                </c:pt>
                <c:pt idx="559">
                  <c:v>42969</c:v>
                </c:pt>
                <c:pt idx="560">
                  <c:v>42968</c:v>
                </c:pt>
                <c:pt idx="561">
                  <c:v>42965</c:v>
                </c:pt>
                <c:pt idx="562">
                  <c:v>42964</c:v>
                </c:pt>
                <c:pt idx="563">
                  <c:v>42963</c:v>
                </c:pt>
                <c:pt idx="564">
                  <c:v>42962</c:v>
                </c:pt>
                <c:pt idx="565">
                  <c:v>42961</c:v>
                </c:pt>
                <c:pt idx="566">
                  <c:v>42957</c:v>
                </c:pt>
                <c:pt idx="567">
                  <c:v>42956</c:v>
                </c:pt>
                <c:pt idx="568">
                  <c:v>42955</c:v>
                </c:pt>
                <c:pt idx="569">
                  <c:v>42954</c:v>
                </c:pt>
                <c:pt idx="570">
                  <c:v>42951</c:v>
                </c:pt>
                <c:pt idx="571">
                  <c:v>42950</c:v>
                </c:pt>
                <c:pt idx="572">
                  <c:v>42949</c:v>
                </c:pt>
                <c:pt idx="573">
                  <c:v>42948</c:v>
                </c:pt>
                <c:pt idx="574">
                  <c:v>42947</c:v>
                </c:pt>
                <c:pt idx="575">
                  <c:v>42944</c:v>
                </c:pt>
                <c:pt idx="576">
                  <c:v>42943</c:v>
                </c:pt>
                <c:pt idx="577">
                  <c:v>42942</c:v>
                </c:pt>
                <c:pt idx="578">
                  <c:v>42941</c:v>
                </c:pt>
                <c:pt idx="579">
                  <c:v>42940</c:v>
                </c:pt>
                <c:pt idx="580">
                  <c:v>42937</c:v>
                </c:pt>
                <c:pt idx="581">
                  <c:v>42936</c:v>
                </c:pt>
                <c:pt idx="582">
                  <c:v>42935</c:v>
                </c:pt>
                <c:pt idx="583">
                  <c:v>42934</c:v>
                </c:pt>
                <c:pt idx="584">
                  <c:v>42930</c:v>
                </c:pt>
                <c:pt idx="585">
                  <c:v>42929</c:v>
                </c:pt>
                <c:pt idx="586">
                  <c:v>42928</c:v>
                </c:pt>
                <c:pt idx="587">
                  <c:v>42927</c:v>
                </c:pt>
                <c:pt idx="588">
                  <c:v>42926</c:v>
                </c:pt>
                <c:pt idx="589">
                  <c:v>42923</c:v>
                </c:pt>
                <c:pt idx="590">
                  <c:v>42922</c:v>
                </c:pt>
                <c:pt idx="591">
                  <c:v>42921</c:v>
                </c:pt>
                <c:pt idx="592">
                  <c:v>42920</c:v>
                </c:pt>
                <c:pt idx="593">
                  <c:v>42919</c:v>
                </c:pt>
                <c:pt idx="594">
                  <c:v>42916</c:v>
                </c:pt>
                <c:pt idx="595">
                  <c:v>42915</c:v>
                </c:pt>
                <c:pt idx="596">
                  <c:v>42914</c:v>
                </c:pt>
                <c:pt idx="597">
                  <c:v>42913</c:v>
                </c:pt>
                <c:pt idx="598">
                  <c:v>42912</c:v>
                </c:pt>
                <c:pt idx="599">
                  <c:v>42909</c:v>
                </c:pt>
                <c:pt idx="600">
                  <c:v>42908</c:v>
                </c:pt>
                <c:pt idx="601">
                  <c:v>42907</c:v>
                </c:pt>
                <c:pt idx="602">
                  <c:v>42906</c:v>
                </c:pt>
                <c:pt idx="603">
                  <c:v>42905</c:v>
                </c:pt>
                <c:pt idx="604">
                  <c:v>42902</c:v>
                </c:pt>
                <c:pt idx="605">
                  <c:v>42901</c:v>
                </c:pt>
                <c:pt idx="606">
                  <c:v>42900</c:v>
                </c:pt>
                <c:pt idx="607">
                  <c:v>42899</c:v>
                </c:pt>
                <c:pt idx="608">
                  <c:v>42898</c:v>
                </c:pt>
                <c:pt idx="609">
                  <c:v>42895</c:v>
                </c:pt>
                <c:pt idx="610">
                  <c:v>42894</c:v>
                </c:pt>
                <c:pt idx="611">
                  <c:v>42893</c:v>
                </c:pt>
                <c:pt idx="612">
                  <c:v>42892</c:v>
                </c:pt>
                <c:pt idx="613">
                  <c:v>42891</c:v>
                </c:pt>
                <c:pt idx="614">
                  <c:v>42888</c:v>
                </c:pt>
                <c:pt idx="615">
                  <c:v>42887</c:v>
                </c:pt>
                <c:pt idx="616">
                  <c:v>42886</c:v>
                </c:pt>
                <c:pt idx="617">
                  <c:v>42885</c:v>
                </c:pt>
                <c:pt idx="618">
                  <c:v>42884</c:v>
                </c:pt>
                <c:pt idx="619">
                  <c:v>42881</c:v>
                </c:pt>
                <c:pt idx="620">
                  <c:v>42880</c:v>
                </c:pt>
                <c:pt idx="621">
                  <c:v>42879</c:v>
                </c:pt>
                <c:pt idx="622">
                  <c:v>42878</c:v>
                </c:pt>
                <c:pt idx="623">
                  <c:v>42877</c:v>
                </c:pt>
                <c:pt idx="624">
                  <c:v>42874</c:v>
                </c:pt>
                <c:pt idx="625">
                  <c:v>42873</c:v>
                </c:pt>
                <c:pt idx="626">
                  <c:v>42872</c:v>
                </c:pt>
                <c:pt idx="627">
                  <c:v>42871</c:v>
                </c:pt>
                <c:pt idx="628">
                  <c:v>42870</c:v>
                </c:pt>
                <c:pt idx="629">
                  <c:v>42867</c:v>
                </c:pt>
                <c:pt idx="630">
                  <c:v>42866</c:v>
                </c:pt>
                <c:pt idx="631">
                  <c:v>42865</c:v>
                </c:pt>
                <c:pt idx="632">
                  <c:v>42864</c:v>
                </c:pt>
                <c:pt idx="633">
                  <c:v>42863</c:v>
                </c:pt>
                <c:pt idx="634">
                  <c:v>42857</c:v>
                </c:pt>
                <c:pt idx="635">
                  <c:v>42856</c:v>
                </c:pt>
                <c:pt idx="636">
                  <c:v>42853</c:v>
                </c:pt>
                <c:pt idx="637">
                  <c:v>42852</c:v>
                </c:pt>
                <c:pt idx="638">
                  <c:v>42851</c:v>
                </c:pt>
                <c:pt idx="639">
                  <c:v>42850</c:v>
                </c:pt>
                <c:pt idx="640">
                  <c:v>42849</c:v>
                </c:pt>
                <c:pt idx="641">
                  <c:v>42846</c:v>
                </c:pt>
                <c:pt idx="642">
                  <c:v>42845</c:v>
                </c:pt>
                <c:pt idx="643">
                  <c:v>42844</c:v>
                </c:pt>
                <c:pt idx="644">
                  <c:v>42843</c:v>
                </c:pt>
                <c:pt idx="645">
                  <c:v>42842</c:v>
                </c:pt>
                <c:pt idx="646">
                  <c:v>42839</c:v>
                </c:pt>
                <c:pt idx="647">
                  <c:v>42838</c:v>
                </c:pt>
                <c:pt idx="648">
                  <c:v>42837</c:v>
                </c:pt>
                <c:pt idx="649">
                  <c:v>42836</c:v>
                </c:pt>
                <c:pt idx="650">
                  <c:v>42835</c:v>
                </c:pt>
                <c:pt idx="651">
                  <c:v>42832</c:v>
                </c:pt>
                <c:pt idx="652">
                  <c:v>42831</c:v>
                </c:pt>
                <c:pt idx="653">
                  <c:v>42830</c:v>
                </c:pt>
                <c:pt idx="654">
                  <c:v>42829</c:v>
                </c:pt>
                <c:pt idx="655">
                  <c:v>42828</c:v>
                </c:pt>
                <c:pt idx="656">
                  <c:v>42825</c:v>
                </c:pt>
                <c:pt idx="657">
                  <c:v>42824</c:v>
                </c:pt>
                <c:pt idx="658">
                  <c:v>42823</c:v>
                </c:pt>
                <c:pt idx="659">
                  <c:v>42822</c:v>
                </c:pt>
                <c:pt idx="660">
                  <c:v>42821</c:v>
                </c:pt>
                <c:pt idx="661">
                  <c:v>42818</c:v>
                </c:pt>
              </c:numCache>
            </c:numRef>
          </c:cat>
          <c:val>
            <c:numRef>
              <c:f>グラフ!$G$42:$G$703</c:f>
              <c:numCache>
                <c:formatCode>General</c:formatCode>
                <c:ptCount val="662"/>
                <c:pt idx="0">
                  <c:v>0.29909931775538101</c:v>
                </c:pt>
                <c:pt idx="1">
                  <c:v>0.29871917533005099</c:v>
                </c:pt>
                <c:pt idx="2">
                  <c:v>0.29833251708187702</c:v>
                </c:pt>
                <c:pt idx="3">
                  <c:v>0.29798706446807799</c:v>
                </c:pt>
                <c:pt idx="4">
                  <c:v>0.29768746710944699</c:v>
                </c:pt>
                <c:pt idx="5">
                  <c:v>0.29736120264793298</c:v>
                </c:pt>
                <c:pt idx="6">
                  <c:v>0.29707578645421301</c:v>
                </c:pt>
                <c:pt idx="7">
                  <c:v>0.29705873155957102</c:v>
                </c:pt>
                <c:pt idx="8">
                  <c:v>0.29707765991278101</c:v>
                </c:pt>
                <c:pt idx="9">
                  <c:v>0.29713243430414499</c:v>
                </c:pt>
                <c:pt idx="10">
                  <c:v>0.297216586545692</c:v>
                </c:pt>
                <c:pt idx="11">
                  <c:v>0.29726349059259599</c:v>
                </c:pt>
                <c:pt idx="12">
                  <c:v>0.29735720713625502</c:v>
                </c:pt>
                <c:pt idx="13">
                  <c:v>0.29741181593601301</c:v>
                </c:pt>
                <c:pt idx="14">
                  <c:v>0.297450500543883</c:v>
                </c:pt>
                <c:pt idx="15">
                  <c:v>0.297563538215532</c:v>
                </c:pt>
                <c:pt idx="16">
                  <c:v>0.29764967719607799</c:v>
                </c:pt>
                <c:pt idx="17">
                  <c:v>0.297622696764547</c:v>
                </c:pt>
                <c:pt idx="18">
                  <c:v>0.29762379068558398</c:v>
                </c:pt>
                <c:pt idx="19">
                  <c:v>0.29753746558355199</c:v>
                </c:pt>
                <c:pt idx="20">
                  <c:v>0.29737170541779201</c:v>
                </c:pt>
                <c:pt idx="21">
                  <c:v>0.29703881486693101</c:v>
                </c:pt>
                <c:pt idx="22">
                  <c:v>0.29673556857651401</c:v>
                </c:pt>
                <c:pt idx="23">
                  <c:v>0.29658363637831398</c:v>
                </c:pt>
                <c:pt idx="24">
                  <c:v>0.29642983780126397</c:v>
                </c:pt>
                <c:pt idx="25">
                  <c:v>0.29634714353614899</c:v>
                </c:pt>
                <c:pt idx="26">
                  <c:v>0.29620745309302299</c:v>
                </c:pt>
                <c:pt idx="27">
                  <c:v>0.296183349300218</c:v>
                </c:pt>
                <c:pt idx="28">
                  <c:v>0.296231840419652</c:v>
                </c:pt>
                <c:pt idx="29">
                  <c:v>0.296311986139142</c:v>
                </c:pt>
                <c:pt idx="30">
                  <c:v>0.29632402590026402</c:v>
                </c:pt>
                <c:pt idx="31">
                  <c:v>0.29641435190494297</c:v>
                </c:pt>
                <c:pt idx="32">
                  <c:v>0.29646604317347902</c:v>
                </c:pt>
                <c:pt idx="33">
                  <c:v>0.29653080545982802</c:v>
                </c:pt>
                <c:pt idx="34">
                  <c:v>0.29658533433971701</c:v>
                </c:pt>
                <c:pt idx="35">
                  <c:v>0.29667446628285499</c:v>
                </c:pt>
                <c:pt idx="36">
                  <c:v>0.29673692855853701</c:v>
                </c:pt>
                <c:pt idx="37">
                  <c:v>0.29677619326217403</c:v>
                </c:pt>
                <c:pt idx="38">
                  <c:v>0.29679793434221202</c:v>
                </c:pt>
                <c:pt idx="39">
                  <c:v>0.296810983522454</c:v>
                </c:pt>
                <c:pt idx="40">
                  <c:v>0.296887024110706</c:v>
                </c:pt>
                <c:pt idx="41">
                  <c:v>0.29685050058464602</c:v>
                </c:pt>
                <c:pt idx="42">
                  <c:v>0.29681848439644798</c:v>
                </c:pt>
                <c:pt idx="43">
                  <c:v>0.29680447110911301</c:v>
                </c:pt>
                <c:pt idx="44">
                  <c:v>0.29685424883983202</c:v>
                </c:pt>
                <c:pt idx="45">
                  <c:v>0.29693015104652698</c:v>
                </c:pt>
                <c:pt idx="46">
                  <c:v>0.29704992250883999</c:v>
                </c:pt>
                <c:pt idx="47">
                  <c:v>0.29718021310600701</c:v>
                </c:pt>
                <c:pt idx="48">
                  <c:v>0.29729349712667802</c:v>
                </c:pt>
                <c:pt idx="49">
                  <c:v>0.29740122939913699</c:v>
                </c:pt>
                <c:pt idx="50">
                  <c:v>0.297470023100114</c:v>
                </c:pt>
                <c:pt idx="51">
                  <c:v>0.29760218560616802</c:v>
                </c:pt>
                <c:pt idx="52">
                  <c:v>0.29772131291710002</c:v>
                </c:pt>
                <c:pt idx="53">
                  <c:v>0.29783400444305103</c:v>
                </c:pt>
                <c:pt idx="54">
                  <c:v>0.297981515877701</c:v>
                </c:pt>
                <c:pt idx="55">
                  <c:v>0.29804916571676598</c:v>
                </c:pt>
                <c:pt idx="56">
                  <c:v>0.29802538298848202</c:v>
                </c:pt>
                <c:pt idx="57">
                  <c:v>0.29805210481420202</c:v>
                </c:pt>
                <c:pt idx="58">
                  <c:v>0.29808905791538798</c:v>
                </c:pt>
                <c:pt idx="59">
                  <c:v>0.29807134438234301</c:v>
                </c:pt>
                <c:pt idx="60">
                  <c:v>0.29810611619493599</c:v>
                </c:pt>
                <c:pt idx="61">
                  <c:v>0.29814347674360703</c:v>
                </c:pt>
                <c:pt idx="62">
                  <c:v>0.29814135102419798</c:v>
                </c:pt>
                <c:pt idx="63">
                  <c:v>0.29814506030431698</c:v>
                </c:pt>
                <c:pt idx="64">
                  <c:v>0.29808604303499903</c:v>
                </c:pt>
                <c:pt idx="65">
                  <c:v>0.29803406735584398</c:v>
                </c:pt>
                <c:pt idx="66">
                  <c:v>0.29795220725081401</c:v>
                </c:pt>
                <c:pt idx="67">
                  <c:v>0.29787309979750198</c:v>
                </c:pt>
                <c:pt idx="68">
                  <c:v>0.29775358796117501</c:v>
                </c:pt>
                <c:pt idx="69">
                  <c:v>0.29805363254026701</c:v>
                </c:pt>
                <c:pt idx="70">
                  <c:v>0.29849746635094898</c:v>
                </c:pt>
                <c:pt idx="71">
                  <c:v>0.29880182004914302</c:v>
                </c:pt>
                <c:pt idx="72">
                  <c:v>0.29910721265665402</c:v>
                </c:pt>
                <c:pt idx="73">
                  <c:v>0.29959046607069101</c:v>
                </c:pt>
                <c:pt idx="74">
                  <c:v>0.300151812058426</c:v>
                </c:pt>
                <c:pt idx="75">
                  <c:v>0.30076843162136202</c:v>
                </c:pt>
                <c:pt idx="76">
                  <c:v>0.30138685244580699</c:v>
                </c:pt>
                <c:pt idx="77">
                  <c:v>0.30202109291514601</c:v>
                </c:pt>
                <c:pt idx="78">
                  <c:v>0.30259084726179603</c:v>
                </c:pt>
                <c:pt idx="79">
                  <c:v>0.30312138273637901</c:v>
                </c:pt>
                <c:pt idx="80">
                  <c:v>0.30373416600067299</c:v>
                </c:pt>
                <c:pt idx="81">
                  <c:v>0.30429412768432901</c:v>
                </c:pt>
                <c:pt idx="82">
                  <c:v>0.30466949755671502</c:v>
                </c:pt>
                <c:pt idx="83">
                  <c:v>0.30496648759919998</c:v>
                </c:pt>
                <c:pt idx="84">
                  <c:v>0.30527113034834102</c:v>
                </c:pt>
                <c:pt idx="85">
                  <c:v>0.305575859945663</c:v>
                </c:pt>
                <c:pt idx="86">
                  <c:v>0.30590608329878699</c:v>
                </c:pt>
                <c:pt idx="87">
                  <c:v>0.30617163210584097</c:v>
                </c:pt>
                <c:pt idx="88">
                  <c:v>0.306402179464416</c:v>
                </c:pt>
                <c:pt idx="89">
                  <c:v>0.306674699052012</c:v>
                </c:pt>
                <c:pt idx="90">
                  <c:v>0.30687923284042401</c:v>
                </c:pt>
                <c:pt idx="91">
                  <c:v>0.30711105775854902</c:v>
                </c:pt>
                <c:pt idx="92">
                  <c:v>0.30747873461265501</c:v>
                </c:pt>
                <c:pt idx="93">
                  <c:v>0.30783922251846702</c:v>
                </c:pt>
                <c:pt idx="94">
                  <c:v>0.308249931344037</c:v>
                </c:pt>
                <c:pt idx="95">
                  <c:v>0.30880066963149599</c:v>
                </c:pt>
                <c:pt idx="96">
                  <c:v>0.30933158908533898</c:v>
                </c:pt>
                <c:pt idx="97">
                  <c:v>0.30978509749057498</c:v>
                </c:pt>
                <c:pt idx="98">
                  <c:v>0.31016817102528499</c:v>
                </c:pt>
                <c:pt idx="99">
                  <c:v>0.31048310652202699</c:v>
                </c:pt>
                <c:pt idx="100">
                  <c:v>0.31071888986837598</c:v>
                </c:pt>
                <c:pt idx="101">
                  <c:v>0.31102610652807</c:v>
                </c:pt>
                <c:pt idx="102">
                  <c:v>0.31129898436738201</c:v>
                </c:pt>
                <c:pt idx="103">
                  <c:v>0.31149280643096899</c:v>
                </c:pt>
                <c:pt idx="104">
                  <c:v>0.31165709044896001</c:v>
                </c:pt>
                <c:pt idx="105">
                  <c:v>0.31194003316212598</c:v>
                </c:pt>
                <c:pt idx="106">
                  <c:v>0.31219767577095697</c:v>
                </c:pt>
                <c:pt idx="107">
                  <c:v>0.31248763687231301</c:v>
                </c:pt>
                <c:pt idx="108">
                  <c:v>0.312800408700185</c:v>
                </c:pt>
                <c:pt idx="109">
                  <c:v>0.31317978356584503</c:v>
                </c:pt>
                <c:pt idx="110">
                  <c:v>0.31357035925545501</c:v>
                </c:pt>
                <c:pt idx="111">
                  <c:v>0.31393919707391299</c:v>
                </c:pt>
                <c:pt idx="112">
                  <c:v>0.31437479137059399</c:v>
                </c:pt>
                <c:pt idx="113">
                  <c:v>0.31484930476379802</c:v>
                </c:pt>
                <c:pt idx="114">
                  <c:v>0.31533415043387297</c:v>
                </c:pt>
                <c:pt idx="115">
                  <c:v>0.31579787621774602</c:v>
                </c:pt>
                <c:pt idx="116">
                  <c:v>0.31633806475749998</c:v>
                </c:pt>
                <c:pt idx="117">
                  <c:v>0.31691722233764003</c:v>
                </c:pt>
                <c:pt idx="118">
                  <c:v>0.31752443631926502</c:v>
                </c:pt>
                <c:pt idx="119">
                  <c:v>0.31813702113692699</c:v>
                </c:pt>
                <c:pt idx="120">
                  <c:v>0.31878370538075002</c:v>
                </c:pt>
                <c:pt idx="121">
                  <c:v>0.31946585893162399</c:v>
                </c:pt>
                <c:pt idx="122">
                  <c:v>0.32007912578611097</c:v>
                </c:pt>
                <c:pt idx="123">
                  <c:v>0.32060148330292498</c:v>
                </c:pt>
                <c:pt idx="124">
                  <c:v>0.32115977784754901</c:v>
                </c:pt>
                <c:pt idx="125">
                  <c:v>0.32182560545746303</c:v>
                </c:pt>
                <c:pt idx="126">
                  <c:v>0.32233571148283302</c:v>
                </c:pt>
                <c:pt idx="127">
                  <c:v>0.32288148593933402</c:v>
                </c:pt>
                <c:pt idx="128">
                  <c:v>0.32350986498809298</c:v>
                </c:pt>
                <c:pt idx="129">
                  <c:v>0.32405860784385698</c:v>
                </c:pt>
                <c:pt idx="130">
                  <c:v>0.32455255031125002</c:v>
                </c:pt>
                <c:pt idx="131">
                  <c:v>0.32485331506806298</c:v>
                </c:pt>
                <c:pt idx="132">
                  <c:v>0.32507590544947801</c:v>
                </c:pt>
                <c:pt idx="133">
                  <c:v>0.32527611899797199</c:v>
                </c:pt>
                <c:pt idx="134">
                  <c:v>0.32551479517103798</c:v>
                </c:pt>
                <c:pt idx="135">
                  <c:v>0.32583198484519199</c:v>
                </c:pt>
                <c:pt idx="136">
                  <c:v>0.32610721122081898</c:v>
                </c:pt>
                <c:pt idx="137">
                  <c:v>0.32643429421641801</c:v>
                </c:pt>
                <c:pt idx="138">
                  <c:v>0.32671390008387802</c:v>
                </c:pt>
                <c:pt idx="139">
                  <c:v>0.32695652307117601</c:v>
                </c:pt>
                <c:pt idx="140">
                  <c:v>0.32718538963039701</c:v>
                </c:pt>
                <c:pt idx="141">
                  <c:v>0.32736724662315903</c:v>
                </c:pt>
                <c:pt idx="142">
                  <c:v>0.32758274813518101</c:v>
                </c:pt>
                <c:pt idx="143">
                  <c:v>0.32789232865746698</c:v>
                </c:pt>
                <c:pt idx="144">
                  <c:v>0.32783251431360799</c:v>
                </c:pt>
                <c:pt idx="145">
                  <c:v>0.32772682307218698</c:v>
                </c:pt>
                <c:pt idx="146">
                  <c:v>0.32776946306787103</c:v>
                </c:pt>
                <c:pt idx="147">
                  <c:v>0.32781331824549897</c:v>
                </c:pt>
                <c:pt idx="148">
                  <c:v>0.32769434765556199</c:v>
                </c:pt>
                <c:pt idx="149">
                  <c:v>0.32759355654584499</c:v>
                </c:pt>
                <c:pt idx="150">
                  <c:v>0.32740528253052098</c:v>
                </c:pt>
                <c:pt idx="151">
                  <c:v>0.32735437068354101</c:v>
                </c:pt>
                <c:pt idx="152">
                  <c:v>0.32723384805982197</c:v>
                </c:pt>
                <c:pt idx="153">
                  <c:v>0.32706192983736898</c:v>
                </c:pt>
                <c:pt idx="154">
                  <c:v>0.32695642263601998</c:v>
                </c:pt>
                <c:pt idx="155">
                  <c:v>0.32676910762689398</c:v>
                </c:pt>
                <c:pt idx="156">
                  <c:v>0.32660016293344502</c:v>
                </c:pt>
                <c:pt idx="157">
                  <c:v>0.32638759631083603</c:v>
                </c:pt>
                <c:pt idx="158">
                  <c:v>0.32636612196764497</c:v>
                </c:pt>
                <c:pt idx="159">
                  <c:v>0.326305340728199</c:v>
                </c:pt>
                <c:pt idx="160">
                  <c:v>0.326305980661242</c:v>
                </c:pt>
                <c:pt idx="161">
                  <c:v>0.326297744034729</c:v>
                </c:pt>
                <c:pt idx="162">
                  <c:v>0.32629528870138103</c:v>
                </c:pt>
                <c:pt idx="163">
                  <c:v>0.32628838029534202</c:v>
                </c:pt>
                <c:pt idx="164">
                  <c:v>0.32633681645391199</c:v>
                </c:pt>
                <c:pt idx="165">
                  <c:v>0.32636715014867301</c:v>
                </c:pt>
                <c:pt idx="166">
                  <c:v>0.32647613446207502</c:v>
                </c:pt>
                <c:pt idx="167">
                  <c:v>0.326509284661955</c:v>
                </c:pt>
                <c:pt idx="168">
                  <c:v>0.32642132999953999</c:v>
                </c:pt>
                <c:pt idx="169">
                  <c:v>0.32625126561161599</c:v>
                </c:pt>
                <c:pt idx="170">
                  <c:v>0.326031588217367</c:v>
                </c:pt>
                <c:pt idx="171">
                  <c:v>0.32589243624609798</c:v>
                </c:pt>
                <c:pt idx="172">
                  <c:v>0.32573047856121601</c:v>
                </c:pt>
                <c:pt idx="173">
                  <c:v>0.32556428440853802</c:v>
                </c:pt>
                <c:pt idx="174">
                  <c:v>0.32549471161076698</c:v>
                </c:pt>
                <c:pt idx="175">
                  <c:v>0.32549598537267199</c:v>
                </c:pt>
                <c:pt idx="176">
                  <c:v>0.32547712988261202</c:v>
                </c:pt>
                <c:pt idx="177">
                  <c:v>0.32542051344913397</c:v>
                </c:pt>
                <c:pt idx="178">
                  <c:v>0.32532705777112297</c:v>
                </c:pt>
                <c:pt idx="179">
                  <c:v>0.32512785416429502</c:v>
                </c:pt>
                <c:pt idx="180">
                  <c:v>0.32486834184386798</c:v>
                </c:pt>
                <c:pt idx="181">
                  <c:v>0.32461232435259402</c:v>
                </c:pt>
                <c:pt idx="182">
                  <c:v>0.32429605754680002</c:v>
                </c:pt>
                <c:pt idx="183">
                  <c:v>0.323992883078904</c:v>
                </c:pt>
                <c:pt idx="184">
                  <c:v>0.32368311017497398</c:v>
                </c:pt>
                <c:pt idx="185">
                  <c:v>0.32328339110235099</c:v>
                </c:pt>
                <c:pt idx="186">
                  <c:v>0.32311133125534403</c:v>
                </c:pt>
                <c:pt idx="187">
                  <c:v>0.32280546101732699</c:v>
                </c:pt>
                <c:pt idx="188">
                  <c:v>0.322603469863044</c:v>
                </c:pt>
                <c:pt idx="189">
                  <c:v>0.322440165854739</c:v>
                </c:pt>
                <c:pt idx="190">
                  <c:v>0.32204511579096001</c:v>
                </c:pt>
                <c:pt idx="191">
                  <c:v>0.32156723096784001</c:v>
                </c:pt>
                <c:pt idx="192">
                  <c:v>0.32130559207165099</c:v>
                </c:pt>
                <c:pt idx="193">
                  <c:v>0.32108742241072702</c:v>
                </c:pt>
                <c:pt idx="194">
                  <c:v>0.320801949126786</c:v>
                </c:pt>
                <c:pt idx="195">
                  <c:v>0.32042143883430901</c:v>
                </c:pt>
                <c:pt idx="196">
                  <c:v>0.320383246560277</c:v>
                </c:pt>
                <c:pt idx="197">
                  <c:v>0.32035453806902098</c:v>
                </c:pt>
                <c:pt idx="198">
                  <c:v>0.32040379343733699</c:v>
                </c:pt>
                <c:pt idx="199">
                  <c:v>0.32046475118587803</c:v>
                </c:pt>
                <c:pt idx="200">
                  <c:v>0.32045493448214302</c:v>
                </c:pt>
                <c:pt idx="201">
                  <c:v>0.32057791154312298</c:v>
                </c:pt>
                <c:pt idx="202">
                  <c:v>0.32070114099380698</c:v>
                </c:pt>
                <c:pt idx="203">
                  <c:v>0.32087068517475398</c:v>
                </c:pt>
                <c:pt idx="204">
                  <c:v>0.32104316202031002</c:v>
                </c:pt>
                <c:pt idx="205">
                  <c:v>0.32140444407212299</c:v>
                </c:pt>
                <c:pt idx="206">
                  <c:v>0.32187401908530799</c:v>
                </c:pt>
                <c:pt idx="207">
                  <c:v>0.32239971764547598</c:v>
                </c:pt>
                <c:pt idx="208">
                  <c:v>0.32289600849800199</c:v>
                </c:pt>
                <c:pt idx="209">
                  <c:v>0.32340482875606003</c:v>
                </c:pt>
                <c:pt idx="210">
                  <c:v>0.32390641084882299</c:v>
                </c:pt>
                <c:pt idx="211">
                  <c:v>0.32431492479087398</c:v>
                </c:pt>
                <c:pt idx="212">
                  <c:v>0.32473611216771497</c:v>
                </c:pt>
                <c:pt idx="213">
                  <c:v>0.32521842795526901</c:v>
                </c:pt>
                <c:pt idx="214">
                  <c:v>0.32568465294127502</c:v>
                </c:pt>
                <c:pt idx="215">
                  <c:v>0.32616290208363702</c:v>
                </c:pt>
                <c:pt idx="216">
                  <c:v>0.32659402491927397</c:v>
                </c:pt>
                <c:pt idx="217">
                  <c:v>0.32691414464132401</c:v>
                </c:pt>
                <c:pt idx="218">
                  <c:v>0.32737726487644903</c:v>
                </c:pt>
                <c:pt idx="219">
                  <c:v>0.32790874072935899</c:v>
                </c:pt>
                <c:pt idx="220">
                  <c:v>0.32856069885792699</c:v>
                </c:pt>
                <c:pt idx="221">
                  <c:v>0.32910916236686</c:v>
                </c:pt>
                <c:pt idx="222">
                  <c:v>0.329696133667364</c:v>
                </c:pt>
                <c:pt idx="223">
                  <c:v>0.33047317451320002</c:v>
                </c:pt>
                <c:pt idx="224">
                  <c:v>0.33111232124381901</c:v>
                </c:pt>
                <c:pt idx="225">
                  <c:v>0.33173992515381101</c:v>
                </c:pt>
                <c:pt idx="226">
                  <c:v>0.33213975971839099</c:v>
                </c:pt>
                <c:pt idx="227">
                  <c:v>0.33260615727241799</c:v>
                </c:pt>
                <c:pt idx="228">
                  <c:v>0.33317468539448297</c:v>
                </c:pt>
                <c:pt idx="229">
                  <c:v>0.33364758772814501</c:v>
                </c:pt>
                <c:pt idx="230">
                  <c:v>0.33410904065494101</c:v>
                </c:pt>
                <c:pt idx="231">
                  <c:v>0.33455856072267398</c:v>
                </c:pt>
                <c:pt idx="232">
                  <c:v>0.33492848501432099</c:v>
                </c:pt>
                <c:pt idx="233">
                  <c:v>0.33509918570413499</c:v>
                </c:pt>
                <c:pt idx="234">
                  <c:v>0.33524597748589202</c:v>
                </c:pt>
                <c:pt idx="235">
                  <c:v>0.33538429732400898</c:v>
                </c:pt>
                <c:pt idx="236">
                  <c:v>0.33551801249990798</c:v>
                </c:pt>
                <c:pt idx="237">
                  <c:v>0.33558190406496202</c:v>
                </c:pt>
                <c:pt idx="238">
                  <c:v>0.33562414580383798</c:v>
                </c:pt>
                <c:pt idx="239">
                  <c:v>0.33573005696296099</c:v>
                </c:pt>
                <c:pt idx="240">
                  <c:v>0.33589073223664501</c:v>
                </c:pt>
                <c:pt idx="241">
                  <c:v>0.33600881793779103</c:v>
                </c:pt>
                <c:pt idx="242">
                  <c:v>0.33613804149773502</c:v>
                </c:pt>
                <c:pt idx="243">
                  <c:v>0.33639000928678298</c:v>
                </c:pt>
                <c:pt idx="244">
                  <c:v>0.33676910032413998</c:v>
                </c:pt>
                <c:pt idx="245">
                  <c:v>0.337188497430777</c:v>
                </c:pt>
                <c:pt idx="246">
                  <c:v>0.33752328678634202</c:v>
                </c:pt>
                <c:pt idx="247">
                  <c:v>0.33796967533768202</c:v>
                </c:pt>
                <c:pt idx="248">
                  <c:v>0.33812705109256602</c:v>
                </c:pt>
                <c:pt idx="249">
                  <c:v>0.338299944528622</c:v>
                </c:pt>
                <c:pt idx="250">
                  <c:v>0.33846363731642998</c:v>
                </c:pt>
                <c:pt idx="251">
                  <c:v>0.33865442089182901</c:v>
                </c:pt>
                <c:pt idx="252">
                  <c:v>0.338909082709409</c:v>
                </c:pt>
                <c:pt idx="253">
                  <c:v>0.33912159729390701</c:v>
                </c:pt>
                <c:pt idx="254">
                  <c:v>0.339507568381336</c:v>
                </c:pt>
                <c:pt idx="255">
                  <c:v>0.33983541149016799</c:v>
                </c:pt>
                <c:pt idx="256">
                  <c:v>0.34020717111718002</c:v>
                </c:pt>
                <c:pt idx="257">
                  <c:v>0.34062935239893999</c:v>
                </c:pt>
                <c:pt idx="258">
                  <c:v>0.34101573552138797</c:v>
                </c:pt>
                <c:pt idx="259">
                  <c:v>0.34138034115195698</c:v>
                </c:pt>
                <c:pt idx="260">
                  <c:v>0.34183246151747199</c:v>
                </c:pt>
                <c:pt idx="261">
                  <c:v>0.34205189102183298</c:v>
                </c:pt>
                <c:pt idx="262">
                  <c:v>0.34242573489412298</c:v>
                </c:pt>
                <c:pt idx="263">
                  <c:v>0.34263624198253001</c:v>
                </c:pt>
                <c:pt idx="264">
                  <c:v>0.34275319196590198</c:v>
                </c:pt>
                <c:pt idx="265">
                  <c:v>0.34303894508619998</c:v>
                </c:pt>
                <c:pt idx="266">
                  <c:v>0.34336875085007501</c:v>
                </c:pt>
                <c:pt idx="267">
                  <c:v>0.34344904191838699</c:v>
                </c:pt>
                <c:pt idx="268">
                  <c:v>0.34347634208149003</c:v>
                </c:pt>
                <c:pt idx="269">
                  <c:v>0.34346634944121501</c:v>
                </c:pt>
                <c:pt idx="270">
                  <c:v>0.34347696262404498</c:v>
                </c:pt>
                <c:pt idx="271">
                  <c:v>0.34313035823187299</c:v>
                </c:pt>
                <c:pt idx="272">
                  <c:v>0.34286433518324699</c:v>
                </c:pt>
                <c:pt idx="273">
                  <c:v>0.34254224230827701</c:v>
                </c:pt>
                <c:pt idx="274">
                  <c:v>0.34217944542464201</c:v>
                </c:pt>
                <c:pt idx="275">
                  <c:v>0.341813021856468</c:v>
                </c:pt>
                <c:pt idx="276">
                  <c:v>0.341406465182792</c:v>
                </c:pt>
                <c:pt idx="277">
                  <c:v>0.34090489020191</c:v>
                </c:pt>
                <c:pt idx="278">
                  <c:v>0.340481990364292</c:v>
                </c:pt>
                <c:pt idx="279">
                  <c:v>0.34006139027752702</c:v>
                </c:pt>
                <c:pt idx="280">
                  <c:v>0.33948600588796102</c:v>
                </c:pt>
                <c:pt idx="281">
                  <c:v>0.33896343360464198</c:v>
                </c:pt>
                <c:pt idx="282">
                  <c:v>0.33842442189918498</c:v>
                </c:pt>
                <c:pt idx="283">
                  <c:v>0.33792354134267799</c:v>
                </c:pt>
                <c:pt idx="284">
                  <c:v>0.337349627006373</c:v>
                </c:pt>
                <c:pt idx="285">
                  <c:v>0.33680196915900301</c:v>
                </c:pt>
                <c:pt idx="286">
                  <c:v>0.33641132780178701</c:v>
                </c:pt>
                <c:pt idx="287">
                  <c:v>0.33596497011628501</c:v>
                </c:pt>
                <c:pt idx="288">
                  <c:v>0.335631783060169</c:v>
                </c:pt>
                <c:pt idx="289">
                  <c:v>0.335256054219985</c:v>
                </c:pt>
                <c:pt idx="290">
                  <c:v>0.33492188011096902</c:v>
                </c:pt>
                <c:pt idx="291">
                  <c:v>0.33468515148235201</c:v>
                </c:pt>
                <c:pt idx="292">
                  <c:v>0.33452813287827898</c:v>
                </c:pt>
                <c:pt idx="293">
                  <c:v>0.33419647936261498</c:v>
                </c:pt>
                <c:pt idx="294">
                  <c:v>0.33365025240742002</c:v>
                </c:pt>
                <c:pt idx="295">
                  <c:v>0.33303686029767499</c:v>
                </c:pt>
                <c:pt idx="296">
                  <c:v>0.332412694551666</c:v>
                </c:pt>
                <c:pt idx="297">
                  <c:v>0.331778620056431</c:v>
                </c:pt>
                <c:pt idx="298">
                  <c:v>0.33096230424363199</c:v>
                </c:pt>
                <c:pt idx="299">
                  <c:v>0.33024667565333499</c:v>
                </c:pt>
                <c:pt idx="300">
                  <c:v>0.32961984796850602</c:v>
                </c:pt>
                <c:pt idx="301">
                  <c:v>0.32912484370078099</c:v>
                </c:pt>
                <c:pt idx="302">
                  <c:v>0.328565030889934</c:v>
                </c:pt>
                <c:pt idx="303">
                  <c:v>0.327985921333668</c:v>
                </c:pt>
                <c:pt idx="304">
                  <c:v>0.32748898541541299</c:v>
                </c:pt>
                <c:pt idx="305">
                  <c:v>0.32694943187585901</c:v>
                </c:pt>
                <c:pt idx="306">
                  <c:v>0.32647938797206399</c:v>
                </c:pt>
                <c:pt idx="307">
                  <c:v>0.32611056847213599</c:v>
                </c:pt>
                <c:pt idx="308">
                  <c:v>0.32573134002825199</c:v>
                </c:pt>
                <c:pt idx="309">
                  <c:v>0.32535044654510797</c:v>
                </c:pt>
                <c:pt idx="310">
                  <c:v>0.32517474637421701</c:v>
                </c:pt>
                <c:pt idx="311">
                  <c:v>0.32510422965689101</c:v>
                </c:pt>
                <c:pt idx="312">
                  <c:v>0.32509726896559399</c:v>
                </c:pt>
                <c:pt idx="313">
                  <c:v>0.32512925875387</c:v>
                </c:pt>
                <c:pt idx="314">
                  <c:v>0.32509865200239602</c:v>
                </c:pt>
                <c:pt idx="315">
                  <c:v>0.32498293884465901</c:v>
                </c:pt>
                <c:pt idx="316">
                  <c:v>0.324747489736466</c:v>
                </c:pt>
                <c:pt idx="317">
                  <c:v>0.32444241560405701</c:v>
                </c:pt>
                <c:pt idx="318">
                  <c:v>0.32403198704445202</c:v>
                </c:pt>
                <c:pt idx="319">
                  <c:v>0.32364973432615102</c:v>
                </c:pt>
                <c:pt idx="320">
                  <c:v>0.32330270731797101</c:v>
                </c:pt>
                <c:pt idx="321">
                  <c:v>0.32297943856470501</c:v>
                </c:pt>
                <c:pt idx="322">
                  <c:v>0.32260795233865103</c:v>
                </c:pt>
                <c:pt idx="323">
                  <c:v>0.322636663723811</c:v>
                </c:pt>
                <c:pt idx="324">
                  <c:v>0.322558299704856</c:v>
                </c:pt>
                <c:pt idx="325">
                  <c:v>0.32231376141741602</c:v>
                </c:pt>
                <c:pt idx="326">
                  <c:v>0.32202729703771599</c:v>
                </c:pt>
                <c:pt idx="327">
                  <c:v>0.32173647600417199</c:v>
                </c:pt>
                <c:pt idx="328">
                  <c:v>0.32147844742843901</c:v>
                </c:pt>
                <c:pt idx="329">
                  <c:v>0.321076864171224</c:v>
                </c:pt>
                <c:pt idx="330">
                  <c:v>0.32074338504782002</c:v>
                </c:pt>
                <c:pt idx="331">
                  <c:v>0.32040636869879702</c:v>
                </c:pt>
                <c:pt idx="332">
                  <c:v>0.320074089168982</c:v>
                </c:pt>
                <c:pt idx="333">
                  <c:v>0.31974708796937801</c:v>
                </c:pt>
                <c:pt idx="334">
                  <c:v>0.31944032313840798</c:v>
                </c:pt>
                <c:pt idx="335">
                  <c:v>0.31911916241816202</c:v>
                </c:pt>
                <c:pt idx="336">
                  <c:v>0.318826696744411</c:v>
                </c:pt>
                <c:pt idx="337">
                  <c:v>0.31848730035330403</c:v>
                </c:pt>
                <c:pt idx="338">
                  <c:v>0.318216952170087</c:v>
                </c:pt>
                <c:pt idx="339">
                  <c:v>0.31791344863809201</c:v>
                </c:pt>
                <c:pt idx="340">
                  <c:v>0.31771687842407498</c:v>
                </c:pt>
                <c:pt idx="341">
                  <c:v>0.317572043793928</c:v>
                </c:pt>
                <c:pt idx="342">
                  <c:v>0.31742120132121998</c:v>
                </c:pt>
                <c:pt idx="343">
                  <c:v>0.31710291078656</c:v>
                </c:pt>
                <c:pt idx="344">
                  <c:v>0.316859359895379</c:v>
                </c:pt>
                <c:pt idx="345">
                  <c:v>0.31657071012061699</c:v>
                </c:pt>
                <c:pt idx="346">
                  <c:v>0.31623315138257302</c:v>
                </c:pt>
                <c:pt idx="347">
                  <c:v>0.315879347628783</c:v>
                </c:pt>
                <c:pt idx="348">
                  <c:v>0.31562600317614298</c:v>
                </c:pt>
                <c:pt idx="349">
                  <c:v>0.31535649614243599</c:v>
                </c:pt>
                <c:pt idx="350">
                  <c:v>0.315021382733567</c:v>
                </c:pt>
                <c:pt idx="351">
                  <c:v>0.31470983270825198</c:v>
                </c:pt>
                <c:pt idx="352">
                  <c:v>0.31437960776249002</c:v>
                </c:pt>
                <c:pt idx="353">
                  <c:v>0.313929101515734</c:v>
                </c:pt>
                <c:pt idx="354">
                  <c:v>0.313521066877192</c:v>
                </c:pt>
                <c:pt idx="355">
                  <c:v>0.313218144939861</c:v>
                </c:pt>
                <c:pt idx="356">
                  <c:v>0.31293249357739</c:v>
                </c:pt>
                <c:pt idx="357">
                  <c:v>0.312626502001566</c:v>
                </c:pt>
                <c:pt idx="358">
                  <c:v>0.31239941294255202</c:v>
                </c:pt>
                <c:pt idx="359">
                  <c:v>0.31215439892462898</c:v>
                </c:pt>
                <c:pt idx="360">
                  <c:v>0.31184284764320103</c:v>
                </c:pt>
                <c:pt idx="361">
                  <c:v>0.31147837441861498</c:v>
                </c:pt>
                <c:pt idx="362">
                  <c:v>0.31105829845291799</c:v>
                </c:pt>
                <c:pt idx="363">
                  <c:v>0.31051075481500301</c:v>
                </c:pt>
                <c:pt idx="364">
                  <c:v>0.31005541306296402</c:v>
                </c:pt>
                <c:pt idx="365">
                  <c:v>0.30946606628344703</c:v>
                </c:pt>
                <c:pt idx="366">
                  <c:v>0.30884263742472401</c:v>
                </c:pt>
                <c:pt idx="367">
                  <c:v>0.30816043730885201</c:v>
                </c:pt>
                <c:pt idx="368">
                  <c:v>0.30759353312155102</c:v>
                </c:pt>
                <c:pt idx="369">
                  <c:v>0.30709575542435102</c:v>
                </c:pt>
                <c:pt idx="370">
                  <c:v>0.30658567962939598</c:v>
                </c:pt>
                <c:pt idx="371">
                  <c:v>0.306156701284377</c:v>
                </c:pt>
                <c:pt idx="372">
                  <c:v>0.30572230373220199</c:v>
                </c:pt>
                <c:pt idx="373">
                  <c:v>0.305542365828401</c:v>
                </c:pt>
                <c:pt idx="374">
                  <c:v>0.305334465183348</c:v>
                </c:pt>
                <c:pt idx="375">
                  <c:v>0.30522261475884299</c:v>
                </c:pt>
                <c:pt idx="376">
                  <c:v>0.30514310868635602</c:v>
                </c:pt>
                <c:pt idx="377">
                  <c:v>0.30505145461143401</c:v>
                </c:pt>
                <c:pt idx="378">
                  <c:v>0.30487520563405501</c:v>
                </c:pt>
                <c:pt idx="379">
                  <c:v>0.30473256293005502</c:v>
                </c:pt>
                <c:pt idx="380">
                  <c:v>0.30464953112162202</c:v>
                </c:pt>
                <c:pt idx="381">
                  <c:v>0.304507358476795</c:v>
                </c:pt>
                <c:pt idx="382">
                  <c:v>0.30433554581274402</c:v>
                </c:pt>
                <c:pt idx="383">
                  <c:v>0.30417257978040102</c:v>
                </c:pt>
                <c:pt idx="384">
                  <c:v>0.304103526361925</c:v>
                </c:pt>
                <c:pt idx="385">
                  <c:v>0.303748470177295</c:v>
                </c:pt>
                <c:pt idx="386">
                  <c:v>0.30332879035163102</c:v>
                </c:pt>
                <c:pt idx="387">
                  <c:v>0.30295318606862998</c:v>
                </c:pt>
                <c:pt idx="388">
                  <c:v>0.30265920314359301</c:v>
                </c:pt>
                <c:pt idx="389">
                  <c:v>0.30235698840279501</c:v>
                </c:pt>
                <c:pt idx="390">
                  <c:v>0.30215282003802502</c:v>
                </c:pt>
                <c:pt idx="391">
                  <c:v>0.30197433230835702</c:v>
                </c:pt>
                <c:pt idx="392">
                  <c:v>0.301800668530463</c:v>
                </c:pt>
                <c:pt idx="393">
                  <c:v>0.30182475719826801</c:v>
                </c:pt>
                <c:pt idx="394">
                  <c:v>0.30182990498524398</c:v>
                </c:pt>
                <c:pt idx="395">
                  <c:v>0.30176323670866501</c:v>
                </c:pt>
                <c:pt idx="396">
                  <c:v>0.30175945828032502</c:v>
                </c:pt>
                <c:pt idx="397">
                  <c:v>0.30172697782587599</c:v>
                </c:pt>
                <c:pt idx="398">
                  <c:v>0.30163991225901698</c:v>
                </c:pt>
                <c:pt idx="399">
                  <c:v>0.301642225081305</c:v>
                </c:pt>
                <c:pt idx="400">
                  <c:v>0.30177159711586898</c:v>
                </c:pt>
                <c:pt idx="401">
                  <c:v>0.30194265436897599</c:v>
                </c:pt>
                <c:pt idx="402">
                  <c:v>0.302054301052743</c:v>
                </c:pt>
                <c:pt idx="403">
                  <c:v>0.30219705774073402</c:v>
                </c:pt>
                <c:pt idx="404">
                  <c:v>0.30236732378329501</c:v>
                </c:pt>
                <c:pt idx="405">
                  <c:v>0.30258331820440199</c:v>
                </c:pt>
                <c:pt idx="406">
                  <c:v>0.30272494694930802</c:v>
                </c:pt>
                <c:pt idx="407">
                  <c:v>0.30287776680226602</c:v>
                </c:pt>
                <c:pt idx="408">
                  <c:v>0.30308728970703802</c:v>
                </c:pt>
                <c:pt idx="409">
                  <c:v>0.303348647519815</c:v>
                </c:pt>
                <c:pt idx="410">
                  <c:v>0.30358440021004801</c:v>
                </c:pt>
                <c:pt idx="411">
                  <c:v>0.30384766949930597</c:v>
                </c:pt>
                <c:pt idx="412">
                  <c:v>0.30411565602141699</c:v>
                </c:pt>
                <c:pt idx="413">
                  <c:v>0.30437938968668099</c:v>
                </c:pt>
                <c:pt idx="414">
                  <c:v>0.30470375853827802</c:v>
                </c:pt>
                <c:pt idx="415">
                  <c:v>0.30495704898307802</c:v>
                </c:pt>
                <c:pt idx="416">
                  <c:v>0.305185954960562</c:v>
                </c:pt>
                <c:pt idx="417">
                  <c:v>0.30548117887938098</c:v>
                </c:pt>
                <c:pt idx="418">
                  <c:v>0.30594979361450703</c:v>
                </c:pt>
                <c:pt idx="419">
                  <c:v>0.30626308501257099</c:v>
                </c:pt>
                <c:pt idx="420">
                  <c:v>0.30676099559202702</c:v>
                </c:pt>
                <c:pt idx="421">
                  <c:v>0.30729610753354297</c:v>
                </c:pt>
                <c:pt idx="422">
                  <c:v>0.30776866752497301</c:v>
                </c:pt>
                <c:pt idx="423">
                  <c:v>0.30823619449907902</c:v>
                </c:pt>
                <c:pt idx="424">
                  <c:v>0.30873999967010901</c:v>
                </c:pt>
                <c:pt idx="425">
                  <c:v>0.30930461463877601</c:v>
                </c:pt>
                <c:pt idx="426">
                  <c:v>0.30981452526341802</c:v>
                </c:pt>
                <c:pt idx="427">
                  <c:v>0.31050453720933702</c:v>
                </c:pt>
                <c:pt idx="428">
                  <c:v>0.311172170092544</c:v>
                </c:pt>
                <c:pt idx="429">
                  <c:v>0.31177970764590102</c:v>
                </c:pt>
                <c:pt idx="430">
                  <c:v>0.31231801757445499</c:v>
                </c:pt>
                <c:pt idx="431">
                  <c:v>0.31278326459307998</c:v>
                </c:pt>
                <c:pt idx="432">
                  <c:v>0.313629865058141</c:v>
                </c:pt>
                <c:pt idx="433">
                  <c:v>0.31444634108962899</c:v>
                </c:pt>
                <c:pt idx="434">
                  <c:v>0.31524378618080501</c:v>
                </c:pt>
                <c:pt idx="435">
                  <c:v>0.31613805521032301</c:v>
                </c:pt>
                <c:pt idx="436">
                  <c:v>0.317233309513683</c:v>
                </c:pt>
                <c:pt idx="437">
                  <c:v>0.31838497641011798</c:v>
                </c:pt>
                <c:pt idx="438">
                  <c:v>0.31955039891797599</c:v>
                </c:pt>
                <c:pt idx="439">
                  <c:v>0.32062529366603898</c:v>
                </c:pt>
                <c:pt idx="440">
                  <c:v>0.32176534021764602</c:v>
                </c:pt>
                <c:pt idx="441">
                  <c:v>0.32302493426933399</c:v>
                </c:pt>
                <c:pt idx="442">
                  <c:v>0.324342569412091</c:v>
                </c:pt>
                <c:pt idx="443">
                  <c:v>0.32557063938189901</c:v>
                </c:pt>
                <c:pt idx="444">
                  <c:v>0.32689146571562899</c:v>
                </c:pt>
                <c:pt idx="445">
                  <c:v>0.32810178192751899</c:v>
                </c:pt>
                <c:pt idx="446">
                  <c:v>0.329248201133582</c:v>
                </c:pt>
                <c:pt idx="447">
                  <c:v>0.330344723237462</c:v>
                </c:pt>
                <c:pt idx="448">
                  <c:v>0.33124988509223102</c:v>
                </c:pt>
                <c:pt idx="449">
                  <c:v>0.33212570233936201</c:v>
                </c:pt>
                <c:pt idx="450">
                  <c:v>0.33280265127935599</c:v>
                </c:pt>
                <c:pt idx="451">
                  <c:v>0.33343263432602199</c:v>
                </c:pt>
                <c:pt idx="452">
                  <c:v>0.334146307601002</c:v>
                </c:pt>
                <c:pt idx="453">
                  <c:v>0.334888825791547</c:v>
                </c:pt>
                <c:pt idx="454">
                  <c:v>0.33554345894888699</c:v>
                </c:pt>
                <c:pt idx="455">
                  <c:v>0.33622199153086102</c:v>
                </c:pt>
                <c:pt idx="456">
                  <c:v>0.33688180985612898</c:v>
                </c:pt>
                <c:pt idx="457">
                  <c:v>0.33756614780583899</c:v>
                </c:pt>
                <c:pt idx="458">
                  <c:v>0.33833979981353302</c:v>
                </c:pt>
                <c:pt idx="459">
                  <c:v>0.339036254524127</c:v>
                </c:pt>
                <c:pt idx="460">
                  <c:v>0.33968396492498798</c:v>
                </c:pt>
                <c:pt idx="461">
                  <c:v>0.34034015268716</c:v>
                </c:pt>
                <c:pt idx="462">
                  <c:v>0.340944972633975</c:v>
                </c:pt>
                <c:pt idx="463">
                  <c:v>0.34148025332732201</c:v>
                </c:pt>
                <c:pt idx="464">
                  <c:v>0.34203963509802798</c:v>
                </c:pt>
                <c:pt idx="465">
                  <c:v>0.34262282021643697</c:v>
                </c:pt>
                <c:pt idx="466">
                  <c:v>0.34323329656461898</c:v>
                </c:pt>
                <c:pt idx="467">
                  <c:v>0.34393041075372099</c:v>
                </c:pt>
                <c:pt idx="468">
                  <c:v>0.34453272544791402</c:v>
                </c:pt>
                <c:pt idx="469">
                  <c:v>0.34515680247216801</c:v>
                </c:pt>
                <c:pt idx="470">
                  <c:v>0.34577182833747699</c:v>
                </c:pt>
                <c:pt idx="471">
                  <c:v>0.346359881480298</c:v>
                </c:pt>
                <c:pt idx="472">
                  <c:v>0.34698141063308302</c:v>
                </c:pt>
                <c:pt idx="473">
                  <c:v>0.34761541605554702</c:v>
                </c:pt>
                <c:pt idx="474">
                  <c:v>0.34833059857124099</c:v>
                </c:pt>
                <c:pt idx="475">
                  <c:v>0.34900898270945202</c:v>
                </c:pt>
                <c:pt idx="476">
                  <c:v>0.34963834851292902</c:v>
                </c:pt>
                <c:pt idx="477">
                  <c:v>0.35014779855135097</c:v>
                </c:pt>
                <c:pt idx="478">
                  <c:v>0.35068789183948301</c:v>
                </c:pt>
                <c:pt idx="479">
                  <c:v>0.35132573113430099</c:v>
                </c:pt>
                <c:pt idx="480">
                  <c:v>0.351858494177679</c:v>
                </c:pt>
                <c:pt idx="481">
                  <c:v>0.35238326495690397</c:v>
                </c:pt>
                <c:pt idx="482">
                  <c:v>0.35285849709342998</c:v>
                </c:pt>
                <c:pt idx="483">
                  <c:v>0.35330101220673499</c:v>
                </c:pt>
                <c:pt idx="484">
                  <c:v>0.353721391807783</c:v>
                </c:pt>
                <c:pt idx="485">
                  <c:v>0.35413444323086202</c:v>
                </c:pt>
                <c:pt idx="486">
                  <c:v>0.354494659516364</c:v>
                </c:pt>
                <c:pt idx="487">
                  <c:v>0.35488769423696997</c:v>
                </c:pt>
                <c:pt idx="488">
                  <c:v>0.35529844806427802</c:v>
                </c:pt>
                <c:pt idx="489">
                  <c:v>0.35571868104424398</c:v>
                </c:pt>
                <c:pt idx="490">
                  <c:v>0.356158065389789</c:v>
                </c:pt>
                <c:pt idx="491">
                  <c:v>0.35662333035235799</c:v>
                </c:pt>
                <c:pt idx="492">
                  <c:v>0.35698008048981</c:v>
                </c:pt>
                <c:pt idx="493">
                  <c:v>0.35738759536409698</c:v>
                </c:pt>
                <c:pt idx="494">
                  <c:v>0.35818216092733801</c:v>
                </c:pt>
                <c:pt idx="495">
                  <c:v>0.35880174066841197</c:v>
                </c:pt>
                <c:pt idx="496">
                  <c:v>0.35939404609140602</c:v>
                </c:pt>
                <c:pt idx="497">
                  <c:v>0.35993247171116199</c:v>
                </c:pt>
                <c:pt idx="498">
                  <c:v>0.360451400622609</c:v>
                </c:pt>
                <c:pt idx="499">
                  <c:v>0.36114025034733999</c:v>
                </c:pt>
                <c:pt idx="500">
                  <c:v>0.36174959694578701</c:v>
                </c:pt>
                <c:pt idx="501">
                  <c:v>0.36243461706982899</c:v>
                </c:pt>
                <c:pt idx="502">
                  <c:v>0.36309922686151003</c:v>
                </c:pt>
                <c:pt idx="503">
                  <c:v>0.36374182169469499</c:v>
                </c:pt>
                <c:pt idx="504">
                  <c:v>0.36444664515058001</c:v>
                </c:pt>
                <c:pt idx="505">
                  <c:v>0.36525313211091298</c:v>
                </c:pt>
                <c:pt idx="506">
                  <c:v>0.36611102321657901</c:v>
                </c:pt>
                <c:pt idx="507">
                  <c:v>0.36662313185758699</c:v>
                </c:pt>
                <c:pt idx="508">
                  <c:v>0.36712206468599301</c:v>
                </c:pt>
                <c:pt idx="509">
                  <c:v>0.367712213891847</c:v>
                </c:pt>
                <c:pt idx="510">
                  <c:v>0.36823984038461</c:v>
                </c:pt>
                <c:pt idx="511">
                  <c:v>0.36865486502495598</c:v>
                </c:pt>
                <c:pt idx="512">
                  <c:v>0.36907833027748199</c:v>
                </c:pt>
                <c:pt idx="513">
                  <c:v>0.36954554403638101</c:v>
                </c:pt>
                <c:pt idx="514">
                  <c:v>0.37000250318800398</c:v>
                </c:pt>
                <c:pt idx="515">
                  <c:v>0.37042377299726198</c:v>
                </c:pt>
                <c:pt idx="516">
                  <c:v>0.370700695550926</c:v>
                </c:pt>
                <c:pt idx="517">
                  <c:v>0.370881323473438</c:v>
                </c:pt>
                <c:pt idx="518">
                  <c:v>0.37105348555786799</c:v>
                </c:pt>
                <c:pt idx="519">
                  <c:v>0.37124250793215402</c:v>
                </c:pt>
                <c:pt idx="520">
                  <c:v>0.37149994565878702</c:v>
                </c:pt>
                <c:pt idx="521">
                  <c:v>0.37178551611945498</c:v>
                </c:pt>
                <c:pt idx="522">
                  <c:v>0.372034560915455</c:v>
                </c:pt>
                <c:pt idx="523">
                  <c:v>0.37223837787489999</c:v>
                </c:pt>
                <c:pt idx="524">
                  <c:v>0.37237956961448299</c:v>
                </c:pt>
                <c:pt idx="525">
                  <c:v>0.37260797753290598</c:v>
                </c:pt>
                <c:pt idx="526">
                  <c:v>0.372804338209207</c:v>
                </c:pt>
                <c:pt idx="527">
                  <c:v>0.37294377909549298</c:v>
                </c:pt>
                <c:pt idx="528">
                  <c:v>0.37322281779283401</c:v>
                </c:pt>
                <c:pt idx="529">
                  <c:v>0.37351955855034702</c:v>
                </c:pt>
                <c:pt idx="530">
                  <c:v>0.373745948340651</c:v>
                </c:pt>
                <c:pt idx="531">
                  <c:v>0.37404673859112197</c:v>
                </c:pt>
                <c:pt idx="532">
                  <c:v>0.37438821917774501</c:v>
                </c:pt>
                <c:pt idx="533">
                  <c:v>0.37473327443897297</c:v>
                </c:pt>
                <c:pt idx="534">
                  <c:v>0.375043064258269</c:v>
                </c:pt>
                <c:pt idx="535">
                  <c:v>0.37547698274414398</c:v>
                </c:pt>
                <c:pt idx="536">
                  <c:v>0.37582230879285999</c:v>
                </c:pt>
                <c:pt idx="537">
                  <c:v>0.37613714029936102</c:v>
                </c:pt>
                <c:pt idx="538">
                  <c:v>0.37649790664024202</c:v>
                </c:pt>
                <c:pt idx="539">
                  <c:v>0.37685888309662002</c:v>
                </c:pt>
                <c:pt idx="540">
                  <c:v>0.37712137173815102</c:v>
                </c:pt>
                <c:pt idx="541">
                  <c:v>0.37750900493584699</c:v>
                </c:pt>
                <c:pt idx="542">
                  <c:v>0.37769325094564299</c:v>
                </c:pt>
                <c:pt idx="543">
                  <c:v>0.37799929340931998</c:v>
                </c:pt>
                <c:pt idx="544">
                  <c:v>0.37825537579187102</c:v>
                </c:pt>
                <c:pt idx="545">
                  <c:v>0.37849543559756799</c:v>
                </c:pt>
                <c:pt idx="546">
                  <c:v>0.37868828146745398</c:v>
                </c:pt>
                <c:pt idx="547">
                  <c:v>0.37879944972468799</c:v>
                </c:pt>
                <c:pt idx="548">
                  <c:v>0.37901957256568702</c:v>
                </c:pt>
                <c:pt idx="549">
                  <c:v>0.37916995383593299</c:v>
                </c:pt>
                <c:pt idx="550">
                  <c:v>0.37939105134393603</c:v>
                </c:pt>
                <c:pt idx="551">
                  <c:v>0.37957587738089499</c:v>
                </c:pt>
                <c:pt idx="552">
                  <c:v>0.37985288243758197</c:v>
                </c:pt>
                <c:pt idx="553">
                  <c:v>0.38014895062507797</c:v>
                </c:pt>
                <c:pt idx="554">
                  <c:v>0.38035401988871897</c:v>
                </c:pt>
                <c:pt idx="555">
                  <c:v>0.38064508261117103</c:v>
                </c:pt>
                <c:pt idx="556">
                  <c:v>0.38101795112197001</c:v>
                </c:pt>
                <c:pt idx="557">
                  <c:v>0.38148869755318199</c:v>
                </c:pt>
                <c:pt idx="558">
                  <c:v>0.38211789187059197</c:v>
                </c:pt>
                <c:pt idx="559">
                  <c:v>0.382616278718512</c:v>
                </c:pt>
                <c:pt idx="560">
                  <c:v>0.38304296933457099</c:v>
                </c:pt>
                <c:pt idx="561">
                  <c:v>0.38342509568279898</c:v>
                </c:pt>
                <c:pt idx="562">
                  <c:v>0.38379360157312298</c:v>
                </c:pt>
                <c:pt idx="563">
                  <c:v>0.38410715827899999</c:v>
                </c:pt>
                <c:pt idx="564">
                  <c:v>0.38443549683072198</c:v>
                </c:pt>
                <c:pt idx="565">
                  <c:v>0.38472742665931597</c:v>
                </c:pt>
                <c:pt idx="566">
                  <c:v>0.38494674089318798</c:v>
                </c:pt>
                <c:pt idx="567">
                  <c:v>0.38526629967361797</c:v>
                </c:pt>
                <c:pt idx="568">
                  <c:v>0.38544032548790302</c:v>
                </c:pt>
                <c:pt idx="569">
                  <c:v>0.38532139566992502</c:v>
                </c:pt>
                <c:pt idx="570">
                  <c:v>0.38525727281786798</c:v>
                </c:pt>
                <c:pt idx="571">
                  <c:v>0.38513236095382603</c:v>
                </c:pt>
                <c:pt idx="572">
                  <c:v>0.38508814234340299</c:v>
                </c:pt>
                <c:pt idx="573">
                  <c:v>0.38506556964759198</c:v>
                </c:pt>
                <c:pt idx="574">
                  <c:v>0.384871550266286</c:v>
                </c:pt>
                <c:pt idx="575">
                  <c:v>0.38474414711562699</c:v>
                </c:pt>
                <c:pt idx="576">
                  <c:v>0.38459451331194999</c:v>
                </c:pt>
                <c:pt idx="577">
                  <c:v>0.38439960253167399</c:v>
                </c:pt>
                <c:pt idx="578">
                  <c:v>0.38420399724446902</c:v>
                </c:pt>
                <c:pt idx="579">
                  <c:v>0.38400727833158099</c:v>
                </c:pt>
                <c:pt idx="580">
                  <c:v>0.38368992550845099</c:v>
                </c:pt>
                <c:pt idx="581">
                  <c:v>0.38336466628739402</c:v>
                </c:pt>
                <c:pt idx="582">
                  <c:v>0.383074583204981</c:v>
                </c:pt>
                <c:pt idx="583">
                  <c:v>0.38272735312770001</c:v>
                </c:pt>
                <c:pt idx="584">
                  <c:v>0.38234752721791798</c:v>
                </c:pt>
                <c:pt idx="585">
                  <c:v>0.38207985419419599</c:v>
                </c:pt>
                <c:pt idx="586">
                  <c:v>0.38164259017364899</c:v>
                </c:pt>
                <c:pt idx="587">
                  <c:v>0.38126697217956002</c:v>
                </c:pt>
                <c:pt idx="588">
                  <c:v>0.380801290908582</c:v>
                </c:pt>
                <c:pt idx="589">
                  <c:v>0.38047920776781202</c:v>
                </c:pt>
                <c:pt idx="590">
                  <c:v>0.38013202529108198</c:v>
                </c:pt>
                <c:pt idx="591">
                  <c:v>0.37988916027199998</c:v>
                </c:pt>
                <c:pt idx="592">
                  <c:v>0.379733779694573</c:v>
                </c:pt>
                <c:pt idx="593">
                  <c:v>0.37957298259550898</c:v>
                </c:pt>
                <c:pt idx="594">
                  <c:v>0.37941325054788999</c:v>
                </c:pt>
                <c:pt idx="595">
                  <c:v>0.379226165597702</c:v>
                </c:pt>
                <c:pt idx="596">
                  <c:v>0.37897208258020498</c:v>
                </c:pt>
                <c:pt idx="597">
                  <c:v>0.37882576163364601</c:v>
                </c:pt>
                <c:pt idx="598">
                  <c:v>0.37866339222862599</c:v>
                </c:pt>
                <c:pt idx="599">
                  <c:v>0.37852392808658603</c:v>
                </c:pt>
                <c:pt idx="600">
                  <c:v>0.37838926182594201</c:v>
                </c:pt>
                <c:pt idx="601">
                  <c:v>0.37818039593879299</c:v>
                </c:pt>
                <c:pt idx="602">
                  <c:v>0.37801812664232698</c:v>
                </c:pt>
                <c:pt idx="603">
                  <c:v>0.37777687789648901</c:v>
                </c:pt>
                <c:pt idx="604">
                  <c:v>0.37757392151713498</c:v>
                </c:pt>
                <c:pt idx="605">
                  <c:v>0.37737644637015599</c:v>
                </c:pt>
                <c:pt idx="606">
                  <c:v>0.377102516656875</c:v>
                </c:pt>
                <c:pt idx="607">
                  <c:v>0.37683351401665399</c:v>
                </c:pt>
                <c:pt idx="608">
                  <c:v>0.37645721221425699</c:v>
                </c:pt>
                <c:pt idx="609">
                  <c:v>0.37616679748222498</c:v>
                </c:pt>
                <c:pt idx="610">
                  <c:v>0.37581076877140601</c:v>
                </c:pt>
                <c:pt idx="611">
                  <c:v>0.37551434099551501</c:v>
                </c:pt>
                <c:pt idx="612">
                  <c:v>0.37524351672916001</c:v>
                </c:pt>
                <c:pt idx="613">
                  <c:v>0.37488991708485198</c:v>
                </c:pt>
                <c:pt idx="614">
                  <c:v>0.37451405354084599</c:v>
                </c:pt>
                <c:pt idx="615">
                  <c:v>0.37412097405104899</c:v>
                </c:pt>
                <c:pt idx="616">
                  <c:v>0.37364501651801202</c:v>
                </c:pt>
                <c:pt idx="617">
                  <c:v>0.37336098345730301</c:v>
                </c:pt>
                <c:pt idx="618">
                  <c:v>0.37290191717409299</c:v>
                </c:pt>
                <c:pt idx="619">
                  <c:v>0.372362919693628</c:v>
                </c:pt>
                <c:pt idx="620">
                  <c:v>0.37193427455570799</c:v>
                </c:pt>
                <c:pt idx="621">
                  <c:v>0.37138300987607498</c:v>
                </c:pt>
                <c:pt idx="622">
                  <c:v>0.37080599813395998</c:v>
                </c:pt>
                <c:pt idx="623">
                  <c:v>0.37018293283304998</c:v>
                </c:pt>
                <c:pt idx="624">
                  <c:v>0.369558538897934</c:v>
                </c:pt>
                <c:pt idx="625">
                  <c:v>0.36877691586087402</c:v>
                </c:pt>
                <c:pt idx="626">
                  <c:v>0.36803138264104002</c:v>
                </c:pt>
                <c:pt idx="627">
                  <c:v>0.36730365691827399</c:v>
                </c:pt>
                <c:pt idx="628">
                  <c:v>0.36649503540017297</c:v>
                </c:pt>
                <c:pt idx="629">
                  <c:v>0.36565570362840899</c:v>
                </c:pt>
                <c:pt idx="630">
                  <c:v>0.36475104543709902</c:v>
                </c:pt>
                <c:pt idx="631">
                  <c:v>0.36378473416151003</c:v>
                </c:pt>
                <c:pt idx="632">
                  <c:v>0.36272631064724598</c:v>
                </c:pt>
                <c:pt idx="633">
                  <c:v>0.36157558392467198</c:v>
                </c:pt>
                <c:pt idx="634">
                  <c:v>0.36055159906307699</c:v>
                </c:pt>
                <c:pt idx="635">
                  <c:v>0.35956420684160001</c:v>
                </c:pt>
                <c:pt idx="636">
                  <c:v>0.35871954471128098</c:v>
                </c:pt>
                <c:pt idx="637">
                  <c:v>0.357834256478957</c:v>
                </c:pt>
                <c:pt idx="638">
                  <c:v>0.35700591061461801</c:v>
                </c:pt>
                <c:pt idx="639">
                  <c:v>0.35619246442855501</c:v>
                </c:pt>
                <c:pt idx="640">
                  <c:v>0.35536279868506698</c:v>
                </c:pt>
                <c:pt idx="641">
                  <c:v>0.35454017227435802</c:v>
                </c:pt>
                <c:pt idx="642">
                  <c:v>0.35370241121868701</c:v>
                </c:pt>
                <c:pt idx="643">
                  <c:v>0.352973310266123</c:v>
                </c:pt>
                <c:pt idx="644">
                  <c:v>0.35223601864683901</c:v>
                </c:pt>
                <c:pt idx="645">
                  <c:v>0.351555329315274</c:v>
                </c:pt>
                <c:pt idx="646">
                  <c:v>0.35090010613022699</c:v>
                </c:pt>
                <c:pt idx="647">
                  <c:v>0.35018517490485901</c:v>
                </c:pt>
                <c:pt idx="648">
                  <c:v>0.34946151191494201</c:v>
                </c:pt>
                <c:pt idx="649">
                  <c:v>0.34855899931809098</c:v>
                </c:pt>
                <c:pt idx="650">
                  <c:v>0.347676228769214</c:v>
                </c:pt>
                <c:pt idx="651">
                  <c:v>0.346751051062199</c:v>
                </c:pt>
                <c:pt idx="652">
                  <c:v>0.34582256089885</c:v>
                </c:pt>
                <c:pt idx="653">
                  <c:v>0.34486521445590801</c:v>
                </c:pt>
                <c:pt idx="654">
                  <c:v>0.34391971859839399</c:v>
                </c:pt>
                <c:pt idx="655">
                  <c:v>0.34307328094599299</c:v>
                </c:pt>
                <c:pt idx="656">
                  <c:v>0.342312235433545</c:v>
                </c:pt>
                <c:pt idx="657">
                  <c:v>0.34150699786584698</c:v>
                </c:pt>
                <c:pt idx="658">
                  <c:v>0.34080380329934001</c:v>
                </c:pt>
                <c:pt idx="659">
                  <c:v>0.340160258551643</c:v>
                </c:pt>
                <c:pt idx="660">
                  <c:v>0.33942398186943601</c:v>
                </c:pt>
                <c:pt idx="661">
                  <c:v>0.33879078498092602</c:v>
                </c:pt>
              </c:numCache>
            </c:numRef>
          </c:val>
        </c:ser>
        <c:marker val="1"/>
        <c:axId val="134880640"/>
        <c:axId val="134890624"/>
      </c:lineChart>
      <c:dateAx>
        <c:axId val="134880640"/>
        <c:scaling>
          <c:orientation val="minMax"/>
        </c:scaling>
        <c:axPos val="b"/>
        <c:numFmt formatCode="yyyy/mm/dd" sourceLinked="1"/>
        <c:tickLblPos val="nextTo"/>
        <c:crossAx val="134890624"/>
        <c:crosses val="autoZero"/>
        <c:auto val="1"/>
        <c:lblOffset val="100"/>
      </c:dateAx>
      <c:valAx>
        <c:axId val="134890624"/>
        <c:scaling>
          <c:orientation val="minMax"/>
          <c:max val="0.4038480001797512"/>
          <c:min val="0.17010869589585279"/>
        </c:scaling>
        <c:axPos val="l"/>
        <c:majorGridlines/>
        <c:numFmt formatCode="General" sourceLinked="1"/>
        <c:majorTickMark val="none"/>
        <c:tickLblPos val="nextTo"/>
        <c:crossAx val="134880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853179923252956"/>
          <c:y val="1.6268379869053169E-2"/>
          <c:w val="0.11146820076747002"/>
          <c:h val="0.1504558576043829"/>
        </c:manualLayout>
      </c:layout>
    </c:legend>
    <c:plotVisOnly val="1"/>
  </c:chart>
  <c:printSettings>
    <c:headerFooter/>
    <c:pageMargins b="0.75000000000000322" l="0.70000000000000062" r="0.70000000000000062" t="0.750000000000003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99390</xdr:colOff>
      <xdr:row>3</xdr:row>
      <xdr:rowOff>132523</xdr:rowOff>
    </xdr:from>
    <xdr:to>
      <xdr:col>8</xdr:col>
      <xdr:colOff>289890</xdr:colOff>
      <xdr:row>13</xdr:row>
      <xdr:rowOff>132523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276224</xdr:colOff>
      <xdr:row>2</xdr:row>
      <xdr:rowOff>47624</xdr:rowOff>
    </xdr:from>
    <xdr:to>
      <xdr:col>18</xdr:col>
      <xdr:colOff>533399</xdr:colOff>
      <xdr:row>35</xdr:row>
      <xdr:rowOff>180974</xdr:rowOff>
    </xdr:to>
    <xdr:graphicFrame macro="">
      <xdr:nvGraphicFramePr>
        <xdr:cNvPr id="3" name="chart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142875</xdr:rowOff>
    </xdr:from>
    <xdr:to>
      <xdr:col>12</xdr:col>
      <xdr:colOff>333375</xdr:colOff>
      <xdr:row>45</xdr:row>
      <xdr:rowOff>104775</xdr:rowOff>
    </xdr:to>
    <xdr:pic>
      <xdr:nvPicPr>
        <xdr:cNvPr id="409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504825"/>
          <a:ext cx="8562975" cy="774382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pair_trade&#8212;git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グラフ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showGridLines="0" workbookViewId="0">
      <selection activeCell="D17" sqref="D17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W7"/>
  <sheetViews>
    <sheetView showGridLines="0" zoomScale="115" zoomScaleNormal="115" workbookViewId="0">
      <selection activeCell="A6" sqref="A6:XFD7"/>
    </sheetView>
  </sheetViews>
  <sheetFormatPr defaultRowHeight="14.25"/>
  <cols>
    <col min="1" max="1" width="1" customWidth="1"/>
    <col min="2" max="2" width="7.25" customWidth="1"/>
    <col min="3" max="3" width="3" customWidth="1"/>
    <col min="4" max="4" width="9.5" customWidth="1"/>
    <col min="5" max="5" width="3.125" customWidth="1"/>
    <col min="6" max="6" width="6.875" customWidth="1"/>
    <col min="7" max="7" width="21.75" customWidth="1"/>
    <col min="8" max="8" width="9.625" customWidth="1"/>
    <col min="9" max="9" width="8.125" customWidth="1"/>
    <col min="10" max="10" width="12.25" customWidth="1"/>
    <col min="11" max="11" width="4.75" customWidth="1"/>
    <col min="12" max="12" width="8.375" customWidth="1"/>
    <col min="13" max="13" width="7.5" customWidth="1"/>
    <col min="14" max="14" width="6.75" customWidth="1"/>
    <col min="15" max="15" width="8.25" customWidth="1"/>
    <col min="16" max="16" width="10.625" customWidth="1"/>
    <col min="17" max="17" width="7.375" customWidth="1"/>
    <col min="18" max="18" width="10.875" customWidth="1"/>
    <col min="19" max="19" width="8.375" customWidth="1"/>
    <col min="20" max="20" width="2" customWidth="1"/>
    <col min="21" max="21" width="10.5" customWidth="1"/>
    <col min="22" max="22" width="6.125" customWidth="1"/>
    <col min="23" max="23" width="19.375" customWidth="1"/>
  </cols>
  <sheetData>
    <row r="1" spans="2:23" ht="18.75" customHeight="1" thickBot="1">
      <c r="C1" s="63" t="s">
        <v>193</v>
      </c>
      <c r="D1" s="18"/>
      <c r="H1" s="1"/>
      <c r="I1" s="18" t="s">
        <v>48</v>
      </c>
      <c r="J1" s="62"/>
      <c r="K1" s="190">
        <v>43805</v>
      </c>
      <c r="L1" s="191"/>
      <c r="M1" s="28"/>
      <c r="N1" s="18" t="s">
        <v>295</v>
      </c>
      <c r="P1" s="190">
        <f ca="1">TODAY()</f>
        <v>43806</v>
      </c>
      <c r="Q1" s="192"/>
      <c r="U1" s="63" t="s">
        <v>47</v>
      </c>
      <c r="V1" s="63"/>
    </row>
    <row r="2" spans="2:23" ht="16.5" customHeight="1" thickBot="1">
      <c r="J2" s="99">
        <f>SUM(J4:J68)</f>
        <v>2090600</v>
      </c>
      <c r="R2" s="134">
        <f ca="1">SUM(R4:R68)</f>
        <v>31713.595616438353</v>
      </c>
      <c r="S2" s="97" t="e">
        <f ca="1">SUM(S4:S68)</f>
        <v>#DIV/0!</v>
      </c>
    </row>
    <row r="3" spans="2:23" ht="24.75" thickBot="1">
      <c r="C3" s="64" t="s">
        <v>176</v>
      </c>
      <c r="D3" s="74" t="s">
        <v>200</v>
      </c>
      <c r="E3" s="66"/>
      <c r="F3" s="65" t="s">
        <v>94</v>
      </c>
      <c r="G3" s="67" t="s">
        <v>95</v>
      </c>
      <c r="H3" s="68" t="s">
        <v>177</v>
      </c>
      <c r="I3" s="68" t="s">
        <v>178</v>
      </c>
      <c r="J3" s="66" t="s">
        <v>46</v>
      </c>
      <c r="K3" s="66" t="s">
        <v>179</v>
      </c>
      <c r="L3" s="68" t="s">
        <v>180</v>
      </c>
      <c r="M3" s="69" t="s">
        <v>201</v>
      </c>
      <c r="N3" s="66" t="s">
        <v>181</v>
      </c>
      <c r="O3" s="69" t="s">
        <v>195</v>
      </c>
      <c r="P3" s="66" t="s">
        <v>288</v>
      </c>
      <c r="Q3" s="66" t="s">
        <v>182</v>
      </c>
      <c r="R3" s="69" t="s">
        <v>197</v>
      </c>
      <c r="S3" s="72" t="s">
        <v>198</v>
      </c>
      <c r="T3" s="71"/>
      <c r="U3" s="73" t="s">
        <v>294</v>
      </c>
      <c r="V3" s="73" t="s">
        <v>199</v>
      </c>
      <c r="W3" s="70" t="s">
        <v>196</v>
      </c>
    </row>
    <row r="4" spans="2:23" s="113" customFormat="1">
      <c r="B4" s="131" t="s">
        <v>303</v>
      </c>
      <c r="C4" s="181">
        <f>ROW()/2-1</f>
        <v>1</v>
      </c>
      <c r="D4" s="183">
        <v>43802</v>
      </c>
      <c r="E4" s="39" t="s">
        <v>184</v>
      </c>
      <c r="F4" s="39">
        <v>3861</v>
      </c>
      <c r="G4" s="61" t="s">
        <v>89</v>
      </c>
      <c r="H4" s="55">
        <v>616</v>
      </c>
      <c r="I4" s="55">
        <v>1700</v>
      </c>
      <c r="J4" s="56">
        <f t="shared" ref="J4:J5" si="0">H4*I4</f>
        <v>1047200</v>
      </c>
      <c r="K4" s="58" t="s">
        <v>189</v>
      </c>
      <c r="L4" s="55">
        <v>618</v>
      </c>
      <c r="M4" s="39">
        <v>770</v>
      </c>
      <c r="N4" s="153">
        <f ca="1">IF(OR(K4="現物",J4=0),0,IF(E4="売",J4*Fee_Refer!$B$12/365*V4, J4*Fee_Refer!$B$11/365*#REF!))</f>
        <v>126.23780821917806</v>
      </c>
      <c r="O4" s="58">
        <v>92</v>
      </c>
      <c r="P4" s="156">
        <f ca="1">IF(L4 &gt;0,(H4-L4)*I4-M4-N4-O4,0)</f>
        <v>-4388.2378082191781</v>
      </c>
      <c r="Q4" s="57">
        <f t="shared" ref="Q4:Q5" ca="1" si="1">P4/J4</f>
        <v>-4.1904486327532259E-3</v>
      </c>
      <c r="R4" s="185">
        <f ca="1">P4+P5</f>
        <v>31713.595616438353</v>
      </c>
      <c r="S4" s="186">
        <f t="shared" ref="S4" ca="1" si="2">R4/(J4+J5)</f>
        <v>1.5169614281277314E-2</v>
      </c>
      <c r="U4" s="188">
        <f ca="1">$P$1</f>
        <v>43806</v>
      </c>
      <c r="V4" s="179">
        <f t="shared" ref="V4" ca="1" si="3">IF(U4&gt;D4,DATEDIF(D4,U4,"d"),0)</f>
        <v>4</v>
      </c>
      <c r="W4" s="180"/>
    </row>
    <row r="5" spans="2:23" s="113" customFormat="1">
      <c r="B5" s="131" t="s">
        <v>1074</v>
      </c>
      <c r="C5" s="182"/>
      <c r="D5" s="184">
        <v>43748</v>
      </c>
      <c r="E5" s="35" t="s">
        <v>185</v>
      </c>
      <c r="F5" s="35">
        <v>5703</v>
      </c>
      <c r="G5" s="60" t="s">
        <v>339</v>
      </c>
      <c r="H5" s="52">
        <v>222</v>
      </c>
      <c r="I5" s="52">
        <v>4700</v>
      </c>
      <c r="J5" s="53">
        <f t="shared" si="0"/>
        <v>1043400</v>
      </c>
      <c r="K5" s="154" t="s">
        <v>190</v>
      </c>
      <c r="L5" s="47">
        <v>230</v>
      </c>
      <c r="M5" s="37">
        <v>770</v>
      </c>
      <c r="N5" s="155">
        <f ca="1">IF(OR(K5="現物",J5=0),0,IF(E5="売",J5*Fee_Refer!$B$12/365*V5, J5*Fee_Refer!$B$11/365*V4))</f>
        <v>320.16657534246576</v>
      </c>
      <c r="O5" s="142">
        <v>408</v>
      </c>
      <c r="P5" s="157">
        <f ca="1">IF(L5&gt;0,(L5-H5)*I5-M5-N5-O5,0)</f>
        <v>36101.833424657532</v>
      </c>
      <c r="Q5" s="54">
        <f t="shared" ca="1" si="1"/>
        <v>3.4600185379200239E-2</v>
      </c>
      <c r="R5" s="185"/>
      <c r="S5" s="187"/>
      <c r="U5" s="179"/>
      <c r="V5" s="179"/>
      <c r="W5" s="179"/>
    </row>
    <row r="6" spans="2:23" s="113" customFormat="1">
      <c r="B6" s="131" t="s">
        <v>303</v>
      </c>
      <c r="C6" s="181">
        <f>ROW()/2-1</f>
        <v>2</v>
      </c>
      <c r="D6" s="183">
        <v>43807</v>
      </c>
      <c r="E6" s="39" t="s">
        <v>291</v>
      </c>
      <c r="F6" s="39">
        <v>5991</v>
      </c>
      <c r="G6" s="61" t="s">
        <v>1374</v>
      </c>
      <c r="H6" s="55"/>
      <c r="I6" s="55">
        <v>900</v>
      </c>
      <c r="J6" s="56">
        <f t="shared" ref="J6:J7" si="4">H6*I6</f>
        <v>0</v>
      </c>
      <c r="K6" s="58" t="s">
        <v>1373</v>
      </c>
      <c r="L6" s="55"/>
      <c r="M6" s="39"/>
      <c r="N6" s="153">
        <f>IF(OR(K6="現物",J6=0),0,IF(E6="売",J6*Fee_Refer!$B$12/365*V6, J6*Fee_Refer!$B$11/365*#REF!))</f>
        <v>0</v>
      </c>
      <c r="O6" s="58">
        <v>0</v>
      </c>
      <c r="P6" s="156">
        <f>IF(L6 &gt;0,(H6-L6)*I6-M6-N6-O6,0)</f>
        <v>0</v>
      </c>
      <c r="Q6" s="57" t="e">
        <f t="shared" ref="Q6:Q7" si="5">P6/J6</f>
        <v>#DIV/0!</v>
      </c>
      <c r="R6" s="185">
        <f>P6+P7</f>
        <v>0</v>
      </c>
      <c r="S6" s="186" t="e">
        <f t="shared" ref="S6" si="6">R6/(J6+J7)</f>
        <v>#DIV/0!</v>
      </c>
      <c r="U6" s="188">
        <f ca="1">$P$1</f>
        <v>43806</v>
      </c>
      <c r="V6" s="179">
        <f t="shared" ref="V6" ca="1" si="7">IF(U6&gt;D6,DATEDIF(D6,U6,"d"),0)</f>
        <v>0</v>
      </c>
      <c r="W6" s="180"/>
    </row>
    <row r="7" spans="2:23" s="113" customFormat="1">
      <c r="B7" s="131" t="s">
        <v>1074</v>
      </c>
      <c r="C7" s="182"/>
      <c r="D7" s="184">
        <v>43748</v>
      </c>
      <c r="E7" s="35" t="s">
        <v>293</v>
      </c>
      <c r="F7" s="35">
        <v>7267</v>
      </c>
      <c r="G7" s="60" t="s">
        <v>1375</v>
      </c>
      <c r="H7" s="52"/>
      <c r="I7" s="52">
        <v>300</v>
      </c>
      <c r="J7" s="53">
        <f t="shared" si="4"/>
        <v>0</v>
      </c>
      <c r="K7" s="154" t="s">
        <v>1373</v>
      </c>
      <c r="L7" s="47"/>
      <c r="M7" s="37"/>
      <c r="N7" s="155">
        <f>IF(OR(K7="現物",J7=0),0,IF(E7="売",J7*Fee_Refer!$B$12/365*V7, J7*Fee_Refer!$B$11/365*V6))</f>
        <v>0</v>
      </c>
      <c r="O7" s="178">
        <v>0</v>
      </c>
      <c r="P7" s="157">
        <f>IF(L7&gt;0,(L7-H7)*I7-M7-N7-O7,0)</f>
        <v>0</v>
      </c>
      <c r="Q7" s="54" t="e">
        <f t="shared" si="5"/>
        <v>#DIV/0!</v>
      </c>
      <c r="R7" s="185"/>
      <c r="S7" s="187"/>
      <c r="U7" s="179"/>
      <c r="V7" s="179"/>
      <c r="W7" s="179"/>
    </row>
  </sheetData>
  <mergeCells count="16">
    <mergeCell ref="V6:V7"/>
    <mergeCell ref="W6:W7"/>
    <mergeCell ref="C6:C7"/>
    <mergeCell ref="D6:D7"/>
    <mergeCell ref="R6:R7"/>
    <mergeCell ref="S6:S7"/>
    <mergeCell ref="U6:U7"/>
    <mergeCell ref="K1:L1"/>
    <mergeCell ref="P1:Q1"/>
    <mergeCell ref="V4:V5"/>
    <mergeCell ref="W4:W5"/>
    <mergeCell ref="C4:C5"/>
    <mergeCell ref="D4:D5"/>
    <mergeCell ref="R4:R5"/>
    <mergeCell ref="S4:S5"/>
    <mergeCell ref="U4:U5"/>
  </mergeCells>
  <phoneticPr fontId="1" type="noConversion"/>
  <hyperlinks>
    <hyperlink ref="B4" display="Select"/>
    <hyperlink ref="B5" display="Close"/>
    <hyperlink ref="B6" display="Select"/>
    <hyperlink ref="B7" display="Close"/>
  </hyperlinks>
  <pageMargins left="0.7" right="0.7" top="0.75" bottom="0.75" header="0.3" footer="0.3"/>
  <pageSetup paperSize="9" orientation="portrait" horizontalDpi="0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3"/>
  <dimension ref="B1:AC33"/>
  <sheetViews>
    <sheetView showGridLines="0" zoomScaleNormal="100" workbookViewId="0">
      <selection activeCell="B44" sqref="B44"/>
    </sheetView>
  </sheetViews>
  <sheetFormatPr defaultRowHeight="14.25"/>
  <cols>
    <col min="1" max="1" width="0.5" customWidth="1"/>
    <col min="2" max="2" width="6.875" customWidth="1"/>
    <col min="3" max="3" width="3.625" customWidth="1"/>
    <col min="4" max="4" width="10.375" customWidth="1"/>
    <col min="5" max="5" width="3.5" customWidth="1"/>
    <col min="6" max="6" width="7.125" customWidth="1"/>
    <col min="7" max="7" width="22" customWidth="1"/>
    <col min="8" max="8" width="8" customWidth="1"/>
    <col min="9" max="9" width="8.25" customWidth="1"/>
    <col min="10" max="10" width="10" customWidth="1"/>
    <col min="11" max="11" width="6.875" customWidth="1"/>
    <col min="12" max="12" width="8.125" customWidth="1"/>
    <col min="13" max="13" width="9.125" customWidth="1"/>
    <col min="14" max="14" width="7.375" customWidth="1"/>
    <col min="15" max="15" width="7.5" customWidth="1"/>
    <col min="16" max="16" width="9.5" customWidth="1"/>
    <col min="17" max="17" width="8" customWidth="1"/>
    <col min="18" max="18" width="10.375" customWidth="1"/>
    <col min="19" max="19" width="10.625" customWidth="1"/>
    <col min="20" max="20" width="1.125" hidden="1" customWidth="1"/>
    <col min="21" max="21" width="10.125" customWidth="1"/>
    <col min="22" max="22" width="5.25" bestFit="1" customWidth="1"/>
    <col min="23" max="23" width="13.875" bestFit="1" customWidth="1"/>
    <col min="25" max="25" width="15.125" customWidth="1"/>
    <col min="26" max="26" width="5.5" customWidth="1"/>
    <col min="27" max="28" width="6.25" customWidth="1"/>
    <col min="29" max="29" width="5.5" customWidth="1"/>
  </cols>
  <sheetData>
    <row r="1" spans="2:29" ht="5.25" customHeight="1"/>
    <row r="2" spans="2:29" ht="15" thickBot="1">
      <c r="C2" s="63" t="s">
        <v>289</v>
      </c>
      <c r="R2" s="100">
        <f>SUM(R4:R1010)</f>
        <v>491997.99999999988</v>
      </c>
      <c r="U2" s="63" t="s">
        <v>174</v>
      </c>
    </row>
    <row r="3" spans="2:29" ht="30" customHeight="1" thickBot="1">
      <c r="C3" s="64" t="s">
        <v>176</v>
      </c>
      <c r="D3" s="98" t="s">
        <v>200</v>
      </c>
      <c r="E3" s="66"/>
      <c r="F3" s="67" t="s">
        <v>94</v>
      </c>
      <c r="G3" s="67" t="s">
        <v>95</v>
      </c>
      <c r="H3" s="69" t="s">
        <v>302</v>
      </c>
      <c r="I3" s="69" t="s">
        <v>299</v>
      </c>
      <c r="J3" s="66" t="s">
        <v>46</v>
      </c>
      <c r="K3" s="66" t="s">
        <v>179</v>
      </c>
      <c r="L3" s="69" t="s">
        <v>300</v>
      </c>
      <c r="M3" s="69" t="s">
        <v>201</v>
      </c>
      <c r="N3" s="66" t="s">
        <v>181</v>
      </c>
      <c r="O3" s="69" t="s">
        <v>195</v>
      </c>
      <c r="P3" s="68" t="s">
        <v>301</v>
      </c>
      <c r="Q3" s="68" t="s">
        <v>183</v>
      </c>
      <c r="R3" s="69" t="s">
        <v>197</v>
      </c>
      <c r="S3" s="72" t="s">
        <v>198</v>
      </c>
      <c r="T3" s="71"/>
      <c r="U3" s="73" t="s">
        <v>290</v>
      </c>
      <c r="V3" s="73" t="s">
        <v>199</v>
      </c>
      <c r="W3" s="73" t="s">
        <v>196</v>
      </c>
      <c r="AA3" s="73" t="s">
        <v>296</v>
      </c>
      <c r="AB3" s="73" t="s">
        <v>297</v>
      </c>
      <c r="AC3" s="73" t="s">
        <v>298</v>
      </c>
    </row>
    <row r="4" spans="2:29">
      <c r="B4" s="278"/>
      <c r="C4" s="209">
        <v>1</v>
      </c>
      <c r="D4" s="212">
        <v>43726</v>
      </c>
      <c r="E4" s="31" t="s">
        <v>291</v>
      </c>
      <c r="F4" s="31">
        <v>6472</v>
      </c>
      <c r="G4" s="59" t="s">
        <v>292</v>
      </c>
      <c r="H4" s="49">
        <v>320</v>
      </c>
      <c r="I4" s="32">
        <v>1200</v>
      </c>
      <c r="J4" s="50">
        <v>384000</v>
      </c>
      <c r="K4" s="43" t="s">
        <v>190</v>
      </c>
      <c r="L4" s="46">
        <v>313</v>
      </c>
      <c r="M4" s="33">
        <f>360+18+14</f>
        <v>392</v>
      </c>
      <c r="N4" s="34">
        <v>219</v>
      </c>
      <c r="O4" s="34">
        <v>60</v>
      </c>
      <c r="P4" s="31">
        <f>IF(L4 &gt;0,(H4-L4)*I4-M4-N4-O4,0)</f>
        <v>7729</v>
      </c>
      <c r="Q4" s="51">
        <f>P4/J4</f>
        <v>2.0127604166666667E-2</v>
      </c>
      <c r="R4" s="193">
        <f>P4+P5</f>
        <v>159</v>
      </c>
      <c r="S4" s="205">
        <f t="shared" ref="S4" si="0">R4/(J4+J5)</f>
        <v>2.1406645484409498E-4</v>
      </c>
      <c r="U4" s="215">
        <v>43742</v>
      </c>
      <c r="V4" s="207">
        <f>DATEDIF(D4,U4,"d")</f>
        <v>16</v>
      </c>
      <c r="W4" s="199" t="s">
        <v>1320</v>
      </c>
      <c r="AA4" s="193">
        <f>YEAR(U4)</f>
        <v>2019</v>
      </c>
      <c r="AB4" s="193">
        <f>MONTH(U4)</f>
        <v>10</v>
      </c>
      <c r="AC4" s="193" t="str">
        <f>IF(R4&gt;0,"○","☓")</f>
        <v>○</v>
      </c>
    </row>
    <row r="5" spans="2:29" ht="15" thickBot="1">
      <c r="B5" s="278"/>
      <c r="C5" s="182"/>
      <c r="D5" s="213"/>
      <c r="E5" s="35" t="s">
        <v>293</v>
      </c>
      <c r="F5" s="35">
        <v>6752</v>
      </c>
      <c r="G5" s="60" t="s">
        <v>131</v>
      </c>
      <c r="H5" s="52">
        <v>896.9</v>
      </c>
      <c r="I5" s="36">
        <v>400</v>
      </c>
      <c r="J5" s="53">
        <v>358760</v>
      </c>
      <c r="K5" s="44" t="s">
        <v>191</v>
      </c>
      <c r="L5" s="47">
        <v>880.4</v>
      </c>
      <c r="M5" s="37">
        <f>360+14+34</f>
        <v>408</v>
      </c>
      <c r="N5" s="38">
        <v>522</v>
      </c>
      <c r="O5" s="38">
        <f>200-160</f>
        <v>40</v>
      </c>
      <c r="P5" s="35">
        <f>IF(L5 &gt;0,(L5-H5)*I5-M5-N5-O5,0)</f>
        <v>-7570</v>
      </c>
      <c r="Q5" s="54">
        <f>P5/J5</f>
        <v>-2.1100457130114839E-2</v>
      </c>
      <c r="R5" s="187"/>
      <c r="S5" s="214"/>
      <c r="U5" s="216"/>
      <c r="V5" s="208"/>
      <c r="W5" s="200"/>
      <c r="AA5" s="187"/>
      <c r="AB5" s="187"/>
      <c r="AC5" s="187"/>
    </row>
    <row r="6" spans="2:29">
      <c r="B6" s="278"/>
      <c r="C6" s="209">
        <v>2</v>
      </c>
      <c r="D6" s="203">
        <v>43732</v>
      </c>
      <c r="E6" s="31" t="s">
        <v>184</v>
      </c>
      <c r="F6" s="31">
        <v>6305</v>
      </c>
      <c r="G6" s="59" t="s">
        <v>57</v>
      </c>
      <c r="H6" s="49">
        <v>2638</v>
      </c>
      <c r="I6" s="32">
        <v>300</v>
      </c>
      <c r="J6" s="50">
        <v>791400</v>
      </c>
      <c r="K6" s="43" t="s">
        <v>190</v>
      </c>
      <c r="L6" s="46">
        <v>2464</v>
      </c>
      <c r="M6" s="33">
        <f>700+35+28</f>
        <v>763</v>
      </c>
      <c r="N6" s="34">
        <v>477</v>
      </c>
      <c r="O6" s="34">
        <v>30</v>
      </c>
      <c r="P6" s="31">
        <f t="shared" ref="P6" si="1">IF(L6 &gt;0,(H6-L6)*I6-M6-N6-O6,0)</f>
        <v>50930</v>
      </c>
      <c r="Q6" s="51">
        <f t="shared" ref="Q6:Q33" si="2">P6/J6</f>
        <v>6.4354308819812994E-2</v>
      </c>
      <c r="R6" s="193">
        <f>P6+P7</f>
        <v>37649</v>
      </c>
      <c r="S6" s="186">
        <f t="shared" ref="S6" si="3">R6/(J6+J7)</f>
        <v>2.3845082019127242E-2</v>
      </c>
      <c r="T6" s="3"/>
      <c r="U6" s="210">
        <v>43748</v>
      </c>
      <c r="V6" s="211">
        <f>DATEDIF(D6,U6,"d")</f>
        <v>16</v>
      </c>
      <c r="W6" s="199" t="s">
        <v>1320</v>
      </c>
      <c r="AA6" s="193">
        <f t="shared" ref="AA6" si="4">YEAR(U6)</f>
        <v>2019</v>
      </c>
      <c r="AB6" s="193">
        <f t="shared" ref="AB6" si="5">MONTH(U6)</f>
        <v>10</v>
      </c>
      <c r="AC6" s="193" t="str">
        <f>IF(R6&gt;0,"○","☓")</f>
        <v>○</v>
      </c>
    </row>
    <row r="7" spans="2:29">
      <c r="B7" s="278"/>
      <c r="C7" s="182"/>
      <c r="D7" s="204"/>
      <c r="E7" s="35" t="s">
        <v>185</v>
      </c>
      <c r="F7" s="35">
        <v>3861</v>
      </c>
      <c r="G7" s="60" t="s">
        <v>89</v>
      </c>
      <c r="H7" s="52">
        <v>525</v>
      </c>
      <c r="I7" s="36">
        <v>1500</v>
      </c>
      <c r="J7" s="53">
        <v>787500</v>
      </c>
      <c r="K7" s="44" t="s">
        <v>191</v>
      </c>
      <c r="L7" s="47">
        <v>518</v>
      </c>
      <c r="M7" s="37">
        <f>700+28+95</f>
        <v>823</v>
      </c>
      <c r="N7" s="38">
        <v>1208</v>
      </c>
      <c r="O7" s="38">
        <v>750</v>
      </c>
      <c r="P7" s="35">
        <f t="shared" ref="P7" si="6">IF(L7 &gt;0,(L7-H7)*I7-M7-N7-O7,0)</f>
        <v>-13281</v>
      </c>
      <c r="Q7" s="54">
        <f t="shared" si="2"/>
        <v>-1.6864761904761903E-2</v>
      </c>
      <c r="R7" s="187"/>
      <c r="S7" s="187"/>
      <c r="T7" s="3"/>
      <c r="U7" s="210"/>
      <c r="V7" s="211"/>
      <c r="W7" s="200"/>
      <c r="AA7" s="187"/>
      <c r="AB7" s="187"/>
      <c r="AC7" s="187"/>
    </row>
    <row r="8" spans="2:29">
      <c r="B8" s="278"/>
      <c r="C8" s="181">
        <f>ROW()/2-1</f>
        <v>3</v>
      </c>
      <c r="D8" s="203">
        <v>43747</v>
      </c>
      <c r="E8" s="39" t="s">
        <v>192</v>
      </c>
      <c r="F8" s="39">
        <v>3099</v>
      </c>
      <c r="G8" s="61" t="s">
        <v>88</v>
      </c>
      <c r="H8" s="55">
        <v>872</v>
      </c>
      <c r="I8" s="39">
        <v>1200</v>
      </c>
      <c r="J8" s="39">
        <f t="shared" ref="J8:J11" si="7">H8*I8</f>
        <v>1046400</v>
      </c>
      <c r="K8" s="58" t="s">
        <v>189</v>
      </c>
      <c r="L8" s="55">
        <v>876</v>
      </c>
      <c r="M8" s="39">
        <f>700+35+35</f>
        <v>770</v>
      </c>
      <c r="N8" s="39">
        <v>220</v>
      </c>
      <c r="O8" s="58">
        <v>0</v>
      </c>
      <c r="P8" s="31">
        <f t="shared" ref="P8" si="8">IF(L8 &gt;0,(H8-L8)*I8-M8-N8-O8,0)</f>
        <v>-5790</v>
      </c>
      <c r="Q8" s="51">
        <f t="shared" si="2"/>
        <v>-5.5332568807339453E-3</v>
      </c>
      <c r="R8" s="185">
        <f>P8+P9</f>
        <v>63304</v>
      </c>
      <c r="S8" s="205">
        <f>R8/(J8+J9)</f>
        <v>3.0952474085663994E-2</v>
      </c>
      <c r="U8" s="206">
        <v>43753</v>
      </c>
      <c r="V8" s="182">
        <f t="shared" ref="V8" si="9">DATEDIF(D8,U8,"d")</f>
        <v>6</v>
      </c>
      <c r="W8" s="194" t="s">
        <v>1322</v>
      </c>
      <c r="AA8" s="193">
        <f t="shared" ref="AA8:AA10" si="10">YEAR(U8)</f>
        <v>2019</v>
      </c>
      <c r="AB8" s="193">
        <f t="shared" ref="AB8" si="11">MONTH(U8)</f>
        <v>10</v>
      </c>
      <c r="AC8" s="193" t="str">
        <f t="shared" ref="AC8:AC10" si="12">IF(R8&gt;0,"○","☓")</f>
        <v>○</v>
      </c>
    </row>
    <row r="9" spans="2:29">
      <c r="B9" s="278"/>
      <c r="C9" s="182"/>
      <c r="D9" s="204">
        <v>43747</v>
      </c>
      <c r="E9" s="35" t="s">
        <v>185</v>
      </c>
      <c r="F9" s="35">
        <v>7211</v>
      </c>
      <c r="G9" s="60" t="s">
        <v>54</v>
      </c>
      <c r="H9" s="52">
        <v>454</v>
      </c>
      <c r="I9" s="52">
        <v>2200</v>
      </c>
      <c r="J9" s="53">
        <f t="shared" si="7"/>
        <v>998800</v>
      </c>
      <c r="K9" s="44" t="s">
        <v>189</v>
      </c>
      <c r="L9" s="47">
        <v>486</v>
      </c>
      <c r="M9" s="37">
        <f>700+35+35</f>
        <v>770</v>
      </c>
      <c r="N9" s="38">
        <v>536</v>
      </c>
      <c r="O9" s="38">
        <v>0</v>
      </c>
      <c r="P9" s="35">
        <f t="shared" ref="P9" si="13">IF(L9 &gt;0,(L9-H9)*I9-M9-N9-O9,0)</f>
        <v>69094</v>
      </c>
      <c r="Q9" s="54">
        <f t="shared" si="2"/>
        <v>6.9177012414897876E-2</v>
      </c>
      <c r="R9" s="185"/>
      <c r="S9" s="187"/>
      <c r="U9" s="188"/>
      <c r="V9" s="179"/>
      <c r="W9" s="179"/>
      <c r="AA9" s="187"/>
      <c r="AB9" s="187"/>
      <c r="AC9" s="187"/>
    </row>
    <row r="10" spans="2:29">
      <c r="B10" s="278"/>
      <c r="C10" s="181">
        <f>ROW()/2-1</f>
        <v>4</v>
      </c>
      <c r="D10" s="203">
        <v>43753</v>
      </c>
      <c r="E10" s="135" t="s">
        <v>184</v>
      </c>
      <c r="F10" s="39">
        <v>7453</v>
      </c>
      <c r="G10" s="61" t="s">
        <v>130</v>
      </c>
      <c r="H10" s="55">
        <v>2127</v>
      </c>
      <c r="I10" s="39">
        <v>500</v>
      </c>
      <c r="J10" s="39">
        <f t="shared" si="7"/>
        <v>1063500</v>
      </c>
      <c r="K10" s="58" t="s">
        <v>189</v>
      </c>
      <c r="L10" s="55">
        <v>2298</v>
      </c>
      <c r="M10" s="39">
        <f>700+35+35</f>
        <v>770</v>
      </c>
      <c r="N10" s="39">
        <v>256</v>
      </c>
      <c r="O10" s="58">
        <v>0</v>
      </c>
      <c r="P10" s="31">
        <f t="shared" ref="P10" si="14">IF(L10 &gt;0,(H10-L10)*I10-M10-N10-O10,0)</f>
        <v>-86526</v>
      </c>
      <c r="Q10" s="51">
        <f t="shared" si="2"/>
        <v>-8.1359661495063476E-2</v>
      </c>
      <c r="R10" s="185">
        <f>P10+P11</f>
        <v>-93238.000000000029</v>
      </c>
      <c r="S10" s="186">
        <f t="shared" ref="S10" si="15">R10/(J10+J11)</f>
        <v>-4.3839777316989466E-2</v>
      </c>
      <c r="U10" s="218">
        <v>43759</v>
      </c>
      <c r="V10" s="179">
        <f>DATEDIF(D10,U10,"d")</f>
        <v>6</v>
      </c>
      <c r="W10" s="276" t="s">
        <v>308</v>
      </c>
      <c r="X10" s="1" t="s">
        <v>329</v>
      </c>
      <c r="AA10" s="193">
        <f t="shared" si="10"/>
        <v>2019</v>
      </c>
      <c r="AB10" s="193">
        <f t="shared" ref="AB10" si="16">MONTH(U10)</f>
        <v>10</v>
      </c>
      <c r="AC10" s="201" t="str">
        <f t="shared" si="12"/>
        <v>☓</v>
      </c>
    </row>
    <row r="11" spans="2:29">
      <c r="B11" s="278"/>
      <c r="C11" s="182"/>
      <c r="D11" s="204">
        <v>43748</v>
      </c>
      <c r="E11" s="136" t="s">
        <v>185</v>
      </c>
      <c r="F11" s="35">
        <v>8308</v>
      </c>
      <c r="G11" s="60" t="s">
        <v>128</v>
      </c>
      <c r="H11" s="52">
        <v>462.3</v>
      </c>
      <c r="I11" s="52">
        <v>2300</v>
      </c>
      <c r="J11" s="53">
        <f t="shared" si="7"/>
        <v>1063290</v>
      </c>
      <c r="K11" s="44" t="s">
        <v>189</v>
      </c>
      <c r="L11" s="47">
        <v>460</v>
      </c>
      <c r="M11" s="37">
        <f>700+35+35</f>
        <v>770</v>
      </c>
      <c r="N11" s="112">
        <v>652</v>
      </c>
      <c r="O11" s="112">
        <v>0</v>
      </c>
      <c r="P11" s="35">
        <f t="shared" ref="P11" si="17">IF(L11 &gt;0,(L11-H11)*I11-M11-N11-O11,0)</f>
        <v>-6712.0000000000264</v>
      </c>
      <c r="Q11" s="54">
        <f t="shared" si="2"/>
        <v>-6.3124829538508086E-3</v>
      </c>
      <c r="R11" s="185"/>
      <c r="S11" s="187"/>
      <c r="U11" s="206"/>
      <c r="V11" s="179"/>
      <c r="W11" s="276"/>
      <c r="X11" s="1" t="s">
        <v>330</v>
      </c>
      <c r="AA11" s="187"/>
      <c r="AB11" s="187"/>
      <c r="AC11" s="202"/>
    </row>
    <row r="12" spans="2:29">
      <c r="B12" s="278"/>
      <c r="C12" s="209">
        <f>ROW()/2-1</f>
        <v>5</v>
      </c>
      <c r="D12" s="213">
        <v>43742</v>
      </c>
      <c r="E12" s="31" t="s">
        <v>184</v>
      </c>
      <c r="F12" s="31">
        <v>8750</v>
      </c>
      <c r="G12" s="59" t="s">
        <v>56</v>
      </c>
      <c r="H12" s="49">
        <v>1635</v>
      </c>
      <c r="I12" s="32">
        <v>600</v>
      </c>
      <c r="J12" s="50">
        <f>H12*I12</f>
        <v>981000</v>
      </c>
      <c r="K12" s="43" t="s">
        <v>190</v>
      </c>
      <c r="L12" s="46">
        <v>1741.5</v>
      </c>
      <c r="M12" s="33">
        <f>700+35+35</f>
        <v>770</v>
      </c>
      <c r="N12" s="34">
        <v>502</v>
      </c>
      <c r="O12" s="34">
        <v>0</v>
      </c>
      <c r="P12" s="31">
        <f t="shared" ref="P12" si="18">IF(L12 &gt;0,(H12-L12)*I12-M12-N12-O12,0)</f>
        <v>-65172</v>
      </c>
      <c r="Q12" s="51">
        <f t="shared" si="2"/>
        <v>-6.6434250764525998E-2</v>
      </c>
      <c r="R12" s="217">
        <f>P12+P13</f>
        <v>-11052.999999999898</v>
      </c>
      <c r="S12" s="205">
        <f>R12/(J12+J13)</f>
        <v>-5.6554672757562954E-3</v>
      </c>
      <c r="U12" s="218">
        <v>43759</v>
      </c>
      <c r="V12" s="179">
        <f>DATEDIF(D12,U12,"d")</f>
        <v>17</v>
      </c>
      <c r="W12" s="277" t="s">
        <v>1320</v>
      </c>
      <c r="AA12" s="193">
        <f t="shared" ref="AA12" si="19">YEAR(U12)</f>
        <v>2019</v>
      </c>
      <c r="AB12" s="193">
        <f t="shared" ref="AB12" si="20">MONTH(U12)</f>
        <v>10</v>
      </c>
      <c r="AC12" s="201" t="str">
        <f t="shared" ref="AC12" si="21">IF(R12&gt;0,"○","☓")</f>
        <v>☓</v>
      </c>
    </row>
    <row r="13" spans="2:29">
      <c r="B13" s="30"/>
      <c r="C13" s="182"/>
      <c r="D13" s="204"/>
      <c r="E13" s="35" t="s">
        <v>185</v>
      </c>
      <c r="F13" s="35">
        <v>8002</v>
      </c>
      <c r="G13" s="60" t="s">
        <v>55</v>
      </c>
      <c r="H13" s="52">
        <v>695.28</v>
      </c>
      <c r="I13" s="36">
        <v>1400</v>
      </c>
      <c r="J13" s="53">
        <f>H13*I13</f>
        <v>973392</v>
      </c>
      <c r="K13" s="280" t="s">
        <v>1348</v>
      </c>
      <c r="L13" s="47">
        <v>734.7</v>
      </c>
      <c r="M13" s="37">
        <f>487+582</f>
        <v>1069</v>
      </c>
      <c r="N13" s="38">
        <v>0</v>
      </c>
      <c r="O13" s="38">
        <v>0</v>
      </c>
      <c r="P13" s="35">
        <f>IF(L13 &gt;0,(L13-H13)*I13-M13-N13-O13,0)</f>
        <v>54119.000000000102</v>
      </c>
      <c r="Q13" s="54">
        <f t="shared" si="2"/>
        <v>5.5598361194667822E-2</v>
      </c>
      <c r="R13" s="185"/>
      <c r="S13" s="187"/>
      <c r="U13" s="206"/>
      <c r="V13" s="179"/>
      <c r="W13" s="277"/>
      <c r="AA13" s="187"/>
      <c r="AB13" s="187"/>
      <c r="AC13" s="202"/>
    </row>
    <row r="14" spans="2:29" s="113" customFormat="1">
      <c r="B14" s="278"/>
      <c r="C14" s="181">
        <f>ROW()/2-1</f>
        <v>6</v>
      </c>
      <c r="D14" s="183">
        <v>43745</v>
      </c>
      <c r="E14" s="39" t="s">
        <v>184</v>
      </c>
      <c r="F14" s="39">
        <v>6770</v>
      </c>
      <c r="G14" s="61" t="s">
        <v>50</v>
      </c>
      <c r="H14" s="55">
        <v>2105</v>
      </c>
      <c r="I14" s="40">
        <v>400</v>
      </c>
      <c r="J14" s="56">
        <f t="shared" ref="J14:J19" si="22">H14*I14</f>
        <v>842000</v>
      </c>
      <c r="K14" s="45" t="s">
        <v>190</v>
      </c>
      <c r="L14" s="48">
        <v>2145</v>
      </c>
      <c r="M14" s="41">
        <f>700+35+35</f>
        <v>770</v>
      </c>
      <c r="N14" s="42">
        <v>431</v>
      </c>
      <c r="O14" s="42">
        <v>80</v>
      </c>
      <c r="P14" s="31">
        <f t="shared" ref="P14" si="23">IF(L14 &gt;0,(H14-L14)*I14-M14-N14-O14,0)</f>
        <v>-17281</v>
      </c>
      <c r="Q14" s="51">
        <f t="shared" si="2"/>
        <v>-2.052375296912114E-2</v>
      </c>
      <c r="R14" s="185">
        <f>P14+P15</f>
        <v>-1197.0000000000437</v>
      </c>
      <c r="S14" s="186">
        <f t="shared" ref="S14" si="24">R14/(J14+J15)</f>
        <v>-7.1541831052504275E-4</v>
      </c>
      <c r="U14" s="188">
        <v>43761</v>
      </c>
      <c r="V14" s="179">
        <f t="shared" ref="V14" si="25">DATEDIF(D14,U14,"d")</f>
        <v>16</v>
      </c>
      <c r="W14" s="277" t="s">
        <v>1320</v>
      </c>
      <c r="AA14" s="193">
        <f t="shared" ref="AA14" si="26">YEAR(U14)</f>
        <v>2019</v>
      </c>
      <c r="AB14" s="193">
        <f t="shared" ref="AB14" si="27">MONTH(U14)</f>
        <v>10</v>
      </c>
      <c r="AC14" s="201" t="str">
        <f t="shared" ref="AC14" si="28">IF(R14&gt;0,"○","☓")</f>
        <v>☓</v>
      </c>
    </row>
    <row r="15" spans="2:29" s="113" customFormat="1">
      <c r="B15" s="30"/>
      <c r="C15" s="182"/>
      <c r="D15" s="184">
        <v>43745</v>
      </c>
      <c r="E15" s="35" t="s">
        <v>185</v>
      </c>
      <c r="F15" s="35">
        <v>8601</v>
      </c>
      <c r="G15" s="60" t="s">
        <v>51</v>
      </c>
      <c r="H15" s="52">
        <v>488.91</v>
      </c>
      <c r="I15" s="36">
        <v>1700</v>
      </c>
      <c r="J15" s="53">
        <f t="shared" si="22"/>
        <v>831147</v>
      </c>
      <c r="K15" s="280" t="s">
        <v>175</v>
      </c>
      <c r="L15" s="47">
        <v>499</v>
      </c>
      <c r="M15" s="37">
        <f>487+582</f>
        <v>1069</v>
      </c>
      <c r="N15" s="178">
        <v>0</v>
      </c>
      <c r="O15" s="178">
        <v>0</v>
      </c>
      <c r="P15" s="35">
        <f t="shared" ref="P15" si="29">IF(L15 &gt;0,(L15-H15)*I15-M15-N15-O15,0)</f>
        <v>16083.999999999956</v>
      </c>
      <c r="Q15" s="54">
        <f t="shared" si="2"/>
        <v>1.9351570781101245E-2</v>
      </c>
      <c r="R15" s="185"/>
      <c r="S15" s="187"/>
      <c r="U15" s="179"/>
      <c r="V15" s="179"/>
      <c r="W15" s="277"/>
      <c r="AA15" s="187"/>
      <c r="AB15" s="187"/>
      <c r="AC15" s="202"/>
    </row>
    <row r="16" spans="2:29" s="113" customFormat="1">
      <c r="B16" s="278"/>
      <c r="C16" s="181">
        <f>ROW()/2-1</f>
        <v>7</v>
      </c>
      <c r="D16" s="183">
        <v>43745</v>
      </c>
      <c r="E16" s="39" t="s">
        <v>184</v>
      </c>
      <c r="F16" s="39">
        <v>5803</v>
      </c>
      <c r="G16" s="61" t="s">
        <v>52</v>
      </c>
      <c r="H16" s="55">
        <v>413</v>
      </c>
      <c r="I16" s="40">
        <v>1700</v>
      </c>
      <c r="J16" s="56">
        <f t="shared" si="22"/>
        <v>702100</v>
      </c>
      <c r="K16" s="45" t="s">
        <v>190</v>
      </c>
      <c r="L16" s="48">
        <v>459</v>
      </c>
      <c r="M16" s="41">
        <f>700+35+35</f>
        <v>770</v>
      </c>
      <c r="N16" s="42">
        <v>359</v>
      </c>
      <c r="O16" s="42">
        <v>85</v>
      </c>
      <c r="P16" s="31">
        <f t="shared" ref="P16" si="30">IF(L16 &gt;0,(H16-L16)*I16-M16-N16-O16,0)</f>
        <v>-79414</v>
      </c>
      <c r="Q16" s="51">
        <f t="shared" si="2"/>
        <v>-0.11310924369747899</v>
      </c>
      <c r="R16" s="185">
        <f>P16+P17</f>
        <v>-16483</v>
      </c>
      <c r="S16" s="186">
        <f>R16/(J16+J17)</f>
        <v>-1.1926054554663194E-2</v>
      </c>
      <c r="U16" s="188">
        <v>43761</v>
      </c>
      <c r="V16" s="179">
        <f t="shared" ref="V16" si="31">DATEDIF(D16,U16,"d")</f>
        <v>16</v>
      </c>
      <c r="W16" s="277" t="s">
        <v>1320</v>
      </c>
      <c r="AA16" s="193">
        <f t="shared" ref="AA16" si="32">YEAR(U16)</f>
        <v>2019</v>
      </c>
      <c r="AB16" s="193">
        <f t="shared" ref="AB16" si="33">MONTH(U16)</f>
        <v>10</v>
      </c>
      <c r="AC16" s="201" t="str">
        <f t="shared" ref="AC16" si="34">IF(R16&gt;0,"○","☓")</f>
        <v>☓</v>
      </c>
    </row>
    <row r="17" spans="2:29" s="113" customFormat="1">
      <c r="B17" s="30"/>
      <c r="C17" s="182"/>
      <c r="D17" s="184">
        <v>43745</v>
      </c>
      <c r="E17" s="35" t="s">
        <v>185</v>
      </c>
      <c r="F17" s="35">
        <v>7259</v>
      </c>
      <c r="G17" s="60" t="s">
        <v>53</v>
      </c>
      <c r="H17" s="52">
        <v>3400</v>
      </c>
      <c r="I17" s="52">
        <v>200</v>
      </c>
      <c r="J17" s="53">
        <f t="shared" si="22"/>
        <v>680000</v>
      </c>
      <c r="K17" s="280" t="s">
        <v>175</v>
      </c>
      <c r="L17" s="47">
        <v>3720</v>
      </c>
      <c r="M17" s="37">
        <f>487+582</f>
        <v>1069</v>
      </c>
      <c r="N17" s="178">
        <v>0</v>
      </c>
      <c r="O17" s="178">
        <v>0</v>
      </c>
      <c r="P17" s="35">
        <f t="shared" ref="P17" si="35">IF(L17 &gt;0,(L17-H17)*I17-M17-N17-O17,0)</f>
        <v>62931</v>
      </c>
      <c r="Q17" s="54">
        <f t="shared" si="2"/>
        <v>9.2545588235294116E-2</v>
      </c>
      <c r="R17" s="185"/>
      <c r="S17" s="187"/>
      <c r="U17" s="179"/>
      <c r="V17" s="179"/>
      <c r="W17" s="277"/>
      <c r="AA17" s="187"/>
      <c r="AB17" s="187"/>
      <c r="AC17" s="202"/>
    </row>
    <row r="18" spans="2:29" s="113" customFormat="1">
      <c r="B18" s="278"/>
      <c r="C18" s="181">
        <f>ROW()/2-1</f>
        <v>8</v>
      </c>
      <c r="D18" s="183">
        <v>43748</v>
      </c>
      <c r="E18" s="39" t="s">
        <v>184</v>
      </c>
      <c r="F18" s="39">
        <v>7186</v>
      </c>
      <c r="G18" s="61" t="s">
        <v>186</v>
      </c>
      <c r="H18" s="55">
        <v>410</v>
      </c>
      <c r="I18" s="39">
        <v>1800</v>
      </c>
      <c r="J18" s="39">
        <f t="shared" si="22"/>
        <v>738000</v>
      </c>
      <c r="K18" s="58" t="s">
        <v>189</v>
      </c>
      <c r="L18" s="55">
        <v>444</v>
      </c>
      <c r="M18" s="39">
        <f>700+35+35</f>
        <v>770</v>
      </c>
      <c r="N18" s="39">
        <v>355</v>
      </c>
      <c r="O18" s="58">
        <v>1350</v>
      </c>
      <c r="P18" s="31">
        <f t="shared" ref="P18" si="36">IF(L18 &gt;0,(H18-L18)*I18-M18-N18-O18,0)</f>
        <v>-63675</v>
      </c>
      <c r="Q18" s="51">
        <f t="shared" si="2"/>
        <v>-8.6280487804878042E-2</v>
      </c>
      <c r="R18" s="185">
        <f>P18+P19</f>
        <v>-4757</v>
      </c>
      <c r="S18" s="186">
        <f t="shared" ref="S18" si="37">R18/(J18+J19)</f>
        <v>-3.2102847887704143E-3</v>
      </c>
      <c r="U18" s="188">
        <v>43767</v>
      </c>
      <c r="V18" s="179">
        <f t="shared" ref="V18" si="38">DATEDIF(D18,U18,"d")</f>
        <v>19</v>
      </c>
      <c r="W18" s="277" t="s">
        <v>1320</v>
      </c>
      <c r="AA18" s="193">
        <f t="shared" ref="AA18" si="39">YEAR(U18)</f>
        <v>2019</v>
      </c>
      <c r="AB18" s="193">
        <f t="shared" ref="AB18" si="40">MONTH(U18)</f>
        <v>10</v>
      </c>
      <c r="AC18" s="201" t="str">
        <f t="shared" ref="AC18" si="41">IF(R18&gt;0,"○","☓")</f>
        <v>☓</v>
      </c>
    </row>
    <row r="19" spans="2:29" s="113" customFormat="1">
      <c r="B19" s="278"/>
      <c r="C19" s="182"/>
      <c r="D19" s="184">
        <v>43748</v>
      </c>
      <c r="E19" s="35" t="s">
        <v>185</v>
      </c>
      <c r="F19" s="35">
        <v>8309</v>
      </c>
      <c r="G19" s="60" t="s">
        <v>187</v>
      </c>
      <c r="H19" s="52">
        <v>3719</v>
      </c>
      <c r="I19" s="52">
        <v>200</v>
      </c>
      <c r="J19" s="53">
        <f t="shared" si="22"/>
        <v>743800</v>
      </c>
      <c r="K19" s="44" t="s">
        <v>189</v>
      </c>
      <c r="L19" s="47">
        <v>4022</v>
      </c>
      <c r="M19" s="37">
        <f>700+35+35</f>
        <v>770</v>
      </c>
      <c r="N19" s="137">
        <v>912</v>
      </c>
      <c r="O19" s="137">
        <v>0</v>
      </c>
      <c r="P19" s="35">
        <f t="shared" ref="P19" si="42">IF(L19 &gt;0,(L19-H19)*I19-M19-N19-O19,0)</f>
        <v>58918</v>
      </c>
      <c r="Q19" s="54">
        <f t="shared" si="2"/>
        <v>7.9212153804786231E-2</v>
      </c>
      <c r="R19" s="185"/>
      <c r="S19" s="187"/>
      <c r="U19" s="179"/>
      <c r="V19" s="179"/>
      <c r="W19" s="277"/>
      <c r="AA19" s="187"/>
      <c r="AB19" s="187"/>
      <c r="AC19" s="202"/>
    </row>
    <row r="20" spans="2:29">
      <c r="B20" s="278"/>
      <c r="C20" s="181">
        <f>ROW()/2-1</f>
        <v>9</v>
      </c>
      <c r="D20" s="183">
        <v>43782</v>
      </c>
      <c r="E20" s="39" t="s">
        <v>184</v>
      </c>
      <c r="F20" s="39">
        <v>1820</v>
      </c>
      <c r="G20" s="61" t="s">
        <v>148</v>
      </c>
      <c r="H20" s="55">
        <v>2431</v>
      </c>
      <c r="I20" s="39">
        <v>400</v>
      </c>
      <c r="J20" s="56">
        <f t="shared" ref="J20:J27" si="43">H20*I20</f>
        <v>972400</v>
      </c>
      <c r="K20" s="58" t="s">
        <v>189</v>
      </c>
      <c r="L20" s="55">
        <v>2375</v>
      </c>
      <c r="M20" s="39">
        <f>700+35+35</f>
        <v>770</v>
      </c>
      <c r="N20" s="39">
        <v>234</v>
      </c>
      <c r="O20" s="58">
        <v>0</v>
      </c>
      <c r="P20" s="31">
        <f t="shared" ref="P20" si="44">IF(L20 &gt;0,(H20-L20)*I20-M20-N20-O20,0)</f>
        <v>21396</v>
      </c>
      <c r="Q20" s="51">
        <f t="shared" si="2"/>
        <v>2.2003290826820239E-2</v>
      </c>
      <c r="R20" s="185">
        <f>P20+P21</f>
        <v>485995</v>
      </c>
      <c r="S20" s="186">
        <f>R20/(J20+J21)</f>
        <v>0.25451000559299347</v>
      </c>
      <c r="U20" s="188">
        <v>43789</v>
      </c>
      <c r="V20" s="179">
        <f>DATEDIF(D20,U20,"d")</f>
        <v>7</v>
      </c>
      <c r="W20" s="194" t="s">
        <v>331</v>
      </c>
      <c r="X20" s="1" t="s">
        <v>1054</v>
      </c>
      <c r="AA20" s="193">
        <f t="shared" ref="AA20" si="45">YEAR(U20)</f>
        <v>2019</v>
      </c>
      <c r="AB20" s="193">
        <f t="shared" ref="AB20" si="46">MONTH(U20)</f>
        <v>11</v>
      </c>
      <c r="AC20" s="193" t="str">
        <f t="shared" ref="AC20" si="47">IF(R20&gt;0,"○","☓")</f>
        <v>○</v>
      </c>
    </row>
    <row r="21" spans="2:29">
      <c r="B21" s="30"/>
      <c r="C21" s="182"/>
      <c r="D21" s="184">
        <v>43748</v>
      </c>
      <c r="E21" s="35" t="s">
        <v>185</v>
      </c>
      <c r="F21" s="35">
        <v>4508</v>
      </c>
      <c r="G21" s="60" t="s">
        <v>343</v>
      </c>
      <c r="H21" s="52">
        <v>1338.76</v>
      </c>
      <c r="I21" s="52">
        <v>700</v>
      </c>
      <c r="J21" s="53">
        <f t="shared" si="43"/>
        <v>937132</v>
      </c>
      <c r="K21" s="280" t="s">
        <v>175</v>
      </c>
      <c r="L21" s="47">
        <v>2004</v>
      </c>
      <c r="M21" s="37">
        <f>487+582</f>
        <v>1069</v>
      </c>
      <c r="N21" s="178">
        <v>0</v>
      </c>
      <c r="O21" s="178">
        <v>0</v>
      </c>
      <c r="P21" s="35">
        <f t="shared" ref="P21" si="48">IF(L21 &gt;0,(L21-H21)*I21-M21-N21-O21,0)</f>
        <v>464599</v>
      </c>
      <c r="Q21" s="54">
        <f t="shared" si="2"/>
        <v>0.49576687168936712</v>
      </c>
      <c r="R21" s="185"/>
      <c r="S21" s="187"/>
      <c r="U21" s="179"/>
      <c r="V21" s="179"/>
      <c r="W21" s="179"/>
      <c r="X21" s="113" t="s">
        <v>1053</v>
      </c>
      <c r="AA21" s="187"/>
      <c r="AB21" s="187"/>
      <c r="AC21" s="187"/>
    </row>
    <row r="22" spans="2:29" s="113" customFormat="1">
      <c r="B22" s="278"/>
      <c r="C22" s="181">
        <f>ROW()/2-1</f>
        <v>10</v>
      </c>
      <c r="D22" s="183">
        <v>43782</v>
      </c>
      <c r="E22" s="39" t="s">
        <v>184</v>
      </c>
      <c r="F22" s="39">
        <v>8002</v>
      </c>
      <c r="G22" s="61" t="s">
        <v>55</v>
      </c>
      <c r="H22" s="55">
        <v>814</v>
      </c>
      <c r="I22" s="39">
        <v>1300</v>
      </c>
      <c r="J22" s="56">
        <f t="shared" si="43"/>
        <v>1058200</v>
      </c>
      <c r="K22" s="58" t="s">
        <v>189</v>
      </c>
      <c r="L22" s="55">
        <v>794.1</v>
      </c>
      <c r="M22" s="39">
        <f>700+35+35</f>
        <v>770</v>
      </c>
      <c r="N22" s="39">
        <v>350</v>
      </c>
      <c r="O22" s="58">
        <v>0</v>
      </c>
      <c r="P22" s="31">
        <f t="shared" ref="P22" si="49">IF(L22 &gt;0,(H22-L22)*I22-M22-N22-O22,0)</f>
        <v>24749.999999999971</v>
      </c>
      <c r="Q22" s="51">
        <f t="shared" si="2"/>
        <v>2.3388773388773362E-2</v>
      </c>
      <c r="R22" s="185">
        <f>P22+P23</f>
        <v>60240.999999999913</v>
      </c>
      <c r="S22" s="186">
        <f>R22/(J22+J23)</f>
        <v>2.8847737807914758E-2</v>
      </c>
      <c r="U22" s="188">
        <v>43790</v>
      </c>
      <c r="V22" s="179">
        <f>DATEDIF(D22,U22,"d")</f>
        <v>8</v>
      </c>
      <c r="W22" s="194" t="s">
        <v>331</v>
      </c>
      <c r="AA22" s="193">
        <f t="shared" ref="AA22" si="50">YEAR(U22)</f>
        <v>2019</v>
      </c>
      <c r="AB22" s="193">
        <f t="shared" ref="AB22" si="51">MONTH(U22)</f>
        <v>11</v>
      </c>
      <c r="AC22" s="193" t="str">
        <f t="shared" ref="AC22" si="52">IF(R22&gt;0,"○","☓")</f>
        <v>○</v>
      </c>
    </row>
    <row r="23" spans="2:29" s="113" customFormat="1">
      <c r="B23" s="30"/>
      <c r="C23" s="182"/>
      <c r="D23" s="184">
        <v>43748</v>
      </c>
      <c r="E23" s="35" t="s">
        <v>185</v>
      </c>
      <c r="F23" s="35">
        <v>8601</v>
      </c>
      <c r="G23" s="60" t="s">
        <v>51</v>
      </c>
      <c r="H23" s="52">
        <v>515.02</v>
      </c>
      <c r="I23" s="52">
        <v>2000</v>
      </c>
      <c r="J23" s="53">
        <f t="shared" si="43"/>
        <v>1030040</v>
      </c>
      <c r="K23" s="280" t="s">
        <v>175</v>
      </c>
      <c r="L23" s="47">
        <v>533.29999999999995</v>
      </c>
      <c r="M23" s="37">
        <f>487+582</f>
        <v>1069</v>
      </c>
      <c r="N23" s="137">
        <v>0</v>
      </c>
      <c r="O23" s="178">
        <v>0</v>
      </c>
      <c r="P23" s="35">
        <f t="shared" ref="P23" si="53">IF(L23 &gt;0,(L23-H23)*I23-M23-N23-O23,0)</f>
        <v>35490.999999999942</v>
      </c>
      <c r="Q23" s="54">
        <f t="shared" si="2"/>
        <v>3.4455943458506409E-2</v>
      </c>
      <c r="R23" s="185"/>
      <c r="S23" s="187"/>
      <c r="U23" s="179"/>
      <c r="V23" s="179"/>
      <c r="W23" s="179"/>
      <c r="AA23" s="187"/>
      <c r="AB23" s="187"/>
      <c r="AC23" s="187"/>
    </row>
    <row r="24" spans="2:29" s="113" customFormat="1">
      <c r="B24" s="278"/>
      <c r="C24" s="181">
        <f>ROW()/2-1</f>
        <v>11</v>
      </c>
      <c r="D24" s="183">
        <v>43783</v>
      </c>
      <c r="E24" s="39" t="s">
        <v>184</v>
      </c>
      <c r="F24" s="39">
        <v>3105</v>
      </c>
      <c r="G24" s="61" t="s">
        <v>116</v>
      </c>
      <c r="H24" s="55">
        <v>970</v>
      </c>
      <c r="I24" s="39">
        <v>1100</v>
      </c>
      <c r="J24" s="56">
        <f t="shared" si="43"/>
        <v>1067000</v>
      </c>
      <c r="K24" s="58" t="s">
        <v>189</v>
      </c>
      <c r="L24" s="55">
        <v>999</v>
      </c>
      <c r="M24" s="39">
        <f>700+35+35</f>
        <v>770</v>
      </c>
      <c r="N24" s="39">
        <v>514</v>
      </c>
      <c r="O24" s="58">
        <v>165</v>
      </c>
      <c r="P24" s="31">
        <f t="shared" ref="P24" si="54">IF(L24 &gt;0,(H24-L24)*I24-M24-N24-O24,0)</f>
        <v>-33349</v>
      </c>
      <c r="Q24" s="51">
        <f t="shared" si="2"/>
        <v>-3.1254920337394562E-2</v>
      </c>
      <c r="R24" s="185">
        <f>P24+P25</f>
        <v>-59214</v>
      </c>
      <c r="S24" s="186">
        <f>R24/(J24+J25)</f>
        <v>-2.7894290559638213E-2</v>
      </c>
      <c r="U24" s="188">
        <v>43798</v>
      </c>
      <c r="V24" s="179">
        <f>DATEDIF(D24,U24,"d")</f>
        <v>15</v>
      </c>
      <c r="W24" s="197" t="s">
        <v>308</v>
      </c>
      <c r="AA24" s="193">
        <f t="shared" ref="AA24" si="55">YEAR(U24)</f>
        <v>2019</v>
      </c>
      <c r="AB24" s="193">
        <f t="shared" ref="AB24" si="56">MONTH(U24)</f>
        <v>11</v>
      </c>
      <c r="AC24" s="193" t="str">
        <f t="shared" ref="AC24" si="57">IF(R24&gt;0,"○","☓")</f>
        <v>☓</v>
      </c>
    </row>
    <row r="25" spans="2:29" s="113" customFormat="1">
      <c r="B25" s="278"/>
      <c r="C25" s="182"/>
      <c r="D25" s="184">
        <v>43748</v>
      </c>
      <c r="E25" s="35" t="s">
        <v>185</v>
      </c>
      <c r="F25" s="35">
        <v>6301</v>
      </c>
      <c r="G25" s="60" t="s">
        <v>135</v>
      </c>
      <c r="H25" s="52">
        <v>2639.5</v>
      </c>
      <c r="I25" s="52">
        <v>400</v>
      </c>
      <c r="J25" s="53">
        <f t="shared" si="43"/>
        <v>1055800</v>
      </c>
      <c r="K25" s="44" t="s">
        <v>175</v>
      </c>
      <c r="L25" s="47">
        <v>2580</v>
      </c>
      <c r="M25" s="37">
        <f>700+35+35</f>
        <v>770</v>
      </c>
      <c r="N25" s="138">
        <v>1295</v>
      </c>
      <c r="O25" s="138">
        <v>0</v>
      </c>
      <c r="P25" s="35">
        <f t="shared" ref="P25" si="58">IF(L25 &gt;0,(L25-H25)*I25-M25-N25-O25,0)</f>
        <v>-25865</v>
      </c>
      <c r="Q25" s="54">
        <f t="shared" si="2"/>
        <v>-2.4498010986929341E-2</v>
      </c>
      <c r="R25" s="185"/>
      <c r="S25" s="187"/>
      <c r="U25" s="179"/>
      <c r="V25" s="179"/>
      <c r="W25" s="198"/>
      <c r="AA25" s="187"/>
      <c r="AB25" s="187"/>
      <c r="AC25" s="187"/>
    </row>
    <row r="26" spans="2:29" s="113" customFormat="1">
      <c r="B26" s="278"/>
      <c r="C26" s="181">
        <f>ROW()/2-1</f>
        <v>12</v>
      </c>
      <c r="D26" s="183">
        <v>43784</v>
      </c>
      <c r="E26" s="39" t="s">
        <v>184</v>
      </c>
      <c r="F26" s="39">
        <v>6770</v>
      </c>
      <c r="G26" s="61" t="s">
        <v>50</v>
      </c>
      <c r="H26" s="55">
        <v>2386</v>
      </c>
      <c r="I26" s="39">
        <v>400</v>
      </c>
      <c r="J26" s="56">
        <f t="shared" si="43"/>
        <v>954400</v>
      </c>
      <c r="K26" s="58" t="s">
        <v>1349</v>
      </c>
      <c r="L26" s="55">
        <v>2446</v>
      </c>
      <c r="M26" s="39">
        <f>700+35+35</f>
        <v>770</v>
      </c>
      <c r="N26" s="39">
        <v>320</v>
      </c>
      <c r="O26" s="58">
        <v>488</v>
      </c>
      <c r="P26" s="31">
        <f t="shared" ref="P26" si="59">IF(L26 &gt;0,(H26-L26)*I26-M26-N26-O26,0)</f>
        <v>-25578</v>
      </c>
      <c r="Q26" s="51">
        <f t="shared" si="2"/>
        <v>-2.680008382229673E-2</v>
      </c>
      <c r="R26" s="185">
        <f>P26+P27</f>
        <v>-23558</v>
      </c>
      <c r="S26" s="186">
        <f>R26/(J26+J27)</f>
        <v>-1.2410704878305763E-2</v>
      </c>
      <c r="U26" s="188">
        <v>43802</v>
      </c>
      <c r="V26" s="179">
        <f>DATEDIF(D26,U26,"d")</f>
        <v>18</v>
      </c>
      <c r="W26" s="195" t="s">
        <v>1320</v>
      </c>
      <c r="AA26" s="193">
        <f t="shared" ref="AA26" si="60">YEAR(U26)</f>
        <v>2019</v>
      </c>
      <c r="AB26" s="193">
        <f t="shared" ref="AB26" si="61">MONTH(U26)</f>
        <v>12</v>
      </c>
      <c r="AC26" s="193" t="str">
        <f t="shared" ref="AC26" si="62">IF(R26&gt;0,"○","☓")</f>
        <v>☓</v>
      </c>
    </row>
    <row r="27" spans="2:29" s="113" customFormat="1">
      <c r="B27" s="278"/>
      <c r="C27" s="182"/>
      <c r="D27" s="184">
        <v>43748</v>
      </c>
      <c r="E27" s="35" t="s">
        <v>185</v>
      </c>
      <c r="F27" s="35">
        <v>1911</v>
      </c>
      <c r="G27" s="60" t="s">
        <v>129</v>
      </c>
      <c r="H27" s="52">
        <v>1573</v>
      </c>
      <c r="I27" s="52">
        <v>600</v>
      </c>
      <c r="J27" s="53">
        <f t="shared" si="43"/>
        <v>943800</v>
      </c>
      <c r="K27" s="279" t="s">
        <v>190</v>
      </c>
      <c r="L27" s="47">
        <v>1579</v>
      </c>
      <c r="M27" s="37">
        <f>700+35+35</f>
        <v>770</v>
      </c>
      <c r="N27" s="139">
        <v>1230</v>
      </c>
      <c r="O27" s="139">
        <v>-420</v>
      </c>
      <c r="P27" s="35">
        <f t="shared" ref="P27" si="63">IF(L27 &gt;0,(L27-H27)*I27-M27-N27-O27,0)</f>
        <v>2020</v>
      </c>
      <c r="Q27" s="54">
        <f t="shared" si="2"/>
        <v>2.1402839584657766E-3</v>
      </c>
      <c r="R27" s="185"/>
      <c r="S27" s="187"/>
      <c r="U27" s="179"/>
      <c r="V27" s="179"/>
      <c r="W27" s="196"/>
      <c r="AA27" s="187"/>
      <c r="AB27" s="187"/>
      <c r="AC27" s="187"/>
    </row>
    <row r="28" spans="2:29" s="113" customFormat="1">
      <c r="B28" s="281"/>
      <c r="C28" s="181">
        <v>13</v>
      </c>
      <c r="D28" s="183">
        <v>43789</v>
      </c>
      <c r="E28" s="39" t="s">
        <v>184</v>
      </c>
      <c r="F28" s="39">
        <v>4182</v>
      </c>
      <c r="G28" s="61" t="s">
        <v>113</v>
      </c>
      <c r="H28" s="55">
        <v>1627</v>
      </c>
      <c r="I28" s="39">
        <v>600</v>
      </c>
      <c r="J28" s="56">
        <v>976200</v>
      </c>
      <c r="K28" s="58" t="s">
        <v>189</v>
      </c>
      <c r="L28" s="55">
        <v>1681</v>
      </c>
      <c r="M28" s="39">
        <f>700+35+35</f>
        <v>770</v>
      </c>
      <c r="N28" s="153">
        <v>558</v>
      </c>
      <c r="O28" s="58">
        <v>120</v>
      </c>
      <c r="P28" s="31">
        <f t="shared" ref="P28" si="64">IF(L28 &gt;0,(H28-L28)*I28-M28-N28-O28,0)</f>
        <v>-33848</v>
      </c>
      <c r="Q28" s="51">
        <f t="shared" si="2"/>
        <v>-3.4673222700266342E-2</v>
      </c>
      <c r="R28" s="185">
        <v>54150</v>
      </c>
      <c r="S28" s="186">
        <v>2.7799999999999998E-2</v>
      </c>
      <c r="U28" s="188">
        <v>43805</v>
      </c>
      <c r="V28" s="179">
        <v>15</v>
      </c>
      <c r="W28" s="194" t="s">
        <v>1296</v>
      </c>
      <c r="AA28" s="193">
        <f>YEAR(U28)</f>
        <v>2019</v>
      </c>
      <c r="AB28" s="193">
        <f>MONTH(U28)</f>
        <v>12</v>
      </c>
      <c r="AC28" s="193" t="str">
        <f>IF(R28&gt;0,"○","☓")</f>
        <v>○</v>
      </c>
    </row>
    <row r="29" spans="2:29" s="113" customFormat="1">
      <c r="B29" s="281"/>
      <c r="C29" s="182"/>
      <c r="D29" s="184">
        <v>43748</v>
      </c>
      <c r="E29" s="35" t="s">
        <v>185</v>
      </c>
      <c r="F29" s="35">
        <v>1824</v>
      </c>
      <c r="G29" s="60" t="s">
        <v>346</v>
      </c>
      <c r="H29" s="52">
        <v>973</v>
      </c>
      <c r="I29" s="52">
        <v>1000</v>
      </c>
      <c r="J29" s="53">
        <v>973000</v>
      </c>
      <c r="K29" s="154" t="s">
        <v>189</v>
      </c>
      <c r="L29" s="47">
        <v>1062</v>
      </c>
      <c r="M29" s="37">
        <f>700+35+35</f>
        <v>770</v>
      </c>
      <c r="N29" s="37">
        <v>1418</v>
      </c>
      <c r="O29" s="147">
        <v>0</v>
      </c>
      <c r="P29" s="35">
        <f t="shared" ref="P29" si="65">IF(L29 &gt;0,(L29-H29)*I29-M29-N29-O29,0)</f>
        <v>86812</v>
      </c>
      <c r="Q29" s="54">
        <f t="shared" si="2"/>
        <v>8.9220966084275433E-2</v>
      </c>
      <c r="R29" s="185"/>
      <c r="S29" s="187"/>
      <c r="U29" s="179"/>
      <c r="V29" s="179"/>
      <c r="W29" s="179"/>
      <c r="AA29" s="187"/>
      <c r="AB29" s="187"/>
      <c r="AC29" s="187"/>
    </row>
    <row r="30" spans="2:29" s="113" customFormat="1">
      <c r="B30" s="131" t="s">
        <v>1347</v>
      </c>
      <c r="C30" s="181">
        <f>ROW()/2-1</f>
        <v>14</v>
      </c>
      <c r="D30" s="183">
        <v>43790</v>
      </c>
      <c r="E30" s="39" t="s">
        <v>184</v>
      </c>
      <c r="F30" s="39">
        <v>6995</v>
      </c>
      <c r="G30" s="61" t="s">
        <v>117</v>
      </c>
      <c r="H30" s="55">
        <v>2050</v>
      </c>
      <c r="I30" s="39">
        <v>500</v>
      </c>
      <c r="J30" s="56">
        <f t="shared" ref="J30:J33" si="66">H30*I30</f>
        <v>1025000</v>
      </c>
      <c r="K30" s="58" t="s">
        <v>189</v>
      </c>
      <c r="L30" s="55"/>
      <c r="M30" s="39">
        <f>700+35+35</f>
        <v>770</v>
      </c>
      <c r="N30" s="153">
        <f>IF(OR(K30="現物",J30=0),0,IF(E30="売",J30*Fee_Refer!$B$12/365*V30, J30*Fee_Refer!$B$11/365*#REF!))</f>
        <v>556.02739726027391</v>
      </c>
      <c r="O30" s="58">
        <v>92</v>
      </c>
      <c r="P30" s="31">
        <f t="shared" ref="P30" si="67">IF(L30 &gt;0,(H30-L30)*I30-M30-N30-O30,0)</f>
        <v>0</v>
      </c>
      <c r="Q30" s="51">
        <f t="shared" si="2"/>
        <v>0</v>
      </c>
      <c r="R30" s="185">
        <f>P30+P31</f>
        <v>0</v>
      </c>
      <c r="S30" s="186">
        <f t="shared" ref="S30" si="68">R30/(J30+J31)</f>
        <v>0</v>
      </c>
      <c r="U30" s="188">
        <v>43808</v>
      </c>
      <c r="V30" s="179">
        <f t="shared" ref="V30" si="69">IF(U30&gt;D30,DATEDIF(D30,U30,"d"),0)</f>
        <v>18</v>
      </c>
      <c r="W30" s="189" t="s">
        <v>1321</v>
      </c>
    </row>
    <row r="31" spans="2:29" s="113" customFormat="1">
      <c r="B31" s="131"/>
      <c r="C31" s="182"/>
      <c r="D31" s="184">
        <v>43748</v>
      </c>
      <c r="E31" s="35" t="s">
        <v>185</v>
      </c>
      <c r="F31" s="35">
        <v>6472</v>
      </c>
      <c r="G31" s="60" t="s">
        <v>162</v>
      </c>
      <c r="H31" s="52">
        <v>322</v>
      </c>
      <c r="I31" s="52">
        <v>3200</v>
      </c>
      <c r="J31" s="53">
        <f t="shared" si="66"/>
        <v>1030400</v>
      </c>
      <c r="K31" s="280" t="s">
        <v>175</v>
      </c>
      <c r="L31" s="47"/>
      <c r="M31" s="37">
        <f>487+582</f>
        <v>1069</v>
      </c>
      <c r="N31" s="178">
        <v>0</v>
      </c>
      <c r="O31" s="178">
        <v>0</v>
      </c>
      <c r="P31" s="35">
        <f t="shared" ref="P31" si="70">IF(L31 &gt;0,(L31-H31)*I31-M31-N31-O31,0)</f>
        <v>0</v>
      </c>
      <c r="Q31" s="54">
        <f t="shared" si="2"/>
        <v>0</v>
      </c>
      <c r="R31" s="185"/>
      <c r="S31" s="187"/>
      <c r="U31" s="179"/>
      <c r="V31" s="179"/>
      <c r="W31" s="179"/>
    </row>
    <row r="32" spans="2:29" s="113" customFormat="1">
      <c r="B32" s="131" t="s">
        <v>1347</v>
      </c>
      <c r="C32" s="181">
        <f>ROW()/2-1</f>
        <v>15</v>
      </c>
      <c r="D32" s="183">
        <v>43791</v>
      </c>
      <c r="E32" s="39" t="s">
        <v>184</v>
      </c>
      <c r="F32" s="39">
        <v>8601</v>
      </c>
      <c r="G32" s="61" t="s">
        <v>51</v>
      </c>
      <c r="H32" s="55">
        <v>533.79999999999995</v>
      </c>
      <c r="I32" s="39">
        <v>2000</v>
      </c>
      <c r="J32" s="56">
        <f t="shared" si="66"/>
        <v>1067600</v>
      </c>
      <c r="K32" s="58" t="s">
        <v>189</v>
      </c>
      <c r="L32" s="55"/>
      <c r="M32" s="39">
        <f>700+35+35</f>
        <v>770</v>
      </c>
      <c r="N32" s="153">
        <f>IF(OR(K32="現物",J32=0),0,IF(E32="売",J32*Fee_Refer!$B$12/365*V32, J32*Fee_Refer!$B$11/365*#REF!))</f>
        <v>546.96219178082174</v>
      </c>
      <c r="O32" s="58">
        <v>92</v>
      </c>
      <c r="P32" s="31">
        <f t="shared" ref="P32" si="71">IF(L32 &gt;0,(H32-L32)*I32-M32-N32-O32,0)</f>
        <v>0</v>
      </c>
      <c r="Q32" s="51">
        <f t="shared" si="2"/>
        <v>0</v>
      </c>
      <c r="R32" s="185">
        <f>P32+P33</f>
        <v>0</v>
      </c>
      <c r="S32" s="186">
        <f t="shared" ref="S32" si="72">R32/(J32+J33)</f>
        <v>0</v>
      </c>
      <c r="U32" s="188">
        <v>43808</v>
      </c>
      <c r="V32" s="179">
        <f t="shared" ref="V32" si="73">IF(U32&gt;D32,DATEDIF(D32,U32,"d"),0)</f>
        <v>17</v>
      </c>
      <c r="W32" s="189" t="s">
        <v>1321</v>
      </c>
    </row>
    <row r="33" spans="2:23" s="113" customFormat="1">
      <c r="B33" s="131"/>
      <c r="C33" s="182"/>
      <c r="D33" s="184">
        <v>43748</v>
      </c>
      <c r="E33" s="35" t="s">
        <v>185</v>
      </c>
      <c r="F33" s="35">
        <v>8308</v>
      </c>
      <c r="G33" s="60" t="s">
        <v>128</v>
      </c>
      <c r="H33" s="52">
        <v>467.7</v>
      </c>
      <c r="I33" s="52">
        <v>2300</v>
      </c>
      <c r="J33" s="53">
        <f t="shared" si="66"/>
        <v>1075710</v>
      </c>
      <c r="K33" s="280" t="s">
        <v>175</v>
      </c>
      <c r="L33" s="47"/>
      <c r="M33" s="37">
        <f>487+582</f>
        <v>1069</v>
      </c>
      <c r="N33" s="178">
        <v>0</v>
      </c>
      <c r="O33" s="178">
        <v>0</v>
      </c>
      <c r="P33" s="35">
        <f t="shared" ref="P33" si="74">IF(L33 &gt;0,(L33-H33)*I33-M33-N33-O33,0)</f>
        <v>0</v>
      </c>
      <c r="Q33" s="54">
        <f t="shared" si="2"/>
        <v>0</v>
      </c>
      <c r="R33" s="185"/>
      <c r="S33" s="187"/>
      <c r="U33" s="179"/>
      <c r="V33" s="179"/>
      <c r="W33" s="179"/>
    </row>
  </sheetData>
  <autoFilter ref="B3:AC23"/>
  <mergeCells count="144">
    <mergeCell ref="C30:C31"/>
    <mergeCell ref="D30:D31"/>
    <mergeCell ref="R30:R31"/>
    <mergeCell ref="S30:S31"/>
    <mergeCell ref="U30:U31"/>
    <mergeCell ref="V30:V31"/>
    <mergeCell ref="W30:W31"/>
    <mergeCell ref="C32:C33"/>
    <mergeCell ref="D32:D33"/>
    <mergeCell ref="R32:R33"/>
    <mergeCell ref="S32:S33"/>
    <mergeCell ref="U32:U33"/>
    <mergeCell ref="V32:V33"/>
    <mergeCell ref="W32:W33"/>
    <mergeCell ref="C18:C19"/>
    <mergeCell ref="D18:D19"/>
    <mergeCell ref="R18:R19"/>
    <mergeCell ref="S18:S19"/>
    <mergeCell ref="U18:U19"/>
    <mergeCell ref="D20:D21"/>
    <mergeCell ref="AA18:AA19"/>
    <mergeCell ref="AB18:AB19"/>
    <mergeCell ref="AC18:AC19"/>
    <mergeCell ref="AA20:AA21"/>
    <mergeCell ref="AB20:AB21"/>
    <mergeCell ref="AC20:AC21"/>
    <mergeCell ref="W20:W21"/>
    <mergeCell ref="C20:C21"/>
    <mergeCell ref="R20:R21"/>
    <mergeCell ref="S20:S21"/>
    <mergeCell ref="V20:V21"/>
    <mergeCell ref="U20:U21"/>
    <mergeCell ref="AC10:AC11"/>
    <mergeCell ref="AA12:AA13"/>
    <mergeCell ref="AB12:AB13"/>
    <mergeCell ref="AC12:AC13"/>
    <mergeCell ref="W12:W13"/>
    <mergeCell ref="C12:C13"/>
    <mergeCell ref="R12:R13"/>
    <mergeCell ref="S12:S13"/>
    <mergeCell ref="V12:V13"/>
    <mergeCell ref="D12:D13"/>
    <mergeCell ref="U12:U13"/>
    <mergeCell ref="C10:C11"/>
    <mergeCell ref="D10:D11"/>
    <mergeCell ref="R10:R11"/>
    <mergeCell ref="S10:S11"/>
    <mergeCell ref="U10:U11"/>
    <mergeCell ref="V10:V11"/>
    <mergeCell ref="W10:W11"/>
    <mergeCell ref="AA10:AA11"/>
    <mergeCell ref="AB10:AB11"/>
    <mergeCell ref="AC4:AC5"/>
    <mergeCell ref="AC6:AC7"/>
    <mergeCell ref="AC8:AC9"/>
    <mergeCell ref="AA4:AA5"/>
    <mergeCell ref="AA6:AA7"/>
    <mergeCell ref="AA8:AA9"/>
    <mergeCell ref="AB4:AB5"/>
    <mergeCell ref="AB6:AB7"/>
    <mergeCell ref="AB8:AB9"/>
    <mergeCell ref="V8:V9"/>
    <mergeCell ref="W8:W9"/>
    <mergeCell ref="W4:W5"/>
    <mergeCell ref="W6:W7"/>
    <mergeCell ref="C8:C9"/>
    <mergeCell ref="D8:D9"/>
    <mergeCell ref="R8:R9"/>
    <mergeCell ref="S8:S9"/>
    <mergeCell ref="U8:U9"/>
    <mergeCell ref="V4:V5"/>
    <mergeCell ref="C6:C7"/>
    <mergeCell ref="D6:D7"/>
    <mergeCell ref="R6:R7"/>
    <mergeCell ref="S6:S7"/>
    <mergeCell ref="U6:U7"/>
    <mergeCell ref="V6:V7"/>
    <mergeCell ref="C4:C5"/>
    <mergeCell ref="D4:D5"/>
    <mergeCell ref="R4:R5"/>
    <mergeCell ref="S4:S5"/>
    <mergeCell ref="U4:U5"/>
    <mergeCell ref="C16:C17"/>
    <mergeCell ref="D16:D17"/>
    <mergeCell ref="R16:R17"/>
    <mergeCell ref="S16:S17"/>
    <mergeCell ref="U16:U17"/>
    <mergeCell ref="C14:C15"/>
    <mergeCell ref="D14:D15"/>
    <mergeCell ref="R14:R15"/>
    <mergeCell ref="S14:S15"/>
    <mergeCell ref="U14:U15"/>
    <mergeCell ref="V14:V15"/>
    <mergeCell ref="W14:W15"/>
    <mergeCell ref="V16:V17"/>
    <mergeCell ref="W16:W17"/>
    <mergeCell ref="V18:V19"/>
    <mergeCell ref="W18:W19"/>
    <mergeCell ref="AA14:AA15"/>
    <mergeCell ref="AB14:AB15"/>
    <mergeCell ref="AC14:AC15"/>
    <mergeCell ref="AA16:AA17"/>
    <mergeCell ref="AB16:AB17"/>
    <mergeCell ref="AC16:AC17"/>
    <mergeCell ref="AC26:AC27"/>
    <mergeCell ref="R22:R23"/>
    <mergeCell ref="S22:S23"/>
    <mergeCell ref="U22:U23"/>
    <mergeCell ref="V22:V23"/>
    <mergeCell ref="C26:C27"/>
    <mergeCell ref="D26:D27"/>
    <mergeCell ref="R26:R27"/>
    <mergeCell ref="S26:S27"/>
    <mergeCell ref="U26:U27"/>
    <mergeCell ref="AA22:AA23"/>
    <mergeCell ref="AB22:AB23"/>
    <mergeCell ref="AC22:AC23"/>
    <mergeCell ref="C22:C23"/>
    <mergeCell ref="W22:W23"/>
    <mergeCell ref="D22:D23"/>
    <mergeCell ref="AC28:AC29"/>
    <mergeCell ref="C28:C29"/>
    <mergeCell ref="D28:D29"/>
    <mergeCell ref="R28:R29"/>
    <mergeCell ref="S28:S29"/>
    <mergeCell ref="U28:U29"/>
    <mergeCell ref="V28:V29"/>
    <mergeCell ref="W28:W29"/>
    <mergeCell ref="AA24:AA25"/>
    <mergeCell ref="AB24:AB25"/>
    <mergeCell ref="AA28:AA29"/>
    <mergeCell ref="AB28:AB29"/>
    <mergeCell ref="AC24:AC25"/>
    <mergeCell ref="V26:V27"/>
    <mergeCell ref="W26:W27"/>
    <mergeCell ref="V24:V25"/>
    <mergeCell ref="W24:W25"/>
    <mergeCell ref="C24:C25"/>
    <mergeCell ref="D24:D25"/>
    <mergeCell ref="R24:R25"/>
    <mergeCell ref="S24:S25"/>
    <mergeCell ref="U24:U25"/>
    <mergeCell ref="AA26:AA27"/>
    <mergeCell ref="AB26:AB27"/>
  </mergeCells>
  <phoneticPr fontId="1" type="noConversion"/>
  <dataValidations disablePrompts="1" count="1">
    <dataValidation type="custom" allowBlank="1" showInputMessage="1" showErrorMessage="1" sqref="K4 K6 K12">
      <formula1>"""aaa"",""bbb"""</formula1>
    </dataValidation>
  </dataValidations>
  <hyperlinks>
    <hyperlink ref="B30" display="Check"/>
    <hyperlink ref="B32" display="Check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/>
  <dimension ref="A27"/>
  <sheetViews>
    <sheetView showGridLines="0" workbookViewId="0">
      <selection activeCell="C37" sqref="C37"/>
    </sheetView>
  </sheetViews>
  <sheetFormatPr defaultRowHeight="14.25"/>
  <sheetData>
    <row r="27" spans="1:1">
      <c r="A27" s="21" t="s">
        <v>93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7"/>
  <dimension ref="A1:W14"/>
  <sheetViews>
    <sheetView showGridLines="0" zoomScaleNormal="100" workbookViewId="0">
      <selection activeCell="G8" sqref="G8"/>
    </sheetView>
  </sheetViews>
  <sheetFormatPr defaultRowHeight="14.25"/>
  <cols>
    <col min="1" max="1" width="6" style="113" customWidth="1"/>
    <col min="2" max="2" width="6.5" style="113" customWidth="1"/>
    <col min="3" max="3" width="12.75" style="113" customWidth="1"/>
    <col min="4" max="4" width="9.875" style="113" customWidth="1"/>
    <col min="5" max="7" width="9" style="113"/>
    <col min="8" max="8" width="10.75" style="113" customWidth="1"/>
    <col min="9" max="10" width="9" style="113"/>
    <col min="11" max="11" width="10.625" style="113" customWidth="1"/>
    <col min="12" max="16384" width="9" style="113"/>
  </cols>
  <sheetData>
    <row r="1" spans="1:23" ht="21" customHeight="1" thickBot="1">
      <c r="A1" s="177" t="s">
        <v>1319</v>
      </c>
    </row>
    <row r="2" spans="1:23" ht="59.25" customHeight="1">
      <c r="A2" s="161" t="s">
        <v>1297</v>
      </c>
      <c r="B2" s="162" t="s">
        <v>1298</v>
      </c>
      <c r="C2" s="163" t="s">
        <v>1305</v>
      </c>
      <c r="D2" s="162" t="s">
        <v>1306</v>
      </c>
      <c r="E2" s="162" t="s">
        <v>1307</v>
      </c>
      <c r="F2" s="163" t="s">
        <v>1315</v>
      </c>
      <c r="G2" s="163" t="s">
        <v>1316</v>
      </c>
      <c r="H2" s="163" t="s">
        <v>1308</v>
      </c>
      <c r="I2" s="163" t="s">
        <v>1309</v>
      </c>
      <c r="J2" s="163" t="s">
        <v>1310</v>
      </c>
      <c r="K2" s="163" t="s">
        <v>1317</v>
      </c>
      <c r="L2" s="163" t="s">
        <v>1311</v>
      </c>
      <c r="M2" s="163" t="s">
        <v>1299</v>
      </c>
      <c r="N2" s="163" t="s">
        <v>1300</v>
      </c>
      <c r="O2" s="163" t="s">
        <v>1301</v>
      </c>
      <c r="P2" s="163" t="s">
        <v>1312</v>
      </c>
      <c r="Q2" s="164" t="s">
        <v>1313</v>
      </c>
      <c r="R2" s="164" t="s">
        <v>1302</v>
      </c>
      <c r="S2" s="165" t="s">
        <v>1303</v>
      </c>
      <c r="T2" s="165" t="s">
        <v>1304</v>
      </c>
      <c r="U2" s="165" t="s">
        <v>1318</v>
      </c>
      <c r="V2" s="166" t="s">
        <v>1314</v>
      </c>
      <c r="W2" s="160"/>
    </row>
    <row r="3" spans="1:23">
      <c r="A3" s="167">
        <v>2019</v>
      </c>
      <c r="B3" s="167">
        <v>10</v>
      </c>
      <c r="C3" s="168">
        <v>5000000</v>
      </c>
      <c r="D3" s="169">
        <v>-23232.999999999971</v>
      </c>
      <c r="E3" s="170">
        <f t="shared" ref="E3:E5" si="0">IF(D3 &lt;&gt; 0,D3/C3, 0)</f>
        <v>-4.6465999999999938E-3</v>
      </c>
      <c r="F3" s="169">
        <v>102356</v>
      </c>
      <c r="G3" s="169">
        <v>-125588.99999999997</v>
      </c>
      <c r="H3" s="167">
        <v>8</v>
      </c>
      <c r="I3" s="167">
        <v>3</v>
      </c>
      <c r="J3" s="167">
        <v>5</v>
      </c>
      <c r="K3" s="171">
        <f t="shared" ref="K3:K5" si="1">IF(H3&lt;&gt;0,I3/H3,0)</f>
        <v>0.375</v>
      </c>
      <c r="L3" s="172">
        <f t="shared" ref="L3:L5" si="2">IF(I3&lt;&gt;0,F3/I3,0)</f>
        <v>34118.666666666664</v>
      </c>
      <c r="M3" s="173">
        <f t="shared" ref="M3:M5" si="3">IF(J3&lt;&gt;0,G3/J3,0)</f>
        <v>-25117.799999999996</v>
      </c>
      <c r="N3" s="174">
        <v>14</v>
      </c>
      <c r="O3" s="174">
        <v>-93278.000000000029</v>
      </c>
      <c r="P3" s="175">
        <f t="shared" ref="P3:P5" si="4">IF(C3&lt;&gt;0,O3/C3,0)</f>
        <v>-1.8655600000000005E-2</v>
      </c>
      <c r="Q3" s="176">
        <v>3</v>
      </c>
      <c r="R3" s="176">
        <v>5</v>
      </c>
      <c r="S3" s="176">
        <v>1</v>
      </c>
      <c r="T3" s="176">
        <v>1</v>
      </c>
      <c r="U3" s="176">
        <v>6</v>
      </c>
      <c r="V3" s="176">
        <f t="shared" ref="V3:V5" si="5">IF(H3&lt;&gt;0,H3-S3-T3-U3,0)</f>
        <v>0</v>
      </c>
    </row>
    <row r="4" spans="1:23">
      <c r="A4" s="167">
        <v>2019</v>
      </c>
      <c r="B4" s="167">
        <v>11</v>
      </c>
      <c r="C4" s="168">
        <f>IF(D3 &lt;&gt; 0,C3+D3, 0)</f>
        <v>4976767</v>
      </c>
      <c r="D4" s="169">
        <v>488105.99999999988</v>
      </c>
      <c r="E4" s="170">
        <f t="shared" si="0"/>
        <v>9.8076924236155702E-2</v>
      </c>
      <c r="F4" s="169">
        <v>546293.99999999988</v>
      </c>
      <c r="G4" s="169">
        <v>-58188</v>
      </c>
      <c r="H4" s="167">
        <v>3</v>
      </c>
      <c r="I4" s="167">
        <v>2</v>
      </c>
      <c r="J4" s="167">
        <v>1</v>
      </c>
      <c r="K4" s="171">
        <f t="shared" si="1"/>
        <v>0.66666666666666663</v>
      </c>
      <c r="L4" s="172">
        <f t="shared" si="2"/>
        <v>273146.99999999994</v>
      </c>
      <c r="M4" s="173">
        <f t="shared" si="3"/>
        <v>-58188</v>
      </c>
      <c r="N4" s="174">
        <v>10</v>
      </c>
      <c r="O4" s="174">
        <v>-58188</v>
      </c>
      <c r="P4" s="175">
        <f t="shared" si="4"/>
        <v>-1.1691927711303342E-2</v>
      </c>
      <c r="Q4" s="176">
        <v>2</v>
      </c>
      <c r="R4" s="176">
        <v>1</v>
      </c>
      <c r="S4" s="176">
        <v>2</v>
      </c>
      <c r="T4" s="176">
        <v>1</v>
      </c>
      <c r="U4" s="176">
        <v>0</v>
      </c>
      <c r="V4" s="176">
        <f t="shared" si="5"/>
        <v>0</v>
      </c>
    </row>
    <row r="5" spans="1:23">
      <c r="A5" s="167">
        <v>2019</v>
      </c>
      <c r="B5" s="167">
        <v>12</v>
      </c>
      <c r="C5" s="168">
        <f>IF(D4 &lt;&gt; 0,C4+D4, 0)</f>
        <v>5464873</v>
      </c>
      <c r="D5" s="169">
        <v>31262</v>
      </c>
      <c r="E5" s="170">
        <f t="shared" si="0"/>
        <v>5.7205355000930491E-3</v>
      </c>
      <c r="F5" s="169">
        <v>54150</v>
      </c>
      <c r="G5" s="169">
        <v>-22888</v>
      </c>
      <c r="H5" s="167">
        <v>2</v>
      </c>
      <c r="I5" s="167">
        <v>1</v>
      </c>
      <c r="J5" s="167">
        <v>1</v>
      </c>
      <c r="K5" s="171">
        <f t="shared" si="1"/>
        <v>0.5</v>
      </c>
      <c r="L5" s="172">
        <f t="shared" si="2"/>
        <v>54150</v>
      </c>
      <c r="M5" s="173">
        <f t="shared" si="3"/>
        <v>-22888</v>
      </c>
      <c r="N5" s="174">
        <v>16.5</v>
      </c>
      <c r="O5" s="174">
        <v>-22888</v>
      </c>
      <c r="P5" s="175">
        <f t="shared" si="4"/>
        <v>-4.1882034587080062E-3</v>
      </c>
      <c r="Q5" s="176">
        <v>1</v>
      </c>
      <c r="R5" s="176">
        <v>1</v>
      </c>
      <c r="S5" s="176">
        <v>1</v>
      </c>
      <c r="T5" s="176">
        <v>0</v>
      </c>
      <c r="U5" s="176">
        <v>1</v>
      </c>
      <c r="V5" s="176">
        <f t="shared" si="5"/>
        <v>0</v>
      </c>
    </row>
    <row r="7" spans="1:23">
      <c r="C7" s="10"/>
      <c r="D7" s="10"/>
    </row>
    <row r="14" spans="1:23">
      <c r="A14" s="21"/>
    </row>
  </sheetData>
  <phoneticPr fontId="1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/>
  <dimension ref="B1:W6"/>
  <sheetViews>
    <sheetView tabSelected="1" workbookViewId="0">
      <selection activeCell="B9" sqref="B9"/>
    </sheetView>
  </sheetViews>
  <sheetFormatPr defaultRowHeight="14.25"/>
  <cols>
    <col min="1" max="1" width="1.25" customWidth="1"/>
    <col min="3" max="3" width="11.125" bestFit="1" customWidth="1"/>
  </cols>
  <sheetData>
    <row r="1" spans="2:23" ht="15" thickBot="1"/>
    <row r="2" spans="2:23" s="113" customFormat="1" ht="24.75" thickBot="1">
      <c r="C2" s="64" t="s">
        <v>176</v>
      </c>
      <c r="D2" s="74" t="s">
        <v>200</v>
      </c>
      <c r="E2" s="66"/>
      <c r="F2" s="65" t="s">
        <v>94</v>
      </c>
      <c r="G2" s="67" t="s">
        <v>95</v>
      </c>
      <c r="H2" s="68" t="s">
        <v>177</v>
      </c>
      <c r="I2" s="68" t="s">
        <v>178</v>
      </c>
      <c r="J2" s="66" t="s">
        <v>46</v>
      </c>
      <c r="K2" s="66" t="s">
        <v>179</v>
      </c>
      <c r="L2" s="68" t="s">
        <v>180</v>
      </c>
      <c r="M2" s="69" t="s">
        <v>201</v>
      </c>
      <c r="N2" s="66" t="s">
        <v>181</v>
      </c>
      <c r="O2" s="69" t="s">
        <v>195</v>
      </c>
      <c r="P2" s="66" t="s">
        <v>288</v>
      </c>
      <c r="Q2" s="66" t="s">
        <v>182</v>
      </c>
      <c r="R2" s="69" t="s">
        <v>197</v>
      </c>
      <c r="S2" s="72" t="s">
        <v>198</v>
      </c>
      <c r="T2" s="71"/>
      <c r="U2" s="73" t="s">
        <v>294</v>
      </c>
      <c r="V2" s="73" t="s">
        <v>199</v>
      </c>
      <c r="W2" s="70" t="s">
        <v>196</v>
      </c>
    </row>
    <row r="3" spans="2:23" s="113" customFormat="1">
      <c r="B3" s="131" t="s">
        <v>303</v>
      </c>
      <c r="C3" s="181">
        <f>ROW()/2-1</f>
        <v>0.5</v>
      </c>
      <c r="D3" s="183">
        <v>43807</v>
      </c>
      <c r="E3" s="39" t="s">
        <v>291</v>
      </c>
      <c r="F3" s="39">
        <v>3105</v>
      </c>
      <c r="G3" s="61" t="s">
        <v>1371</v>
      </c>
      <c r="H3" s="55"/>
      <c r="I3" s="55">
        <v>1000</v>
      </c>
      <c r="J3" s="56">
        <f t="shared" ref="J3:J4" si="0">H3*I3</f>
        <v>0</v>
      </c>
      <c r="K3" s="58" t="s">
        <v>1373</v>
      </c>
      <c r="L3" s="55"/>
      <c r="M3" s="39"/>
      <c r="N3" s="153">
        <f>IF(OR(K3="現物",J3=0),0,IF(E3="売",J3*Fee_Refer!$B$12/365*V3, J3*Fee_Refer!$B$11/365*#REF!))</f>
        <v>0</v>
      </c>
      <c r="O3" s="58">
        <v>0</v>
      </c>
      <c r="P3" s="156">
        <f>IF(L3 &gt;0,(H3-L3)*I3-M3-N3-O3,0)</f>
        <v>0</v>
      </c>
      <c r="Q3" s="57" t="e">
        <f t="shared" ref="Q3:Q4" si="1">P3/J3</f>
        <v>#DIV/0!</v>
      </c>
      <c r="R3" s="185">
        <f>P3+P4</f>
        <v>0</v>
      </c>
      <c r="S3" s="186" t="e">
        <f t="shared" ref="S3" si="2">R3/(J3+J4)</f>
        <v>#DIV/0!</v>
      </c>
      <c r="U3" s="188">
        <f>$P$1</f>
        <v>0</v>
      </c>
      <c r="V3" s="179">
        <f t="shared" ref="V3" si="3">IF(U3&gt;D3,DATEDIF(D3,U3,"d"),0)</f>
        <v>0</v>
      </c>
      <c r="W3" s="180"/>
    </row>
    <row r="4" spans="2:23" s="113" customFormat="1">
      <c r="B4" s="131" t="s">
        <v>1074</v>
      </c>
      <c r="C4" s="182"/>
      <c r="D4" s="184">
        <v>43748</v>
      </c>
      <c r="E4" s="35" t="s">
        <v>293</v>
      </c>
      <c r="F4" s="35">
        <v>7762</v>
      </c>
      <c r="G4" s="60" t="s">
        <v>1372</v>
      </c>
      <c r="H4" s="52"/>
      <c r="I4" s="52">
        <v>1700</v>
      </c>
      <c r="J4" s="53">
        <f t="shared" si="0"/>
        <v>0</v>
      </c>
      <c r="K4" s="154" t="s">
        <v>1373</v>
      </c>
      <c r="L4" s="47"/>
      <c r="M4" s="37"/>
      <c r="N4" s="155">
        <f>IF(OR(K4="現物",J4=0),0,IF(E4="売",J4*Fee_Refer!$B$12/365*V4, J4*Fee_Refer!$B$11/365*V3))</f>
        <v>0</v>
      </c>
      <c r="O4" s="178">
        <v>0</v>
      </c>
      <c r="P4" s="157">
        <f>IF(L4&gt;0,(L4-H4)*I4-M4-N4-O4,0)</f>
        <v>0</v>
      </c>
      <c r="Q4" s="54" t="e">
        <f t="shared" si="1"/>
        <v>#DIV/0!</v>
      </c>
      <c r="R4" s="185"/>
      <c r="S4" s="187"/>
      <c r="U4" s="179"/>
      <c r="V4" s="179"/>
      <c r="W4" s="179"/>
    </row>
    <row r="6" spans="2:23">
      <c r="C6" s="19">
        <v>43806</v>
      </c>
      <c r="D6" s="113" t="s">
        <v>1376</v>
      </c>
    </row>
  </sheetData>
  <mergeCells count="7">
    <mergeCell ref="C3:C4"/>
    <mergeCell ref="D3:D4"/>
    <mergeCell ref="R3:R4"/>
    <mergeCell ref="S3:S4"/>
    <mergeCell ref="U3:U4"/>
    <mergeCell ref="V3:V4"/>
    <mergeCell ref="W3:W4"/>
  </mergeCells>
  <phoneticPr fontId="1" type="noConversion"/>
  <hyperlinks>
    <hyperlink ref="B3" display="Select"/>
    <hyperlink ref="B4" display="Close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I19"/>
  <sheetViews>
    <sheetView showGridLines="0" zoomScale="115" zoomScaleNormal="115" workbookViewId="0">
      <selection activeCell="H26" sqref="H26"/>
    </sheetView>
  </sheetViews>
  <sheetFormatPr defaultRowHeight="14.25"/>
  <cols>
    <col min="2" max="2" width="16.375" customWidth="1"/>
    <col min="3" max="3" width="13.375" customWidth="1"/>
    <col min="4" max="4" width="13.625" customWidth="1"/>
    <col min="6" max="6" width="25.125" customWidth="1"/>
    <col min="7" max="7" width="11.625" bestFit="1" customWidth="1"/>
  </cols>
  <sheetData>
    <row r="1" spans="1:8">
      <c r="B1" s="1" t="s">
        <v>1</v>
      </c>
    </row>
    <row r="3" spans="1:8">
      <c r="B3" s="4" t="s">
        <v>2</v>
      </c>
      <c r="C3" s="2" t="s">
        <v>3</v>
      </c>
      <c r="F3" s="4" t="s">
        <v>16</v>
      </c>
      <c r="G3" s="11">
        <v>1000000</v>
      </c>
    </row>
    <row r="4" spans="1:8">
      <c r="B4" s="4" t="s">
        <v>4</v>
      </c>
      <c r="C4" s="5">
        <v>43737</v>
      </c>
      <c r="F4" s="4" t="s">
        <v>17</v>
      </c>
      <c r="G4" s="29">
        <v>5</v>
      </c>
    </row>
    <row r="5" spans="1:8">
      <c r="B5" s="8"/>
    </row>
    <row r="6" spans="1:8">
      <c r="A6" s="10"/>
      <c r="B6" s="9"/>
      <c r="C6" s="2" t="s">
        <v>6</v>
      </c>
      <c r="D6" s="2" t="s">
        <v>7</v>
      </c>
      <c r="F6" s="1" t="s">
        <v>18</v>
      </c>
    </row>
    <row r="7" spans="1:8">
      <c r="B7" s="4" t="s">
        <v>5</v>
      </c>
      <c r="C7" s="7">
        <v>0.05</v>
      </c>
      <c r="D7" s="7">
        <v>0.2</v>
      </c>
      <c r="F7" s="4" t="s">
        <v>19</v>
      </c>
      <c r="G7" s="29">
        <v>2.5</v>
      </c>
    </row>
    <row r="8" spans="1:8">
      <c r="B8" s="4" t="s">
        <v>8</v>
      </c>
      <c r="C8" s="24">
        <v>1.8</v>
      </c>
      <c r="D8" s="24">
        <v>3</v>
      </c>
      <c r="F8" s="4" t="s">
        <v>96</v>
      </c>
      <c r="G8" s="159">
        <v>-2.5</v>
      </c>
    </row>
    <row r="9" spans="1:8">
      <c r="B9" s="4" t="s">
        <v>9</v>
      </c>
      <c r="C9" s="24">
        <v>0.9</v>
      </c>
      <c r="D9" s="23">
        <v>1</v>
      </c>
      <c r="E9" s="1"/>
      <c r="F9" s="4" t="s">
        <v>97</v>
      </c>
      <c r="G9" s="25">
        <v>15</v>
      </c>
      <c r="H9" s="1"/>
    </row>
    <row r="10" spans="1:8">
      <c r="B10" s="4" t="s">
        <v>10</v>
      </c>
      <c r="C10" s="3">
        <v>2</v>
      </c>
      <c r="D10" s="3">
        <v>3</v>
      </c>
      <c r="E10" s="12"/>
      <c r="F10" s="4" t="s">
        <v>98</v>
      </c>
      <c r="G10" s="24">
        <v>2</v>
      </c>
      <c r="H10" s="1"/>
    </row>
    <row r="11" spans="1:8">
      <c r="B11" s="4" t="s">
        <v>11</v>
      </c>
      <c r="C11" s="2" t="s">
        <v>15</v>
      </c>
      <c r="D11" s="6"/>
      <c r="E11" s="1" t="s">
        <v>21</v>
      </c>
    </row>
    <row r="12" spans="1:8">
      <c r="B12" s="4" t="s">
        <v>12</v>
      </c>
      <c r="C12" s="2" t="s">
        <v>14</v>
      </c>
      <c r="D12" s="6"/>
    </row>
    <row r="13" spans="1:8">
      <c r="B13" s="4" t="s">
        <v>13</v>
      </c>
      <c r="C13" s="3">
        <v>200</v>
      </c>
      <c r="D13" s="6"/>
    </row>
    <row r="16" spans="1:8">
      <c r="B16" s="1"/>
    </row>
    <row r="17" spans="2:9">
      <c r="B17" s="4" t="s">
        <v>92</v>
      </c>
      <c r="C17" s="224" t="s">
        <v>91</v>
      </c>
      <c r="D17" s="225"/>
      <c r="E17" s="225"/>
      <c r="F17" s="225"/>
      <c r="G17" s="226"/>
    </row>
    <row r="18" spans="2:9">
      <c r="B18" s="4" t="s">
        <v>90</v>
      </c>
      <c r="C18" s="219" t="str">
        <f>C17 &amp; "\master\" &amp; H18</f>
        <v>G:\Stock\pairs_trade\pair_trade\stock_data\master\master.csv</v>
      </c>
      <c r="D18" s="220"/>
      <c r="E18" s="220"/>
      <c r="F18" s="220"/>
      <c r="G18" s="221"/>
      <c r="H18" s="229" t="s">
        <v>1289</v>
      </c>
      <c r="I18" s="230"/>
    </row>
    <row r="19" spans="2:9">
      <c r="B19" s="4" t="s">
        <v>381</v>
      </c>
      <c r="C19" s="222" t="str">
        <f>C17 &amp; "\master\" &amp; H19</f>
        <v>G:\Stock\pairs_trade\pair_trade\stock_data\master\fiscal_data.csv</v>
      </c>
      <c r="D19" s="223"/>
      <c r="E19" s="223"/>
      <c r="F19" s="223"/>
      <c r="G19" s="223"/>
      <c r="H19" s="227" t="s">
        <v>1288</v>
      </c>
      <c r="I19" s="228"/>
    </row>
  </sheetData>
  <mergeCells count="5">
    <mergeCell ref="C18:G18"/>
    <mergeCell ref="C19:G19"/>
    <mergeCell ref="C17:G17"/>
    <mergeCell ref="H19:I19"/>
    <mergeCell ref="H18:I18"/>
  </mergeCells>
  <phoneticPr fontId="1" type="noConversion"/>
  <pageMargins left="0.7" right="0.7" top="0.75" bottom="0.75" header="0.3" footer="0.3"/>
  <pageSetup paperSize="9" orientation="portrait" horizontalDpi="0" verticalDpi="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AZ300"/>
  <sheetViews>
    <sheetView showGridLines="0" zoomScaleNormal="100" workbookViewId="0">
      <selection activeCell="AD15" sqref="AD15"/>
    </sheetView>
  </sheetViews>
  <sheetFormatPr defaultRowHeight="14.25"/>
  <cols>
    <col min="1" max="1" width="7" customWidth="1"/>
    <col min="2" max="2" width="5.625" style="26" customWidth="1"/>
    <col min="3" max="3" width="13.875" style="28" customWidth="1"/>
    <col min="4" max="4" width="10" style="28" customWidth="1"/>
    <col min="5" max="5" width="9.125" customWidth="1"/>
    <col min="6" max="6" width="5.5" customWidth="1"/>
    <col min="7" max="7" width="10.75" customWidth="1"/>
    <col min="8" max="8" width="6.5" style="27" customWidth="1"/>
    <col min="9" max="9" width="15.5" style="28" customWidth="1"/>
    <col min="10" max="10" width="12.5" style="28" customWidth="1"/>
    <col min="11" max="11" width="7.5" style="27" customWidth="1"/>
    <col min="12" max="12" width="6.875" style="27" customWidth="1"/>
    <col min="13" max="13" width="14.625" style="27" customWidth="1"/>
    <col min="14" max="14" width="7.625" style="27" customWidth="1"/>
    <col min="15" max="15" width="6.75" style="27" customWidth="1"/>
    <col min="16" max="17" width="7.875" style="27" customWidth="1"/>
    <col min="18" max="18" width="7.375" style="27" customWidth="1"/>
    <col min="19" max="19" width="9.875" style="27" customWidth="1"/>
    <col min="20" max="20" width="10.25" style="27" customWidth="1"/>
    <col min="21" max="21" width="6.125" style="26" customWidth="1"/>
    <col min="22" max="22" width="7" style="27" customWidth="1"/>
    <col min="23" max="23" width="8.875" style="27" customWidth="1"/>
    <col min="24" max="24" width="6.5" style="27" customWidth="1"/>
    <col min="25" max="25" width="5.875" style="27" customWidth="1"/>
    <col min="26" max="26" width="7.5" style="27" customWidth="1"/>
    <col min="27" max="27" width="6.875" style="27" customWidth="1"/>
    <col min="28" max="28" width="6.375" style="27" customWidth="1"/>
    <col min="29" max="29" width="7" style="27" customWidth="1"/>
  </cols>
  <sheetData>
    <row r="1" spans="1:52" ht="15" thickBot="1"/>
    <row r="2" spans="1:52">
      <c r="A2" s="113"/>
      <c r="B2" s="235" t="s">
        <v>309</v>
      </c>
      <c r="C2" s="232"/>
      <c r="D2" s="232"/>
      <c r="E2" s="232"/>
      <c r="F2" s="232"/>
      <c r="G2" s="233"/>
      <c r="H2" s="236" t="s">
        <v>310</v>
      </c>
      <c r="I2" s="232"/>
      <c r="J2" s="232"/>
      <c r="K2" s="232"/>
      <c r="L2" s="232"/>
      <c r="M2" s="233"/>
      <c r="N2" s="231" t="s">
        <v>1355</v>
      </c>
      <c r="O2" s="232"/>
      <c r="P2" s="232"/>
      <c r="Q2" s="232"/>
      <c r="R2" s="233"/>
      <c r="S2" s="234" t="s">
        <v>311</v>
      </c>
      <c r="T2" s="232"/>
      <c r="U2" s="232"/>
      <c r="V2" s="232"/>
      <c r="W2" s="232"/>
      <c r="X2" s="232"/>
      <c r="Y2" s="233"/>
      <c r="Z2" s="118" t="s">
        <v>312</v>
      </c>
      <c r="AA2" s="119"/>
      <c r="AB2" s="119"/>
      <c r="AC2" s="120"/>
    </row>
    <row r="3" spans="1:52" s="22" customFormat="1" ht="28.5" customHeight="1" thickBot="1">
      <c r="A3" s="114"/>
      <c r="B3" s="116" t="s">
        <v>313</v>
      </c>
      <c r="C3" s="132" t="s">
        <v>314</v>
      </c>
      <c r="D3" s="132" t="s">
        <v>315</v>
      </c>
      <c r="E3" s="132" t="s">
        <v>316</v>
      </c>
      <c r="F3" s="132" t="s">
        <v>317</v>
      </c>
      <c r="G3" s="133" t="s">
        <v>380</v>
      </c>
      <c r="H3" s="117" t="s">
        <v>313</v>
      </c>
      <c r="I3" s="121" t="s">
        <v>314</v>
      </c>
      <c r="J3" s="121" t="s">
        <v>315</v>
      </c>
      <c r="K3" s="121" t="s">
        <v>316</v>
      </c>
      <c r="L3" s="121" t="s">
        <v>317</v>
      </c>
      <c r="M3" s="122" t="s">
        <v>379</v>
      </c>
      <c r="N3" s="123" t="s">
        <v>1356</v>
      </c>
      <c r="O3" s="124" t="s">
        <v>1358</v>
      </c>
      <c r="P3" s="124" t="s">
        <v>319</v>
      </c>
      <c r="Q3" s="124" t="s">
        <v>320</v>
      </c>
      <c r="R3" s="125" t="s">
        <v>1359</v>
      </c>
      <c r="S3" s="126" t="s">
        <v>1361</v>
      </c>
      <c r="T3" s="127" t="s">
        <v>321</v>
      </c>
      <c r="U3" s="115" t="s">
        <v>322</v>
      </c>
      <c r="V3" s="115" t="s">
        <v>323</v>
      </c>
      <c r="W3" s="115" t="s">
        <v>324</v>
      </c>
      <c r="X3" s="127" t="s">
        <v>325</v>
      </c>
      <c r="Y3" s="128" t="s">
        <v>326</v>
      </c>
      <c r="Z3" s="129" t="s">
        <v>1362</v>
      </c>
      <c r="AA3" s="130" t="s">
        <v>327</v>
      </c>
      <c r="AB3" s="130" t="s">
        <v>1364</v>
      </c>
      <c r="AC3" s="158" t="s">
        <v>328</v>
      </c>
    </row>
    <row r="4" spans="1:52">
      <c r="A4" s="131" t="s">
        <v>303</v>
      </c>
      <c r="B4">
        <v>3105</v>
      </c>
      <c r="C4" s="113" t="s">
        <v>116</v>
      </c>
      <c r="D4" s="113" t="s">
        <v>112</v>
      </c>
      <c r="E4">
        <v>1040</v>
      </c>
      <c r="F4">
        <v>1000</v>
      </c>
      <c r="H4">
        <v>6471</v>
      </c>
      <c r="I4" s="113" t="s">
        <v>166</v>
      </c>
      <c r="J4" s="113" t="s">
        <v>125</v>
      </c>
      <c r="K4">
        <v>1063</v>
      </c>
      <c r="L4">
        <v>1000</v>
      </c>
      <c r="M4"/>
      <c r="N4">
        <v>2.4140455336146398</v>
      </c>
      <c r="O4">
        <v>6.81</v>
      </c>
      <c r="P4">
        <v>1040000</v>
      </c>
      <c r="Q4">
        <v>1063000</v>
      </c>
      <c r="R4">
        <v>2.16</v>
      </c>
      <c r="S4">
        <v>378866</v>
      </c>
      <c r="T4">
        <v>25258</v>
      </c>
      <c r="U4" s="140">
        <v>15</v>
      </c>
      <c r="V4" s="140">
        <v>8</v>
      </c>
      <c r="W4" s="140" t="s">
        <v>1061</v>
      </c>
      <c r="X4">
        <v>53.33</v>
      </c>
      <c r="Y4">
        <v>13</v>
      </c>
      <c r="Z4">
        <v>0.90033402742723301</v>
      </c>
      <c r="AA4">
        <v>0.90724873879270596</v>
      </c>
      <c r="AB4">
        <v>7.4468469175234198E-2</v>
      </c>
      <c r="AC4">
        <v>6.8399291762287998E-2</v>
      </c>
      <c r="AD4" s="131" t="s">
        <v>1060</v>
      </c>
    </row>
    <row r="5" spans="1:52" s="141" customFormat="1">
      <c r="A5" s="131" t="s">
        <v>303</v>
      </c>
      <c r="B5">
        <v>6588</v>
      </c>
      <c r="C5" s="113" t="s">
        <v>995</v>
      </c>
      <c r="D5" s="113" t="s">
        <v>112</v>
      </c>
      <c r="E5">
        <v>4680</v>
      </c>
      <c r="F5">
        <v>200</v>
      </c>
      <c r="G5"/>
      <c r="H5">
        <v>8593</v>
      </c>
      <c r="I5" s="113" t="s">
        <v>345</v>
      </c>
      <c r="J5" s="113" t="s">
        <v>332</v>
      </c>
      <c r="K5">
        <v>709</v>
      </c>
      <c r="L5">
        <v>1300</v>
      </c>
      <c r="M5"/>
      <c r="N5">
        <v>2.24136240105326</v>
      </c>
      <c r="O5">
        <v>14.99</v>
      </c>
      <c r="P5">
        <v>936000</v>
      </c>
      <c r="Q5">
        <v>921700</v>
      </c>
      <c r="R5">
        <v>1.53</v>
      </c>
      <c r="S5">
        <v>335416</v>
      </c>
      <c r="T5">
        <v>22361</v>
      </c>
      <c r="U5" s="140">
        <v>15</v>
      </c>
      <c r="V5" s="140">
        <v>11</v>
      </c>
      <c r="W5" s="140" t="s">
        <v>1339</v>
      </c>
      <c r="X5">
        <v>73.33</v>
      </c>
      <c r="Y5">
        <v>14</v>
      </c>
      <c r="Z5">
        <v>0.91584825428018402</v>
      </c>
      <c r="AA5">
        <v>0.90307431693208295</v>
      </c>
      <c r="AB5">
        <v>0.130239380255181</v>
      </c>
      <c r="AC5">
        <v>0.10646832779927699</v>
      </c>
      <c r="AD5" s="131" t="s">
        <v>1060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</row>
    <row r="6" spans="1:52" s="141" customFormat="1">
      <c r="A6" s="131" t="s">
        <v>303</v>
      </c>
      <c r="B6">
        <v>6674</v>
      </c>
      <c r="C6" s="113" t="s">
        <v>367</v>
      </c>
      <c r="D6" s="113" t="s">
        <v>112</v>
      </c>
      <c r="E6">
        <v>2343</v>
      </c>
      <c r="F6">
        <v>400</v>
      </c>
      <c r="G6"/>
      <c r="H6">
        <v>5463</v>
      </c>
      <c r="I6" s="113" t="s">
        <v>170</v>
      </c>
      <c r="J6" s="113" t="s">
        <v>118</v>
      </c>
      <c r="K6">
        <v>3140</v>
      </c>
      <c r="L6">
        <v>300</v>
      </c>
      <c r="M6"/>
      <c r="N6">
        <v>-2.3200755436792302</v>
      </c>
      <c r="O6">
        <v>-9.0500000000000007</v>
      </c>
      <c r="P6">
        <v>937200</v>
      </c>
      <c r="Q6">
        <v>942000</v>
      </c>
      <c r="R6">
        <v>0.51</v>
      </c>
      <c r="S6">
        <v>130185</v>
      </c>
      <c r="T6">
        <v>10014</v>
      </c>
      <c r="U6" s="140">
        <v>13</v>
      </c>
      <c r="V6" s="140">
        <v>8</v>
      </c>
      <c r="W6" s="140" t="s">
        <v>1340</v>
      </c>
      <c r="X6">
        <v>61.54</v>
      </c>
      <c r="Y6">
        <v>13</v>
      </c>
      <c r="Z6">
        <v>0.92553322352187295</v>
      </c>
      <c r="AA6">
        <v>0.90743214756164303</v>
      </c>
      <c r="AB6">
        <v>1.8166885810432201E-2</v>
      </c>
      <c r="AC6">
        <v>9.6224199543505598E-2</v>
      </c>
      <c r="AD6" s="131" t="s">
        <v>1060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</row>
    <row r="7" spans="1:52" s="141" customFormat="1">
      <c r="A7" s="131" t="s">
        <v>303</v>
      </c>
      <c r="B7">
        <v>1860</v>
      </c>
      <c r="C7" s="113" t="s">
        <v>137</v>
      </c>
      <c r="D7" s="113" t="s">
        <v>103</v>
      </c>
      <c r="E7">
        <v>714</v>
      </c>
      <c r="F7">
        <v>1400</v>
      </c>
      <c r="G7" s="113" t="s">
        <v>869</v>
      </c>
      <c r="H7">
        <v>5110</v>
      </c>
      <c r="I7" s="113" t="s">
        <v>156</v>
      </c>
      <c r="J7" s="113" t="s">
        <v>157</v>
      </c>
      <c r="K7">
        <v>1404</v>
      </c>
      <c r="L7">
        <v>700</v>
      </c>
      <c r="M7"/>
      <c r="N7">
        <v>2.7567862895871</v>
      </c>
      <c r="O7">
        <v>4.5999999999999996</v>
      </c>
      <c r="P7">
        <v>999600</v>
      </c>
      <c r="Q7">
        <v>982800</v>
      </c>
      <c r="R7">
        <v>1.71</v>
      </c>
      <c r="S7">
        <v>117025</v>
      </c>
      <c r="T7">
        <v>7314</v>
      </c>
      <c r="U7" s="140">
        <v>16</v>
      </c>
      <c r="V7" s="140">
        <v>9</v>
      </c>
      <c r="W7" s="140" t="s">
        <v>1079</v>
      </c>
      <c r="X7">
        <v>56.25</v>
      </c>
      <c r="Y7">
        <v>12</v>
      </c>
      <c r="Z7">
        <v>0.93703708781106998</v>
      </c>
      <c r="AA7">
        <v>0.90100300950755396</v>
      </c>
      <c r="AB7">
        <v>9.0572943603862699E-3</v>
      </c>
      <c r="AC7">
        <v>7.1493722431141098E-3</v>
      </c>
      <c r="AD7" s="131" t="s">
        <v>1060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</row>
    <row r="8" spans="1:52" s="141" customFormat="1">
      <c r="A8" s="131" t="s">
        <v>303</v>
      </c>
      <c r="B8" s="278">
        <v>3105</v>
      </c>
      <c r="C8" s="113" t="s">
        <v>116</v>
      </c>
      <c r="D8" s="113" t="s">
        <v>112</v>
      </c>
      <c r="E8">
        <v>1040</v>
      </c>
      <c r="F8">
        <v>1000</v>
      </c>
      <c r="G8"/>
      <c r="H8">
        <v>7762</v>
      </c>
      <c r="I8" s="113" t="s">
        <v>133</v>
      </c>
      <c r="J8" s="113" t="s">
        <v>119</v>
      </c>
      <c r="K8">
        <v>606</v>
      </c>
      <c r="L8">
        <v>1700</v>
      </c>
      <c r="M8"/>
      <c r="N8">
        <v>2.60174098682239</v>
      </c>
      <c r="O8">
        <v>6.59</v>
      </c>
      <c r="P8">
        <v>1040000</v>
      </c>
      <c r="Q8">
        <v>1030200</v>
      </c>
      <c r="R8">
        <v>0.94</v>
      </c>
      <c r="S8">
        <v>113398</v>
      </c>
      <c r="T8">
        <v>8100</v>
      </c>
      <c r="U8" s="140">
        <v>14</v>
      </c>
      <c r="V8" s="140">
        <v>5</v>
      </c>
      <c r="W8" s="140" t="s">
        <v>1080</v>
      </c>
      <c r="X8">
        <v>35.71</v>
      </c>
      <c r="Y8">
        <v>12</v>
      </c>
      <c r="Z8">
        <v>0.92345009723479299</v>
      </c>
      <c r="AA8">
        <v>0.90317018567533003</v>
      </c>
      <c r="AB8">
        <v>0.10985120725780199</v>
      </c>
      <c r="AC8">
        <v>1.29986012214023E-2</v>
      </c>
      <c r="AD8" s="131" t="s">
        <v>1060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</row>
    <row r="9" spans="1:52" s="141" customFormat="1">
      <c r="A9" s="131" t="s">
        <v>303</v>
      </c>
      <c r="B9">
        <v>6770</v>
      </c>
      <c r="C9" s="113" t="s">
        <v>50</v>
      </c>
      <c r="D9" s="113" t="s">
        <v>112</v>
      </c>
      <c r="E9">
        <v>2571</v>
      </c>
      <c r="F9">
        <v>400</v>
      </c>
      <c r="G9"/>
      <c r="H9">
        <v>6995</v>
      </c>
      <c r="I9" s="113" t="s">
        <v>117</v>
      </c>
      <c r="J9" s="113" t="s">
        <v>109</v>
      </c>
      <c r="K9">
        <v>2150</v>
      </c>
      <c r="L9">
        <v>500</v>
      </c>
      <c r="M9"/>
      <c r="N9">
        <v>2.5728122252063699</v>
      </c>
      <c r="O9">
        <v>6.75</v>
      </c>
      <c r="P9">
        <v>1028400</v>
      </c>
      <c r="Q9">
        <v>1075000</v>
      </c>
      <c r="R9">
        <v>4.53</v>
      </c>
      <c r="S9">
        <v>90653</v>
      </c>
      <c r="T9">
        <v>5333</v>
      </c>
      <c r="U9" s="140">
        <v>17</v>
      </c>
      <c r="V9" s="140">
        <v>9</v>
      </c>
      <c r="W9" s="140" t="s">
        <v>1341</v>
      </c>
      <c r="X9">
        <v>52.94</v>
      </c>
      <c r="Y9">
        <v>12</v>
      </c>
      <c r="Z9">
        <v>0.95623303630331102</v>
      </c>
      <c r="AA9">
        <v>0.900479992662233</v>
      </c>
      <c r="AB9">
        <v>9.0221904817952794E-2</v>
      </c>
      <c r="AC9">
        <v>0.24547205755049101</v>
      </c>
      <c r="AD9" s="131" t="s">
        <v>1060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</row>
    <row r="10" spans="1:52" s="141" customFormat="1">
      <c r="A10" s="131" t="s">
        <v>303</v>
      </c>
      <c r="B10">
        <v>3105</v>
      </c>
      <c r="C10" s="113" t="s">
        <v>116</v>
      </c>
      <c r="D10" s="113" t="s">
        <v>112</v>
      </c>
      <c r="E10">
        <v>1040</v>
      </c>
      <c r="F10">
        <v>600</v>
      </c>
      <c r="G10"/>
      <c r="H10">
        <v>6988</v>
      </c>
      <c r="I10" s="113" t="s">
        <v>167</v>
      </c>
      <c r="J10" s="113" t="s">
        <v>86</v>
      </c>
      <c r="K10">
        <v>6210</v>
      </c>
      <c r="L10">
        <v>100</v>
      </c>
      <c r="M10"/>
      <c r="N10">
        <v>2.0066775064501199</v>
      </c>
      <c r="O10">
        <v>5.17</v>
      </c>
      <c r="P10">
        <v>624000</v>
      </c>
      <c r="Q10">
        <v>621000</v>
      </c>
      <c r="R10">
        <v>0.48</v>
      </c>
      <c r="S10">
        <v>59924</v>
      </c>
      <c r="T10">
        <v>3329</v>
      </c>
      <c r="U10" s="140">
        <v>18</v>
      </c>
      <c r="V10" s="140">
        <v>10</v>
      </c>
      <c r="W10" s="140" t="s">
        <v>1062</v>
      </c>
      <c r="X10">
        <v>55.56</v>
      </c>
      <c r="Y10">
        <v>12</v>
      </c>
      <c r="Z10">
        <v>0.91539794975072397</v>
      </c>
      <c r="AA10">
        <v>0.94430857592676498</v>
      </c>
      <c r="AB10">
        <v>0.13518053236274</v>
      </c>
      <c r="AC10">
        <v>4.0227899947096902E-3</v>
      </c>
      <c r="AD10" s="131" t="s">
        <v>1060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</row>
    <row r="11" spans="1:52" s="141" customFormat="1">
      <c r="A11" s="131" t="s">
        <v>303</v>
      </c>
      <c r="B11">
        <v>5991</v>
      </c>
      <c r="C11" s="113" t="s">
        <v>141</v>
      </c>
      <c r="D11" s="113" t="s">
        <v>142</v>
      </c>
      <c r="E11">
        <v>1004</v>
      </c>
      <c r="F11">
        <v>900</v>
      </c>
      <c r="G11"/>
      <c r="H11">
        <v>4208</v>
      </c>
      <c r="I11" s="113" t="s">
        <v>124</v>
      </c>
      <c r="J11" s="113" t="s">
        <v>86</v>
      </c>
      <c r="K11">
        <v>2358</v>
      </c>
      <c r="L11">
        <v>400</v>
      </c>
      <c r="M11"/>
      <c r="N11">
        <v>-2.01484569084792</v>
      </c>
      <c r="O11">
        <v>-10.46</v>
      </c>
      <c r="P11">
        <v>903600</v>
      </c>
      <c r="Q11">
        <v>943200</v>
      </c>
      <c r="R11">
        <v>4.2</v>
      </c>
      <c r="S11">
        <v>24062</v>
      </c>
      <c r="T11">
        <v>1604</v>
      </c>
      <c r="U11" s="140">
        <v>15</v>
      </c>
      <c r="V11" s="140">
        <v>8</v>
      </c>
      <c r="W11" s="140" t="s">
        <v>1342</v>
      </c>
      <c r="X11">
        <v>53.33</v>
      </c>
      <c r="Y11">
        <v>11</v>
      </c>
      <c r="Z11">
        <v>0.90717496075621495</v>
      </c>
      <c r="AA11">
        <v>0.91818017631065896</v>
      </c>
      <c r="AB11">
        <v>4.6479244786745498E-2</v>
      </c>
      <c r="AC11">
        <v>2.10475596394341E-2</v>
      </c>
      <c r="AD11" s="131" t="s">
        <v>1060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</row>
    <row r="12" spans="1:52" ht="17.25" hidden="1" customHeight="1">
      <c r="A12" s="131" t="s">
        <v>303</v>
      </c>
      <c r="B12">
        <v>4686</v>
      </c>
      <c r="C12" s="113" t="s">
        <v>1324</v>
      </c>
      <c r="D12" s="113" t="s">
        <v>104</v>
      </c>
      <c r="E12">
        <v>6040</v>
      </c>
      <c r="F12">
        <v>100</v>
      </c>
      <c r="H12">
        <v>6845</v>
      </c>
      <c r="I12" s="113" t="s">
        <v>341</v>
      </c>
      <c r="J12" s="113" t="s">
        <v>112</v>
      </c>
      <c r="K12">
        <v>3170</v>
      </c>
      <c r="L12">
        <v>200</v>
      </c>
      <c r="M12"/>
      <c r="N12">
        <v>2.2884511405819499</v>
      </c>
      <c r="O12">
        <v>20.34</v>
      </c>
      <c r="P12">
        <v>604000</v>
      </c>
      <c r="Q12">
        <v>634000</v>
      </c>
      <c r="R12">
        <v>4.97</v>
      </c>
      <c r="S12">
        <v>15946</v>
      </c>
      <c r="T12">
        <v>797</v>
      </c>
      <c r="U12" s="140">
        <v>20</v>
      </c>
      <c r="V12" s="140">
        <v>12</v>
      </c>
      <c r="W12" s="140" t="s">
        <v>1343</v>
      </c>
      <c r="X12">
        <v>60</v>
      </c>
      <c r="Y12">
        <v>10</v>
      </c>
      <c r="Z12">
        <v>0.928300752404705</v>
      </c>
      <c r="AA12">
        <v>0.90997443023168201</v>
      </c>
      <c r="AB12">
        <v>0.13131224101463301</v>
      </c>
      <c r="AC12">
        <v>7.3408901418000896E-2</v>
      </c>
      <c r="AD12" s="131" t="s">
        <v>1060</v>
      </c>
    </row>
    <row r="13" spans="1:52" s="141" customFormat="1" ht="17.25" hidden="1" customHeight="1">
      <c r="A13" s="131" t="s">
        <v>303</v>
      </c>
      <c r="B13">
        <v>6755</v>
      </c>
      <c r="C13" s="113" t="s">
        <v>1329</v>
      </c>
      <c r="D13" s="113" t="s">
        <v>112</v>
      </c>
      <c r="E13">
        <v>2275</v>
      </c>
      <c r="F13">
        <v>500</v>
      </c>
      <c r="G13"/>
      <c r="H13">
        <v>9934</v>
      </c>
      <c r="I13" s="113" t="s">
        <v>990</v>
      </c>
      <c r="J13" s="113" t="s">
        <v>127</v>
      </c>
      <c r="K13">
        <v>2731</v>
      </c>
      <c r="L13">
        <v>400</v>
      </c>
      <c r="M13"/>
      <c r="N13">
        <v>2.4560275321356402</v>
      </c>
      <c r="O13">
        <v>9.5399999999999991</v>
      </c>
      <c r="P13">
        <v>1137500</v>
      </c>
      <c r="Q13">
        <v>1092400</v>
      </c>
      <c r="R13">
        <v>4.13</v>
      </c>
      <c r="S13">
        <v>6683</v>
      </c>
      <c r="T13">
        <v>446</v>
      </c>
      <c r="U13" s="140">
        <v>15</v>
      </c>
      <c r="V13" s="140">
        <v>7</v>
      </c>
      <c r="W13" s="140" t="s">
        <v>1344</v>
      </c>
      <c r="X13">
        <v>46.67</v>
      </c>
      <c r="Y13">
        <v>14</v>
      </c>
      <c r="Z13">
        <v>0.92228356875587802</v>
      </c>
      <c r="AA13">
        <v>0.90418033968303901</v>
      </c>
      <c r="AB13">
        <v>3.2923948997611598E-3</v>
      </c>
      <c r="AC13">
        <v>9.2616821831683997E-4</v>
      </c>
      <c r="AD13" s="131" t="s">
        <v>1060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</row>
    <row r="14" spans="1:52" s="141" customFormat="1" ht="17.25" hidden="1" customHeight="1">
      <c r="A14" s="131" t="s">
        <v>303</v>
      </c>
      <c r="B14">
        <v>7205</v>
      </c>
      <c r="C14" s="113" t="s">
        <v>143</v>
      </c>
      <c r="D14" s="113" t="s">
        <v>109</v>
      </c>
      <c r="E14">
        <v>1137</v>
      </c>
      <c r="F14">
        <v>900</v>
      </c>
      <c r="G14"/>
      <c r="H14">
        <v>8002</v>
      </c>
      <c r="I14" s="113" t="s">
        <v>55</v>
      </c>
      <c r="J14" s="113" t="s">
        <v>127</v>
      </c>
      <c r="K14">
        <v>824.9</v>
      </c>
      <c r="L14">
        <v>1200</v>
      </c>
      <c r="M14"/>
      <c r="N14">
        <v>2.0914919385988102</v>
      </c>
      <c r="O14">
        <v>7.25</v>
      </c>
      <c r="P14">
        <v>1023300</v>
      </c>
      <c r="Q14">
        <v>989880</v>
      </c>
      <c r="R14">
        <v>3.27</v>
      </c>
      <c r="S14">
        <v>5271</v>
      </c>
      <c r="T14">
        <v>310</v>
      </c>
      <c r="U14" s="140">
        <v>17</v>
      </c>
      <c r="V14" s="140">
        <v>8</v>
      </c>
      <c r="W14" s="140" t="s">
        <v>1345</v>
      </c>
      <c r="X14">
        <v>47.06</v>
      </c>
      <c r="Y14">
        <v>15</v>
      </c>
      <c r="Z14">
        <v>0.95292047577532302</v>
      </c>
      <c r="AA14">
        <v>0.90968260774797804</v>
      </c>
      <c r="AB14">
        <v>5.4106977978065698E-2</v>
      </c>
      <c r="AC14">
        <v>3.5710416930285302E-2</v>
      </c>
      <c r="AD14" s="131" t="s">
        <v>1060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</row>
    <row r="15" spans="1:52">
      <c r="A15" s="131" t="s">
        <v>303</v>
      </c>
      <c r="B15" s="278">
        <v>5991</v>
      </c>
      <c r="C15" s="113" t="s">
        <v>141</v>
      </c>
      <c r="D15" s="113" t="s">
        <v>142</v>
      </c>
      <c r="E15">
        <v>1004</v>
      </c>
      <c r="F15">
        <v>900</v>
      </c>
      <c r="H15">
        <v>7267</v>
      </c>
      <c r="I15" s="113" t="s">
        <v>144</v>
      </c>
      <c r="J15" s="113" t="s">
        <v>109</v>
      </c>
      <c r="K15">
        <v>3144</v>
      </c>
      <c r="L15">
        <v>300</v>
      </c>
      <c r="M15"/>
      <c r="N15">
        <v>2.2273777662969101</v>
      </c>
      <c r="O15">
        <v>6.34</v>
      </c>
      <c r="P15">
        <v>903600</v>
      </c>
      <c r="Q15">
        <v>943200</v>
      </c>
      <c r="R15">
        <v>4.2</v>
      </c>
      <c r="S15">
        <v>-2961</v>
      </c>
      <c r="T15">
        <v>-212</v>
      </c>
      <c r="U15" s="140">
        <v>14</v>
      </c>
      <c r="V15" s="140">
        <v>9</v>
      </c>
      <c r="W15" s="140" t="s">
        <v>1059</v>
      </c>
      <c r="X15">
        <v>64.290000000000006</v>
      </c>
      <c r="Y15">
        <v>16</v>
      </c>
      <c r="Z15">
        <v>0.959732685645585</v>
      </c>
      <c r="AA15">
        <v>0.91510153692469698</v>
      </c>
      <c r="AB15">
        <v>0.116728704627132</v>
      </c>
      <c r="AC15">
        <v>7.4109196854934195E-2</v>
      </c>
      <c r="AD15" s="131" t="s">
        <v>1060</v>
      </c>
    </row>
    <row r="16" spans="1:52">
      <c r="A16" s="131" t="s">
        <v>303</v>
      </c>
      <c r="B16">
        <v>6301</v>
      </c>
      <c r="C16" s="113" t="s">
        <v>135</v>
      </c>
      <c r="D16" s="113" t="s">
        <v>125</v>
      </c>
      <c r="E16">
        <v>2677</v>
      </c>
      <c r="F16">
        <v>400</v>
      </c>
      <c r="G16" s="113" t="s">
        <v>787</v>
      </c>
      <c r="H16">
        <v>4183</v>
      </c>
      <c r="I16" s="113" t="s">
        <v>334</v>
      </c>
      <c r="J16" s="113" t="s">
        <v>86</v>
      </c>
      <c r="K16">
        <v>2619</v>
      </c>
      <c r="L16">
        <v>400</v>
      </c>
      <c r="M16"/>
      <c r="N16">
        <v>-2.0116420514263398</v>
      </c>
      <c r="O16">
        <v>-3.43</v>
      </c>
      <c r="P16">
        <v>1070800</v>
      </c>
      <c r="Q16">
        <v>1047600</v>
      </c>
      <c r="R16">
        <v>2.17</v>
      </c>
      <c r="S16">
        <v>-3844</v>
      </c>
      <c r="T16">
        <v>-384</v>
      </c>
      <c r="U16" s="140">
        <v>10</v>
      </c>
      <c r="V16" s="140">
        <v>6</v>
      </c>
      <c r="W16" s="140" t="s">
        <v>1346</v>
      </c>
      <c r="X16">
        <v>60</v>
      </c>
      <c r="Y16">
        <v>15</v>
      </c>
      <c r="Z16">
        <v>0.92108112652444496</v>
      </c>
      <c r="AA16">
        <v>0.92465134036707297</v>
      </c>
      <c r="AB16">
        <v>6.5877995891640501E-3</v>
      </c>
      <c r="AC16">
        <v>6.7071693011923805E-4</v>
      </c>
      <c r="AD16" s="131" t="s">
        <v>1060</v>
      </c>
    </row>
    <row r="17" spans="1:52" s="141" customFormat="1">
      <c r="A17" s="131" t="s">
        <v>303</v>
      </c>
      <c r="B17">
        <v>6920</v>
      </c>
      <c r="C17" s="113" t="s">
        <v>111</v>
      </c>
      <c r="D17" s="113" t="s">
        <v>112</v>
      </c>
      <c r="E17">
        <v>9870</v>
      </c>
      <c r="F17">
        <v>100</v>
      </c>
      <c r="G17" s="113" t="s">
        <v>710</v>
      </c>
      <c r="H17">
        <v>4062</v>
      </c>
      <c r="I17" s="113" t="s">
        <v>363</v>
      </c>
      <c r="J17" s="113" t="s">
        <v>112</v>
      </c>
      <c r="K17">
        <v>2533</v>
      </c>
      <c r="L17">
        <v>400</v>
      </c>
      <c r="M17"/>
      <c r="N17">
        <v>-2.3503966080918302</v>
      </c>
      <c r="O17">
        <v>-20.96</v>
      </c>
      <c r="P17">
        <v>987000</v>
      </c>
      <c r="Q17">
        <v>1013200</v>
      </c>
      <c r="R17">
        <v>2.65</v>
      </c>
      <c r="S17">
        <v>-4708</v>
      </c>
      <c r="T17">
        <v>-262</v>
      </c>
      <c r="U17" s="140">
        <v>18</v>
      </c>
      <c r="V17" s="140">
        <v>9</v>
      </c>
      <c r="W17" s="140" t="s">
        <v>1081</v>
      </c>
      <c r="X17">
        <v>50</v>
      </c>
      <c r="Y17">
        <v>10</v>
      </c>
      <c r="Z17">
        <v>0.91315877612984397</v>
      </c>
      <c r="AA17">
        <v>0.94775775147936303</v>
      </c>
      <c r="AB17">
        <v>0.26820742203436398</v>
      </c>
      <c r="AC17">
        <v>4.89212174913271E-2</v>
      </c>
      <c r="AD17" s="131" t="s">
        <v>1060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</row>
    <row r="18" spans="1:52">
      <c r="B18"/>
      <c r="C18"/>
      <c r="D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52">
      <c r="B19"/>
      <c r="C19"/>
      <c r="D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52">
      <c r="B20"/>
      <c r="C20"/>
      <c r="D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52">
      <c r="B21"/>
      <c r="C21"/>
      <c r="D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52" s="141" customFormat="1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</row>
    <row r="23" spans="1:52">
      <c r="B23"/>
      <c r="C23"/>
      <c r="D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1:52">
      <c r="B24"/>
      <c r="C24"/>
      <c r="D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52">
      <c r="B25"/>
      <c r="C25"/>
      <c r="D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52">
      <c r="B26"/>
      <c r="C26"/>
      <c r="D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52">
      <c r="B27"/>
      <c r="C27"/>
      <c r="D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52">
      <c r="B28"/>
      <c r="C28"/>
      <c r="D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52">
      <c r="B29"/>
      <c r="C29"/>
      <c r="D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52">
      <c r="B30"/>
      <c r="C30"/>
      <c r="D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52">
      <c r="B31"/>
      <c r="C31"/>
      <c r="D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52">
      <c r="B32"/>
      <c r="C32"/>
      <c r="D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2:29">
      <c r="B33"/>
      <c r="C33"/>
      <c r="D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2:29">
      <c r="B34"/>
      <c r="C34"/>
      <c r="D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2:29">
      <c r="B35"/>
      <c r="C35"/>
      <c r="D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2:29">
      <c r="B36"/>
      <c r="C36"/>
      <c r="D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2:29">
      <c r="B37"/>
      <c r="C37"/>
      <c r="D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2:29">
      <c r="B38"/>
      <c r="C38"/>
      <c r="D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2:29">
      <c r="B39"/>
      <c r="C39"/>
      <c r="D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2:29">
      <c r="B40"/>
      <c r="C40"/>
      <c r="D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2:29">
      <c r="B41"/>
      <c r="C41"/>
      <c r="D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2:29">
      <c r="B42"/>
      <c r="C42"/>
      <c r="D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2:29">
      <c r="B43"/>
      <c r="C43"/>
      <c r="D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2:29">
      <c r="B44"/>
      <c r="C44"/>
      <c r="D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2:29">
      <c r="B45"/>
      <c r="C45"/>
      <c r="D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2:29">
      <c r="B46"/>
      <c r="C46"/>
      <c r="D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2:29">
      <c r="B47"/>
      <c r="C47"/>
      <c r="D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2:29">
      <c r="B48"/>
      <c r="C48"/>
      <c r="D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2:29">
      <c r="B49"/>
      <c r="C49"/>
      <c r="D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2:29">
      <c r="B50"/>
      <c r="C50"/>
      <c r="D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2:29">
      <c r="B51"/>
      <c r="C51"/>
      <c r="D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2:29">
      <c r="B52"/>
      <c r="C52"/>
      <c r="D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2:29">
      <c r="B53"/>
      <c r="C53"/>
      <c r="D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2:29">
      <c r="B54"/>
      <c r="C54"/>
      <c r="D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2:29">
      <c r="B55"/>
      <c r="C55"/>
      <c r="D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2:29">
      <c r="B56"/>
      <c r="C56"/>
      <c r="D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2:29">
      <c r="B57"/>
      <c r="C57"/>
      <c r="D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2:29">
      <c r="B58"/>
      <c r="C58"/>
      <c r="D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2:29">
      <c r="B59"/>
      <c r="C59"/>
      <c r="D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2:29">
      <c r="B60"/>
      <c r="C60"/>
      <c r="D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2:29">
      <c r="B61"/>
      <c r="C61"/>
      <c r="D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2:29">
      <c r="B62"/>
      <c r="C62"/>
      <c r="D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2:29">
      <c r="B63"/>
      <c r="C63"/>
      <c r="D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2:29">
      <c r="B64"/>
      <c r="C64"/>
      <c r="D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2:29">
      <c r="B65"/>
      <c r="C65"/>
      <c r="D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2:29">
      <c r="B66"/>
      <c r="C66"/>
      <c r="D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2:29">
      <c r="B67"/>
      <c r="C67"/>
      <c r="D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2:29">
      <c r="B68"/>
      <c r="C68"/>
      <c r="D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2:29">
      <c r="B69"/>
      <c r="C69"/>
      <c r="D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2:29">
      <c r="B70"/>
      <c r="C70"/>
      <c r="D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2:29">
      <c r="B71"/>
      <c r="C71"/>
      <c r="D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2:29">
      <c r="B72"/>
      <c r="C72"/>
      <c r="D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2:29">
      <c r="B73"/>
      <c r="C73"/>
      <c r="D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2:29">
      <c r="B74"/>
      <c r="C74"/>
      <c r="D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2:29">
      <c r="B75"/>
      <c r="C75"/>
      <c r="D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2:29">
      <c r="B76"/>
      <c r="C76"/>
      <c r="D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2:29">
      <c r="B77"/>
      <c r="C77"/>
      <c r="D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2:29">
      <c r="B78"/>
      <c r="C78"/>
      <c r="D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2:29">
      <c r="B79"/>
      <c r="C79"/>
      <c r="D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2:29">
      <c r="B80"/>
      <c r="C80"/>
      <c r="D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2:29">
      <c r="B81"/>
      <c r="C81"/>
      <c r="D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2:29">
      <c r="B82"/>
      <c r="C82"/>
      <c r="D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2:29">
      <c r="B83"/>
      <c r="C83"/>
      <c r="D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2:29">
      <c r="B84"/>
      <c r="C84"/>
      <c r="D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2:29">
      <c r="B85"/>
      <c r="C85"/>
      <c r="D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2:29">
      <c r="B86"/>
      <c r="C86"/>
      <c r="D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2:29">
      <c r="B87"/>
      <c r="C87"/>
      <c r="D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2:29">
      <c r="B88"/>
      <c r="C88"/>
      <c r="D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2:29">
      <c r="B89"/>
      <c r="C89"/>
      <c r="D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2:29">
      <c r="B90"/>
      <c r="C90"/>
      <c r="D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2:29">
      <c r="B91"/>
      <c r="C91"/>
      <c r="D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2:29">
      <c r="B92"/>
      <c r="C92"/>
      <c r="D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2:29">
      <c r="B93"/>
      <c r="C93"/>
      <c r="D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2:29">
      <c r="B94"/>
      <c r="C94"/>
      <c r="D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2:29">
      <c r="B95"/>
      <c r="C95"/>
      <c r="D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2:29">
      <c r="B96"/>
      <c r="C96"/>
      <c r="D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2:29">
      <c r="B97"/>
      <c r="C97"/>
      <c r="D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2:29">
      <c r="B98"/>
      <c r="C98"/>
      <c r="D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2:29">
      <c r="B99"/>
      <c r="C99"/>
      <c r="D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2:29">
      <c r="B100"/>
      <c r="C100"/>
      <c r="D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2:29">
      <c r="B101"/>
      <c r="C101"/>
      <c r="D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2:29">
      <c r="B102"/>
      <c r="C102"/>
      <c r="D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2:29">
      <c r="B103"/>
      <c r="C103"/>
      <c r="D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2:29">
      <c r="B104"/>
      <c r="C104"/>
      <c r="D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2:29">
      <c r="B105"/>
      <c r="C105"/>
      <c r="D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2:29">
      <c r="B106"/>
      <c r="C106"/>
      <c r="D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2:29">
      <c r="B107"/>
      <c r="C107"/>
      <c r="D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2:29">
      <c r="B108"/>
      <c r="C108"/>
      <c r="D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2:29">
      <c r="B109"/>
      <c r="C109"/>
      <c r="D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2:29">
      <c r="B110"/>
      <c r="C110"/>
      <c r="D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2:29">
      <c r="B111"/>
      <c r="C111"/>
      <c r="D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2:29">
      <c r="B112"/>
      <c r="C112"/>
      <c r="D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2:29">
      <c r="B113"/>
      <c r="C113"/>
      <c r="D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2:29">
      <c r="B114"/>
      <c r="C114"/>
      <c r="D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2:29">
      <c r="B115"/>
      <c r="C115"/>
      <c r="D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2:29">
      <c r="B116"/>
      <c r="C116"/>
      <c r="D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2:29">
      <c r="B117"/>
      <c r="C117"/>
      <c r="D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2:29">
      <c r="B118"/>
      <c r="C118"/>
      <c r="D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2:29">
      <c r="B119"/>
      <c r="C119"/>
      <c r="D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2:29">
      <c r="B120"/>
      <c r="C120"/>
      <c r="D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2:29">
      <c r="B121"/>
      <c r="C121"/>
      <c r="D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2:29">
      <c r="B122"/>
      <c r="C122"/>
      <c r="D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2:29">
      <c r="B123"/>
      <c r="C123"/>
      <c r="D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2:29">
      <c r="B124"/>
      <c r="C124"/>
      <c r="D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2:29">
      <c r="B125"/>
      <c r="C125"/>
      <c r="D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2:29">
      <c r="B126"/>
      <c r="C126"/>
      <c r="D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2:29">
      <c r="B127"/>
      <c r="C127"/>
      <c r="D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2:29">
      <c r="B128"/>
      <c r="C128"/>
      <c r="D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2:29">
      <c r="B129"/>
      <c r="C129"/>
      <c r="D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2:29">
      <c r="B130"/>
      <c r="C130"/>
      <c r="D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2:29">
      <c r="B131"/>
      <c r="C131"/>
      <c r="D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2:29">
      <c r="B132"/>
      <c r="C132"/>
      <c r="D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2:29">
      <c r="B133"/>
      <c r="C133"/>
      <c r="D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2:29">
      <c r="B134"/>
      <c r="C134"/>
      <c r="D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2:29">
      <c r="B135"/>
      <c r="C135"/>
      <c r="D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2:29">
      <c r="B136"/>
      <c r="C136"/>
      <c r="D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2:29">
      <c r="B137"/>
      <c r="C137"/>
      <c r="D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2:29">
      <c r="B138"/>
      <c r="C138"/>
      <c r="D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2:29">
      <c r="B139"/>
      <c r="C139"/>
      <c r="D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2:29">
      <c r="B140"/>
      <c r="C140"/>
      <c r="D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2:29">
      <c r="B141"/>
      <c r="C141"/>
      <c r="D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2:29">
      <c r="B142"/>
      <c r="C142"/>
      <c r="D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2:29">
      <c r="B143"/>
      <c r="C143"/>
      <c r="D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2:29">
      <c r="B144"/>
      <c r="C144"/>
      <c r="D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2:29">
      <c r="B145"/>
      <c r="C145"/>
      <c r="D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2:29">
      <c r="B146"/>
      <c r="C146"/>
      <c r="D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2:29">
      <c r="B147"/>
      <c r="C147"/>
      <c r="D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2:29">
      <c r="B148"/>
      <c r="C148"/>
      <c r="D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2:29">
      <c r="B149"/>
      <c r="C149"/>
      <c r="D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2:29">
      <c r="B150"/>
      <c r="C150"/>
      <c r="D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2:29">
      <c r="B151"/>
      <c r="C151"/>
      <c r="D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2:29">
      <c r="B152"/>
      <c r="C152"/>
      <c r="D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2:29">
      <c r="B153"/>
      <c r="C153"/>
      <c r="D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2:29">
      <c r="B154"/>
      <c r="C154"/>
      <c r="D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2:29">
      <c r="B155"/>
      <c r="C155"/>
      <c r="D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2:29">
      <c r="B156"/>
      <c r="C156"/>
      <c r="D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2:29">
      <c r="B157"/>
      <c r="C157"/>
      <c r="D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2:29">
      <c r="B158"/>
      <c r="C158"/>
      <c r="D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2:29">
      <c r="B159"/>
      <c r="C159"/>
      <c r="D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2:29">
      <c r="B160"/>
      <c r="C160"/>
      <c r="D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2:29">
      <c r="B161"/>
      <c r="C161"/>
      <c r="D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2:29">
      <c r="B162"/>
      <c r="C162"/>
      <c r="D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2:29">
      <c r="B163"/>
      <c r="C163"/>
      <c r="D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2:29">
      <c r="B164"/>
      <c r="C164"/>
      <c r="D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2:29">
      <c r="B165"/>
      <c r="C165"/>
      <c r="D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2:29">
      <c r="B166"/>
      <c r="C166"/>
      <c r="D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2:29">
      <c r="B167"/>
      <c r="C167"/>
      <c r="D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2:29">
      <c r="B168"/>
      <c r="C168"/>
      <c r="D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2:29">
      <c r="B169"/>
      <c r="C169"/>
      <c r="D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2:29">
      <c r="B170"/>
      <c r="C170"/>
      <c r="D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2:29">
      <c r="B171"/>
      <c r="C171"/>
      <c r="D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2:29">
      <c r="B172"/>
      <c r="C172"/>
      <c r="D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2:29">
      <c r="B173"/>
      <c r="C173"/>
      <c r="D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2:29">
      <c r="B174"/>
      <c r="C174"/>
      <c r="D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2:29">
      <c r="B175"/>
      <c r="C175"/>
      <c r="D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2:29">
      <c r="B176"/>
      <c r="C176"/>
      <c r="D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2:29">
      <c r="B177"/>
      <c r="C177"/>
      <c r="D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2:29">
      <c r="B178"/>
      <c r="C178"/>
      <c r="D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2:29">
      <c r="B179"/>
      <c r="C179"/>
      <c r="D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2:29">
      <c r="B180"/>
      <c r="C180"/>
      <c r="D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2:29">
      <c r="B181"/>
      <c r="C181"/>
      <c r="D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2:29">
      <c r="B182"/>
      <c r="C182"/>
      <c r="D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2:29">
      <c r="B183"/>
      <c r="C183"/>
      <c r="D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2:29">
      <c r="B184"/>
      <c r="C184"/>
      <c r="D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2:29">
      <c r="B185"/>
      <c r="C185"/>
      <c r="D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2:29">
      <c r="B186"/>
      <c r="C186"/>
      <c r="D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2:29">
      <c r="B187"/>
      <c r="C187"/>
      <c r="D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2:29">
      <c r="B188"/>
      <c r="C188"/>
      <c r="D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2:29">
      <c r="B189"/>
      <c r="C189"/>
      <c r="D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2:29">
      <c r="B190"/>
      <c r="C190"/>
      <c r="D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2:29">
      <c r="B191"/>
      <c r="C191"/>
      <c r="D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2:29">
      <c r="B192"/>
      <c r="C192"/>
      <c r="D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2:29">
      <c r="B193"/>
      <c r="C193"/>
      <c r="D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2:29">
      <c r="B194"/>
      <c r="C194"/>
      <c r="D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2:29">
      <c r="B195"/>
      <c r="C195"/>
      <c r="D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2:29">
      <c r="B196"/>
      <c r="C196"/>
      <c r="D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2:29">
      <c r="B197"/>
      <c r="C197"/>
      <c r="D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2:29">
      <c r="B198"/>
      <c r="C198"/>
      <c r="D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2:29">
      <c r="B199"/>
      <c r="C199"/>
      <c r="D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2:29">
      <c r="B200"/>
      <c r="C200"/>
      <c r="D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2:29">
      <c r="B201"/>
      <c r="C201"/>
      <c r="D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2:29">
      <c r="B202"/>
      <c r="C202"/>
      <c r="D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2:29">
      <c r="B203"/>
      <c r="C203"/>
      <c r="D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2:29">
      <c r="B204"/>
      <c r="C204"/>
      <c r="D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2:29">
      <c r="B205"/>
      <c r="C205"/>
      <c r="D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  <row r="206" spans="2:29">
      <c r="B206"/>
      <c r="C206"/>
      <c r="D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</row>
    <row r="207" spans="2:29">
      <c r="B207"/>
      <c r="C207"/>
      <c r="D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</row>
    <row r="208" spans="2:29">
      <c r="B208"/>
      <c r="C208"/>
      <c r="D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</row>
    <row r="209" spans="2:29">
      <c r="B209"/>
      <c r="C209"/>
      <c r="D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</row>
    <row r="210" spans="2:29">
      <c r="B210"/>
      <c r="C210"/>
      <c r="D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</row>
    <row r="211" spans="2:29">
      <c r="B211"/>
      <c r="C211"/>
      <c r="D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</row>
    <row r="212" spans="2:29">
      <c r="B212"/>
      <c r="C212"/>
      <c r="D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</row>
    <row r="213" spans="2:29">
      <c r="B213"/>
      <c r="C213"/>
      <c r="D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</row>
    <row r="214" spans="2:29">
      <c r="B214"/>
      <c r="C214"/>
      <c r="D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</row>
    <row r="215" spans="2:29">
      <c r="B215"/>
      <c r="C215"/>
      <c r="D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</row>
    <row r="216" spans="2:29">
      <c r="B216"/>
      <c r="C216"/>
      <c r="D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</row>
    <row r="217" spans="2:29">
      <c r="B217"/>
      <c r="C217"/>
      <c r="D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</row>
    <row r="218" spans="2:29">
      <c r="B218"/>
      <c r="C218"/>
      <c r="D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</row>
    <row r="219" spans="2:29">
      <c r="B219"/>
      <c r="C219"/>
      <c r="D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</row>
    <row r="220" spans="2:29">
      <c r="B220"/>
      <c r="C220"/>
      <c r="D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</row>
    <row r="221" spans="2:29">
      <c r="B221"/>
      <c r="C221"/>
      <c r="D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</row>
    <row r="222" spans="2:29">
      <c r="B222"/>
      <c r="C222"/>
      <c r="D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</row>
    <row r="223" spans="2:29">
      <c r="B223"/>
      <c r="C223"/>
      <c r="D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</row>
    <row r="224" spans="2:29">
      <c r="B224"/>
      <c r="C224"/>
      <c r="D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</row>
    <row r="225" spans="2:29">
      <c r="B225"/>
      <c r="C225"/>
      <c r="D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</row>
    <row r="226" spans="2:29">
      <c r="B226"/>
      <c r="C226"/>
      <c r="D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</row>
    <row r="227" spans="2:29">
      <c r="B227"/>
      <c r="C227"/>
      <c r="D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</row>
    <row r="228" spans="2:29">
      <c r="B228"/>
      <c r="C228"/>
      <c r="D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</row>
    <row r="229" spans="2:29">
      <c r="B229"/>
      <c r="C229"/>
      <c r="D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</row>
    <row r="230" spans="2:29">
      <c r="B230"/>
      <c r="C230"/>
      <c r="D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</row>
    <row r="231" spans="2:29">
      <c r="B231"/>
      <c r="C231"/>
      <c r="D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</row>
    <row r="232" spans="2:29">
      <c r="B232"/>
      <c r="C232"/>
      <c r="D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</row>
    <row r="233" spans="2:29">
      <c r="B233"/>
      <c r="C233"/>
      <c r="D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</row>
    <row r="234" spans="2:29">
      <c r="B234"/>
      <c r="C234"/>
      <c r="D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</row>
    <row r="235" spans="2:29">
      <c r="B235"/>
      <c r="C235"/>
      <c r="D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</row>
    <row r="236" spans="2:29">
      <c r="B236"/>
      <c r="C236"/>
      <c r="D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</row>
    <row r="237" spans="2:29">
      <c r="B237"/>
      <c r="C237"/>
      <c r="D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</row>
    <row r="238" spans="2:29">
      <c r="B238"/>
      <c r="C238"/>
      <c r="D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</row>
    <row r="239" spans="2:29">
      <c r="B239"/>
      <c r="C239"/>
      <c r="D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</row>
    <row r="240" spans="2:29">
      <c r="B240"/>
      <c r="C240"/>
      <c r="D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</row>
    <row r="241" spans="2:29">
      <c r="B241"/>
      <c r="C241"/>
      <c r="D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</row>
    <row r="242" spans="2:29">
      <c r="B242"/>
      <c r="C242"/>
      <c r="D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</row>
    <row r="243" spans="2:29">
      <c r="B243"/>
      <c r="C243"/>
      <c r="D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</row>
    <row r="244" spans="2:29">
      <c r="B244"/>
      <c r="C244"/>
      <c r="D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</row>
    <row r="245" spans="2:29">
      <c r="B245"/>
      <c r="C245"/>
      <c r="D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</row>
    <row r="246" spans="2:29">
      <c r="B246"/>
      <c r="C246"/>
      <c r="D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</row>
    <row r="247" spans="2:29">
      <c r="B247"/>
      <c r="C247"/>
      <c r="D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</row>
    <row r="248" spans="2:29">
      <c r="B248"/>
      <c r="C248"/>
      <c r="D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</row>
    <row r="249" spans="2:29">
      <c r="B249"/>
      <c r="C249"/>
      <c r="D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</row>
    <row r="250" spans="2:29">
      <c r="B250"/>
      <c r="C250"/>
      <c r="D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</row>
    <row r="251" spans="2:29">
      <c r="B251"/>
      <c r="C251"/>
      <c r="D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</row>
    <row r="252" spans="2:29">
      <c r="B252"/>
      <c r="C252"/>
      <c r="D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</row>
    <row r="253" spans="2:29">
      <c r="B253"/>
      <c r="C253"/>
      <c r="D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</row>
    <row r="254" spans="2:29">
      <c r="B254"/>
      <c r="C254"/>
      <c r="D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</row>
    <row r="255" spans="2:29">
      <c r="B255"/>
      <c r="C255"/>
      <c r="D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</row>
    <row r="256" spans="2:29">
      <c r="B256"/>
      <c r="C256"/>
      <c r="D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</row>
    <row r="257" spans="2:29">
      <c r="B257"/>
      <c r="C257"/>
      <c r="D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</row>
    <row r="258" spans="2:29">
      <c r="B258"/>
      <c r="C258"/>
      <c r="D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</row>
    <row r="259" spans="2:29">
      <c r="B259"/>
      <c r="C259"/>
      <c r="D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</row>
    <row r="260" spans="2:29">
      <c r="B260"/>
      <c r="C260"/>
      <c r="D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</row>
    <row r="261" spans="2:29">
      <c r="B261"/>
      <c r="C261"/>
      <c r="D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</row>
    <row r="262" spans="2:29">
      <c r="B262"/>
      <c r="C262"/>
      <c r="D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</row>
    <row r="263" spans="2:29">
      <c r="B263"/>
      <c r="C263"/>
      <c r="D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</row>
    <row r="264" spans="2:29">
      <c r="B264"/>
      <c r="C264"/>
      <c r="D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</row>
    <row r="265" spans="2:29">
      <c r="B265"/>
      <c r="C265"/>
      <c r="D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</row>
    <row r="266" spans="2:29">
      <c r="B266"/>
      <c r="C266"/>
      <c r="D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</row>
    <row r="267" spans="2:29">
      <c r="B267"/>
      <c r="C267"/>
      <c r="D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</row>
    <row r="268" spans="2:29">
      <c r="B268"/>
      <c r="C268"/>
      <c r="D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</row>
    <row r="269" spans="2:29">
      <c r="B269"/>
      <c r="C269"/>
      <c r="D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</row>
    <row r="270" spans="2:29">
      <c r="B270"/>
      <c r="C270"/>
      <c r="D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</row>
    <row r="271" spans="2:29">
      <c r="B271"/>
      <c r="C271"/>
      <c r="D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</row>
    <row r="272" spans="2:29">
      <c r="B272"/>
      <c r="C272"/>
      <c r="D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</row>
    <row r="273" spans="2:29">
      <c r="B273"/>
      <c r="C273"/>
      <c r="D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</row>
    <row r="274" spans="2:29">
      <c r="B274"/>
      <c r="C274"/>
      <c r="D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</row>
    <row r="275" spans="2:29">
      <c r="B275"/>
      <c r="C275"/>
      <c r="D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</row>
    <row r="276" spans="2:29">
      <c r="B276"/>
      <c r="C276"/>
      <c r="D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</row>
    <row r="277" spans="2:29">
      <c r="B277"/>
      <c r="C277"/>
      <c r="D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</row>
    <row r="278" spans="2:29">
      <c r="B278"/>
      <c r="C278"/>
      <c r="D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</row>
    <row r="279" spans="2:29">
      <c r="B279"/>
      <c r="C279"/>
      <c r="D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</row>
    <row r="280" spans="2:29">
      <c r="B280"/>
      <c r="C280"/>
      <c r="D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</row>
    <row r="281" spans="2:29">
      <c r="B281"/>
      <c r="C281"/>
      <c r="D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</row>
    <row r="282" spans="2:29">
      <c r="B282"/>
      <c r="C282"/>
      <c r="D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</row>
    <row r="283" spans="2:29">
      <c r="B283"/>
      <c r="C283"/>
      <c r="D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</row>
    <row r="284" spans="2:29">
      <c r="B284"/>
      <c r="C284"/>
      <c r="D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</row>
    <row r="285" spans="2:29">
      <c r="B285"/>
      <c r="C285"/>
      <c r="D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</row>
    <row r="286" spans="2:29">
      <c r="B286"/>
      <c r="C286"/>
      <c r="D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</row>
    <row r="287" spans="2:29">
      <c r="B287"/>
      <c r="C287"/>
      <c r="D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</row>
    <row r="288" spans="2:29">
      <c r="B288"/>
      <c r="C288"/>
      <c r="D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</row>
    <row r="289" spans="2:29">
      <c r="B289"/>
      <c r="C289"/>
      <c r="D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</row>
    <row r="290" spans="2:29">
      <c r="B290"/>
      <c r="C290"/>
      <c r="D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</row>
    <row r="291" spans="2:29">
      <c r="B291"/>
      <c r="C291"/>
      <c r="D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</row>
    <row r="292" spans="2:29">
      <c r="B292"/>
      <c r="C292"/>
      <c r="D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</row>
    <row r="293" spans="2:29">
      <c r="B293"/>
      <c r="C293"/>
      <c r="D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</row>
    <row r="294" spans="2:29">
      <c r="B294"/>
      <c r="C294"/>
      <c r="D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</row>
    <row r="295" spans="2:29">
      <c r="B295"/>
      <c r="C295"/>
      <c r="D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</row>
    <row r="296" spans="2:29">
      <c r="B296"/>
      <c r="C296"/>
      <c r="D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</row>
    <row r="297" spans="2:29">
      <c r="B297"/>
      <c r="C297"/>
      <c r="D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</row>
    <row r="298" spans="2:29">
      <c r="B298"/>
      <c r="C298"/>
      <c r="D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</row>
    <row r="299" spans="2:29">
      <c r="B299"/>
      <c r="C299"/>
      <c r="D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</row>
    <row r="300" spans="2:29">
      <c r="B300"/>
      <c r="C300"/>
      <c r="D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</row>
  </sheetData>
  <mergeCells count="4">
    <mergeCell ref="N2:R2"/>
    <mergeCell ref="S2:Y2"/>
    <mergeCell ref="B2:G2"/>
    <mergeCell ref="H2:M2"/>
  </mergeCells>
  <phoneticPr fontId="1" type="noConversion"/>
  <hyperlinks>
    <hyperlink ref="A4" display="Select"/>
    <hyperlink ref="AD4" display="Setup"/>
    <hyperlink ref="A5" display="Select"/>
    <hyperlink ref="AD5" display="Setup"/>
    <hyperlink ref="A6" display="Select"/>
    <hyperlink ref="AD6" display="Setup"/>
    <hyperlink ref="A7" display="Select"/>
    <hyperlink ref="AD7" display="Setup"/>
    <hyperlink ref="A8" display="Select"/>
    <hyperlink ref="AD8" display="Setup"/>
    <hyperlink ref="A9" display="Select"/>
    <hyperlink ref="AD9" display="Setup"/>
    <hyperlink ref="A10" display="Select"/>
    <hyperlink ref="AD10" display="Setup"/>
    <hyperlink ref="A11" display="Select"/>
    <hyperlink ref="AD11" display="Setup"/>
    <hyperlink ref="A12" display="Select"/>
    <hyperlink ref="AD12" display="Setup"/>
    <hyperlink ref="A13" display="Select"/>
    <hyperlink ref="AD13" display="Setup"/>
    <hyperlink ref="A14" display="Select"/>
    <hyperlink ref="AD14" display="Setup"/>
    <hyperlink ref="A15" display="Select"/>
    <hyperlink ref="AD15" display="Setup"/>
    <hyperlink ref="A16" display="Select"/>
    <hyperlink ref="AD16" display="Setup"/>
    <hyperlink ref="A17" display="Select"/>
    <hyperlink ref="AD17" display="Setup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B1:K26"/>
  <sheetViews>
    <sheetView showGridLines="0" zoomScale="130" zoomScaleNormal="130" workbookViewId="0">
      <selection activeCell="D32" sqref="D32"/>
    </sheetView>
  </sheetViews>
  <sheetFormatPr defaultRowHeight="14.25"/>
  <cols>
    <col min="1" max="1" width="1.25" customWidth="1"/>
    <col min="2" max="2" width="11.375" customWidth="1"/>
    <col min="3" max="3" width="15.375" customWidth="1"/>
    <col min="4" max="4" width="13.375" customWidth="1"/>
    <col min="5" max="5" width="10.875" customWidth="1"/>
    <col min="6" max="6" width="13" customWidth="1"/>
    <col min="7" max="7" width="15.75" customWidth="1"/>
  </cols>
  <sheetData>
    <row r="1" spans="3:11">
      <c r="F1" s="13" t="s">
        <v>22</v>
      </c>
      <c r="G1" s="13" t="s">
        <v>30</v>
      </c>
      <c r="H1" s="13" t="s">
        <v>31</v>
      </c>
      <c r="I1" s="13" t="s">
        <v>23</v>
      </c>
      <c r="J1" s="13" t="s">
        <v>12</v>
      </c>
    </row>
    <row r="2" spans="3:11">
      <c r="C2" s="237" t="s">
        <v>173</v>
      </c>
      <c r="D2" s="238"/>
      <c r="E2">
        <v>8804</v>
      </c>
      <c r="G2" s="1" t="s">
        <v>32</v>
      </c>
    </row>
    <row r="3" spans="3:11">
      <c r="C3" s="237" t="s">
        <v>35</v>
      </c>
      <c r="D3" s="238"/>
      <c r="E3">
        <v>5711</v>
      </c>
    </row>
    <row r="4" spans="3:11">
      <c r="C4" s="237" t="s">
        <v>25</v>
      </c>
      <c r="D4" s="238"/>
    </row>
    <row r="5" spans="3:11">
      <c r="C5" s="237" t="s">
        <v>26</v>
      </c>
      <c r="D5" s="238"/>
    </row>
    <row r="6" spans="3:11">
      <c r="C6" s="237" t="s">
        <v>28</v>
      </c>
      <c r="D6" s="238"/>
    </row>
    <row r="7" spans="3:11">
      <c r="C7" s="237" t="s">
        <v>27</v>
      </c>
      <c r="D7" s="238"/>
    </row>
    <row r="8" spans="3:11">
      <c r="C8" s="237" t="s">
        <v>29</v>
      </c>
      <c r="D8" s="238"/>
      <c r="K8" s="1" t="s">
        <v>41</v>
      </c>
    </row>
    <row r="9" spans="3:11">
      <c r="C9" s="237" t="s">
        <v>20</v>
      </c>
      <c r="D9" s="238"/>
      <c r="K9" s="1" t="s">
        <v>42</v>
      </c>
    </row>
    <row r="10" spans="3:11">
      <c r="C10" s="237" t="s">
        <v>9</v>
      </c>
      <c r="D10" s="238"/>
      <c r="K10" s="1" t="s">
        <v>43</v>
      </c>
    </row>
    <row r="11" spans="3:11">
      <c r="K11" s="1" t="s">
        <v>24</v>
      </c>
    </row>
    <row r="16" spans="3:11">
      <c r="C16" s="14" t="s">
        <v>33</v>
      </c>
      <c r="D16" s="14" t="s">
        <v>34</v>
      </c>
      <c r="E16" s="1"/>
    </row>
    <row r="17" spans="2:8">
      <c r="C17">
        <v>333</v>
      </c>
      <c r="D17">
        <v>222</v>
      </c>
    </row>
    <row r="18" spans="2:8">
      <c r="B18" s="3"/>
      <c r="C18" s="15" t="s">
        <v>36</v>
      </c>
      <c r="D18" s="15" t="s">
        <v>37</v>
      </c>
      <c r="E18" s="15" t="s">
        <v>38</v>
      </c>
      <c r="F18" s="15" t="s">
        <v>39</v>
      </c>
      <c r="G18" s="15" t="s">
        <v>40</v>
      </c>
      <c r="H18" s="15" t="s">
        <v>0</v>
      </c>
    </row>
    <row r="19" spans="2:8">
      <c r="B19" s="16">
        <v>43737</v>
      </c>
      <c r="C19" s="3"/>
      <c r="D19" s="3"/>
      <c r="E19" s="3"/>
      <c r="F19" s="3"/>
      <c r="G19" s="3"/>
      <c r="H19" s="3"/>
    </row>
    <row r="20" spans="2:8">
      <c r="B20" s="16">
        <v>43737</v>
      </c>
      <c r="C20" s="3"/>
      <c r="D20" s="3"/>
      <c r="E20" s="3"/>
      <c r="F20" s="3"/>
      <c r="G20" s="3"/>
      <c r="H20" s="3"/>
    </row>
    <row r="21" spans="2:8">
      <c r="B21" s="17"/>
      <c r="C21" s="3"/>
      <c r="D21" s="3"/>
      <c r="E21" s="3"/>
      <c r="F21" s="3"/>
      <c r="G21" s="3"/>
      <c r="H21" s="3"/>
    </row>
    <row r="22" spans="2:8">
      <c r="B22" s="17"/>
      <c r="C22" s="3"/>
      <c r="D22" s="3"/>
      <c r="E22" s="3"/>
      <c r="F22" s="3"/>
      <c r="G22" s="3"/>
      <c r="H22" s="3"/>
    </row>
    <row r="23" spans="2:8">
      <c r="B23" s="17"/>
      <c r="C23" s="3"/>
      <c r="D23" s="3"/>
      <c r="E23" s="3"/>
      <c r="F23" s="3"/>
      <c r="G23" s="3"/>
      <c r="H23" s="3"/>
    </row>
    <row r="24" spans="2:8">
      <c r="B24" s="17"/>
      <c r="C24" s="3"/>
      <c r="D24" s="3"/>
      <c r="E24" s="3"/>
      <c r="F24" s="3"/>
      <c r="G24" s="3"/>
      <c r="H24" s="3"/>
    </row>
    <row r="25" spans="2:8">
      <c r="B25" s="17"/>
      <c r="C25" s="3"/>
      <c r="D25" s="3"/>
      <c r="E25" s="3"/>
      <c r="F25" s="3"/>
      <c r="G25" s="3"/>
      <c r="H25" s="3"/>
    </row>
    <row r="26" spans="2:8">
      <c r="B26" s="17"/>
      <c r="C26" s="3"/>
      <c r="D26" s="3"/>
      <c r="E26" s="3"/>
      <c r="F26" s="3"/>
      <c r="G26" s="3"/>
      <c r="H26" s="3"/>
    </row>
  </sheetData>
  <mergeCells count="9">
    <mergeCell ref="C8:D8"/>
    <mergeCell ref="C9:D9"/>
    <mergeCell ref="C10:D10"/>
    <mergeCell ref="C2:D2"/>
    <mergeCell ref="C3:D3"/>
    <mergeCell ref="C4:D4"/>
    <mergeCell ref="C5:D5"/>
    <mergeCell ref="C6:D6"/>
    <mergeCell ref="C7:D7"/>
  </mergeCells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7"/>
  <dimension ref="A1:A2"/>
  <sheetViews>
    <sheetView workbookViewId="0">
      <selection activeCell="C42" sqref="C42"/>
    </sheetView>
  </sheetViews>
  <sheetFormatPr defaultRowHeight="14.25"/>
  <sheetData>
    <row r="1" spans="1:1">
      <c r="A1" s="1" t="s">
        <v>44</v>
      </c>
    </row>
    <row r="2" spans="1:1">
      <c r="A2" s="1" t="s">
        <v>45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/>
  <dimension ref="A1:X777"/>
  <sheetViews>
    <sheetView showGridLines="0" zoomScaleNormal="100" workbookViewId="0">
      <selection activeCell="X4" sqref="X4"/>
    </sheetView>
  </sheetViews>
  <sheetFormatPr defaultRowHeight="14.25"/>
  <cols>
    <col min="1" max="1" width="12" customWidth="1"/>
    <col min="3" max="3" width="7.75" customWidth="1"/>
    <col min="20" max="20" width="2.75" customWidth="1"/>
    <col min="23" max="23" width="10.25" customWidth="1"/>
    <col min="24" max="24" width="15.75" customWidth="1"/>
  </cols>
  <sheetData>
    <row r="1" spans="1:24" ht="22.5" customHeight="1" thickBot="1">
      <c r="A1" s="143"/>
      <c r="B1" s="282" t="s">
        <v>1055</v>
      </c>
      <c r="C1" s="145">
        <v>5991</v>
      </c>
      <c r="D1" s="146" t="s">
        <v>1369</v>
      </c>
      <c r="H1" s="282" t="s">
        <v>1058</v>
      </c>
      <c r="I1" s="145">
        <v>7267</v>
      </c>
      <c r="J1" s="146" t="s">
        <v>1370</v>
      </c>
      <c r="N1" s="283" t="s">
        <v>1056</v>
      </c>
      <c r="O1" s="144">
        <v>14</v>
      </c>
      <c r="P1" s="144"/>
      <c r="Q1" s="283" t="s">
        <v>1057</v>
      </c>
      <c r="R1" s="144">
        <v>12</v>
      </c>
      <c r="T1" s="283" t="s">
        <v>1354</v>
      </c>
      <c r="U1" s="144"/>
    </row>
    <row r="2" spans="1:24">
      <c r="B2" s="101"/>
      <c r="C2" s="102"/>
      <c r="D2" s="102"/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2"/>
      <c r="P2" s="102"/>
      <c r="Q2" s="102"/>
      <c r="R2" s="102"/>
      <c r="S2" s="102"/>
      <c r="T2" s="103"/>
      <c r="W2" s="285" t="s">
        <v>1357</v>
      </c>
      <c r="X2" s="284">
        <v>2.2273777662969101</v>
      </c>
    </row>
    <row r="3" spans="1:24">
      <c r="B3" s="104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5"/>
      <c r="W3" s="286" t="s">
        <v>318</v>
      </c>
      <c r="X3" s="284">
        <v>6.34</v>
      </c>
    </row>
    <row r="4" spans="1:24">
      <c r="B4" s="104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5"/>
      <c r="W4" s="286" t="s">
        <v>1360</v>
      </c>
      <c r="X4" s="284">
        <v>4.2</v>
      </c>
    </row>
    <row r="5" spans="1:24">
      <c r="B5" s="104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5"/>
      <c r="W5" s="285" t="s">
        <v>1368</v>
      </c>
      <c r="X5" s="284">
        <v>-2961</v>
      </c>
    </row>
    <row r="6" spans="1:24" ht="15" customHeight="1">
      <c r="A6" s="113" t="s">
        <v>377</v>
      </c>
      <c r="B6" s="104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5"/>
      <c r="W6" s="287" t="s">
        <v>1363</v>
      </c>
      <c r="X6" s="284">
        <v>0.959732685645585</v>
      </c>
    </row>
    <row r="7" spans="1:24">
      <c r="A7">
        <v>0.4038480001797512</v>
      </c>
      <c r="B7" s="104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5"/>
      <c r="W7" s="287" t="s">
        <v>1365</v>
      </c>
      <c r="X7" s="284">
        <v>0.91510153692469698</v>
      </c>
    </row>
    <row r="8" spans="1:24">
      <c r="A8" s="113" t="s">
        <v>378</v>
      </c>
      <c r="B8" s="104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5"/>
      <c r="W8" s="285" t="s">
        <v>1366</v>
      </c>
      <c r="X8" s="284">
        <v>0.116728704627132</v>
      </c>
    </row>
    <row r="9" spans="1:24">
      <c r="A9">
        <v>0.17010869589585279</v>
      </c>
      <c r="B9" s="104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5"/>
      <c r="W9" s="285" t="s">
        <v>1367</v>
      </c>
      <c r="X9" s="284">
        <v>7.4109196854934195E-2</v>
      </c>
    </row>
    <row r="10" spans="1:24">
      <c r="B10" s="104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5"/>
    </row>
    <row r="11" spans="1:24">
      <c r="B11" s="104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5"/>
    </row>
    <row r="12" spans="1:24">
      <c r="B12" s="10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5"/>
    </row>
    <row r="13" spans="1:24">
      <c r="B13" s="10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5"/>
    </row>
    <row r="14" spans="1:24">
      <c r="B14" s="104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5"/>
    </row>
    <row r="15" spans="1:24">
      <c r="B15" s="10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5"/>
    </row>
    <row r="16" spans="1:24">
      <c r="B16" s="10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5"/>
    </row>
    <row r="17" spans="2:20">
      <c r="B17" s="104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5"/>
    </row>
    <row r="18" spans="2:20">
      <c r="B18" s="104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5"/>
    </row>
    <row r="19" spans="2:20">
      <c r="B19" s="104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5"/>
    </row>
    <row r="20" spans="2:20">
      <c r="B20" s="104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5"/>
    </row>
    <row r="21" spans="2:20">
      <c r="B21" s="104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5"/>
    </row>
    <row r="22" spans="2:20">
      <c r="B22" s="104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5"/>
    </row>
    <row r="23" spans="2:20">
      <c r="B23" s="104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5"/>
    </row>
    <row r="24" spans="2:20">
      <c r="B24" s="104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5"/>
    </row>
    <row r="25" spans="2:20">
      <c r="B25" s="104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5"/>
    </row>
    <row r="26" spans="2:20">
      <c r="B26" s="104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5"/>
    </row>
    <row r="27" spans="2:20">
      <c r="B27" s="104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5"/>
    </row>
    <row r="28" spans="2:20">
      <c r="B28" s="104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5"/>
    </row>
    <row r="29" spans="2:20">
      <c r="B29" s="104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5"/>
    </row>
    <row r="30" spans="2:20">
      <c r="B30" s="104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5"/>
    </row>
    <row r="31" spans="2:20">
      <c r="B31" s="104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5"/>
    </row>
    <row r="32" spans="2:20">
      <c r="B32" s="104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5"/>
    </row>
    <row r="33" spans="1:20">
      <c r="B33" s="104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5"/>
    </row>
    <row r="34" spans="1:20">
      <c r="B34" s="104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5"/>
    </row>
    <row r="35" spans="1:20">
      <c r="B35" s="104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5"/>
    </row>
    <row r="36" spans="1:20">
      <c r="B36" s="104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5"/>
    </row>
    <row r="37" spans="1:20">
      <c r="B37" s="104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5"/>
    </row>
    <row r="38" spans="1:20" ht="15" thickBot="1">
      <c r="B38" s="106"/>
      <c r="C38" s="107"/>
      <c r="D38" s="107"/>
      <c r="E38" s="107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8"/>
    </row>
    <row r="40" spans="1:20">
      <c r="A40" s="110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1"/>
      <c r="O40" s="111"/>
      <c r="P40" s="111"/>
      <c r="Q40" s="111"/>
      <c r="R40" s="111"/>
      <c r="S40" s="111"/>
      <c r="T40" s="111"/>
    </row>
    <row r="41" spans="1:20">
      <c r="A41" s="113" t="s">
        <v>1290</v>
      </c>
      <c r="B41" s="113" t="s">
        <v>1350</v>
      </c>
      <c r="C41" s="113" t="s">
        <v>1351</v>
      </c>
      <c r="D41" s="113" t="s">
        <v>1352</v>
      </c>
      <c r="E41" s="113" t="s">
        <v>1353</v>
      </c>
      <c r="F41" s="113" t="s">
        <v>1291</v>
      </c>
      <c r="G41" s="113" t="s">
        <v>1292</v>
      </c>
      <c r="H41" s="113" t="s">
        <v>1293</v>
      </c>
      <c r="I41" s="113" t="s">
        <v>1294</v>
      </c>
      <c r="J41" s="113" t="s">
        <v>1295</v>
      </c>
      <c r="L41" s="113" t="s">
        <v>304</v>
      </c>
      <c r="M41" s="113" t="s">
        <v>305</v>
      </c>
      <c r="N41" s="113" t="s">
        <v>306</v>
      </c>
      <c r="O41" s="113" t="s">
        <v>307</v>
      </c>
    </row>
    <row r="42" spans="1:20">
      <c r="A42" s="19">
        <v>43805</v>
      </c>
      <c r="B42">
        <v>1003</v>
      </c>
      <c r="C42">
        <v>1004</v>
      </c>
      <c r="D42">
        <v>3127</v>
      </c>
      <c r="E42">
        <v>3144</v>
      </c>
      <c r="F42">
        <v>0.319338422391857</v>
      </c>
      <c r="G42">
        <v>0.29909931775538101</v>
      </c>
      <c r="H42">
        <v>9.0865164152753898E-3</v>
      </c>
      <c r="I42">
        <v>2.2273777662969101</v>
      </c>
      <c r="J42">
        <v>6.34</v>
      </c>
      <c r="L42">
        <v>0.30818583417065643</v>
      </c>
      <c r="M42">
        <v>0.2900128013401056</v>
      </c>
      <c r="N42">
        <v>0.31727235058593178</v>
      </c>
      <c r="O42">
        <v>0.28092628492483024</v>
      </c>
    </row>
    <row r="43" spans="1:20">
      <c r="A43" s="19">
        <v>43804</v>
      </c>
      <c r="B43">
        <v>994</v>
      </c>
      <c r="C43">
        <v>1004</v>
      </c>
      <c r="D43">
        <v>3129</v>
      </c>
      <c r="E43">
        <v>3129</v>
      </c>
      <c r="F43">
        <v>0.32086928731224001</v>
      </c>
      <c r="G43">
        <v>0.29871917533005099</v>
      </c>
      <c r="H43">
        <v>8.8244494117575203E-3</v>
      </c>
      <c r="I43">
        <v>2.5100843065263598</v>
      </c>
      <c r="J43">
        <v>6.9</v>
      </c>
      <c r="L43">
        <v>0.30754362474180852</v>
      </c>
      <c r="M43">
        <v>0.28989472591829346</v>
      </c>
      <c r="N43">
        <v>0.31636807415356605</v>
      </c>
      <c r="O43">
        <v>0.28107027650653593</v>
      </c>
    </row>
    <row r="44" spans="1:20">
      <c r="A44" s="19">
        <v>43803</v>
      </c>
      <c r="B44">
        <v>975</v>
      </c>
      <c r="C44">
        <v>988</v>
      </c>
      <c r="D44">
        <v>3085</v>
      </c>
      <c r="E44">
        <v>3091</v>
      </c>
      <c r="F44">
        <v>0.31963765771594899</v>
      </c>
      <c r="G44">
        <v>0.29833251708187702</v>
      </c>
      <c r="H44">
        <v>8.4737949523268196E-3</v>
      </c>
      <c r="I44">
        <v>2.5142383966019199</v>
      </c>
      <c r="J44">
        <v>6.67</v>
      </c>
      <c r="L44">
        <v>0.30680631203420383</v>
      </c>
      <c r="M44">
        <v>0.28985872212955022</v>
      </c>
      <c r="N44">
        <v>0.31528010698653064</v>
      </c>
      <c r="O44">
        <v>0.28138492717722341</v>
      </c>
    </row>
    <row r="45" spans="1:20">
      <c r="A45" s="19">
        <v>43802</v>
      </c>
      <c r="B45">
        <v>964</v>
      </c>
      <c r="C45">
        <v>978</v>
      </c>
      <c r="D45">
        <v>3065</v>
      </c>
      <c r="E45">
        <v>3105</v>
      </c>
      <c r="F45">
        <v>0.31497584541062801</v>
      </c>
      <c r="G45">
        <v>0.29798706446807799</v>
      </c>
      <c r="H45">
        <v>8.1188880689075996E-3</v>
      </c>
      <c r="I45">
        <v>2.0925009432769399</v>
      </c>
      <c r="J45">
        <v>5.39</v>
      </c>
      <c r="L45">
        <v>0.30610595253698558</v>
      </c>
      <c r="M45">
        <v>0.2898681763991704</v>
      </c>
      <c r="N45">
        <v>0.31422484060589317</v>
      </c>
      <c r="O45">
        <v>0.2817492883302628</v>
      </c>
    </row>
    <row r="46" spans="1:20">
      <c r="A46" s="19">
        <v>43801</v>
      </c>
      <c r="B46">
        <v>962</v>
      </c>
      <c r="C46">
        <v>982</v>
      </c>
      <c r="D46">
        <v>3100</v>
      </c>
      <c r="E46">
        <v>3104</v>
      </c>
      <c r="F46">
        <v>0.31636597938144301</v>
      </c>
      <c r="G46">
        <v>0.29768746710944699</v>
      </c>
      <c r="H46">
        <v>7.8980307926758697E-3</v>
      </c>
      <c r="I46">
        <v>2.3649581474557899</v>
      </c>
      <c r="J46">
        <v>5.9</v>
      </c>
      <c r="L46">
        <v>0.30558549790212286</v>
      </c>
      <c r="M46">
        <v>0.28978943631677112</v>
      </c>
      <c r="N46">
        <v>0.31348352869479873</v>
      </c>
      <c r="O46">
        <v>0.28189140552409525</v>
      </c>
    </row>
    <row r="47" spans="1:20">
      <c r="A47" s="19">
        <v>43798</v>
      </c>
      <c r="B47">
        <v>958</v>
      </c>
      <c r="C47">
        <v>967</v>
      </c>
      <c r="D47">
        <v>3105</v>
      </c>
      <c r="E47">
        <v>3067</v>
      </c>
      <c r="F47">
        <v>0.31529181610694401</v>
      </c>
      <c r="G47">
        <v>0.29736120264793298</v>
      </c>
      <c r="H47">
        <v>7.6202237381932797E-3</v>
      </c>
      <c r="I47">
        <v>2.3530297895508099</v>
      </c>
      <c r="J47">
        <v>5.69</v>
      </c>
      <c r="L47">
        <v>0.30498142638612624</v>
      </c>
      <c r="M47">
        <v>0.28974097890973971</v>
      </c>
      <c r="N47">
        <v>0.31260165012431951</v>
      </c>
      <c r="O47">
        <v>0.28212075517154644</v>
      </c>
    </row>
    <row r="48" spans="1:20">
      <c r="A48" s="19">
        <v>43797</v>
      </c>
      <c r="B48">
        <v>973</v>
      </c>
      <c r="C48">
        <v>962</v>
      </c>
      <c r="D48">
        <v>3120</v>
      </c>
      <c r="E48">
        <v>3080</v>
      </c>
      <c r="F48">
        <v>0.31233766233766203</v>
      </c>
      <c r="G48">
        <v>0.29707578645421301</v>
      </c>
      <c r="H48">
        <v>7.3389817277494098E-3</v>
      </c>
      <c r="I48">
        <v>2.0795631396304399</v>
      </c>
      <c r="J48">
        <v>4.8899999999999997</v>
      </c>
      <c r="L48">
        <v>0.30441476818196239</v>
      </c>
      <c r="M48">
        <v>0.28973680472646363</v>
      </c>
      <c r="N48">
        <v>0.31175374990971183</v>
      </c>
      <c r="O48">
        <v>0.28239782299871419</v>
      </c>
    </row>
    <row r="49" spans="1:15">
      <c r="A49" s="19">
        <v>43796</v>
      </c>
      <c r="B49">
        <v>971</v>
      </c>
      <c r="C49">
        <v>975</v>
      </c>
      <c r="D49">
        <v>3130</v>
      </c>
      <c r="E49">
        <v>3127</v>
      </c>
      <c r="F49">
        <v>0.31180044771346299</v>
      </c>
      <c r="G49">
        <v>0.29705873155957102</v>
      </c>
      <c r="H49">
        <v>7.3049023106189302E-3</v>
      </c>
      <c r="I49">
        <v>2.01805794616343</v>
      </c>
      <c r="J49">
        <v>4.7300000000000004</v>
      </c>
      <c r="L49">
        <v>0.30436363387018994</v>
      </c>
      <c r="M49">
        <v>0.2897538292489521</v>
      </c>
      <c r="N49">
        <v>0.31166853618080886</v>
      </c>
      <c r="O49">
        <v>0.28244892693833318</v>
      </c>
    </row>
    <row r="50" spans="1:15">
      <c r="A50" s="19">
        <v>43795</v>
      </c>
      <c r="B50">
        <v>975</v>
      </c>
      <c r="C50">
        <v>965</v>
      </c>
      <c r="D50">
        <v>3147</v>
      </c>
      <c r="E50">
        <v>3109</v>
      </c>
      <c r="F50">
        <v>0.31038919266645199</v>
      </c>
      <c r="G50">
        <v>0.29707765991278101</v>
      </c>
      <c r="H50">
        <v>7.3448065663676504E-3</v>
      </c>
      <c r="I50">
        <v>1.81237349593722</v>
      </c>
      <c r="J50">
        <v>4.29</v>
      </c>
      <c r="L50">
        <v>0.30442246647914867</v>
      </c>
      <c r="M50">
        <v>0.28973285334641335</v>
      </c>
      <c r="N50">
        <v>0.31176727304551632</v>
      </c>
      <c r="O50">
        <v>0.2823880467800457</v>
      </c>
    </row>
    <row r="51" spans="1:15">
      <c r="A51" s="19">
        <v>43794</v>
      </c>
      <c r="B51">
        <v>964</v>
      </c>
      <c r="C51">
        <v>965</v>
      </c>
      <c r="D51">
        <v>3142</v>
      </c>
      <c r="E51">
        <v>3146</v>
      </c>
      <c r="F51">
        <v>0.30673871582962398</v>
      </c>
      <c r="G51">
        <v>0.29713243430414499</v>
      </c>
      <c r="H51">
        <v>7.45831502545933E-3</v>
      </c>
      <c r="I51">
        <v>1.2879962153231901</v>
      </c>
      <c r="J51">
        <v>3.13</v>
      </c>
      <c r="L51">
        <v>0.30459074932960434</v>
      </c>
      <c r="M51">
        <v>0.28967411927868564</v>
      </c>
      <c r="N51">
        <v>0.31204906435506363</v>
      </c>
      <c r="O51">
        <v>0.28221580425322634</v>
      </c>
    </row>
    <row r="52" spans="1:15">
      <c r="A52" s="19">
        <v>43791</v>
      </c>
      <c r="B52">
        <v>960</v>
      </c>
      <c r="C52">
        <v>956</v>
      </c>
      <c r="D52">
        <v>3099</v>
      </c>
      <c r="E52">
        <v>3108</v>
      </c>
      <c r="F52">
        <v>0.307593307593307</v>
      </c>
      <c r="G52">
        <v>0.297216586545692</v>
      </c>
      <c r="H52">
        <v>7.6004790406686102E-3</v>
      </c>
      <c r="I52">
        <v>1.36527197721243</v>
      </c>
      <c r="J52">
        <v>3.37</v>
      </c>
      <c r="L52">
        <v>0.30481706558636062</v>
      </c>
      <c r="M52">
        <v>0.28961610750502337</v>
      </c>
      <c r="N52">
        <v>0.3124175446270292</v>
      </c>
      <c r="O52">
        <v>0.2820156284643548</v>
      </c>
    </row>
    <row r="53" spans="1:15">
      <c r="A53" s="19">
        <v>43790</v>
      </c>
      <c r="B53">
        <v>953</v>
      </c>
      <c r="C53">
        <v>957</v>
      </c>
      <c r="D53">
        <v>3089</v>
      </c>
      <c r="E53">
        <v>3103</v>
      </c>
      <c r="F53">
        <v>0.30841121495327101</v>
      </c>
      <c r="G53">
        <v>0.29726349059259599</v>
      </c>
      <c r="H53">
        <v>7.6748616470057804E-3</v>
      </c>
      <c r="I53">
        <v>1.4524984127920699</v>
      </c>
      <c r="J53">
        <v>3.61</v>
      </c>
      <c r="L53">
        <v>0.30493835223960175</v>
      </c>
      <c r="M53">
        <v>0.28958862894559023</v>
      </c>
      <c r="N53">
        <v>0.31261321388660757</v>
      </c>
      <c r="O53">
        <v>0.28191376729858442</v>
      </c>
    </row>
    <row r="54" spans="1:15">
      <c r="A54" s="19">
        <v>43789</v>
      </c>
      <c r="B54">
        <v>948</v>
      </c>
      <c r="C54">
        <v>960</v>
      </c>
      <c r="D54">
        <v>3116</v>
      </c>
      <c r="E54">
        <v>3092</v>
      </c>
      <c r="F54">
        <v>0.31047865459249602</v>
      </c>
      <c r="G54">
        <v>0.29735720713625502</v>
      </c>
      <c r="H54">
        <v>7.8512979942990703E-3</v>
      </c>
      <c r="I54">
        <v>1.6712456291645801</v>
      </c>
      <c r="J54">
        <v>4.2300000000000004</v>
      </c>
      <c r="L54">
        <v>0.30520850513055409</v>
      </c>
      <c r="M54">
        <v>0.28950590914195595</v>
      </c>
      <c r="N54">
        <v>0.31305980312485315</v>
      </c>
      <c r="O54">
        <v>0.28165461114765689</v>
      </c>
    </row>
    <row r="55" spans="1:15">
      <c r="A55" s="19">
        <v>43788</v>
      </c>
      <c r="B55">
        <v>960</v>
      </c>
      <c r="C55">
        <v>956</v>
      </c>
      <c r="D55">
        <v>3135</v>
      </c>
      <c r="E55">
        <v>3134</v>
      </c>
      <c r="F55">
        <v>0.30504148053605601</v>
      </c>
      <c r="G55">
        <v>0.29741181593601301</v>
      </c>
      <c r="H55">
        <v>7.9559191890962895E-3</v>
      </c>
      <c r="I55">
        <v>0.95899221934021806</v>
      </c>
      <c r="J55">
        <v>2.5</v>
      </c>
      <c r="L55">
        <v>0.30536773512510929</v>
      </c>
      <c r="M55">
        <v>0.28945589674691674</v>
      </c>
      <c r="N55">
        <v>0.31332365431420561</v>
      </c>
      <c r="O55">
        <v>0.28149997755782041</v>
      </c>
    </row>
    <row r="56" spans="1:15">
      <c r="A56" s="19">
        <v>43787</v>
      </c>
      <c r="B56">
        <v>962</v>
      </c>
      <c r="C56">
        <v>957</v>
      </c>
      <c r="D56">
        <v>3151</v>
      </c>
      <c r="E56">
        <v>3157</v>
      </c>
      <c r="F56">
        <v>0.303135888501742</v>
      </c>
      <c r="G56">
        <v>0.297450500543883</v>
      </c>
      <c r="H56">
        <v>7.9998557629158799E-3</v>
      </c>
      <c r="I56">
        <v>0.71068630814748202</v>
      </c>
      <c r="J56">
        <v>1.88</v>
      </c>
      <c r="L56">
        <v>0.3054503563067989</v>
      </c>
      <c r="M56">
        <v>0.2894506447809671</v>
      </c>
      <c r="N56">
        <v>0.31345021206971474</v>
      </c>
      <c r="O56">
        <v>0.28145078901805126</v>
      </c>
    </row>
    <row r="57" spans="1:15">
      <c r="A57" s="19">
        <v>43784</v>
      </c>
      <c r="B57">
        <v>955</v>
      </c>
      <c r="C57">
        <v>958</v>
      </c>
      <c r="D57">
        <v>3123</v>
      </c>
      <c r="E57">
        <v>3150</v>
      </c>
      <c r="F57">
        <v>0.30412698412698402</v>
      </c>
      <c r="G57">
        <v>0.297563538215532</v>
      </c>
      <c r="H57">
        <v>8.1380927979160002E-3</v>
      </c>
      <c r="I57">
        <v>0.80650910163283795</v>
      </c>
      <c r="J57">
        <v>2.16</v>
      </c>
      <c r="L57">
        <v>0.30570163101344799</v>
      </c>
      <c r="M57">
        <v>0.289425445417616</v>
      </c>
      <c r="N57">
        <v>0.31383972381136399</v>
      </c>
      <c r="O57">
        <v>0.2812873526197</v>
      </c>
    </row>
    <row r="58" spans="1:15">
      <c r="A58" s="19">
        <v>43783</v>
      </c>
      <c r="B58">
        <v>969</v>
      </c>
      <c r="C58">
        <v>960</v>
      </c>
      <c r="D58">
        <v>3187</v>
      </c>
      <c r="E58">
        <v>3139</v>
      </c>
      <c r="F58">
        <v>0.305829882128066</v>
      </c>
      <c r="G58">
        <v>0.29764967719607799</v>
      </c>
      <c r="H58">
        <v>8.2406532411336102E-3</v>
      </c>
      <c r="I58">
        <v>0.99266462167778702</v>
      </c>
      <c r="J58">
        <v>2.67</v>
      </c>
      <c r="L58">
        <v>0.30589033043721159</v>
      </c>
      <c r="M58">
        <v>0.28940902395494439</v>
      </c>
      <c r="N58">
        <v>0.31413098367834519</v>
      </c>
      <c r="O58">
        <v>0.28116837071381079</v>
      </c>
    </row>
    <row r="59" spans="1:15">
      <c r="A59" s="19">
        <v>43782</v>
      </c>
      <c r="B59">
        <v>976</v>
      </c>
      <c r="C59">
        <v>978</v>
      </c>
      <c r="D59">
        <v>3202</v>
      </c>
      <c r="E59">
        <v>3209</v>
      </c>
      <c r="F59">
        <v>0.304767840448737</v>
      </c>
      <c r="G59">
        <v>0.297622696764547</v>
      </c>
      <c r="H59">
        <v>8.2171054973864902E-3</v>
      </c>
      <c r="I59">
        <v>0.86954508329770197</v>
      </c>
      <c r="J59">
        <v>2.34</v>
      </c>
      <c r="L59">
        <v>0.30583980226193347</v>
      </c>
      <c r="M59">
        <v>0.28940559126716053</v>
      </c>
      <c r="N59">
        <v>0.31405690775931999</v>
      </c>
      <c r="O59">
        <v>0.28118848576977401</v>
      </c>
    </row>
    <row r="60" spans="1:15">
      <c r="A60" s="19">
        <v>43781</v>
      </c>
      <c r="B60">
        <v>966</v>
      </c>
      <c r="C60">
        <v>982</v>
      </c>
      <c r="D60">
        <v>3174</v>
      </c>
      <c r="E60">
        <v>3229</v>
      </c>
      <c r="F60">
        <v>0.30411892226695503</v>
      </c>
      <c r="G60">
        <v>0.29762379068558398</v>
      </c>
      <c r="H60">
        <v>8.2180620437086304E-3</v>
      </c>
      <c r="I60">
        <v>0.79034832626305995</v>
      </c>
      <c r="J60">
        <v>2.14</v>
      </c>
      <c r="L60">
        <v>0.3058418527292926</v>
      </c>
      <c r="M60">
        <v>0.28940572864187536</v>
      </c>
      <c r="N60">
        <v>0.31405991477300121</v>
      </c>
      <c r="O60">
        <v>0.28118766659816674</v>
      </c>
    </row>
    <row r="61" spans="1:15">
      <c r="A61" s="19">
        <v>43780</v>
      </c>
      <c r="B61">
        <v>980</v>
      </c>
      <c r="C61">
        <v>970</v>
      </c>
      <c r="D61">
        <v>3197</v>
      </c>
      <c r="E61">
        <v>3201</v>
      </c>
      <c r="F61">
        <v>0.30303030303030298</v>
      </c>
      <c r="G61">
        <v>0.29753746558355199</v>
      </c>
      <c r="H61">
        <v>8.1833127571369294E-3</v>
      </c>
      <c r="I61">
        <v>0.67122418631255398</v>
      </c>
      <c r="J61">
        <v>1.81</v>
      </c>
      <c r="L61">
        <v>0.30572077834068889</v>
      </c>
      <c r="M61">
        <v>0.28935415282641508</v>
      </c>
      <c r="N61">
        <v>0.31390409109782585</v>
      </c>
      <c r="O61">
        <v>0.28117084006927812</v>
      </c>
    </row>
    <row r="62" spans="1:15">
      <c r="A62" s="19">
        <v>43777</v>
      </c>
      <c r="B62">
        <v>965</v>
      </c>
      <c r="C62">
        <v>971</v>
      </c>
      <c r="D62">
        <v>3060</v>
      </c>
      <c r="E62">
        <v>3072</v>
      </c>
      <c r="F62">
        <v>0.31608072916666602</v>
      </c>
      <c r="G62">
        <v>0.29737170541779201</v>
      </c>
      <c r="H62">
        <v>8.1962721037491301E-3</v>
      </c>
      <c r="I62">
        <v>2.2826259928969801</v>
      </c>
      <c r="J62">
        <v>5.92</v>
      </c>
      <c r="L62">
        <v>0.30556797752154113</v>
      </c>
      <c r="M62">
        <v>0.28917543331404288</v>
      </c>
      <c r="N62">
        <v>0.31376424962529026</v>
      </c>
      <c r="O62">
        <v>0.28097916121029376</v>
      </c>
    </row>
    <row r="63" spans="1:15">
      <c r="A63" s="19">
        <v>43776</v>
      </c>
      <c r="B63">
        <v>960</v>
      </c>
      <c r="C63">
        <v>959</v>
      </c>
      <c r="D63">
        <v>3007</v>
      </c>
      <c r="E63">
        <v>3014</v>
      </c>
      <c r="F63">
        <v>0.31818181818181801</v>
      </c>
      <c r="G63">
        <v>0.29703881486693101</v>
      </c>
      <c r="H63">
        <v>7.9324116604042507E-3</v>
      </c>
      <c r="I63">
        <v>2.6653941096407201</v>
      </c>
      <c r="J63">
        <v>6.64</v>
      </c>
      <c r="L63">
        <v>0.30497122652733527</v>
      </c>
      <c r="M63">
        <v>0.28910640320652675</v>
      </c>
      <c r="N63">
        <v>0.31290363818773953</v>
      </c>
      <c r="O63">
        <v>0.28117399154612249</v>
      </c>
    </row>
    <row r="64" spans="1:15">
      <c r="A64" s="19">
        <v>43775</v>
      </c>
      <c r="B64">
        <v>928</v>
      </c>
      <c r="C64">
        <v>930</v>
      </c>
      <c r="D64">
        <v>3048</v>
      </c>
      <c r="E64">
        <v>3031</v>
      </c>
      <c r="F64">
        <v>0.30682942923127599</v>
      </c>
      <c r="G64">
        <v>0.29673556857651401</v>
      </c>
      <c r="H64">
        <v>7.54353996737027E-3</v>
      </c>
      <c r="I64">
        <v>1.33808009216141</v>
      </c>
      <c r="J64">
        <v>3.29</v>
      </c>
      <c r="L64">
        <v>0.30427910854388429</v>
      </c>
      <c r="M64">
        <v>0.28919202860914373</v>
      </c>
      <c r="N64">
        <v>0.31182264851125457</v>
      </c>
      <c r="O64">
        <v>0.28164848864177344</v>
      </c>
    </row>
    <row r="65" spans="1:15">
      <c r="A65" s="19">
        <v>43774</v>
      </c>
      <c r="B65">
        <v>905</v>
      </c>
      <c r="C65">
        <v>918</v>
      </c>
      <c r="D65">
        <v>3028</v>
      </c>
      <c r="E65">
        <v>3022</v>
      </c>
      <c r="F65">
        <v>0.30377233620119098</v>
      </c>
      <c r="G65">
        <v>0.29658363637831398</v>
      </c>
      <c r="H65">
        <v>7.4529189875510099E-3</v>
      </c>
      <c r="I65">
        <v>0.96454823068437801</v>
      </c>
      <c r="J65">
        <v>2.37</v>
      </c>
      <c r="L65">
        <v>0.30403655536586499</v>
      </c>
      <c r="M65">
        <v>0.28913071739076296</v>
      </c>
      <c r="N65">
        <v>0.31148947435341601</v>
      </c>
      <c r="O65">
        <v>0.28167779840321194</v>
      </c>
    </row>
    <row r="66" spans="1:15">
      <c r="A66" s="19">
        <v>43770</v>
      </c>
      <c r="B66">
        <v>878</v>
      </c>
      <c r="C66">
        <v>892</v>
      </c>
      <c r="D66">
        <v>2908.5</v>
      </c>
      <c r="E66">
        <v>2954.5</v>
      </c>
      <c r="F66">
        <v>0.30191233711287802</v>
      </c>
      <c r="G66">
        <v>0.29642983780126397</v>
      </c>
      <c r="H66">
        <v>7.42193869539507E-3</v>
      </c>
      <c r="I66">
        <v>0.738688304582239</v>
      </c>
      <c r="J66">
        <v>1.82</v>
      </c>
      <c r="L66">
        <v>0.30385177649665907</v>
      </c>
      <c r="M66">
        <v>0.28900789910586888</v>
      </c>
      <c r="N66">
        <v>0.3112737151920541</v>
      </c>
      <c r="O66">
        <v>0.28158596041047385</v>
      </c>
    </row>
    <row r="67" spans="1:15">
      <c r="A67" s="19">
        <v>43769</v>
      </c>
      <c r="B67">
        <v>885</v>
      </c>
      <c r="C67">
        <v>893</v>
      </c>
      <c r="D67">
        <v>2963.5</v>
      </c>
      <c r="E67">
        <v>2942</v>
      </c>
      <c r="F67">
        <v>0.30353501019714402</v>
      </c>
      <c r="G67">
        <v>0.29634714353614899</v>
      </c>
      <c r="H67">
        <v>7.3948947771285498E-3</v>
      </c>
      <c r="I67">
        <v>0.97200391318980395</v>
      </c>
      <c r="J67">
        <v>2.37</v>
      </c>
      <c r="L67">
        <v>0.30374203831327756</v>
      </c>
      <c r="M67">
        <v>0.28895224875902042</v>
      </c>
      <c r="N67">
        <v>0.31113693309040608</v>
      </c>
      <c r="O67">
        <v>0.28155735398189191</v>
      </c>
    </row>
    <row r="68" spans="1:15">
      <c r="A68" s="19">
        <v>43768</v>
      </c>
      <c r="B68">
        <v>892</v>
      </c>
      <c r="C68">
        <v>888</v>
      </c>
      <c r="D68">
        <v>3006</v>
      </c>
      <c r="E68">
        <v>2986.5</v>
      </c>
      <c r="F68">
        <v>0.29733802109492702</v>
      </c>
      <c r="G68">
        <v>0.29620745309302299</v>
      </c>
      <c r="H68">
        <v>7.3566506835272896E-3</v>
      </c>
      <c r="I68">
        <v>0.153679717923114</v>
      </c>
      <c r="J68">
        <v>0.38</v>
      </c>
      <c r="L68">
        <v>0.3035641037765503</v>
      </c>
      <c r="M68">
        <v>0.28885080240949568</v>
      </c>
      <c r="N68">
        <v>0.31092075446007755</v>
      </c>
      <c r="O68">
        <v>0.28149415172596842</v>
      </c>
    </row>
    <row r="69" spans="1:15">
      <c r="A69" s="19">
        <v>43767</v>
      </c>
      <c r="B69">
        <v>890</v>
      </c>
      <c r="C69">
        <v>895</v>
      </c>
      <c r="D69">
        <v>2975</v>
      </c>
      <c r="E69">
        <v>3006</v>
      </c>
      <c r="F69">
        <v>0.29773785761809701</v>
      </c>
      <c r="G69">
        <v>0.296183349300218</v>
      </c>
      <c r="H69">
        <v>7.35586845960044E-3</v>
      </c>
      <c r="I69">
        <v>0.211328998936857</v>
      </c>
      <c r="J69">
        <v>0.52</v>
      </c>
      <c r="L69">
        <v>0.30353921775981846</v>
      </c>
      <c r="M69">
        <v>0.28882748084061755</v>
      </c>
      <c r="N69">
        <v>0.31089508621941886</v>
      </c>
      <c r="O69">
        <v>0.28147161238101714</v>
      </c>
    </row>
    <row r="70" spans="1:15">
      <c r="A70" s="19">
        <v>43766</v>
      </c>
      <c r="B70">
        <v>885</v>
      </c>
      <c r="C70">
        <v>885</v>
      </c>
      <c r="D70">
        <v>2935.5</v>
      </c>
      <c r="E70">
        <v>2950</v>
      </c>
      <c r="F70">
        <v>0.3</v>
      </c>
      <c r="G70">
        <v>0.296231840419652</v>
      </c>
      <c r="H70">
        <v>7.3779104937020798E-3</v>
      </c>
      <c r="I70">
        <v>0.51073533401693505</v>
      </c>
      <c r="J70">
        <v>1.26</v>
      </c>
      <c r="L70">
        <v>0.30360975091335407</v>
      </c>
      <c r="M70">
        <v>0.28885392992594994</v>
      </c>
      <c r="N70">
        <v>0.31098766140705614</v>
      </c>
      <c r="O70">
        <v>0.28147601943224787</v>
      </c>
    </row>
    <row r="71" spans="1:15">
      <c r="A71" s="19">
        <v>43763</v>
      </c>
      <c r="B71">
        <v>874</v>
      </c>
      <c r="C71">
        <v>881</v>
      </c>
      <c r="D71">
        <v>2931</v>
      </c>
      <c r="E71">
        <v>2925.5</v>
      </c>
      <c r="F71">
        <v>0.30114510340112799</v>
      </c>
      <c r="G71">
        <v>0.296311986139142</v>
      </c>
      <c r="H71">
        <v>7.4506975421506196E-3</v>
      </c>
      <c r="I71">
        <v>0.64867983630307402</v>
      </c>
      <c r="J71">
        <v>1.6</v>
      </c>
      <c r="L71">
        <v>0.30376268368129261</v>
      </c>
      <c r="M71">
        <v>0.28886128859699139</v>
      </c>
      <c r="N71">
        <v>0.31121338122344322</v>
      </c>
      <c r="O71">
        <v>0.28141059105484079</v>
      </c>
    </row>
    <row r="72" spans="1:15">
      <c r="A72" s="19">
        <v>43762</v>
      </c>
      <c r="B72">
        <v>869</v>
      </c>
      <c r="C72">
        <v>871</v>
      </c>
      <c r="D72">
        <v>2900</v>
      </c>
      <c r="E72">
        <v>2931</v>
      </c>
      <c r="F72">
        <v>0.29716820197884602</v>
      </c>
      <c r="G72">
        <v>0.29632402590026402</v>
      </c>
      <c r="H72">
        <v>7.4592224629631701E-3</v>
      </c>
      <c r="I72">
        <v>0.113172127895901</v>
      </c>
      <c r="J72">
        <v>0.28000000000000003</v>
      </c>
      <c r="L72">
        <v>0.30378324836322718</v>
      </c>
      <c r="M72">
        <v>0.28886480343730087</v>
      </c>
      <c r="N72">
        <v>0.31124247082619039</v>
      </c>
      <c r="O72">
        <v>0.28140558097433765</v>
      </c>
    </row>
    <row r="73" spans="1:15">
      <c r="A73" s="19">
        <v>43761</v>
      </c>
      <c r="B73">
        <v>859</v>
      </c>
      <c r="C73">
        <v>863</v>
      </c>
      <c r="D73">
        <v>2850</v>
      </c>
      <c r="E73">
        <v>2877</v>
      </c>
      <c r="F73">
        <v>0.29996524157108101</v>
      </c>
      <c r="G73">
        <v>0.29641435190494297</v>
      </c>
      <c r="H73">
        <v>7.5097438107961803E-3</v>
      </c>
      <c r="I73">
        <v>0.472837656729791</v>
      </c>
      <c r="J73">
        <v>1.18</v>
      </c>
      <c r="L73">
        <v>0.30392409571573914</v>
      </c>
      <c r="M73">
        <v>0.28890460809414681</v>
      </c>
      <c r="N73">
        <v>0.31143383952653536</v>
      </c>
      <c r="O73">
        <v>0.28139486428335059</v>
      </c>
    </row>
    <row r="74" spans="1:15">
      <c r="A74" s="19">
        <v>43759</v>
      </c>
      <c r="B74">
        <v>860</v>
      </c>
      <c r="C74">
        <v>858</v>
      </c>
      <c r="D74">
        <v>2910</v>
      </c>
      <c r="E74">
        <v>2895</v>
      </c>
      <c r="F74">
        <v>0.29637305699481797</v>
      </c>
      <c r="G74">
        <v>0.29646604317347902</v>
      </c>
      <c r="H74">
        <v>7.5472563983422503E-3</v>
      </c>
      <c r="I74">
        <v>-1.23205273218629E-2</v>
      </c>
      <c r="J74">
        <v>-0.03</v>
      </c>
      <c r="L74">
        <v>0.30401329957182127</v>
      </c>
      <c r="M74">
        <v>0.28891878677513677</v>
      </c>
      <c r="N74">
        <v>0.31156055597016352</v>
      </c>
      <c r="O74">
        <v>0.28137153037679452</v>
      </c>
    </row>
    <row r="75" spans="1:15">
      <c r="A75" s="19">
        <v>43756</v>
      </c>
      <c r="B75">
        <v>856</v>
      </c>
      <c r="C75">
        <v>857</v>
      </c>
      <c r="D75">
        <v>2911</v>
      </c>
      <c r="E75">
        <v>2908.5</v>
      </c>
      <c r="F75">
        <v>0.29465360151280701</v>
      </c>
      <c r="G75">
        <v>0.29653080545982802</v>
      </c>
      <c r="H75">
        <v>7.5669942859443399E-3</v>
      </c>
      <c r="I75">
        <v>-0.24807788615728699</v>
      </c>
      <c r="J75">
        <v>-0.64</v>
      </c>
      <c r="L75">
        <v>0.30409779974577233</v>
      </c>
      <c r="M75">
        <v>0.2889638111738837</v>
      </c>
      <c r="N75">
        <v>0.31166479403171671</v>
      </c>
      <c r="O75">
        <v>0.28139681688793933</v>
      </c>
    </row>
    <row r="76" spans="1:15">
      <c r="A76" s="19">
        <v>43755</v>
      </c>
      <c r="B76">
        <v>864</v>
      </c>
      <c r="C76">
        <v>857</v>
      </c>
      <c r="D76">
        <v>2913</v>
      </c>
      <c r="E76">
        <v>2909.5</v>
      </c>
      <c r="F76">
        <v>0.29455232857879299</v>
      </c>
      <c r="G76">
        <v>0.29658533433971701</v>
      </c>
      <c r="H76">
        <v>7.5680057064797602E-3</v>
      </c>
      <c r="I76">
        <v>-0.26863163688994801</v>
      </c>
      <c r="J76">
        <v>-0.69</v>
      </c>
      <c r="L76">
        <v>0.30415334004619676</v>
      </c>
      <c r="M76">
        <v>0.28901732863323726</v>
      </c>
      <c r="N76">
        <v>0.31172134575267652</v>
      </c>
      <c r="O76">
        <v>0.28144932292675751</v>
      </c>
    </row>
    <row r="77" spans="1:15">
      <c r="A77" s="19">
        <v>43754</v>
      </c>
      <c r="B77">
        <v>862</v>
      </c>
      <c r="C77">
        <v>862</v>
      </c>
      <c r="D77">
        <v>2925</v>
      </c>
      <c r="E77">
        <v>2920</v>
      </c>
      <c r="F77">
        <v>0.295205479452054</v>
      </c>
      <c r="G77">
        <v>0.29667446628285499</v>
      </c>
      <c r="H77">
        <v>7.5828881113218297E-3</v>
      </c>
      <c r="I77">
        <v>-0.19372392276337699</v>
      </c>
      <c r="J77">
        <v>-0.5</v>
      </c>
      <c r="L77">
        <v>0.30425735439417684</v>
      </c>
      <c r="M77">
        <v>0.28909157817153314</v>
      </c>
      <c r="N77">
        <v>0.31184024250549863</v>
      </c>
      <c r="O77">
        <v>0.28150869006021134</v>
      </c>
    </row>
    <row r="78" spans="1:15">
      <c r="A78" s="19">
        <v>43753</v>
      </c>
      <c r="B78">
        <v>848</v>
      </c>
      <c r="C78">
        <v>847</v>
      </c>
      <c r="D78">
        <v>2883.5</v>
      </c>
      <c r="E78">
        <v>2899.5</v>
      </c>
      <c r="F78">
        <v>0.29211933091912401</v>
      </c>
      <c r="G78">
        <v>0.29673692855853701</v>
      </c>
      <c r="H78">
        <v>7.5898216871935998E-3</v>
      </c>
      <c r="I78">
        <v>-0.60839342868943702</v>
      </c>
      <c r="J78">
        <v>-1.58</v>
      </c>
      <c r="L78">
        <v>0.30432675024573058</v>
      </c>
      <c r="M78">
        <v>0.28914710687134343</v>
      </c>
      <c r="N78">
        <v>0.31191657193292421</v>
      </c>
      <c r="O78">
        <v>0.2815572851841498</v>
      </c>
    </row>
    <row r="79" spans="1:15">
      <c r="A79" s="19">
        <v>43749</v>
      </c>
      <c r="B79">
        <v>822</v>
      </c>
      <c r="C79">
        <v>825</v>
      </c>
      <c r="D79">
        <v>2800</v>
      </c>
      <c r="E79">
        <v>2828.5</v>
      </c>
      <c r="F79">
        <v>0.29167403217252902</v>
      </c>
      <c r="G79">
        <v>0.29677619326217403</v>
      </c>
      <c r="H79">
        <v>7.57343139482799E-3</v>
      </c>
      <c r="I79">
        <v>-0.67369212496321296</v>
      </c>
      <c r="J79">
        <v>-1.75</v>
      </c>
      <c r="L79">
        <v>0.30434962465700199</v>
      </c>
      <c r="M79">
        <v>0.28920276186734606</v>
      </c>
      <c r="N79">
        <v>0.31192305605183002</v>
      </c>
      <c r="O79">
        <v>0.28162933047251804</v>
      </c>
    </row>
    <row r="80" spans="1:15">
      <c r="A80" s="19">
        <v>43748</v>
      </c>
      <c r="B80">
        <v>810</v>
      </c>
      <c r="C80">
        <v>810</v>
      </c>
      <c r="D80">
        <v>2731</v>
      </c>
      <c r="E80">
        <v>2765</v>
      </c>
      <c r="F80">
        <v>0.29294755877034301</v>
      </c>
      <c r="G80">
        <v>0.29679793434221202</v>
      </c>
      <c r="H80">
        <v>7.56108378636711E-3</v>
      </c>
      <c r="I80">
        <v>-0.50923593504030296</v>
      </c>
      <c r="J80">
        <v>-1.31</v>
      </c>
      <c r="L80">
        <v>0.30435901812857913</v>
      </c>
      <c r="M80">
        <v>0.28923685055584492</v>
      </c>
      <c r="N80">
        <v>0.31192010191494624</v>
      </c>
      <c r="O80">
        <v>0.28167576676947781</v>
      </c>
    </row>
    <row r="81" spans="1:15">
      <c r="A81" s="19">
        <v>43747</v>
      </c>
      <c r="B81">
        <v>803</v>
      </c>
      <c r="C81">
        <v>803</v>
      </c>
      <c r="D81">
        <v>2680</v>
      </c>
      <c r="E81">
        <v>2743</v>
      </c>
      <c r="F81">
        <v>0.29274516952242002</v>
      </c>
      <c r="G81">
        <v>0.296810983522454</v>
      </c>
      <c r="H81">
        <v>7.5552697064074801E-3</v>
      </c>
      <c r="I81">
        <v>-0.53814280072432197</v>
      </c>
      <c r="J81">
        <v>-1.39</v>
      </c>
      <c r="L81">
        <v>0.30436625322886146</v>
      </c>
      <c r="M81">
        <v>0.28925571381604653</v>
      </c>
      <c r="N81">
        <v>0.31192152293526898</v>
      </c>
      <c r="O81">
        <v>0.28170044410963901</v>
      </c>
    </row>
    <row r="82" spans="1:15">
      <c r="A82" s="19">
        <v>43746</v>
      </c>
      <c r="B82">
        <v>809</v>
      </c>
      <c r="C82">
        <v>810</v>
      </c>
      <c r="D82">
        <v>2726.5</v>
      </c>
      <c r="E82">
        <v>2724</v>
      </c>
      <c r="F82">
        <v>0.29735682819383202</v>
      </c>
      <c r="G82">
        <v>0.296887024110706</v>
      </c>
      <c r="H82">
        <v>7.5426551835909902E-3</v>
      </c>
      <c r="I82">
        <v>6.2286299942311399E-2</v>
      </c>
      <c r="J82">
        <v>0.16</v>
      </c>
      <c r="L82">
        <v>0.30442967929429698</v>
      </c>
      <c r="M82">
        <v>0.28934436892711501</v>
      </c>
      <c r="N82">
        <v>0.31197233447788797</v>
      </c>
      <c r="O82">
        <v>0.28180171374352403</v>
      </c>
    </row>
    <row r="83" spans="1:15">
      <c r="A83" s="19">
        <v>43745</v>
      </c>
      <c r="B83">
        <v>813</v>
      </c>
      <c r="C83">
        <v>807</v>
      </c>
      <c r="D83">
        <v>2740</v>
      </c>
      <c r="E83">
        <v>2730</v>
      </c>
      <c r="F83">
        <v>0.295604395604395</v>
      </c>
      <c r="G83">
        <v>0.29685050058464602</v>
      </c>
      <c r="H83">
        <v>7.5469227532774198E-3</v>
      </c>
      <c r="I83">
        <v>-0.16511431493183801</v>
      </c>
      <c r="J83">
        <v>-0.42</v>
      </c>
      <c r="L83">
        <v>0.30439742333792341</v>
      </c>
      <c r="M83">
        <v>0.28930357783136862</v>
      </c>
      <c r="N83">
        <v>0.31194434609120086</v>
      </c>
      <c r="O83">
        <v>0.28175665507809117</v>
      </c>
    </row>
    <row r="84" spans="1:15">
      <c r="A84" s="19">
        <v>43742</v>
      </c>
      <c r="B84">
        <v>805</v>
      </c>
      <c r="C84">
        <v>815</v>
      </c>
      <c r="D84">
        <v>2748</v>
      </c>
      <c r="E84">
        <v>2755</v>
      </c>
      <c r="F84">
        <v>0.29582577132486298</v>
      </c>
      <c r="G84">
        <v>0.29681848439644798</v>
      </c>
      <c r="H84">
        <v>7.5572274541502102E-3</v>
      </c>
      <c r="I84">
        <v>-0.131359427462925</v>
      </c>
      <c r="J84">
        <v>-0.34</v>
      </c>
      <c r="L84">
        <v>0.3043757118505982</v>
      </c>
      <c r="M84">
        <v>0.28926125694229776</v>
      </c>
      <c r="N84">
        <v>0.31193293930474841</v>
      </c>
      <c r="O84">
        <v>0.28170402948814754</v>
      </c>
    </row>
    <row r="85" spans="1:15">
      <c r="A85" s="19">
        <v>43741</v>
      </c>
      <c r="B85">
        <v>812</v>
      </c>
      <c r="C85">
        <v>815</v>
      </c>
      <c r="D85">
        <v>2736.5</v>
      </c>
      <c r="E85">
        <v>2742.5</v>
      </c>
      <c r="F85">
        <v>0.29717411121239701</v>
      </c>
      <c r="G85">
        <v>0.29680447110911301</v>
      </c>
      <c r="H85">
        <v>7.5600291457910097E-3</v>
      </c>
      <c r="I85">
        <v>4.8894005056795899E-2</v>
      </c>
      <c r="J85">
        <v>0.12</v>
      </c>
      <c r="L85">
        <v>0.30436450025490402</v>
      </c>
      <c r="M85">
        <v>0.289244441963322</v>
      </c>
      <c r="N85">
        <v>0.31192452940069504</v>
      </c>
      <c r="O85">
        <v>0.28168441281753098</v>
      </c>
    </row>
    <row r="86" spans="1:15">
      <c r="A86" s="19">
        <v>43740</v>
      </c>
      <c r="B86">
        <v>825</v>
      </c>
      <c r="C86">
        <v>829</v>
      </c>
      <c r="D86">
        <v>2795.5</v>
      </c>
      <c r="E86">
        <v>2818</v>
      </c>
      <c r="F86">
        <v>0.29418026969481897</v>
      </c>
      <c r="G86">
        <v>0.29685424883983202</v>
      </c>
      <c r="H86">
        <v>7.5745758455142897E-3</v>
      </c>
      <c r="I86">
        <v>-0.35302031421302199</v>
      </c>
      <c r="J86">
        <v>-0.91</v>
      </c>
      <c r="L86">
        <v>0.30442882468534632</v>
      </c>
      <c r="M86">
        <v>0.28927967299431773</v>
      </c>
      <c r="N86">
        <v>0.31200340053086062</v>
      </c>
      <c r="O86">
        <v>0.28170509714880343</v>
      </c>
    </row>
    <row r="87" spans="1:15">
      <c r="A87" s="19">
        <v>43739</v>
      </c>
      <c r="B87">
        <v>824</v>
      </c>
      <c r="C87">
        <v>840</v>
      </c>
      <c r="D87">
        <v>2813</v>
      </c>
      <c r="E87">
        <v>2868.5</v>
      </c>
      <c r="F87">
        <v>0.29283597699145802</v>
      </c>
      <c r="G87">
        <v>0.29693015104652698</v>
      </c>
      <c r="H87">
        <v>7.57592252682997E-3</v>
      </c>
      <c r="I87">
        <v>-0.54041920842900903</v>
      </c>
      <c r="J87">
        <v>-1.4</v>
      </c>
      <c r="L87">
        <v>0.30450607357335696</v>
      </c>
      <c r="M87">
        <v>0.289354228519697</v>
      </c>
      <c r="N87">
        <v>0.31208199610018694</v>
      </c>
      <c r="O87">
        <v>0.28177830599286702</v>
      </c>
    </row>
    <row r="88" spans="1:15">
      <c r="A88" s="19">
        <v>43738</v>
      </c>
      <c r="B88">
        <v>832</v>
      </c>
      <c r="C88">
        <v>824</v>
      </c>
      <c r="D88">
        <v>2835.5</v>
      </c>
      <c r="E88">
        <v>2798.5</v>
      </c>
      <c r="F88">
        <v>0.29444345184920401</v>
      </c>
      <c r="G88">
        <v>0.29704992250883999</v>
      </c>
      <c r="H88">
        <v>7.5812542986699698E-3</v>
      </c>
      <c r="I88">
        <v>-0.34380467360029099</v>
      </c>
      <c r="J88">
        <v>-0.89</v>
      </c>
      <c r="L88">
        <v>0.30463117680750995</v>
      </c>
      <c r="M88">
        <v>0.28946866821017003</v>
      </c>
      <c r="N88">
        <v>0.31221243110617991</v>
      </c>
      <c r="O88">
        <v>0.28188741391150007</v>
      </c>
    </row>
    <row r="89" spans="1:15">
      <c r="A89" s="19">
        <v>43735</v>
      </c>
      <c r="B89">
        <v>837</v>
      </c>
      <c r="C89">
        <v>834</v>
      </c>
      <c r="D89">
        <v>2855</v>
      </c>
      <c r="E89">
        <v>2840</v>
      </c>
      <c r="F89">
        <v>0.29366197183098502</v>
      </c>
      <c r="G89">
        <v>0.29718021310600701</v>
      </c>
      <c r="H89">
        <v>7.6192136629822504E-3</v>
      </c>
      <c r="I89">
        <v>-0.461759104107413</v>
      </c>
      <c r="J89">
        <v>-1.2</v>
      </c>
      <c r="L89">
        <v>0.30479942676898925</v>
      </c>
      <c r="M89">
        <v>0.28956099944302477</v>
      </c>
      <c r="N89">
        <v>0.31241864043197148</v>
      </c>
      <c r="O89">
        <v>0.28194178578004253</v>
      </c>
    </row>
    <row r="90" spans="1:15">
      <c r="A90" s="19">
        <v>43734</v>
      </c>
      <c r="B90">
        <v>868</v>
      </c>
      <c r="C90">
        <v>851</v>
      </c>
      <c r="D90">
        <v>2889</v>
      </c>
      <c r="E90">
        <v>2898.5</v>
      </c>
      <c r="F90">
        <v>0.29360013800241502</v>
      </c>
      <c r="G90">
        <v>0.29729349712667802</v>
      </c>
      <c r="H90">
        <v>7.6292173739275302E-3</v>
      </c>
      <c r="I90">
        <v>-0.48410720828130999</v>
      </c>
      <c r="J90">
        <v>-1.26</v>
      </c>
      <c r="L90">
        <v>0.30492271450060554</v>
      </c>
      <c r="M90">
        <v>0.2896642797527505</v>
      </c>
      <c r="N90">
        <v>0.31255193187453306</v>
      </c>
      <c r="O90">
        <v>0.28203506237882298</v>
      </c>
    </row>
    <row r="91" spans="1:15">
      <c r="A91" s="19">
        <v>43733</v>
      </c>
      <c r="B91">
        <v>833</v>
      </c>
      <c r="C91">
        <v>841</v>
      </c>
      <c r="D91">
        <v>2812</v>
      </c>
      <c r="E91">
        <v>2860</v>
      </c>
      <c r="F91">
        <v>0.29405594405594399</v>
      </c>
      <c r="G91">
        <v>0.29740122939913699</v>
      </c>
      <c r="H91">
        <v>7.6333499685829996E-3</v>
      </c>
      <c r="I91">
        <v>-0.43824603312587201</v>
      </c>
      <c r="J91">
        <v>-1.1399999999999999</v>
      </c>
      <c r="L91">
        <v>0.30503457936771999</v>
      </c>
      <c r="M91">
        <v>0.28976787943055399</v>
      </c>
      <c r="N91">
        <v>0.312667929336303</v>
      </c>
      <c r="O91">
        <v>0.28213452946197098</v>
      </c>
    </row>
    <row r="92" spans="1:15">
      <c r="A92" s="19">
        <v>43732</v>
      </c>
      <c r="B92">
        <v>839</v>
      </c>
      <c r="C92">
        <v>842</v>
      </c>
      <c r="D92">
        <v>2872.5</v>
      </c>
      <c r="E92">
        <v>2858.5</v>
      </c>
      <c r="F92">
        <v>0.29456008396011801</v>
      </c>
      <c r="G92">
        <v>0.297470023100114</v>
      </c>
      <c r="H92">
        <v>7.62613749203801E-3</v>
      </c>
      <c r="I92">
        <v>-0.381574439620809</v>
      </c>
      <c r="J92">
        <v>-0.99</v>
      </c>
      <c r="L92">
        <v>0.305096160592152</v>
      </c>
      <c r="M92">
        <v>0.289843885608076</v>
      </c>
      <c r="N92">
        <v>0.31272229808419</v>
      </c>
      <c r="O92">
        <v>0.282217748116038</v>
      </c>
    </row>
    <row r="93" spans="1:15">
      <c r="A93" s="19">
        <v>43728</v>
      </c>
      <c r="B93">
        <v>850</v>
      </c>
      <c r="C93">
        <v>852</v>
      </c>
      <c r="D93">
        <v>2906.5</v>
      </c>
      <c r="E93">
        <v>2905.5</v>
      </c>
      <c r="F93">
        <v>0.29323696437790397</v>
      </c>
      <c r="G93">
        <v>0.29760218560616802</v>
      </c>
      <c r="H93">
        <v>7.66037571020686E-3</v>
      </c>
      <c r="I93">
        <v>-0.56984427310110097</v>
      </c>
      <c r="J93">
        <v>-1.49</v>
      </c>
      <c r="L93">
        <v>0.30526256131637486</v>
      </c>
      <c r="M93">
        <v>0.28994180989596119</v>
      </c>
      <c r="N93">
        <v>0.31292293702658175</v>
      </c>
      <c r="O93">
        <v>0.2822814341857543</v>
      </c>
    </row>
    <row r="94" spans="1:15">
      <c r="A94" s="19">
        <v>43727</v>
      </c>
      <c r="B94">
        <v>835</v>
      </c>
      <c r="C94">
        <v>836</v>
      </c>
      <c r="D94">
        <v>2910</v>
      </c>
      <c r="E94">
        <v>2885.5</v>
      </c>
      <c r="F94">
        <v>0.28972448449142202</v>
      </c>
      <c r="G94">
        <v>0.29772131291710002</v>
      </c>
      <c r="H94">
        <v>7.6610364369300004E-3</v>
      </c>
      <c r="I94">
        <v>-1.04383114367256</v>
      </c>
      <c r="J94">
        <v>-2.76</v>
      </c>
      <c r="L94">
        <v>0.30538234935403002</v>
      </c>
      <c r="M94">
        <v>0.29006027648017002</v>
      </c>
      <c r="N94">
        <v>0.31304338579096003</v>
      </c>
      <c r="O94">
        <v>0.28239924004324002</v>
      </c>
    </row>
    <row r="95" spans="1:15">
      <c r="A95" s="19">
        <v>43726</v>
      </c>
      <c r="B95">
        <v>846</v>
      </c>
      <c r="C95">
        <v>840</v>
      </c>
      <c r="D95">
        <v>2907</v>
      </c>
      <c r="E95">
        <v>2897</v>
      </c>
      <c r="F95">
        <v>0.28995512599240503</v>
      </c>
      <c r="G95">
        <v>0.29783400444305103</v>
      </c>
      <c r="H95">
        <v>7.6045304794852102E-3</v>
      </c>
      <c r="I95">
        <v>-1.03607691124399</v>
      </c>
      <c r="J95">
        <v>-2.72</v>
      </c>
      <c r="L95">
        <v>0.30543853492253625</v>
      </c>
      <c r="M95">
        <v>0.2902294739635658</v>
      </c>
      <c r="N95">
        <v>0.31304306540202143</v>
      </c>
      <c r="O95">
        <v>0.28262494348408063</v>
      </c>
    </row>
    <row r="96" spans="1:15">
      <c r="A96" s="19">
        <v>43725</v>
      </c>
      <c r="B96">
        <v>853</v>
      </c>
      <c r="C96">
        <v>848</v>
      </c>
      <c r="D96">
        <v>2914</v>
      </c>
      <c r="E96">
        <v>2928</v>
      </c>
      <c r="F96">
        <v>0.28961748633879703</v>
      </c>
      <c r="G96">
        <v>0.297981515877701</v>
      </c>
      <c r="H96">
        <v>7.5574232787455099E-3</v>
      </c>
      <c r="I96">
        <v>-1.1067303273095901</v>
      </c>
      <c r="J96">
        <v>-2.89</v>
      </c>
      <c r="L96">
        <v>0.30553893915644653</v>
      </c>
      <c r="M96">
        <v>0.29042409259895546</v>
      </c>
      <c r="N96">
        <v>0.31309636243519201</v>
      </c>
      <c r="O96">
        <v>0.28286666932020998</v>
      </c>
    </row>
    <row r="97" spans="1:15">
      <c r="A97" s="19">
        <v>43721</v>
      </c>
      <c r="B97">
        <v>864</v>
      </c>
      <c r="C97">
        <v>861</v>
      </c>
      <c r="D97">
        <v>2960</v>
      </c>
      <c r="E97">
        <v>2933</v>
      </c>
      <c r="F97">
        <v>0.29355608591885402</v>
      </c>
      <c r="G97">
        <v>0.29804916571676598</v>
      </c>
      <c r="H97">
        <v>7.50477562378304E-3</v>
      </c>
      <c r="I97">
        <v>-0.59869608675214603</v>
      </c>
      <c r="J97">
        <v>-1.53</v>
      </c>
      <c r="L97">
        <v>0.30555394134054903</v>
      </c>
      <c r="M97">
        <v>0.29054439009298294</v>
      </c>
      <c r="N97">
        <v>0.31305871696433207</v>
      </c>
      <c r="O97">
        <v>0.2830396144691999</v>
      </c>
    </row>
    <row r="98" spans="1:15">
      <c r="A98" s="19">
        <v>43720</v>
      </c>
      <c r="B98">
        <v>850</v>
      </c>
      <c r="C98">
        <v>855</v>
      </c>
      <c r="D98">
        <v>2894</v>
      </c>
      <c r="E98">
        <v>2929.5</v>
      </c>
      <c r="F98">
        <v>0.29185867895545298</v>
      </c>
      <c r="G98">
        <v>0.29802538298848202</v>
      </c>
      <c r="H98">
        <v>7.5217835849944502E-3</v>
      </c>
      <c r="I98">
        <v>-0.81984597979281104</v>
      </c>
      <c r="J98">
        <v>-2.11</v>
      </c>
      <c r="L98">
        <v>0.30554716657347647</v>
      </c>
      <c r="M98">
        <v>0.29050359940348758</v>
      </c>
      <c r="N98">
        <v>0.31306895015847092</v>
      </c>
      <c r="O98">
        <v>0.28298181581849313</v>
      </c>
    </row>
    <row r="99" spans="1:15">
      <c r="A99" s="19">
        <v>43719</v>
      </c>
      <c r="B99">
        <v>831</v>
      </c>
      <c r="C99">
        <v>841</v>
      </c>
      <c r="D99">
        <v>2825</v>
      </c>
      <c r="E99">
        <v>2895.5</v>
      </c>
      <c r="F99">
        <v>0.29045069936107698</v>
      </c>
      <c r="G99">
        <v>0.29805210481420202</v>
      </c>
      <c r="H99">
        <v>7.5033657288166699E-3</v>
      </c>
      <c r="I99">
        <v>-1.0130660996480501</v>
      </c>
      <c r="J99">
        <v>-2.62</v>
      </c>
      <c r="L99">
        <v>0.30555547054301868</v>
      </c>
      <c r="M99">
        <v>0.29054873908538537</v>
      </c>
      <c r="N99">
        <v>0.31305883627183534</v>
      </c>
      <c r="O99">
        <v>0.28304537335656871</v>
      </c>
    </row>
    <row r="100" spans="1:15">
      <c r="A100" s="19">
        <v>43718</v>
      </c>
      <c r="B100">
        <v>792</v>
      </c>
      <c r="C100">
        <v>819</v>
      </c>
      <c r="D100">
        <v>2753</v>
      </c>
      <c r="E100">
        <v>2791</v>
      </c>
      <c r="F100">
        <v>0.29344321031888199</v>
      </c>
      <c r="G100">
        <v>0.29808905791538798</v>
      </c>
      <c r="H100">
        <v>7.4726003235495997E-3</v>
      </c>
      <c r="I100">
        <v>-0.62171766123565297</v>
      </c>
      <c r="J100">
        <v>-1.58</v>
      </c>
      <c r="L100">
        <v>0.30556165823893755</v>
      </c>
      <c r="M100">
        <v>0.29061645759183841</v>
      </c>
      <c r="N100">
        <v>0.31303425856248718</v>
      </c>
      <c r="O100">
        <v>0.28314385726828878</v>
      </c>
    </row>
    <row r="101" spans="1:15">
      <c r="A101" s="19">
        <v>43717</v>
      </c>
      <c r="B101">
        <v>778</v>
      </c>
      <c r="C101">
        <v>778</v>
      </c>
      <c r="D101">
        <v>2716.5</v>
      </c>
      <c r="E101">
        <v>2727</v>
      </c>
      <c r="F101">
        <v>0.28529519618628502</v>
      </c>
      <c r="G101">
        <v>0.29807134438234301</v>
      </c>
      <c r="H101">
        <v>7.4851561954362199E-3</v>
      </c>
      <c r="I101">
        <v>-1.70686460809563</v>
      </c>
      <c r="J101">
        <v>-4.4800000000000004</v>
      </c>
      <c r="L101">
        <v>0.30555650057777922</v>
      </c>
      <c r="M101">
        <v>0.29058618818690679</v>
      </c>
      <c r="N101">
        <v>0.31304165677321544</v>
      </c>
      <c r="O101">
        <v>0.28310103199147058</v>
      </c>
    </row>
    <row r="102" spans="1:15">
      <c r="A102" s="19">
        <v>43714</v>
      </c>
      <c r="B102">
        <v>780</v>
      </c>
      <c r="C102">
        <v>787</v>
      </c>
      <c r="D102">
        <v>2688</v>
      </c>
      <c r="E102">
        <v>2734</v>
      </c>
      <c r="F102">
        <v>0.287856620336503</v>
      </c>
      <c r="G102">
        <v>0.29810611619493599</v>
      </c>
      <c r="H102">
        <v>7.4315903715814298E-3</v>
      </c>
      <c r="I102">
        <v>-1.3791793338915901</v>
      </c>
      <c r="J102">
        <v>-3.56</v>
      </c>
      <c r="L102">
        <v>0.30553770656651741</v>
      </c>
      <c r="M102">
        <v>0.29067452582335457</v>
      </c>
      <c r="N102">
        <v>0.31296929693809883</v>
      </c>
      <c r="O102">
        <v>0.28324293545177315</v>
      </c>
    </row>
    <row r="103" spans="1:15">
      <c r="A103" s="19">
        <v>43713</v>
      </c>
      <c r="B103">
        <v>747</v>
      </c>
      <c r="C103">
        <v>765</v>
      </c>
      <c r="D103">
        <v>2609</v>
      </c>
      <c r="E103">
        <v>2654</v>
      </c>
      <c r="F103">
        <v>0.28824415975885398</v>
      </c>
      <c r="G103">
        <v>0.29814347674360703</v>
      </c>
      <c r="H103">
        <v>7.3868783567493596E-3</v>
      </c>
      <c r="I103">
        <v>-1.3401218358642499</v>
      </c>
      <c r="J103">
        <v>-3.43</v>
      </c>
      <c r="L103">
        <v>0.30553035510035637</v>
      </c>
      <c r="M103">
        <v>0.29075659838685769</v>
      </c>
      <c r="N103">
        <v>0.31291723345710576</v>
      </c>
      <c r="O103">
        <v>0.2833697200301083</v>
      </c>
    </row>
    <row r="104" spans="1:15">
      <c r="A104" s="19">
        <v>43712</v>
      </c>
      <c r="B104">
        <v>747</v>
      </c>
      <c r="C104">
        <v>737</v>
      </c>
      <c r="D104">
        <v>2560</v>
      </c>
      <c r="E104">
        <v>2577</v>
      </c>
      <c r="F104">
        <v>0.28599146294140398</v>
      </c>
      <c r="G104">
        <v>0.29814135102419798</v>
      </c>
      <c r="H104">
        <v>7.3897491554487703E-3</v>
      </c>
      <c r="I104">
        <v>-1.6441543315222</v>
      </c>
      <c r="J104">
        <v>-4.25</v>
      </c>
      <c r="L104">
        <v>0.30553110017964674</v>
      </c>
      <c r="M104">
        <v>0.29075160186874921</v>
      </c>
      <c r="N104">
        <v>0.31292084933509551</v>
      </c>
      <c r="O104">
        <v>0.28336185271330044</v>
      </c>
    </row>
    <row r="105" spans="1:15">
      <c r="A105" s="19">
        <v>43711</v>
      </c>
      <c r="B105">
        <v>752</v>
      </c>
      <c r="C105">
        <v>756</v>
      </c>
      <c r="D105">
        <v>2534</v>
      </c>
      <c r="E105">
        <v>2563</v>
      </c>
      <c r="F105">
        <v>0.29496683573936699</v>
      </c>
      <c r="G105">
        <v>0.29814506030431698</v>
      </c>
      <c r="H105">
        <v>7.3837169536751599E-3</v>
      </c>
      <c r="I105">
        <v>-0.43043694454833797</v>
      </c>
      <c r="J105">
        <v>-1.08</v>
      </c>
      <c r="L105">
        <v>0.30552877725799216</v>
      </c>
      <c r="M105">
        <v>0.2907613433506418</v>
      </c>
      <c r="N105">
        <v>0.31291249421166728</v>
      </c>
      <c r="O105">
        <v>0.28337762639696668</v>
      </c>
    </row>
    <row r="106" spans="1:15">
      <c r="A106" s="19">
        <v>43710</v>
      </c>
      <c r="B106">
        <v>752</v>
      </c>
      <c r="C106">
        <v>752</v>
      </c>
      <c r="D106">
        <v>2519</v>
      </c>
      <c r="E106">
        <v>2532.5</v>
      </c>
      <c r="F106">
        <v>0.29693978282329703</v>
      </c>
      <c r="G106">
        <v>0.29808604303499903</v>
      </c>
      <c r="H106">
        <v>7.4264501035114098E-3</v>
      </c>
      <c r="I106">
        <v>-0.15434833543967999</v>
      </c>
      <c r="J106">
        <v>-0.39</v>
      </c>
      <c r="L106">
        <v>0.30551249313851042</v>
      </c>
      <c r="M106">
        <v>0.29065959293148763</v>
      </c>
      <c r="N106">
        <v>0.31293894324202187</v>
      </c>
      <c r="O106">
        <v>0.28323314282797618</v>
      </c>
    </row>
    <row r="107" spans="1:15">
      <c r="A107" s="19">
        <v>43707</v>
      </c>
      <c r="B107">
        <v>741</v>
      </c>
      <c r="C107">
        <v>755</v>
      </c>
      <c r="D107">
        <v>2494.5</v>
      </c>
      <c r="E107">
        <v>2523.5</v>
      </c>
      <c r="F107">
        <v>0.29918763621953598</v>
      </c>
      <c r="G107">
        <v>0.29803406735584398</v>
      </c>
      <c r="H107">
        <v>7.4479007321847403E-3</v>
      </c>
      <c r="I107">
        <v>0.15488510187933499</v>
      </c>
      <c r="J107">
        <v>0.39</v>
      </c>
      <c r="L107">
        <v>0.30548196808802874</v>
      </c>
      <c r="M107">
        <v>0.29058616662365921</v>
      </c>
      <c r="N107">
        <v>0.31292986882021345</v>
      </c>
      <c r="O107">
        <v>0.28313826589147451</v>
      </c>
    </row>
    <row r="108" spans="1:15">
      <c r="A108" s="19">
        <v>43706</v>
      </c>
      <c r="B108">
        <v>738</v>
      </c>
      <c r="C108">
        <v>739</v>
      </c>
      <c r="D108">
        <v>2470</v>
      </c>
      <c r="E108">
        <v>2470</v>
      </c>
      <c r="F108">
        <v>0.299190283400809</v>
      </c>
      <c r="G108">
        <v>0.29795220725081401</v>
      </c>
      <c r="H108">
        <v>7.4684832772571501E-3</v>
      </c>
      <c r="I108">
        <v>0.16577343806414499</v>
      </c>
      <c r="J108">
        <v>0.41</v>
      </c>
      <c r="L108">
        <v>0.30542069052807114</v>
      </c>
      <c r="M108">
        <v>0.29048372397355687</v>
      </c>
      <c r="N108">
        <v>0.31288917380532832</v>
      </c>
      <c r="O108">
        <v>0.28301524069629969</v>
      </c>
    </row>
    <row r="109" spans="1:15">
      <c r="A109" s="19">
        <v>43705</v>
      </c>
      <c r="B109">
        <v>737</v>
      </c>
      <c r="C109">
        <v>734</v>
      </c>
      <c r="D109">
        <v>2482</v>
      </c>
      <c r="E109">
        <v>2490</v>
      </c>
      <c r="F109">
        <v>0.29477911646586302</v>
      </c>
      <c r="G109">
        <v>0.29787309979750198</v>
      </c>
      <c r="H109">
        <v>7.48635101760174E-3</v>
      </c>
      <c r="I109">
        <v>-0.413283230289957</v>
      </c>
      <c r="J109">
        <v>-1.05</v>
      </c>
      <c r="L109">
        <v>0.30535945081510374</v>
      </c>
      <c r="M109">
        <v>0.29038674877990023</v>
      </c>
      <c r="N109">
        <v>0.31284580183270544</v>
      </c>
      <c r="O109">
        <v>0.28290039776229853</v>
      </c>
    </row>
    <row r="110" spans="1:15">
      <c r="A110" s="19">
        <v>43704</v>
      </c>
      <c r="B110">
        <v>715</v>
      </c>
      <c r="C110">
        <v>730</v>
      </c>
      <c r="D110">
        <v>2486.5</v>
      </c>
      <c r="E110">
        <v>2484</v>
      </c>
      <c r="F110">
        <v>0.29388083735909798</v>
      </c>
      <c r="G110">
        <v>0.29775358796117501</v>
      </c>
      <c r="H110">
        <v>7.60538852823769E-3</v>
      </c>
      <c r="I110">
        <v>-0.50921140816124699</v>
      </c>
      <c r="J110">
        <v>-1.32</v>
      </c>
      <c r="L110">
        <v>0.30535897648941268</v>
      </c>
      <c r="M110">
        <v>0.29014819943293735</v>
      </c>
      <c r="N110">
        <v>0.3129643650176504</v>
      </c>
      <c r="O110">
        <v>0.28254281090469963</v>
      </c>
    </row>
    <row r="111" spans="1:15">
      <c r="A111" s="19">
        <v>43703</v>
      </c>
      <c r="B111">
        <v>698</v>
      </c>
      <c r="C111">
        <v>700</v>
      </c>
      <c r="D111">
        <v>2415</v>
      </c>
      <c r="E111">
        <v>2453</v>
      </c>
      <c r="F111">
        <v>0.28536485935589001</v>
      </c>
      <c r="G111">
        <v>0.29805363254026701</v>
      </c>
      <c r="H111">
        <v>7.88542443217349E-3</v>
      </c>
      <c r="I111">
        <v>-1.6091427029095</v>
      </c>
      <c r="J111">
        <v>-4.45</v>
      </c>
      <c r="L111">
        <v>0.3059390569724405</v>
      </c>
      <c r="M111">
        <v>0.29016820810809352</v>
      </c>
      <c r="N111">
        <v>0.313824481404614</v>
      </c>
      <c r="O111">
        <v>0.28228278367592002</v>
      </c>
    </row>
    <row r="112" spans="1:15">
      <c r="A112" s="19">
        <v>43700</v>
      </c>
      <c r="B112">
        <v>725</v>
      </c>
      <c r="C112">
        <v>724</v>
      </c>
      <c r="D112">
        <v>2459.5</v>
      </c>
      <c r="E112">
        <v>2488.5</v>
      </c>
      <c r="F112">
        <v>0.29093831625477101</v>
      </c>
      <c r="G112">
        <v>0.29849746635094898</v>
      </c>
      <c r="H112">
        <v>8.0928147622598891E-3</v>
      </c>
      <c r="I112">
        <v>-0.93405697748434102</v>
      </c>
      <c r="J112">
        <v>-2.6</v>
      </c>
      <c r="L112">
        <v>0.30659028111320885</v>
      </c>
      <c r="M112">
        <v>0.29040465158868911</v>
      </c>
      <c r="N112">
        <v>0.31468309587546878</v>
      </c>
      <c r="O112">
        <v>0.28231183682642919</v>
      </c>
    </row>
    <row r="113" spans="1:15">
      <c r="A113" s="19">
        <v>43699</v>
      </c>
      <c r="B113">
        <v>712</v>
      </c>
      <c r="C113">
        <v>719</v>
      </c>
      <c r="D113">
        <v>2473.5</v>
      </c>
      <c r="E113">
        <v>2476</v>
      </c>
      <c r="F113">
        <v>0.29038772213247099</v>
      </c>
      <c r="G113">
        <v>0.29880182004914302</v>
      </c>
      <c r="H113">
        <v>8.2308594356257508E-3</v>
      </c>
      <c r="I113">
        <v>-1.0222623752086799</v>
      </c>
      <c r="J113">
        <v>-2.9</v>
      </c>
      <c r="L113">
        <v>0.30703267948476876</v>
      </c>
      <c r="M113">
        <v>0.29057096061351728</v>
      </c>
      <c r="N113">
        <v>0.31526353892039449</v>
      </c>
      <c r="O113">
        <v>0.28234010117789154</v>
      </c>
    </row>
    <row r="114" spans="1:15">
      <c r="A114" s="19">
        <v>43698</v>
      </c>
      <c r="B114">
        <v>706</v>
      </c>
      <c r="C114">
        <v>710</v>
      </c>
      <c r="D114">
        <v>2465</v>
      </c>
      <c r="E114">
        <v>2480.5</v>
      </c>
      <c r="F114">
        <v>0.286232614392259</v>
      </c>
      <c r="G114">
        <v>0.29910721265665402</v>
      </c>
      <c r="H114">
        <v>8.33723120425711E-3</v>
      </c>
      <c r="I114">
        <v>-1.5442294868613899</v>
      </c>
      <c r="J114">
        <v>-4.5</v>
      </c>
      <c r="L114">
        <v>0.30744444386091113</v>
      </c>
      <c r="M114">
        <v>0.29076998145239691</v>
      </c>
      <c r="N114">
        <v>0.31578167506516824</v>
      </c>
      <c r="O114">
        <v>0.2824327502481398</v>
      </c>
    </row>
    <row r="115" spans="1:15">
      <c r="A115" s="19">
        <v>43697</v>
      </c>
      <c r="B115">
        <v>715</v>
      </c>
      <c r="C115">
        <v>721</v>
      </c>
      <c r="D115">
        <v>2474.5</v>
      </c>
      <c r="E115">
        <v>2495</v>
      </c>
      <c r="F115">
        <v>0.28897795591182301</v>
      </c>
      <c r="G115">
        <v>0.29959046607069101</v>
      </c>
      <c r="H115">
        <v>8.6225021207990207E-3</v>
      </c>
      <c r="I115">
        <v>-1.2307924092321401</v>
      </c>
      <c r="J115">
        <v>-3.67</v>
      </c>
      <c r="L115">
        <v>0.30821296819149002</v>
      </c>
      <c r="M115">
        <v>0.29096796394989199</v>
      </c>
      <c r="N115">
        <v>0.31683547031228904</v>
      </c>
      <c r="O115">
        <v>0.28234546182909298</v>
      </c>
    </row>
    <row r="116" spans="1:15">
      <c r="A116" s="19">
        <v>43696</v>
      </c>
      <c r="B116">
        <v>724</v>
      </c>
      <c r="C116">
        <v>719</v>
      </c>
      <c r="D116">
        <v>2462</v>
      </c>
      <c r="E116">
        <v>2472</v>
      </c>
      <c r="F116">
        <v>0.29085760517799297</v>
      </c>
      <c r="G116">
        <v>0.300151812058426</v>
      </c>
      <c r="H116">
        <v>9.2601864104480403E-3</v>
      </c>
      <c r="I116">
        <v>-1.00367384288788</v>
      </c>
      <c r="J116">
        <v>-3.2</v>
      </c>
      <c r="L116">
        <v>0.30941199846887402</v>
      </c>
      <c r="M116">
        <v>0.29089162564797799</v>
      </c>
      <c r="N116">
        <v>0.31867218487932208</v>
      </c>
      <c r="O116">
        <v>0.28163143923752992</v>
      </c>
    </row>
    <row r="117" spans="1:15">
      <c r="A117" s="19">
        <v>43693</v>
      </c>
      <c r="B117">
        <v>710</v>
      </c>
      <c r="C117">
        <v>715</v>
      </c>
      <c r="D117">
        <v>2430.5</v>
      </c>
      <c r="E117">
        <v>2458.5</v>
      </c>
      <c r="F117">
        <v>0.29082774049216997</v>
      </c>
      <c r="G117">
        <v>0.30076843162136202</v>
      </c>
      <c r="H117">
        <v>1.01205399809794E-2</v>
      </c>
      <c r="I117">
        <v>-0.98222932253363804</v>
      </c>
      <c r="J117">
        <v>-3.42</v>
      </c>
      <c r="L117">
        <v>0.31088897160234141</v>
      </c>
      <c r="M117">
        <v>0.29064789164038263</v>
      </c>
      <c r="N117">
        <v>0.32100951158332081</v>
      </c>
      <c r="O117">
        <v>0.28052735165940323</v>
      </c>
    </row>
    <row r="118" spans="1:15">
      <c r="A118" s="19">
        <v>43692</v>
      </c>
      <c r="B118">
        <v>715</v>
      </c>
      <c r="C118">
        <v>718</v>
      </c>
      <c r="D118">
        <v>2433.5</v>
      </c>
      <c r="E118">
        <v>2460</v>
      </c>
      <c r="F118">
        <v>0.29186991869918699</v>
      </c>
      <c r="G118">
        <v>0.30138685244580699</v>
      </c>
      <c r="H118">
        <v>1.08826075961249E-2</v>
      </c>
      <c r="I118">
        <v>-0.87450858285190103</v>
      </c>
      <c r="J118">
        <v>-3.26</v>
      </c>
      <c r="L118">
        <v>0.3122694600419319</v>
      </c>
      <c r="M118">
        <v>0.29050424484968207</v>
      </c>
      <c r="N118">
        <v>0.32315206763805676</v>
      </c>
      <c r="O118">
        <v>0.27962163725355721</v>
      </c>
    </row>
    <row r="119" spans="1:15">
      <c r="A119" s="19">
        <v>43691</v>
      </c>
      <c r="B119">
        <v>736</v>
      </c>
      <c r="C119">
        <v>733</v>
      </c>
      <c r="D119">
        <v>2506.5</v>
      </c>
      <c r="E119">
        <v>2495.5</v>
      </c>
      <c r="F119">
        <v>0.29372871168102499</v>
      </c>
      <c r="G119">
        <v>0.30202109291514601</v>
      </c>
      <c r="H119">
        <v>1.16673223593534E-2</v>
      </c>
      <c r="I119">
        <v>-0.71073558942790904</v>
      </c>
      <c r="J119">
        <v>-2.82</v>
      </c>
      <c r="L119">
        <v>0.31368841527449942</v>
      </c>
      <c r="M119">
        <v>0.29035377055579259</v>
      </c>
      <c r="N119">
        <v>0.32535573763385278</v>
      </c>
      <c r="O119">
        <v>0.27868644819643923</v>
      </c>
    </row>
    <row r="120" spans="1:15">
      <c r="A120" s="19">
        <v>43690</v>
      </c>
      <c r="B120">
        <v>727</v>
      </c>
      <c r="C120">
        <v>726</v>
      </c>
      <c r="D120">
        <v>2500.5</v>
      </c>
      <c r="E120">
        <v>2482</v>
      </c>
      <c r="F120">
        <v>0.29250604351329501</v>
      </c>
      <c r="G120">
        <v>0.30259084726179603</v>
      </c>
      <c r="H120">
        <v>1.22759542065624E-2</v>
      </c>
      <c r="I120">
        <v>-0.82150874618851999</v>
      </c>
      <c r="J120">
        <v>-3.45</v>
      </c>
      <c r="L120">
        <v>0.31486680146835844</v>
      </c>
      <c r="M120">
        <v>0.29031489305523361</v>
      </c>
      <c r="N120">
        <v>0.32714275567492085</v>
      </c>
      <c r="O120">
        <v>0.2780389388486712</v>
      </c>
    </row>
    <row r="121" spans="1:15">
      <c r="A121" s="19">
        <v>43686</v>
      </c>
      <c r="B121">
        <v>750</v>
      </c>
      <c r="C121">
        <v>742</v>
      </c>
      <c r="D121">
        <v>2556</v>
      </c>
      <c r="E121">
        <v>2542</v>
      </c>
      <c r="F121">
        <v>0.29189614476789899</v>
      </c>
      <c r="G121">
        <v>0.30312138273637901</v>
      </c>
      <c r="H121">
        <v>1.2681757892366001E-2</v>
      </c>
      <c r="I121">
        <v>-0.885148420570122</v>
      </c>
      <c r="J121">
        <v>-3.85</v>
      </c>
      <c r="L121">
        <v>0.31580314062874498</v>
      </c>
      <c r="M121">
        <v>0.29043962484401303</v>
      </c>
      <c r="N121">
        <v>0.32848489852111101</v>
      </c>
      <c r="O121">
        <v>0.277757866951647</v>
      </c>
    </row>
    <row r="122" spans="1:15">
      <c r="A122" s="19">
        <v>43685</v>
      </c>
      <c r="B122">
        <v>759</v>
      </c>
      <c r="C122">
        <v>745</v>
      </c>
      <c r="D122">
        <v>2519.5</v>
      </c>
      <c r="E122">
        <v>2535</v>
      </c>
      <c r="F122">
        <v>0.29388560157790899</v>
      </c>
      <c r="G122">
        <v>0.30373416600067299</v>
      </c>
      <c r="H122">
        <v>1.32233488064429E-2</v>
      </c>
      <c r="I122">
        <v>-0.74478595149553095</v>
      </c>
      <c r="J122">
        <v>-3.35</v>
      </c>
      <c r="L122">
        <v>0.31695751480711587</v>
      </c>
      <c r="M122">
        <v>0.29051081719423011</v>
      </c>
      <c r="N122">
        <v>0.33018086361355881</v>
      </c>
      <c r="O122">
        <v>0.27728746838778717</v>
      </c>
    </row>
    <row r="123" spans="1:15">
      <c r="A123" s="19">
        <v>43684</v>
      </c>
      <c r="B123">
        <v>793</v>
      </c>
      <c r="C123">
        <v>789</v>
      </c>
      <c r="D123">
        <v>2538.5</v>
      </c>
      <c r="E123">
        <v>2536.5</v>
      </c>
      <c r="F123">
        <v>0.31105854523950299</v>
      </c>
      <c r="G123">
        <v>0.30429412768432901</v>
      </c>
      <c r="H123">
        <v>1.3675910963273899E-2</v>
      </c>
      <c r="I123">
        <v>0.49462281330576702</v>
      </c>
      <c r="J123">
        <v>2.17</v>
      </c>
      <c r="L123">
        <v>0.31797003864760293</v>
      </c>
      <c r="M123">
        <v>0.29061821672105509</v>
      </c>
      <c r="N123">
        <v>0.33164594961087679</v>
      </c>
      <c r="O123">
        <v>0.27694230575778123</v>
      </c>
    </row>
    <row r="124" spans="1:15">
      <c r="A124" s="19">
        <v>43683</v>
      </c>
      <c r="B124">
        <v>778</v>
      </c>
      <c r="C124">
        <v>802</v>
      </c>
      <c r="D124">
        <v>2516</v>
      </c>
      <c r="E124">
        <v>2560.5</v>
      </c>
      <c r="F124">
        <v>0.31322007420425602</v>
      </c>
      <c r="G124">
        <v>0.30466949755671502</v>
      </c>
      <c r="H124">
        <v>1.4231501882280799E-2</v>
      </c>
      <c r="I124">
        <v>0.60082039958039302</v>
      </c>
      <c r="J124">
        <v>2.73</v>
      </c>
      <c r="L124">
        <v>0.3189009994389958</v>
      </c>
      <c r="M124">
        <v>0.29043799567443424</v>
      </c>
      <c r="N124">
        <v>0.33313250132127664</v>
      </c>
      <c r="O124">
        <v>0.2762064937921534</v>
      </c>
    </row>
    <row r="125" spans="1:15">
      <c r="A125" s="19">
        <v>43682</v>
      </c>
      <c r="B125">
        <v>808</v>
      </c>
      <c r="C125">
        <v>807</v>
      </c>
      <c r="D125">
        <v>2612.5</v>
      </c>
      <c r="E125">
        <v>2566</v>
      </c>
      <c r="F125">
        <v>0.31449727201870598</v>
      </c>
      <c r="G125">
        <v>0.30496648759919998</v>
      </c>
      <c r="H125">
        <v>1.4633575994397E-2</v>
      </c>
      <c r="I125">
        <v>0.65129565207813001</v>
      </c>
      <c r="J125">
        <v>3.03</v>
      </c>
      <c r="L125">
        <v>0.31960006359359699</v>
      </c>
      <c r="M125">
        <v>0.29033291160480296</v>
      </c>
      <c r="N125">
        <v>0.33423363958799396</v>
      </c>
      <c r="O125">
        <v>0.27569933561040599</v>
      </c>
    </row>
    <row r="126" spans="1:15">
      <c r="A126" s="19">
        <v>43679</v>
      </c>
      <c r="B126">
        <v>820</v>
      </c>
      <c r="C126">
        <v>818</v>
      </c>
      <c r="D126">
        <v>2675</v>
      </c>
      <c r="E126">
        <v>2613</v>
      </c>
      <c r="F126">
        <v>0.31305013394565601</v>
      </c>
      <c r="G126">
        <v>0.30527113034834102</v>
      </c>
      <c r="H126">
        <v>1.5060419923049E-2</v>
      </c>
      <c r="I126">
        <v>0.51651970111466905</v>
      </c>
      <c r="J126">
        <v>2.48</v>
      </c>
      <c r="L126">
        <v>0.32033155027139004</v>
      </c>
      <c r="M126">
        <v>0.29021071042529201</v>
      </c>
      <c r="N126">
        <v>0.335391970194439</v>
      </c>
      <c r="O126">
        <v>0.27515029050224304</v>
      </c>
    </row>
    <row r="127" spans="1:15">
      <c r="A127" s="19">
        <v>43678</v>
      </c>
      <c r="B127">
        <v>840</v>
      </c>
      <c r="C127">
        <v>847</v>
      </c>
      <c r="D127">
        <v>2699</v>
      </c>
      <c r="E127">
        <v>2722.5</v>
      </c>
      <c r="F127">
        <v>0.31111111111111101</v>
      </c>
      <c r="G127">
        <v>0.305575859945663</v>
      </c>
      <c r="H127">
        <v>1.54411425406256E-2</v>
      </c>
      <c r="I127">
        <v>0.35847419651004803</v>
      </c>
      <c r="J127">
        <v>1.78</v>
      </c>
      <c r="L127">
        <v>0.32101700248628862</v>
      </c>
      <c r="M127">
        <v>0.29013471740503738</v>
      </c>
      <c r="N127">
        <v>0.33645814502691418</v>
      </c>
      <c r="O127">
        <v>0.27469357486441182</v>
      </c>
    </row>
    <row r="128" spans="1:15">
      <c r="A128" s="19">
        <v>43677</v>
      </c>
      <c r="B128">
        <v>857</v>
      </c>
      <c r="C128">
        <v>855</v>
      </c>
      <c r="D128">
        <v>2731.5</v>
      </c>
      <c r="E128">
        <v>2710.5</v>
      </c>
      <c r="F128">
        <v>0.31543995572772499</v>
      </c>
      <c r="G128">
        <v>0.30590608329878699</v>
      </c>
      <c r="H128">
        <v>1.5816261682793001E-2</v>
      </c>
      <c r="I128">
        <v>0.60278924439586601</v>
      </c>
      <c r="J128">
        <v>3.02</v>
      </c>
      <c r="L128">
        <v>0.32172234498157998</v>
      </c>
      <c r="M128">
        <v>0.290089821615994</v>
      </c>
      <c r="N128">
        <v>0.33753860666437296</v>
      </c>
      <c r="O128">
        <v>0.27427355993320102</v>
      </c>
    </row>
    <row r="129" spans="1:15">
      <c r="A129" s="19">
        <v>43676</v>
      </c>
      <c r="B129">
        <v>854</v>
      </c>
      <c r="C129">
        <v>872</v>
      </c>
      <c r="D129">
        <v>2776.5</v>
      </c>
      <c r="E129">
        <v>2772</v>
      </c>
      <c r="F129">
        <v>0.31457431457431401</v>
      </c>
      <c r="G129">
        <v>0.30617163210584097</v>
      </c>
      <c r="H129">
        <v>1.6138021781478398E-2</v>
      </c>
      <c r="I129">
        <v>0.52067611397803204</v>
      </c>
      <c r="J129">
        <v>2.67</v>
      </c>
      <c r="L129">
        <v>0.32230965388731936</v>
      </c>
      <c r="M129">
        <v>0.29003361032436259</v>
      </c>
      <c r="N129">
        <v>0.33844767566879774</v>
      </c>
      <c r="O129">
        <v>0.27389558854288421</v>
      </c>
    </row>
    <row r="130" spans="1:15">
      <c r="A130" s="19">
        <v>43675</v>
      </c>
      <c r="B130">
        <v>860</v>
      </c>
      <c r="C130">
        <v>851</v>
      </c>
      <c r="D130">
        <v>2777.5</v>
      </c>
      <c r="E130">
        <v>2763.5</v>
      </c>
      <c r="F130">
        <v>0.30794282612628898</v>
      </c>
      <c r="G130">
        <v>0.306402179464416</v>
      </c>
      <c r="H130">
        <v>1.6378138898298901E-2</v>
      </c>
      <c r="I130">
        <v>9.4067260721094698E-2</v>
      </c>
      <c r="J130">
        <v>0.5</v>
      </c>
      <c r="L130">
        <v>0.32278031836271492</v>
      </c>
      <c r="M130">
        <v>0.29002404056611708</v>
      </c>
      <c r="N130">
        <v>0.33915845726101379</v>
      </c>
      <c r="O130">
        <v>0.27364590166781821</v>
      </c>
    </row>
    <row r="131" spans="1:15">
      <c r="A131" s="19">
        <v>43672</v>
      </c>
      <c r="B131">
        <v>872</v>
      </c>
      <c r="C131">
        <v>868</v>
      </c>
      <c r="D131">
        <v>2793</v>
      </c>
      <c r="E131">
        <v>2785.5</v>
      </c>
      <c r="F131">
        <v>0.31161371387542602</v>
      </c>
      <c r="G131">
        <v>0.306674699052012</v>
      </c>
      <c r="H131">
        <v>1.6570422416279498E-2</v>
      </c>
      <c r="I131">
        <v>0.29806209518001497</v>
      </c>
      <c r="J131">
        <v>1.58</v>
      </c>
      <c r="L131">
        <v>0.32324512146829149</v>
      </c>
      <c r="M131">
        <v>0.29010427663573252</v>
      </c>
      <c r="N131">
        <v>0.33981554388457103</v>
      </c>
      <c r="O131">
        <v>0.27353385421945298</v>
      </c>
    </row>
    <row r="132" spans="1:15">
      <c r="A132" s="19">
        <v>43671</v>
      </c>
      <c r="B132">
        <v>879</v>
      </c>
      <c r="C132">
        <v>883</v>
      </c>
      <c r="D132">
        <v>2837</v>
      </c>
      <c r="E132">
        <v>2843</v>
      </c>
      <c r="F132">
        <v>0.31058740766795601</v>
      </c>
      <c r="G132">
        <v>0.30687923284042401</v>
      </c>
      <c r="H132">
        <v>1.6724084761332698E-2</v>
      </c>
      <c r="I132">
        <v>0.221726622440061</v>
      </c>
      <c r="J132">
        <v>1.19</v>
      </c>
      <c r="L132">
        <v>0.3236033176017567</v>
      </c>
      <c r="M132">
        <v>0.29015514807909132</v>
      </c>
      <c r="N132">
        <v>0.34032740236308939</v>
      </c>
      <c r="O132">
        <v>0.27343106331775863</v>
      </c>
    </row>
    <row r="133" spans="1:15">
      <c r="A133" s="19">
        <v>43670</v>
      </c>
      <c r="B133">
        <v>864</v>
      </c>
      <c r="C133">
        <v>866</v>
      </c>
      <c r="D133">
        <v>2840</v>
      </c>
      <c r="E133">
        <v>2850.5</v>
      </c>
      <c r="F133">
        <v>0.30380634976319898</v>
      </c>
      <c r="G133">
        <v>0.30711105775854902</v>
      </c>
      <c r="H133">
        <v>1.6893527530179201E-2</v>
      </c>
      <c r="I133">
        <v>-0.19561977150401</v>
      </c>
      <c r="J133">
        <v>-1.0900000000000001</v>
      </c>
      <c r="L133">
        <v>0.32400458528872822</v>
      </c>
      <c r="M133">
        <v>0.29021753022836982</v>
      </c>
      <c r="N133">
        <v>0.34089811281890742</v>
      </c>
      <c r="O133">
        <v>0.27332400269819063</v>
      </c>
    </row>
    <row r="134" spans="1:15">
      <c r="A134" s="19">
        <v>43669</v>
      </c>
      <c r="B134">
        <v>840</v>
      </c>
      <c r="C134">
        <v>858</v>
      </c>
      <c r="D134">
        <v>2771</v>
      </c>
      <c r="E134">
        <v>2814.5</v>
      </c>
      <c r="F134">
        <v>0.30484988452655798</v>
      </c>
      <c r="G134">
        <v>0.30747873461265501</v>
      </c>
      <c r="H134">
        <v>1.71162182459598E-2</v>
      </c>
      <c r="I134">
        <v>-0.153588254620282</v>
      </c>
      <c r="J134">
        <v>-0.86</v>
      </c>
      <c r="L134">
        <v>0.32459495285861484</v>
      </c>
      <c r="M134">
        <v>0.29036251636669519</v>
      </c>
      <c r="N134">
        <v>0.34171117110457461</v>
      </c>
      <c r="O134">
        <v>0.27324629812073542</v>
      </c>
    </row>
    <row r="135" spans="1:15">
      <c r="A135" s="19">
        <v>43668</v>
      </c>
      <c r="B135">
        <v>828</v>
      </c>
      <c r="C135">
        <v>834</v>
      </c>
      <c r="D135">
        <v>2808</v>
      </c>
      <c r="E135">
        <v>2802</v>
      </c>
      <c r="F135">
        <v>0.297644539614561</v>
      </c>
      <c r="G135">
        <v>0.30783922251846702</v>
      </c>
      <c r="H135">
        <v>1.73402999673123E-2</v>
      </c>
      <c r="I135">
        <v>-0.58791848601950303</v>
      </c>
      <c r="J135">
        <v>-3.43</v>
      </c>
      <c r="L135">
        <v>0.3251795224857793</v>
      </c>
      <c r="M135">
        <v>0.29049892255115473</v>
      </c>
      <c r="N135">
        <v>0.34251982245309159</v>
      </c>
      <c r="O135">
        <v>0.27315862258384244</v>
      </c>
    </row>
    <row r="136" spans="1:15">
      <c r="A136" s="19">
        <v>43665</v>
      </c>
      <c r="B136">
        <v>798</v>
      </c>
      <c r="C136">
        <v>816</v>
      </c>
      <c r="D136">
        <v>2757</v>
      </c>
      <c r="E136">
        <v>2808</v>
      </c>
      <c r="F136">
        <v>0.29059829059829001</v>
      </c>
      <c r="G136">
        <v>0.308249931344037</v>
      </c>
      <c r="H136">
        <v>1.7458360724506999E-2</v>
      </c>
      <c r="I136">
        <v>-1.01107091463452</v>
      </c>
      <c r="J136">
        <v>-6.07</v>
      </c>
      <c r="L136">
        <v>0.32570829206854401</v>
      </c>
      <c r="M136">
        <v>0.29079157061952998</v>
      </c>
      <c r="N136">
        <v>0.34316665279305097</v>
      </c>
      <c r="O136">
        <v>0.27333320989502302</v>
      </c>
    </row>
    <row r="137" spans="1:15">
      <c r="A137" s="19">
        <v>43664</v>
      </c>
      <c r="B137">
        <v>821</v>
      </c>
      <c r="C137">
        <v>801</v>
      </c>
      <c r="D137">
        <v>2800</v>
      </c>
      <c r="E137">
        <v>2751.5</v>
      </c>
      <c r="F137">
        <v>0.29111393785208001</v>
      </c>
      <c r="G137">
        <v>0.30880066963149599</v>
      </c>
      <c r="H137">
        <v>1.7544133701352001E-2</v>
      </c>
      <c r="I137">
        <v>-1.0081279634828899</v>
      </c>
      <c r="J137">
        <v>-6.08</v>
      </c>
      <c r="L137">
        <v>0.32634480333284799</v>
      </c>
      <c r="M137">
        <v>0.291256535930144</v>
      </c>
      <c r="N137">
        <v>0.34388893703419998</v>
      </c>
      <c r="O137">
        <v>0.27371240222879201</v>
      </c>
    </row>
    <row r="138" spans="1:15">
      <c r="A138" s="19">
        <v>43663</v>
      </c>
      <c r="B138">
        <v>838</v>
      </c>
      <c r="C138">
        <v>829</v>
      </c>
      <c r="D138">
        <v>2826.5</v>
      </c>
      <c r="E138">
        <v>2806</v>
      </c>
      <c r="F138">
        <v>0.29543834640056998</v>
      </c>
      <c r="G138">
        <v>0.30933158908533898</v>
      </c>
      <c r="H138">
        <v>1.7603265375959298E-2</v>
      </c>
      <c r="I138">
        <v>-0.78924235862190495</v>
      </c>
      <c r="J138">
        <v>-4.7</v>
      </c>
      <c r="L138">
        <v>0.32693485446129827</v>
      </c>
      <c r="M138">
        <v>0.29172832370937968</v>
      </c>
      <c r="N138">
        <v>0.34453811983725757</v>
      </c>
      <c r="O138">
        <v>0.27412505833342038</v>
      </c>
    </row>
    <row r="139" spans="1:15">
      <c r="A139" s="19">
        <v>43662</v>
      </c>
      <c r="B139">
        <v>831</v>
      </c>
      <c r="C139">
        <v>838</v>
      </c>
      <c r="D139">
        <v>2830</v>
      </c>
      <c r="E139">
        <v>2836.5</v>
      </c>
      <c r="F139">
        <v>0.29543451436629597</v>
      </c>
      <c r="G139">
        <v>0.30978509749057498</v>
      </c>
      <c r="H139">
        <v>1.7677474872765098E-2</v>
      </c>
      <c r="I139">
        <v>-0.81180051039915202</v>
      </c>
      <c r="J139">
        <v>-4.8600000000000003</v>
      </c>
      <c r="L139">
        <v>0.32746257236334009</v>
      </c>
      <c r="M139">
        <v>0.29210762261780987</v>
      </c>
      <c r="N139">
        <v>0.3451400472361052</v>
      </c>
      <c r="O139">
        <v>0.27443014774504476</v>
      </c>
    </row>
    <row r="140" spans="1:15">
      <c r="A140" s="19">
        <v>43658</v>
      </c>
      <c r="B140">
        <v>835</v>
      </c>
      <c r="C140">
        <v>832</v>
      </c>
      <c r="D140">
        <v>2865</v>
      </c>
      <c r="E140">
        <v>2847</v>
      </c>
      <c r="F140">
        <v>0.29223744292237402</v>
      </c>
      <c r="G140">
        <v>0.31016817102528499</v>
      </c>
      <c r="H140">
        <v>1.76736418237372E-2</v>
      </c>
      <c r="I140">
        <v>-1.0145463103607999</v>
      </c>
      <c r="J140">
        <v>-6.14</v>
      </c>
      <c r="L140">
        <v>0.3278418128490222</v>
      </c>
      <c r="M140">
        <v>0.29249452920154778</v>
      </c>
      <c r="N140">
        <v>0.3455154546727594</v>
      </c>
      <c r="O140">
        <v>0.27482088737781057</v>
      </c>
    </row>
    <row r="141" spans="1:15">
      <c r="A141" s="19">
        <v>43657</v>
      </c>
      <c r="B141">
        <v>835</v>
      </c>
      <c r="C141">
        <v>841</v>
      </c>
      <c r="D141">
        <v>2830</v>
      </c>
      <c r="E141">
        <v>2844</v>
      </c>
      <c r="F141">
        <v>0.29571026722925398</v>
      </c>
      <c r="G141">
        <v>0.31048310652202699</v>
      </c>
      <c r="H141">
        <v>1.75614126127621E-2</v>
      </c>
      <c r="I141">
        <v>-0.84121019296800903</v>
      </c>
      <c r="J141">
        <v>-5</v>
      </c>
      <c r="L141">
        <v>0.3280445191347891</v>
      </c>
      <c r="M141">
        <v>0.29292169390926487</v>
      </c>
      <c r="N141">
        <v>0.34560593174755116</v>
      </c>
      <c r="O141">
        <v>0.27536028129650281</v>
      </c>
    </row>
    <row r="142" spans="1:15">
      <c r="A142" s="19">
        <v>43656</v>
      </c>
      <c r="B142">
        <v>830</v>
      </c>
      <c r="C142">
        <v>838</v>
      </c>
      <c r="D142">
        <v>2858.5</v>
      </c>
      <c r="E142">
        <v>2859.5</v>
      </c>
      <c r="F142">
        <v>0.29305822696275502</v>
      </c>
      <c r="G142">
        <v>0.31071888986837598</v>
      </c>
      <c r="H142">
        <v>1.74800107031826E-2</v>
      </c>
      <c r="I142">
        <v>-1.0103347878617199</v>
      </c>
      <c r="J142">
        <v>-6.03</v>
      </c>
      <c r="L142">
        <v>0.32819890057155859</v>
      </c>
      <c r="M142">
        <v>0.29323887916519337</v>
      </c>
      <c r="N142">
        <v>0.34567891127474115</v>
      </c>
      <c r="O142">
        <v>0.27575886846201081</v>
      </c>
    </row>
    <row r="143" spans="1:15">
      <c r="A143" s="19">
        <v>43655</v>
      </c>
      <c r="B143">
        <v>855</v>
      </c>
      <c r="C143">
        <v>843</v>
      </c>
      <c r="D143">
        <v>2855</v>
      </c>
      <c r="E143">
        <v>2852.5</v>
      </c>
      <c r="F143">
        <v>0.29553023663453099</v>
      </c>
      <c r="G143">
        <v>0.31102610652807</v>
      </c>
      <c r="H143">
        <v>1.7369045686945701E-2</v>
      </c>
      <c r="I143">
        <v>-0.89215436316029795</v>
      </c>
      <c r="J143">
        <v>-5.24</v>
      </c>
      <c r="L143">
        <v>0.3283951522150157</v>
      </c>
      <c r="M143">
        <v>0.29365706084112431</v>
      </c>
      <c r="N143">
        <v>0.34576419790196139</v>
      </c>
      <c r="O143">
        <v>0.27628801515417861</v>
      </c>
    </row>
    <row r="144" spans="1:15">
      <c r="A144" s="19">
        <v>43654</v>
      </c>
      <c r="B144">
        <v>871</v>
      </c>
      <c r="C144">
        <v>855</v>
      </c>
      <c r="D144">
        <v>2837</v>
      </c>
      <c r="E144">
        <v>2837</v>
      </c>
      <c r="F144">
        <v>0.30137469157560798</v>
      </c>
      <c r="G144">
        <v>0.31129898436738201</v>
      </c>
      <c r="H144">
        <v>1.72840099632426E-2</v>
      </c>
      <c r="I144">
        <v>-0.57418925428068102</v>
      </c>
      <c r="J144">
        <v>-3.29</v>
      </c>
      <c r="L144">
        <v>0.3285829943306246</v>
      </c>
      <c r="M144">
        <v>0.29401497440413943</v>
      </c>
      <c r="N144">
        <v>0.34586700429386719</v>
      </c>
      <c r="O144">
        <v>0.27673096444089684</v>
      </c>
    </row>
    <row r="145" spans="1:15">
      <c r="A145" s="19">
        <v>43651</v>
      </c>
      <c r="B145">
        <v>848</v>
      </c>
      <c r="C145">
        <v>868</v>
      </c>
      <c r="D145">
        <v>2826.5</v>
      </c>
      <c r="E145">
        <v>2836.5</v>
      </c>
      <c r="F145">
        <v>0.30601092896174797</v>
      </c>
      <c r="G145">
        <v>0.31149280643096899</v>
      </c>
      <c r="H145">
        <v>1.7253111720064902E-2</v>
      </c>
      <c r="I145">
        <v>-0.31773268255407</v>
      </c>
      <c r="J145">
        <v>-1.79</v>
      </c>
      <c r="L145">
        <v>0.32874591815103388</v>
      </c>
      <c r="M145">
        <v>0.29423969471090411</v>
      </c>
      <c r="N145">
        <v>0.34599902987109882</v>
      </c>
      <c r="O145">
        <v>0.27698658299083917</v>
      </c>
    </row>
    <row r="146" spans="1:15">
      <c r="A146" s="19">
        <v>43650</v>
      </c>
      <c r="B146">
        <v>853</v>
      </c>
      <c r="C146">
        <v>848</v>
      </c>
      <c r="D146">
        <v>2805.5</v>
      </c>
      <c r="E146">
        <v>2807.5</v>
      </c>
      <c r="F146">
        <v>0.30204808548530698</v>
      </c>
      <c r="G146">
        <v>0.31165709044896001</v>
      </c>
      <c r="H146">
        <v>1.7258791903417201E-2</v>
      </c>
      <c r="I146">
        <v>-0.55675999904436801</v>
      </c>
      <c r="J146">
        <v>-3.18</v>
      </c>
      <c r="L146">
        <v>0.32891588235237723</v>
      </c>
      <c r="M146">
        <v>0.29439829854554278</v>
      </c>
      <c r="N146">
        <v>0.3461746742557944</v>
      </c>
      <c r="O146">
        <v>0.27713950664212561</v>
      </c>
    </row>
    <row r="147" spans="1:15">
      <c r="A147" s="19">
        <v>43649</v>
      </c>
      <c r="B147">
        <v>847</v>
      </c>
      <c r="C147">
        <v>848</v>
      </c>
      <c r="D147">
        <v>2805</v>
      </c>
      <c r="E147">
        <v>2790</v>
      </c>
      <c r="F147">
        <v>0.30394265232974899</v>
      </c>
      <c r="G147">
        <v>0.31194003316212598</v>
      </c>
      <c r="H147">
        <v>1.7272883052231701E-2</v>
      </c>
      <c r="I147">
        <v>-0.46300208298720402</v>
      </c>
      <c r="J147">
        <v>-2.63</v>
      </c>
      <c r="L147">
        <v>0.32921291621435766</v>
      </c>
      <c r="M147">
        <v>0.2946671501098943</v>
      </c>
      <c r="N147">
        <v>0.3464857992665894</v>
      </c>
      <c r="O147">
        <v>0.27739426705766257</v>
      </c>
    </row>
    <row r="148" spans="1:15">
      <c r="A148" s="19">
        <v>43648</v>
      </c>
      <c r="B148">
        <v>859</v>
      </c>
      <c r="C148">
        <v>862</v>
      </c>
      <c r="D148">
        <v>2845</v>
      </c>
      <c r="E148">
        <v>2837</v>
      </c>
      <c r="F148">
        <v>0.30384208671131402</v>
      </c>
      <c r="G148">
        <v>0.31219767577095697</v>
      </c>
      <c r="H148">
        <v>1.7295769877072001E-2</v>
      </c>
      <c r="I148">
        <v>-0.48310015217761099</v>
      </c>
      <c r="J148">
        <v>-2.75</v>
      </c>
      <c r="L148">
        <v>0.32949344564802896</v>
      </c>
      <c r="M148">
        <v>0.29490190589388499</v>
      </c>
      <c r="N148">
        <v>0.346789215525101</v>
      </c>
      <c r="O148">
        <v>0.27760613601681294</v>
      </c>
    </row>
    <row r="149" spans="1:15">
      <c r="A149" s="19">
        <v>43647</v>
      </c>
      <c r="B149">
        <v>844</v>
      </c>
      <c r="C149">
        <v>857</v>
      </c>
      <c r="D149">
        <v>2800.5</v>
      </c>
      <c r="E149">
        <v>2845</v>
      </c>
      <c r="F149">
        <v>0.301230228471001</v>
      </c>
      <c r="G149">
        <v>0.31248763687231301</v>
      </c>
      <c r="H149">
        <v>1.7335506759549601E-2</v>
      </c>
      <c r="I149">
        <v>-0.649384443008025</v>
      </c>
      <c r="J149">
        <v>-3.74</v>
      </c>
      <c r="L149">
        <v>0.3298231436318626</v>
      </c>
      <c r="M149">
        <v>0.29515213011276342</v>
      </c>
      <c r="N149">
        <v>0.34715865039141219</v>
      </c>
      <c r="O149">
        <v>0.27781662335321383</v>
      </c>
    </row>
    <row r="150" spans="1:15">
      <c r="A150" s="19">
        <v>43644</v>
      </c>
      <c r="B150">
        <v>837</v>
      </c>
      <c r="C150">
        <v>832</v>
      </c>
      <c r="D150">
        <v>2760</v>
      </c>
      <c r="E150">
        <v>2785</v>
      </c>
      <c r="F150">
        <v>0.29874326750448799</v>
      </c>
      <c r="G150">
        <v>0.312800408700185</v>
      </c>
      <c r="H150">
        <v>1.7341191833660001E-2</v>
      </c>
      <c r="I150">
        <v>-0.81062139964404301</v>
      </c>
      <c r="J150">
        <v>-4.71</v>
      </c>
      <c r="L150">
        <v>0.330141600533845</v>
      </c>
      <c r="M150">
        <v>0.29545921686652499</v>
      </c>
      <c r="N150">
        <v>0.34748279236750501</v>
      </c>
      <c r="O150">
        <v>0.27811802503286498</v>
      </c>
    </row>
    <row r="151" spans="1:15">
      <c r="A151" s="19">
        <v>43643</v>
      </c>
      <c r="B151">
        <v>824</v>
      </c>
      <c r="C151">
        <v>840</v>
      </c>
      <c r="D151">
        <v>2754</v>
      </c>
      <c r="E151">
        <v>2788.5</v>
      </c>
      <c r="F151">
        <v>0.30123722431414701</v>
      </c>
      <c r="G151">
        <v>0.31317978356584503</v>
      </c>
      <c r="H151">
        <v>1.7340748353799802E-2</v>
      </c>
      <c r="I151">
        <v>-0.68869918460472002</v>
      </c>
      <c r="J151">
        <v>-3.96</v>
      </c>
      <c r="L151">
        <v>0.33052053191964481</v>
      </c>
      <c r="M151">
        <v>0.29583903521204524</v>
      </c>
      <c r="N151">
        <v>0.34786128027344465</v>
      </c>
      <c r="O151">
        <v>0.2784982868582454</v>
      </c>
    </row>
    <row r="152" spans="1:15">
      <c r="A152" s="19">
        <v>43642</v>
      </c>
      <c r="B152">
        <v>806</v>
      </c>
      <c r="C152">
        <v>819</v>
      </c>
      <c r="D152">
        <v>2723.5</v>
      </c>
      <c r="E152">
        <v>2731</v>
      </c>
      <c r="F152">
        <v>0.29989015012815801</v>
      </c>
      <c r="G152">
        <v>0.31357035925545501</v>
      </c>
      <c r="H152">
        <v>1.7397162417135899E-2</v>
      </c>
      <c r="I152">
        <v>-0.78634715244265796</v>
      </c>
      <c r="J152">
        <v>-4.5599999999999996</v>
      </c>
      <c r="L152">
        <v>0.33096752167259091</v>
      </c>
      <c r="M152">
        <v>0.29617319683831911</v>
      </c>
      <c r="N152">
        <v>0.34836468408972682</v>
      </c>
      <c r="O152">
        <v>0.27877603442118321</v>
      </c>
    </row>
    <row r="153" spans="1:15">
      <c r="A153" s="19">
        <v>43641</v>
      </c>
      <c r="B153">
        <v>822</v>
      </c>
      <c r="C153">
        <v>816</v>
      </c>
      <c r="D153">
        <v>2760</v>
      </c>
      <c r="E153">
        <v>2765.5</v>
      </c>
      <c r="F153">
        <v>0.295064183691918</v>
      </c>
      <c r="G153">
        <v>0.31393919707391299</v>
      </c>
      <c r="H153">
        <v>1.7396458319874401E-2</v>
      </c>
      <c r="I153">
        <v>-1.08499172848486</v>
      </c>
      <c r="J153">
        <v>-6.4</v>
      </c>
      <c r="L153">
        <v>0.3313356553937874</v>
      </c>
      <c r="M153">
        <v>0.29654273875403858</v>
      </c>
      <c r="N153">
        <v>0.34873211371366181</v>
      </c>
      <c r="O153">
        <v>0.27914628043416417</v>
      </c>
    </row>
    <row r="154" spans="1:15">
      <c r="A154" s="19">
        <v>43640</v>
      </c>
      <c r="B154">
        <v>813</v>
      </c>
      <c r="C154">
        <v>817</v>
      </c>
      <c r="D154">
        <v>2760</v>
      </c>
      <c r="E154">
        <v>2785.5</v>
      </c>
      <c r="F154">
        <v>0.29330461317537199</v>
      </c>
      <c r="G154">
        <v>0.31437479137059399</v>
      </c>
      <c r="H154">
        <v>1.7327261834272498E-2</v>
      </c>
      <c r="I154">
        <v>-1.21601314718669</v>
      </c>
      <c r="J154">
        <v>-7.18</v>
      </c>
      <c r="L154">
        <v>0.33170205320486651</v>
      </c>
      <c r="M154">
        <v>0.29704752953632146</v>
      </c>
      <c r="N154">
        <v>0.34902931503913898</v>
      </c>
      <c r="O154">
        <v>0.279720267702049</v>
      </c>
    </row>
    <row r="155" spans="1:15">
      <c r="A155" s="19">
        <v>43637</v>
      </c>
      <c r="B155">
        <v>827</v>
      </c>
      <c r="C155">
        <v>813</v>
      </c>
      <c r="D155">
        <v>2770</v>
      </c>
      <c r="E155">
        <v>2766</v>
      </c>
      <c r="F155">
        <v>0.29392624728850297</v>
      </c>
      <c r="G155">
        <v>0.31484930476379802</v>
      </c>
      <c r="H155">
        <v>1.7230783448126102E-2</v>
      </c>
      <c r="I155">
        <v>-1.21428358369687</v>
      </c>
      <c r="J155">
        <v>-7.12</v>
      </c>
      <c r="L155">
        <v>0.33208008821192414</v>
      </c>
      <c r="M155">
        <v>0.2976185213156719</v>
      </c>
      <c r="N155">
        <v>0.3493108716600502</v>
      </c>
      <c r="O155">
        <v>0.28038773786754584</v>
      </c>
    </row>
    <row r="156" spans="1:15">
      <c r="A156" s="19">
        <v>43636</v>
      </c>
      <c r="B156">
        <v>832</v>
      </c>
      <c r="C156">
        <v>827</v>
      </c>
      <c r="D156">
        <v>2828</v>
      </c>
      <c r="E156">
        <v>2771</v>
      </c>
      <c r="F156">
        <v>0.29844821364128399</v>
      </c>
      <c r="G156">
        <v>0.31533415043387297</v>
      </c>
      <c r="H156">
        <v>1.71466196246793E-2</v>
      </c>
      <c r="I156">
        <v>-0.98479683822251196</v>
      </c>
      <c r="J156">
        <v>-5.66</v>
      </c>
      <c r="L156">
        <v>0.33248077005855226</v>
      </c>
      <c r="M156">
        <v>0.29818753080919369</v>
      </c>
      <c r="N156">
        <v>0.34962738968323159</v>
      </c>
      <c r="O156">
        <v>0.28104091118451435</v>
      </c>
    </row>
    <row r="157" spans="1:15">
      <c r="A157" s="19">
        <v>43635</v>
      </c>
      <c r="B157">
        <v>816</v>
      </c>
      <c r="C157">
        <v>832</v>
      </c>
      <c r="D157">
        <v>2804</v>
      </c>
      <c r="E157">
        <v>2824</v>
      </c>
      <c r="F157">
        <v>0.29461756373937598</v>
      </c>
      <c r="G157">
        <v>0.31579787621774602</v>
      </c>
      <c r="H157">
        <v>1.7153971977266501E-2</v>
      </c>
      <c r="I157">
        <v>-1.23471767975601</v>
      </c>
      <c r="J157">
        <v>-7.19</v>
      </c>
      <c r="L157">
        <v>0.3329518481950125</v>
      </c>
      <c r="M157">
        <v>0.29864390424047954</v>
      </c>
      <c r="N157">
        <v>0.35010582017227904</v>
      </c>
      <c r="O157">
        <v>0.28148993226321301</v>
      </c>
    </row>
    <row r="158" spans="1:15">
      <c r="A158" s="19">
        <v>43634</v>
      </c>
      <c r="B158">
        <v>808</v>
      </c>
      <c r="C158">
        <v>811</v>
      </c>
      <c r="D158">
        <v>2781.5</v>
      </c>
      <c r="E158">
        <v>2766</v>
      </c>
      <c r="F158">
        <v>0.29320318148951502</v>
      </c>
      <c r="G158">
        <v>0.31633806475749998</v>
      </c>
      <c r="H158">
        <v>1.7116351865570201E-2</v>
      </c>
      <c r="I158">
        <v>-1.3516246598389201</v>
      </c>
      <c r="J158">
        <v>-7.89</v>
      </c>
      <c r="L158">
        <v>0.33345441662307018</v>
      </c>
      <c r="M158">
        <v>0.29922171289192978</v>
      </c>
      <c r="N158">
        <v>0.35057076848864038</v>
      </c>
      <c r="O158">
        <v>0.28210536102635958</v>
      </c>
    </row>
    <row r="159" spans="1:15">
      <c r="A159" s="19">
        <v>43633</v>
      </c>
      <c r="B159">
        <v>822</v>
      </c>
      <c r="C159">
        <v>818</v>
      </c>
      <c r="D159">
        <v>2753</v>
      </c>
      <c r="E159">
        <v>2775</v>
      </c>
      <c r="F159">
        <v>0.29477477477477398</v>
      </c>
      <c r="G159">
        <v>0.31691722233764003</v>
      </c>
      <c r="H159">
        <v>1.70585273209698E-2</v>
      </c>
      <c r="I159">
        <v>-1.2980280856745301</v>
      </c>
      <c r="J159">
        <v>-7.51</v>
      </c>
      <c r="L159">
        <v>0.33397574965860982</v>
      </c>
      <c r="M159">
        <v>0.29985869501667023</v>
      </c>
      <c r="N159">
        <v>0.35103427697957962</v>
      </c>
      <c r="O159">
        <v>0.28280016769570043</v>
      </c>
    </row>
    <row r="160" spans="1:15">
      <c r="A160" s="19">
        <v>43630</v>
      </c>
      <c r="B160">
        <v>829</v>
      </c>
      <c r="C160">
        <v>829</v>
      </c>
      <c r="D160">
        <v>2755</v>
      </c>
      <c r="E160">
        <v>2755</v>
      </c>
      <c r="F160">
        <v>0.30090744101633299</v>
      </c>
      <c r="G160">
        <v>0.31752443631926502</v>
      </c>
      <c r="H160">
        <v>1.7070073213280499E-2</v>
      </c>
      <c r="I160">
        <v>-0.97345776408292894</v>
      </c>
      <c r="J160">
        <v>-5.52</v>
      </c>
      <c r="L160">
        <v>0.33459450953254555</v>
      </c>
      <c r="M160">
        <v>0.3004543631059845</v>
      </c>
      <c r="N160">
        <v>0.35166458274582602</v>
      </c>
      <c r="O160">
        <v>0.28338428989270403</v>
      </c>
    </row>
    <row r="161" spans="1:15">
      <c r="A161" s="19">
        <v>43629</v>
      </c>
      <c r="B161">
        <v>826</v>
      </c>
      <c r="C161">
        <v>826</v>
      </c>
      <c r="D161">
        <v>2769.5</v>
      </c>
      <c r="E161">
        <v>2754.5</v>
      </c>
      <c r="F161">
        <v>0.29987293519695002</v>
      </c>
      <c r="G161">
        <v>0.31813702113692699</v>
      </c>
      <c r="H161">
        <v>1.72857748794971E-2</v>
      </c>
      <c r="I161">
        <v>-1.0565963092369</v>
      </c>
      <c r="J161">
        <v>-6.09</v>
      </c>
      <c r="L161">
        <v>0.33542279601642411</v>
      </c>
      <c r="M161">
        <v>0.30085124625742987</v>
      </c>
      <c r="N161">
        <v>0.35270857089592117</v>
      </c>
      <c r="O161">
        <v>0.28356547137793281</v>
      </c>
    </row>
    <row r="162" spans="1:15">
      <c r="A162" s="19">
        <v>43628</v>
      </c>
      <c r="B162">
        <v>834</v>
      </c>
      <c r="C162">
        <v>838</v>
      </c>
      <c r="D162">
        <v>2780</v>
      </c>
      <c r="E162">
        <v>2776.5</v>
      </c>
      <c r="F162">
        <v>0.30181883666486498</v>
      </c>
      <c r="G162">
        <v>0.31878370538075002</v>
      </c>
      <c r="H162">
        <v>1.74963612732402E-2</v>
      </c>
      <c r="I162">
        <v>-0.96962268045024302</v>
      </c>
      <c r="J162">
        <v>-5.62</v>
      </c>
      <c r="L162">
        <v>0.33628006665399024</v>
      </c>
      <c r="M162">
        <v>0.30128734410750979</v>
      </c>
      <c r="N162">
        <v>0.35377642792723041</v>
      </c>
      <c r="O162">
        <v>0.28379098283426962</v>
      </c>
    </row>
    <row r="163" spans="1:15">
      <c r="A163" s="19">
        <v>43627</v>
      </c>
      <c r="B163">
        <v>844</v>
      </c>
      <c r="C163">
        <v>848</v>
      </c>
      <c r="D163">
        <v>2770.5</v>
      </c>
      <c r="E163">
        <v>2787.5</v>
      </c>
      <c r="F163">
        <v>0.30421524663677102</v>
      </c>
      <c r="G163">
        <v>0.31946585893162399</v>
      </c>
      <c r="H163">
        <v>1.7816061391064002E-2</v>
      </c>
      <c r="I163">
        <v>-0.85600357790089399</v>
      </c>
      <c r="J163">
        <v>-5.01</v>
      </c>
      <c r="L163">
        <v>0.337281920322688</v>
      </c>
      <c r="M163">
        <v>0.30164979754055998</v>
      </c>
      <c r="N163">
        <v>0.35509798171375201</v>
      </c>
      <c r="O163">
        <v>0.28383373614949597</v>
      </c>
    </row>
    <row r="164" spans="1:15">
      <c r="A164" s="19">
        <v>43626</v>
      </c>
      <c r="B164">
        <v>840</v>
      </c>
      <c r="C164">
        <v>840</v>
      </c>
      <c r="D164">
        <v>2780</v>
      </c>
      <c r="E164">
        <v>2780</v>
      </c>
      <c r="F164">
        <v>0.30215827338129497</v>
      </c>
      <c r="G164">
        <v>0.32007912578611097</v>
      </c>
      <c r="H164">
        <v>1.8070356244527901E-2</v>
      </c>
      <c r="I164">
        <v>-0.99172656932222703</v>
      </c>
      <c r="J164">
        <v>-5.93</v>
      </c>
      <c r="L164">
        <v>0.33814948203063888</v>
      </c>
      <c r="M164">
        <v>0.30200876954158307</v>
      </c>
      <c r="N164">
        <v>0.35621983827516679</v>
      </c>
      <c r="O164">
        <v>0.28393841329705516</v>
      </c>
    </row>
    <row r="165" spans="1:15">
      <c r="A165" s="19">
        <v>43623</v>
      </c>
      <c r="B165">
        <v>820</v>
      </c>
      <c r="C165">
        <v>826</v>
      </c>
      <c r="D165">
        <v>2740</v>
      </c>
      <c r="E165">
        <v>2738</v>
      </c>
      <c r="F165">
        <v>0.301680058436815</v>
      </c>
      <c r="G165">
        <v>0.32060148330292498</v>
      </c>
      <c r="H165">
        <v>1.8110964542479902E-2</v>
      </c>
      <c r="I165">
        <v>-1.0447497051705601</v>
      </c>
      <c r="J165">
        <v>-6.27</v>
      </c>
      <c r="L165">
        <v>0.33871244784540488</v>
      </c>
      <c r="M165">
        <v>0.30249051876044508</v>
      </c>
      <c r="N165">
        <v>0.35682341238788479</v>
      </c>
      <c r="O165">
        <v>0.28437955421796518</v>
      </c>
    </row>
    <row r="166" spans="1:15">
      <c r="A166" s="19">
        <v>43622</v>
      </c>
      <c r="B166">
        <v>836</v>
      </c>
      <c r="C166">
        <v>820</v>
      </c>
      <c r="D166">
        <v>2750.5</v>
      </c>
      <c r="E166">
        <v>2740.5</v>
      </c>
      <c r="F166">
        <v>0.29921547162926398</v>
      </c>
      <c r="G166">
        <v>0.32115977784754901</v>
      </c>
      <c r="H166">
        <v>1.8164384030118601E-2</v>
      </c>
      <c r="I166">
        <v>-1.20809525838576</v>
      </c>
      <c r="J166">
        <v>-7.33</v>
      </c>
      <c r="L166">
        <v>0.33932416187766762</v>
      </c>
      <c r="M166">
        <v>0.3029953938174304</v>
      </c>
      <c r="N166">
        <v>0.35748854590778623</v>
      </c>
      <c r="O166">
        <v>0.2848310097873118</v>
      </c>
    </row>
    <row r="167" spans="1:15">
      <c r="A167" s="19">
        <v>43621</v>
      </c>
      <c r="B167">
        <v>847</v>
      </c>
      <c r="C167">
        <v>851</v>
      </c>
      <c r="D167">
        <v>2801</v>
      </c>
      <c r="E167">
        <v>2795</v>
      </c>
      <c r="F167">
        <v>0.30447227191413201</v>
      </c>
      <c r="G167">
        <v>0.32182560545746303</v>
      </c>
      <c r="H167">
        <v>1.8262769541494899E-2</v>
      </c>
      <c r="I167">
        <v>-0.95020273370383102</v>
      </c>
      <c r="J167">
        <v>-5.7</v>
      </c>
      <c r="L167">
        <v>0.34008837499895794</v>
      </c>
      <c r="M167">
        <v>0.30356283591596811</v>
      </c>
      <c r="N167">
        <v>0.3583511445404528</v>
      </c>
      <c r="O167">
        <v>0.28530006637447325</v>
      </c>
    </row>
    <row r="168" spans="1:15">
      <c r="A168" s="19">
        <v>43620</v>
      </c>
      <c r="B168">
        <v>807</v>
      </c>
      <c r="C168">
        <v>821</v>
      </c>
      <c r="D168">
        <v>2659.5</v>
      </c>
      <c r="E168">
        <v>2717</v>
      </c>
      <c r="F168">
        <v>0.30217151269782799</v>
      </c>
      <c r="G168">
        <v>0.32233571148283302</v>
      </c>
      <c r="H168">
        <v>1.8305192567987499E-2</v>
      </c>
      <c r="I168">
        <v>-1.10155622291941</v>
      </c>
      <c r="J168">
        <v>-6.67</v>
      </c>
      <c r="L168">
        <v>0.34064090405082054</v>
      </c>
      <c r="M168">
        <v>0.3040305189148455</v>
      </c>
      <c r="N168">
        <v>0.358946096618808</v>
      </c>
      <c r="O168">
        <v>0.28572532634685804</v>
      </c>
    </row>
    <row r="169" spans="1:15">
      <c r="A169" s="19">
        <v>43619</v>
      </c>
      <c r="B169">
        <v>788</v>
      </c>
      <c r="C169">
        <v>793</v>
      </c>
      <c r="D169">
        <v>2615.5</v>
      </c>
      <c r="E169">
        <v>2659.5</v>
      </c>
      <c r="F169">
        <v>0.29817634893777001</v>
      </c>
      <c r="G169">
        <v>0.32288148593933402</v>
      </c>
      <c r="H169">
        <v>1.83060707889778E-2</v>
      </c>
      <c r="I169">
        <v>-1.34955978737058</v>
      </c>
      <c r="J169">
        <v>-8.2899999999999991</v>
      </c>
      <c r="L169">
        <v>0.3411875567283118</v>
      </c>
      <c r="M169">
        <v>0.30457541515035624</v>
      </c>
      <c r="N169">
        <v>0.35949362751728964</v>
      </c>
      <c r="O169">
        <v>0.28626934436137841</v>
      </c>
    </row>
    <row r="170" spans="1:15">
      <c r="A170" s="19">
        <v>43616</v>
      </c>
      <c r="B170">
        <v>805</v>
      </c>
      <c r="C170">
        <v>798</v>
      </c>
      <c r="D170">
        <v>2700</v>
      </c>
      <c r="E170">
        <v>2651</v>
      </c>
      <c r="F170">
        <v>0.30101848359109701</v>
      </c>
      <c r="G170">
        <v>0.32350986498809298</v>
      </c>
      <c r="H170">
        <v>1.8256053891630201E-2</v>
      </c>
      <c r="I170">
        <v>-1.23199578235839</v>
      </c>
      <c r="J170">
        <v>-7.47</v>
      </c>
      <c r="L170">
        <v>0.34176591887972319</v>
      </c>
      <c r="M170">
        <v>0.30525381109646277</v>
      </c>
      <c r="N170">
        <v>0.36002197277135339</v>
      </c>
      <c r="O170">
        <v>0.28699775720483256</v>
      </c>
    </row>
    <row r="171" spans="1:15">
      <c r="A171" s="19">
        <v>43615</v>
      </c>
      <c r="B171">
        <v>804</v>
      </c>
      <c r="C171">
        <v>816</v>
      </c>
      <c r="D171">
        <v>2745.5</v>
      </c>
      <c r="E171">
        <v>2769</v>
      </c>
      <c r="F171">
        <v>0.29469122426868899</v>
      </c>
      <c r="G171">
        <v>0.32405860784385698</v>
      </c>
      <c r="H171">
        <v>1.81901709554372E-2</v>
      </c>
      <c r="I171">
        <v>-1.61446440757009</v>
      </c>
      <c r="J171">
        <v>-9.9700000000000006</v>
      </c>
      <c r="L171">
        <v>0.34224877879929416</v>
      </c>
      <c r="M171">
        <v>0.3058684368884198</v>
      </c>
      <c r="N171">
        <v>0.3604389497547314</v>
      </c>
      <c r="O171">
        <v>0.28767826593298257</v>
      </c>
    </row>
    <row r="172" spans="1:15">
      <c r="A172" s="19">
        <v>43614</v>
      </c>
      <c r="B172">
        <v>804</v>
      </c>
      <c r="C172">
        <v>805</v>
      </c>
      <c r="D172">
        <v>2748</v>
      </c>
      <c r="E172">
        <v>2759</v>
      </c>
      <c r="F172">
        <v>0.29177238129757099</v>
      </c>
      <c r="G172">
        <v>0.32455255031125002</v>
      </c>
      <c r="H172">
        <v>1.7886452457125501E-2</v>
      </c>
      <c r="I172">
        <v>-1.83268141585112</v>
      </c>
      <c r="J172">
        <v>-11.23</v>
      </c>
      <c r="L172">
        <v>0.34243900276837552</v>
      </c>
      <c r="M172">
        <v>0.30666609785412452</v>
      </c>
      <c r="N172">
        <v>0.36032545522550102</v>
      </c>
      <c r="O172">
        <v>0.28877964539699902</v>
      </c>
    </row>
    <row r="173" spans="1:15">
      <c r="A173" s="19">
        <v>43613</v>
      </c>
      <c r="B173">
        <v>807</v>
      </c>
      <c r="C173">
        <v>814</v>
      </c>
      <c r="D173">
        <v>2762</v>
      </c>
      <c r="E173">
        <v>2770</v>
      </c>
      <c r="F173">
        <v>0.29386281588447599</v>
      </c>
      <c r="G173">
        <v>0.32485331506806298</v>
      </c>
      <c r="H173">
        <v>1.7518588437977801E-2</v>
      </c>
      <c r="I173">
        <v>-1.7690066350553399</v>
      </c>
      <c r="J173">
        <v>-10.55</v>
      </c>
      <c r="L173">
        <v>0.3423719035060408</v>
      </c>
      <c r="M173">
        <v>0.30733472663008515</v>
      </c>
      <c r="N173">
        <v>0.35989049194401856</v>
      </c>
      <c r="O173">
        <v>0.28981613819210739</v>
      </c>
    </row>
    <row r="174" spans="1:15">
      <c r="A174" s="19">
        <v>43612</v>
      </c>
      <c r="B174">
        <v>813</v>
      </c>
      <c r="C174">
        <v>809</v>
      </c>
      <c r="D174">
        <v>2765.5</v>
      </c>
      <c r="E174">
        <v>2759</v>
      </c>
      <c r="F174">
        <v>0.29322218194998101</v>
      </c>
      <c r="G174">
        <v>0.32507590544947801</v>
      </c>
      <c r="H174">
        <v>1.7227042873247299E-2</v>
      </c>
      <c r="I174">
        <v>-1.84905347562369</v>
      </c>
      <c r="J174">
        <v>-10.86</v>
      </c>
      <c r="L174">
        <v>0.34230294832272529</v>
      </c>
      <c r="M174">
        <v>0.30784886257623073</v>
      </c>
      <c r="N174">
        <v>0.35952999119597262</v>
      </c>
      <c r="O174">
        <v>0.2906218197029834</v>
      </c>
    </row>
    <row r="175" spans="1:15">
      <c r="A175" s="19">
        <v>43609</v>
      </c>
      <c r="B175">
        <v>809</v>
      </c>
      <c r="C175">
        <v>815</v>
      </c>
      <c r="D175">
        <v>2771</v>
      </c>
      <c r="E175">
        <v>2790</v>
      </c>
      <c r="F175">
        <v>0.292114695340501</v>
      </c>
      <c r="G175">
        <v>0.32527611899797199</v>
      </c>
      <c r="H175">
        <v>1.6940550065968701E-2</v>
      </c>
      <c r="I175">
        <v>-1.9575175261922</v>
      </c>
      <c r="J175">
        <v>-11.35</v>
      </c>
      <c r="L175">
        <v>0.34221666906394066</v>
      </c>
      <c r="M175">
        <v>0.30833556893200331</v>
      </c>
      <c r="N175">
        <v>0.35915721912990939</v>
      </c>
      <c r="O175">
        <v>0.29139501886603458</v>
      </c>
    </row>
    <row r="176" spans="1:15">
      <c r="A176" s="19">
        <v>43608</v>
      </c>
      <c r="B176">
        <v>812</v>
      </c>
      <c r="C176">
        <v>808</v>
      </c>
      <c r="D176">
        <v>2807.5</v>
      </c>
      <c r="E176">
        <v>2806.5</v>
      </c>
      <c r="F176">
        <v>0.28790308213076699</v>
      </c>
      <c r="G176">
        <v>0.32551479517103798</v>
      </c>
      <c r="H176">
        <v>1.6594217682892501E-2</v>
      </c>
      <c r="I176">
        <v>-2.2665553603678301</v>
      </c>
      <c r="J176">
        <v>-13.06</v>
      </c>
      <c r="L176">
        <v>0.34210901285393047</v>
      </c>
      <c r="M176">
        <v>0.3089205774881455</v>
      </c>
      <c r="N176">
        <v>0.35870323053682296</v>
      </c>
      <c r="O176">
        <v>0.29232635980525301</v>
      </c>
    </row>
    <row r="177" spans="1:15">
      <c r="A177" s="19">
        <v>43607</v>
      </c>
      <c r="B177">
        <v>823</v>
      </c>
      <c r="C177">
        <v>823</v>
      </c>
      <c r="D177">
        <v>2843.5</v>
      </c>
      <c r="E177">
        <v>2831.5</v>
      </c>
      <c r="F177">
        <v>0.29065866148684399</v>
      </c>
      <c r="G177">
        <v>0.32583198484519199</v>
      </c>
      <c r="H177">
        <v>1.6092018329434198E-2</v>
      </c>
      <c r="I177">
        <v>-2.1857620739849501</v>
      </c>
      <c r="J177">
        <v>-12.1</v>
      </c>
      <c r="L177">
        <v>0.34192400317462618</v>
      </c>
      <c r="M177">
        <v>0.3097399665157578</v>
      </c>
      <c r="N177">
        <v>0.35801602150406037</v>
      </c>
      <c r="O177">
        <v>0.29364794818632362</v>
      </c>
    </row>
    <row r="178" spans="1:15">
      <c r="A178" s="19">
        <v>43606</v>
      </c>
      <c r="B178">
        <v>804</v>
      </c>
      <c r="C178">
        <v>816</v>
      </c>
      <c r="D178">
        <v>2809</v>
      </c>
      <c r="E178">
        <v>2832.5</v>
      </c>
      <c r="F178">
        <v>0.28808473080317698</v>
      </c>
      <c r="G178">
        <v>0.32610721122081898</v>
      </c>
      <c r="H178">
        <v>1.5658776088242701E-2</v>
      </c>
      <c r="I178">
        <v>-2.4281898025344701</v>
      </c>
      <c r="J178">
        <v>-13.2</v>
      </c>
      <c r="L178">
        <v>0.34176598730906166</v>
      </c>
      <c r="M178">
        <v>0.31044843513257631</v>
      </c>
      <c r="N178">
        <v>0.35742476339730439</v>
      </c>
      <c r="O178">
        <v>0.29478965904433357</v>
      </c>
    </row>
    <row r="179" spans="1:15">
      <c r="A179" s="19">
        <v>43605</v>
      </c>
      <c r="B179">
        <v>812</v>
      </c>
      <c r="C179">
        <v>810</v>
      </c>
      <c r="D179">
        <v>2828.5</v>
      </c>
      <c r="E179">
        <v>2829.5</v>
      </c>
      <c r="F179">
        <v>0.28626965895034401</v>
      </c>
      <c r="G179">
        <v>0.32643429421641801</v>
      </c>
      <c r="H179">
        <v>1.51076476711714E-2</v>
      </c>
      <c r="I179">
        <v>-2.65856314234254</v>
      </c>
      <c r="J179">
        <v>-14.03</v>
      </c>
      <c r="L179">
        <v>0.34154194188758941</v>
      </c>
      <c r="M179">
        <v>0.31132664654524661</v>
      </c>
      <c r="N179">
        <v>0.3566495895587608</v>
      </c>
      <c r="O179">
        <v>0.29621899887407521</v>
      </c>
    </row>
    <row r="180" spans="1:15">
      <c r="A180" s="19">
        <v>43602</v>
      </c>
      <c r="B180">
        <v>816</v>
      </c>
      <c r="C180">
        <v>817</v>
      </c>
      <c r="D180">
        <v>2814.5</v>
      </c>
      <c r="E180">
        <v>2812</v>
      </c>
      <c r="F180">
        <v>0.29054054054054002</v>
      </c>
      <c r="G180">
        <v>0.32671390008387802</v>
      </c>
      <c r="H180">
        <v>1.45453003210449E-2</v>
      </c>
      <c r="I180">
        <v>-2.48694483750196</v>
      </c>
      <c r="J180">
        <v>-12.45</v>
      </c>
      <c r="L180">
        <v>0.34125920040492291</v>
      </c>
      <c r="M180">
        <v>0.31216859976283312</v>
      </c>
      <c r="N180">
        <v>0.35580450072596781</v>
      </c>
      <c r="O180">
        <v>0.29762329944178822</v>
      </c>
    </row>
    <row r="181" spans="1:15">
      <c r="A181" s="19">
        <v>43601</v>
      </c>
      <c r="B181">
        <v>823</v>
      </c>
      <c r="C181">
        <v>817</v>
      </c>
      <c r="D181">
        <v>2825</v>
      </c>
      <c r="E181">
        <v>2788</v>
      </c>
      <c r="F181">
        <v>0.29304160688665698</v>
      </c>
      <c r="G181">
        <v>0.32695652307117601</v>
      </c>
      <c r="H181">
        <v>1.40843481196978E-2</v>
      </c>
      <c r="I181">
        <v>-2.4079862196168502</v>
      </c>
      <c r="J181">
        <v>-11.57</v>
      </c>
      <c r="L181">
        <v>0.34104087119087378</v>
      </c>
      <c r="M181">
        <v>0.31287217495147823</v>
      </c>
      <c r="N181">
        <v>0.35512521931057162</v>
      </c>
      <c r="O181">
        <v>0.2987878268317804</v>
      </c>
    </row>
    <row r="182" spans="1:15">
      <c r="A182" s="19">
        <v>43600</v>
      </c>
      <c r="B182">
        <v>823</v>
      </c>
      <c r="C182">
        <v>822</v>
      </c>
      <c r="D182">
        <v>2796</v>
      </c>
      <c r="E182">
        <v>2805</v>
      </c>
      <c r="F182">
        <v>0.29304812834224597</v>
      </c>
      <c r="G182">
        <v>0.32718538963039701</v>
      </c>
      <c r="H182">
        <v>1.3664589066371E-2</v>
      </c>
      <c r="I182">
        <v>-2.4982281664191501</v>
      </c>
      <c r="J182">
        <v>-11.65</v>
      </c>
      <c r="L182">
        <v>0.34084997869676803</v>
      </c>
      <c r="M182">
        <v>0.31352080056402598</v>
      </c>
      <c r="N182">
        <v>0.354514567763139</v>
      </c>
      <c r="O182">
        <v>0.29985621149765501</v>
      </c>
    </row>
    <row r="183" spans="1:15">
      <c r="A183" s="19">
        <v>43599</v>
      </c>
      <c r="B183">
        <v>814</v>
      </c>
      <c r="C183">
        <v>822</v>
      </c>
      <c r="D183">
        <v>2781.5</v>
      </c>
      <c r="E183">
        <v>2803</v>
      </c>
      <c r="F183">
        <v>0.29325722440242502</v>
      </c>
      <c r="G183">
        <v>0.32736724662315903</v>
      </c>
      <c r="H183">
        <v>1.32948155483717E-2</v>
      </c>
      <c r="I183">
        <v>-2.5656634420107198</v>
      </c>
      <c r="J183">
        <v>-11.63</v>
      </c>
      <c r="L183">
        <v>0.34066206217153072</v>
      </c>
      <c r="M183">
        <v>0.31407243107478733</v>
      </c>
      <c r="N183">
        <v>0.35395687771990242</v>
      </c>
      <c r="O183">
        <v>0.30077761552641563</v>
      </c>
    </row>
    <row r="184" spans="1:15">
      <c r="A184" s="19">
        <v>43598</v>
      </c>
      <c r="B184">
        <v>836</v>
      </c>
      <c r="C184">
        <v>805</v>
      </c>
      <c r="D184">
        <v>2832.5</v>
      </c>
      <c r="E184">
        <v>2816.5</v>
      </c>
      <c r="F184">
        <v>0.28581572874134498</v>
      </c>
      <c r="G184">
        <v>0.32758274813518101</v>
      </c>
      <c r="H184">
        <v>1.2864183785318801E-2</v>
      </c>
      <c r="I184">
        <v>-3.2467679326458398</v>
      </c>
      <c r="J184">
        <v>-14.61</v>
      </c>
      <c r="L184">
        <v>0.3404469319204998</v>
      </c>
      <c r="M184">
        <v>0.31471856434986223</v>
      </c>
      <c r="N184">
        <v>0.35331111570581863</v>
      </c>
      <c r="O184">
        <v>0.30185438056454339</v>
      </c>
    </row>
    <row r="185" spans="1:15">
      <c r="A185" s="19">
        <v>43595</v>
      </c>
      <c r="B185">
        <v>896</v>
      </c>
      <c r="C185">
        <v>896</v>
      </c>
      <c r="D185">
        <v>2883.5</v>
      </c>
      <c r="E185">
        <v>2832</v>
      </c>
      <c r="F185">
        <v>0.31638418079095998</v>
      </c>
      <c r="G185">
        <v>0.32789232865746698</v>
      </c>
      <c r="H185">
        <v>1.2112756931828599E-2</v>
      </c>
      <c r="I185">
        <v>-0.95008493370051605</v>
      </c>
      <c r="J185">
        <v>-3.64</v>
      </c>
      <c r="L185">
        <v>0.3400050855892956</v>
      </c>
      <c r="M185">
        <v>0.31577957172563836</v>
      </c>
      <c r="N185">
        <v>0.35211784252112416</v>
      </c>
      <c r="O185">
        <v>0.3036668147938098</v>
      </c>
    </row>
    <row r="186" spans="1:15">
      <c r="A186" s="19">
        <v>43594</v>
      </c>
      <c r="B186">
        <v>928</v>
      </c>
      <c r="C186">
        <v>908</v>
      </c>
      <c r="D186">
        <v>2977.5</v>
      </c>
      <c r="E186">
        <v>2849.5</v>
      </c>
      <c r="F186">
        <v>0.31865239515704502</v>
      </c>
      <c r="G186">
        <v>0.32783251431360799</v>
      </c>
      <c r="H186">
        <v>1.2180325900443101E-2</v>
      </c>
      <c r="I186">
        <v>-0.75368419791046004</v>
      </c>
      <c r="J186">
        <v>-2.88</v>
      </c>
      <c r="L186">
        <v>0.34001284021405109</v>
      </c>
      <c r="M186">
        <v>0.31565218841316489</v>
      </c>
      <c r="N186">
        <v>0.35219316611449419</v>
      </c>
      <c r="O186">
        <v>0.30347186251272179</v>
      </c>
    </row>
    <row r="187" spans="1:15">
      <c r="A187" s="19">
        <v>43593</v>
      </c>
      <c r="B187">
        <v>950</v>
      </c>
      <c r="C187">
        <v>938</v>
      </c>
      <c r="D187">
        <v>3054</v>
      </c>
      <c r="E187">
        <v>2989.5</v>
      </c>
      <c r="F187">
        <v>0.31376484361933399</v>
      </c>
      <c r="G187">
        <v>0.32772682307218698</v>
      </c>
      <c r="H187">
        <v>1.22933918293965E-2</v>
      </c>
      <c r="I187">
        <v>-1.13573045149889</v>
      </c>
      <c r="J187">
        <v>-4.45</v>
      </c>
      <c r="L187">
        <v>0.34002021490158346</v>
      </c>
      <c r="M187">
        <v>0.3154334312427905</v>
      </c>
      <c r="N187">
        <v>0.35231360673098</v>
      </c>
      <c r="O187">
        <v>0.30314003941339396</v>
      </c>
    </row>
    <row r="188" spans="1:15">
      <c r="A188" s="19">
        <v>43592</v>
      </c>
      <c r="B188">
        <v>980</v>
      </c>
      <c r="C188">
        <v>964</v>
      </c>
      <c r="D188">
        <v>3094</v>
      </c>
      <c r="E188">
        <v>3077</v>
      </c>
      <c r="F188">
        <v>0.31329216769580698</v>
      </c>
      <c r="G188">
        <v>0.32776946306787103</v>
      </c>
      <c r="H188">
        <v>1.22503612072059E-2</v>
      </c>
      <c r="I188">
        <v>-1.1817851838971201</v>
      </c>
      <c r="J188">
        <v>-4.62</v>
      </c>
      <c r="L188">
        <v>0.34001982427507693</v>
      </c>
      <c r="M188">
        <v>0.31551910186066512</v>
      </c>
      <c r="N188">
        <v>0.35227018548228284</v>
      </c>
      <c r="O188">
        <v>0.30326874065345921</v>
      </c>
    </row>
    <row r="189" spans="1:15">
      <c r="A189" s="19">
        <v>43581</v>
      </c>
      <c r="B189">
        <v>1008</v>
      </c>
      <c r="C189">
        <v>1000</v>
      </c>
      <c r="D189">
        <v>3100</v>
      </c>
      <c r="E189">
        <v>3101</v>
      </c>
      <c r="F189">
        <v>0.32247662044501701</v>
      </c>
      <c r="G189">
        <v>0.32781331824549897</v>
      </c>
      <c r="H189">
        <v>1.22042559566544E-2</v>
      </c>
      <c r="I189">
        <v>-0.43728170069821598</v>
      </c>
      <c r="J189">
        <v>-1.65</v>
      </c>
      <c r="L189">
        <v>0.34001757420215339</v>
      </c>
      <c r="M189">
        <v>0.31560906228884456</v>
      </c>
      <c r="N189">
        <v>0.35222183015880776</v>
      </c>
      <c r="O189">
        <v>0.30340480633219019</v>
      </c>
    </row>
    <row r="190" spans="1:15">
      <c r="A190" s="19">
        <v>43580</v>
      </c>
      <c r="B190">
        <v>1047</v>
      </c>
      <c r="C190">
        <v>1028</v>
      </c>
      <c r="D190">
        <v>3088</v>
      </c>
      <c r="E190">
        <v>3105</v>
      </c>
      <c r="F190">
        <v>0.33107890499194798</v>
      </c>
      <c r="G190">
        <v>0.32769434765556199</v>
      </c>
      <c r="H190">
        <v>1.22988243227062E-2</v>
      </c>
      <c r="I190">
        <v>0.27519356709054899</v>
      </c>
      <c r="J190">
        <v>1.02</v>
      </c>
      <c r="L190">
        <v>0.33999317197826817</v>
      </c>
      <c r="M190">
        <v>0.31539552333285581</v>
      </c>
      <c r="N190">
        <v>0.35229199630097441</v>
      </c>
      <c r="O190">
        <v>0.30309669901014957</v>
      </c>
    </row>
    <row r="191" spans="1:15">
      <c r="A191" s="19">
        <v>43579</v>
      </c>
      <c r="B191">
        <v>1065</v>
      </c>
      <c r="C191">
        <v>1043</v>
      </c>
      <c r="D191">
        <v>3172</v>
      </c>
      <c r="E191">
        <v>3094</v>
      </c>
      <c r="F191">
        <v>0.33710407239819001</v>
      </c>
      <c r="G191">
        <v>0.32759355654584499</v>
      </c>
      <c r="H191">
        <v>1.2301648990203499E-2</v>
      </c>
      <c r="I191">
        <v>0.77310902464526698</v>
      </c>
      <c r="J191">
        <v>2.82</v>
      </c>
      <c r="L191">
        <v>0.33989520553604846</v>
      </c>
      <c r="M191">
        <v>0.31529190755564152</v>
      </c>
      <c r="N191">
        <v>0.35219685452625199</v>
      </c>
      <c r="O191">
        <v>0.30299025856543799</v>
      </c>
    </row>
    <row r="192" spans="1:15">
      <c r="A192" s="19">
        <v>43578</v>
      </c>
      <c r="B192">
        <v>1078</v>
      </c>
      <c r="C192">
        <v>1073</v>
      </c>
      <c r="D192">
        <v>3180</v>
      </c>
      <c r="E192">
        <v>3182</v>
      </c>
      <c r="F192">
        <v>0.337209302325581</v>
      </c>
      <c r="G192">
        <v>0.32740528253052098</v>
      </c>
      <c r="H192">
        <v>1.2262646028575699E-2</v>
      </c>
      <c r="I192">
        <v>0.799502796722114</v>
      </c>
      <c r="J192">
        <v>2.91</v>
      </c>
      <c r="L192">
        <v>0.33966792855909667</v>
      </c>
      <c r="M192">
        <v>0.31514263650194529</v>
      </c>
      <c r="N192">
        <v>0.35193057458767241</v>
      </c>
      <c r="O192">
        <v>0.30287999047336955</v>
      </c>
    </row>
    <row r="193" spans="1:15">
      <c r="A193" s="19">
        <v>43577</v>
      </c>
      <c r="B193">
        <v>1070</v>
      </c>
      <c r="C193">
        <v>1075</v>
      </c>
      <c r="D193">
        <v>3197</v>
      </c>
      <c r="E193">
        <v>3167</v>
      </c>
      <c r="F193">
        <v>0.33943795389958897</v>
      </c>
      <c r="G193">
        <v>0.32735437068354101</v>
      </c>
      <c r="H193">
        <v>1.2229718529345001E-2</v>
      </c>
      <c r="I193">
        <v>0.98805080321792005</v>
      </c>
      <c r="J193">
        <v>3.56</v>
      </c>
      <c r="L193">
        <v>0.33958408921288602</v>
      </c>
      <c r="M193">
        <v>0.31512465215419599</v>
      </c>
      <c r="N193">
        <v>0.35181380774223103</v>
      </c>
      <c r="O193">
        <v>0.30289493362485098</v>
      </c>
    </row>
    <row r="194" spans="1:15">
      <c r="A194" s="19">
        <v>43574</v>
      </c>
      <c r="B194">
        <v>1079</v>
      </c>
      <c r="C194">
        <v>1076</v>
      </c>
      <c r="D194">
        <v>3205</v>
      </c>
      <c r="E194">
        <v>3198</v>
      </c>
      <c r="F194">
        <v>0.33646028767979902</v>
      </c>
      <c r="G194">
        <v>0.32723384805982197</v>
      </c>
      <c r="H194">
        <v>1.21543501270135E-2</v>
      </c>
      <c r="I194">
        <v>0.75910595988769602</v>
      </c>
      <c r="J194">
        <v>2.74</v>
      </c>
      <c r="L194">
        <v>0.33938819818683547</v>
      </c>
      <c r="M194">
        <v>0.31507949793280848</v>
      </c>
      <c r="N194">
        <v>0.35154254831384896</v>
      </c>
      <c r="O194">
        <v>0.30292514780579499</v>
      </c>
    </row>
    <row r="195" spans="1:15">
      <c r="A195" s="19">
        <v>43573</v>
      </c>
      <c r="B195">
        <v>1075</v>
      </c>
      <c r="C195">
        <v>1068</v>
      </c>
      <c r="D195">
        <v>3190</v>
      </c>
      <c r="E195">
        <v>3214</v>
      </c>
      <c r="F195">
        <v>0.33229620410703098</v>
      </c>
      <c r="G195">
        <v>0.32706192983736898</v>
      </c>
      <c r="H195">
        <v>1.2113751507175601E-2</v>
      </c>
      <c r="I195">
        <v>0.43209358113063001</v>
      </c>
      <c r="J195">
        <v>1.58</v>
      </c>
      <c r="L195">
        <v>0.33917568134454457</v>
      </c>
      <c r="M195">
        <v>0.3149481783301934</v>
      </c>
      <c r="N195">
        <v>0.35128943285172021</v>
      </c>
      <c r="O195">
        <v>0.30283442682301775</v>
      </c>
    </row>
    <row r="196" spans="1:15">
      <c r="A196" s="19">
        <v>43572</v>
      </c>
      <c r="B196">
        <v>1061</v>
      </c>
      <c r="C196">
        <v>1071</v>
      </c>
      <c r="D196">
        <v>3162</v>
      </c>
      <c r="E196">
        <v>3170</v>
      </c>
      <c r="F196">
        <v>0.33785488958990501</v>
      </c>
      <c r="G196">
        <v>0.32695642263601998</v>
      </c>
      <c r="H196">
        <v>1.2102157628486499E-2</v>
      </c>
      <c r="I196">
        <v>0.90053916734914197</v>
      </c>
      <c r="J196">
        <v>3.23</v>
      </c>
      <c r="L196">
        <v>0.33905858026450647</v>
      </c>
      <c r="M196">
        <v>0.3148542650075335</v>
      </c>
      <c r="N196">
        <v>0.35116073789299296</v>
      </c>
      <c r="O196">
        <v>0.30275210737904701</v>
      </c>
    </row>
    <row r="197" spans="1:15">
      <c r="A197" s="19">
        <v>43571</v>
      </c>
      <c r="B197">
        <v>1057</v>
      </c>
      <c r="C197">
        <v>1054</v>
      </c>
      <c r="D197">
        <v>3091</v>
      </c>
      <c r="E197">
        <v>3138</v>
      </c>
      <c r="F197">
        <v>0.33588272785213502</v>
      </c>
      <c r="G197">
        <v>0.32676910762689398</v>
      </c>
      <c r="H197">
        <v>1.2040587939403999E-2</v>
      </c>
      <c r="I197">
        <v>0.75690823995520395</v>
      </c>
      <c r="J197">
        <v>2.71</v>
      </c>
      <c r="L197">
        <v>0.33880969556629797</v>
      </c>
      <c r="M197">
        <v>0.31472851968748999</v>
      </c>
      <c r="N197">
        <v>0.35085028350570197</v>
      </c>
      <c r="O197">
        <v>0.302687931748086</v>
      </c>
    </row>
    <row r="198" spans="1:15">
      <c r="A198" s="19">
        <v>43570</v>
      </c>
      <c r="B198">
        <v>1055</v>
      </c>
      <c r="C198">
        <v>1058</v>
      </c>
      <c r="D198">
        <v>3125</v>
      </c>
      <c r="E198">
        <v>3119</v>
      </c>
      <c r="F198">
        <v>0.33921128566848302</v>
      </c>
      <c r="G198">
        <v>0.32660016293344502</v>
      </c>
      <c r="H198">
        <v>1.2000353881244199E-2</v>
      </c>
      <c r="I198">
        <v>1.0508959035573</v>
      </c>
      <c r="J198">
        <v>3.72</v>
      </c>
      <c r="L198">
        <v>0.33860051681468922</v>
      </c>
      <c r="M198">
        <v>0.31459980905220081</v>
      </c>
      <c r="N198">
        <v>0.35060087069593343</v>
      </c>
      <c r="O198">
        <v>0.3025994551709566</v>
      </c>
    </row>
    <row r="199" spans="1:15">
      <c r="A199" s="19">
        <v>43567</v>
      </c>
      <c r="B199">
        <v>1031</v>
      </c>
      <c r="C199">
        <v>1035</v>
      </c>
      <c r="D199">
        <v>3085</v>
      </c>
      <c r="E199">
        <v>3085</v>
      </c>
      <c r="F199">
        <v>0.33549432739059898</v>
      </c>
      <c r="G199">
        <v>0.32638759631083603</v>
      </c>
      <c r="H199">
        <v>1.19159869020747E-2</v>
      </c>
      <c r="I199">
        <v>0.76424480444652398</v>
      </c>
      <c r="J199">
        <v>2.71</v>
      </c>
      <c r="L199">
        <v>0.33830358321291071</v>
      </c>
      <c r="M199">
        <v>0.31447160940876134</v>
      </c>
      <c r="N199">
        <v>0.35021957011498545</v>
      </c>
      <c r="O199">
        <v>0.30255562250668661</v>
      </c>
    </row>
    <row r="200" spans="1:15">
      <c r="A200" s="19">
        <v>43566</v>
      </c>
      <c r="B200">
        <v>1034</v>
      </c>
      <c r="C200">
        <v>1037</v>
      </c>
      <c r="D200">
        <v>3071</v>
      </c>
      <c r="E200">
        <v>3074</v>
      </c>
      <c r="F200">
        <v>0.337345478204294</v>
      </c>
      <c r="G200">
        <v>0.32636612196764497</v>
      </c>
      <c r="H200">
        <v>1.19009977154038E-2</v>
      </c>
      <c r="I200">
        <v>0.92255762913374095</v>
      </c>
      <c r="J200">
        <v>3.25</v>
      </c>
      <c r="L200">
        <v>0.33826711968304879</v>
      </c>
      <c r="M200">
        <v>0.31446512425224116</v>
      </c>
      <c r="N200">
        <v>0.35016811739845255</v>
      </c>
      <c r="O200">
        <v>0.3025641265368374</v>
      </c>
    </row>
    <row r="201" spans="1:15">
      <c r="A201" s="19">
        <v>43565</v>
      </c>
      <c r="B201">
        <v>1042</v>
      </c>
      <c r="C201">
        <v>1045</v>
      </c>
      <c r="D201">
        <v>3110</v>
      </c>
      <c r="E201">
        <v>3111</v>
      </c>
      <c r="F201">
        <v>0.33590485374477602</v>
      </c>
      <c r="G201">
        <v>0.326305340728199</v>
      </c>
      <c r="H201">
        <v>1.1856325376454899E-2</v>
      </c>
      <c r="I201">
        <v>0.80965330418817605</v>
      </c>
      <c r="J201">
        <v>2.86</v>
      </c>
      <c r="L201">
        <v>0.33816166610465392</v>
      </c>
      <c r="M201">
        <v>0.31444901535174408</v>
      </c>
      <c r="N201">
        <v>0.35001799148110879</v>
      </c>
      <c r="O201">
        <v>0.30259268997528921</v>
      </c>
    </row>
    <row r="202" spans="1:15">
      <c r="A202" s="19">
        <v>43564</v>
      </c>
      <c r="B202">
        <v>1053</v>
      </c>
      <c r="C202">
        <v>1056</v>
      </c>
      <c r="D202">
        <v>3127</v>
      </c>
      <c r="E202">
        <v>3144</v>
      </c>
      <c r="F202">
        <v>0.33587786259541902</v>
      </c>
      <c r="G202">
        <v>0.326305980661242</v>
      </c>
      <c r="H202">
        <v>1.1856844766950999E-2</v>
      </c>
      <c r="I202">
        <v>0.80728744639191596</v>
      </c>
      <c r="J202">
        <v>2.85</v>
      </c>
      <c r="L202">
        <v>0.33816282542819298</v>
      </c>
      <c r="M202">
        <v>0.31444913589429102</v>
      </c>
      <c r="N202">
        <v>0.35001967019514402</v>
      </c>
      <c r="O202">
        <v>0.30259229112733999</v>
      </c>
    </row>
    <row r="203" spans="1:15">
      <c r="A203" s="19">
        <v>43563</v>
      </c>
      <c r="B203">
        <v>1060</v>
      </c>
      <c r="C203">
        <v>1050</v>
      </c>
      <c r="D203">
        <v>3168</v>
      </c>
      <c r="E203">
        <v>3131</v>
      </c>
      <c r="F203">
        <v>0.33535611625678602</v>
      </c>
      <c r="G203">
        <v>0.326297744034729</v>
      </c>
      <c r="H203">
        <v>1.18504053982867E-2</v>
      </c>
      <c r="I203">
        <v>0.764393446267009</v>
      </c>
      <c r="J203">
        <v>2.7</v>
      </c>
      <c r="L203">
        <v>0.33814814943301569</v>
      </c>
      <c r="M203">
        <v>0.31444733863644231</v>
      </c>
      <c r="N203">
        <v>0.34999855483130238</v>
      </c>
      <c r="O203">
        <v>0.30259693323815562</v>
      </c>
    </row>
    <row r="204" spans="1:15">
      <c r="A204" s="19">
        <v>43560</v>
      </c>
      <c r="B204">
        <v>1044</v>
      </c>
      <c r="C204">
        <v>1055</v>
      </c>
      <c r="D204">
        <v>3150</v>
      </c>
      <c r="E204">
        <v>3179</v>
      </c>
      <c r="F204">
        <v>0.33186536646744202</v>
      </c>
      <c r="G204">
        <v>0.32629528870138103</v>
      </c>
      <c r="H204">
        <v>1.18485472349114E-2</v>
      </c>
      <c r="I204">
        <v>0.47010638989134301</v>
      </c>
      <c r="J204">
        <v>1.68</v>
      </c>
      <c r="L204">
        <v>0.33814383593629244</v>
      </c>
      <c r="M204">
        <v>0.31444674146646961</v>
      </c>
      <c r="N204">
        <v>0.34999238317120385</v>
      </c>
      <c r="O204">
        <v>0.3025981942315582</v>
      </c>
    </row>
    <row r="205" spans="1:15">
      <c r="A205" s="19">
        <v>43559</v>
      </c>
      <c r="B205">
        <v>1030</v>
      </c>
      <c r="C205">
        <v>1039</v>
      </c>
      <c r="D205">
        <v>3150</v>
      </c>
      <c r="E205">
        <v>3164</v>
      </c>
      <c r="F205">
        <v>0.32838179519595401</v>
      </c>
      <c r="G205">
        <v>0.32628838029534202</v>
      </c>
      <c r="H205">
        <v>1.18454481801937E-2</v>
      </c>
      <c r="I205">
        <v>0.176727369768237</v>
      </c>
      <c r="J205">
        <v>0.64</v>
      </c>
      <c r="L205">
        <v>0.33813382847553569</v>
      </c>
      <c r="M205">
        <v>0.31444293211514834</v>
      </c>
      <c r="N205">
        <v>0.34997927665572942</v>
      </c>
      <c r="O205">
        <v>0.30259748393495461</v>
      </c>
    </row>
    <row r="206" spans="1:15">
      <c r="A206" s="19">
        <v>43558</v>
      </c>
      <c r="B206">
        <v>1020</v>
      </c>
      <c r="C206">
        <v>1025</v>
      </c>
      <c r="D206">
        <v>3115</v>
      </c>
      <c r="E206">
        <v>3135</v>
      </c>
      <c r="F206">
        <v>0.326953748006379</v>
      </c>
      <c r="G206">
        <v>0.32633681645391199</v>
      </c>
      <c r="H206">
        <v>1.1861325604232901E-2</v>
      </c>
      <c r="I206">
        <v>5.2012024039431899E-2</v>
      </c>
      <c r="J206">
        <v>0.19</v>
      </c>
      <c r="L206">
        <v>0.33819814205814491</v>
      </c>
      <c r="M206">
        <v>0.31447549084967907</v>
      </c>
      <c r="N206">
        <v>0.35005946766237778</v>
      </c>
      <c r="O206">
        <v>0.30261416524544621</v>
      </c>
    </row>
    <row r="207" spans="1:15">
      <c r="A207" s="19">
        <v>43557</v>
      </c>
      <c r="B207">
        <v>1018</v>
      </c>
      <c r="C207">
        <v>1020</v>
      </c>
      <c r="D207">
        <v>3113</v>
      </c>
      <c r="E207">
        <v>3110</v>
      </c>
      <c r="F207">
        <v>0.32797427652733102</v>
      </c>
      <c r="G207">
        <v>0.32636715014867301</v>
      </c>
      <c r="H207">
        <v>1.1865772733422399E-2</v>
      </c>
      <c r="I207">
        <v>0.13544220125935799</v>
      </c>
      <c r="J207">
        <v>0.49</v>
      </c>
      <c r="L207">
        <v>0.33823292288209539</v>
      </c>
      <c r="M207">
        <v>0.31450137741525064</v>
      </c>
      <c r="N207">
        <v>0.35009869561551782</v>
      </c>
      <c r="O207">
        <v>0.30263560468182821</v>
      </c>
    </row>
    <row r="208" spans="1:15">
      <c r="A208" s="19">
        <v>43556</v>
      </c>
      <c r="B208">
        <v>1017</v>
      </c>
      <c r="C208">
        <v>1019</v>
      </c>
      <c r="D208">
        <v>3040</v>
      </c>
      <c r="E208">
        <v>3075</v>
      </c>
      <c r="F208">
        <v>0.33138211382113802</v>
      </c>
      <c r="G208">
        <v>0.32647613446207502</v>
      </c>
      <c r="H208">
        <v>1.1917458061730101E-2</v>
      </c>
      <c r="I208">
        <v>0.411663236711303</v>
      </c>
      <c r="J208">
        <v>1.48</v>
      </c>
      <c r="L208">
        <v>0.33839359252380513</v>
      </c>
      <c r="M208">
        <v>0.31455867640034491</v>
      </c>
      <c r="N208">
        <v>0.35031105058553524</v>
      </c>
      <c r="O208">
        <v>0.30264121833861479</v>
      </c>
    </row>
    <row r="209" spans="1:15">
      <c r="A209" s="19">
        <v>43553</v>
      </c>
      <c r="B209">
        <v>993</v>
      </c>
      <c r="C209">
        <v>994</v>
      </c>
      <c r="D209">
        <v>3017</v>
      </c>
      <c r="E209">
        <v>2995</v>
      </c>
      <c r="F209">
        <v>0.33188647746243699</v>
      </c>
      <c r="G209">
        <v>0.326509284661955</v>
      </c>
      <c r="H209">
        <v>1.19345044426437E-2</v>
      </c>
      <c r="I209">
        <v>0.45055853188741601</v>
      </c>
      <c r="J209">
        <v>1.62</v>
      </c>
      <c r="L209">
        <v>0.33844378910459871</v>
      </c>
      <c r="M209">
        <v>0.31457478021931129</v>
      </c>
      <c r="N209">
        <v>0.35037829354724243</v>
      </c>
      <c r="O209">
        <v>0.30264027577666758</v>
      </c>
    </row>
    <row r="210" spans="1:15">
      <c r="A210" s="19">
        <v>43552</v>
      </c>
      <c r="B210">
        <v>992</v>
      </c>
      <c r="C210">
        <v>986</v>
      </c>
      <c r="D210">
        <v>3000</v>
      </c>
      <c r="E210">
        <v>3002</v>
      </c>
      <c r="F210">
        <v>0.32844770153231101</v>
      </c>
      <c r="G210">
        <v>0.32642132999953999</v>
      </c>
      <c r="H210">
        <v>1.19188490892313E-2</v>
      </c>
      <c r="I210">
        <v>0.17001402715991501</v>
      </c>
      <c r="J210">
        <v>0.62</v>
      </c>
      <c r="L210">
        <v>0.33834017908877129</v>
      </c>
      <c r="M210">
        <v>0.31450248091030869</v>
      </c>
      <c r="N210">
        <v>0.35025902817800258</v>
      </c>
      <c r="O210">
        <v>0.30258363182107739</v>
      </c>
    </row>
    <row r="211" spans="1:15">
      <c r="A211" s="19">
        <v>43551</v>
      </c>
      <c r="B211">
        <v>1010</v>
      </c>
      <c r="C211">
        <v>1006</v>
      </c>
      <c r="D211">
        <v>3039</v>
      </c>
      <c r="E211">
        <v>3031</v>
      </c>
      <c r="F211">
        <v>0.33190366215770301</v>
      </c>
      <c r="G211">
        <v>0.32625126561161599</v>
      </c>
      <c r="H211">
        <v>1.19795641260424E-2</v>
      </c>
      <c r="I211">
        <v>0.47183657824404401</v>
      </c>
      <c r="J211">
        <v>1.7</v>
      </c>
      <c r="L211">
        <v>0.33823082973765839</v>
      </c>
      <c r="M211">
        <v>0.3142717014855736</v>
      </c>
      <c r="N211">
        <v>0.35021039386370079</v>
      </c>
      <c r="O211">
        <v>0.3022921373595312</v>
      </c>
    </row>
    <row r="212" spans="1:15">
      <c r="A212" s="19">
        <v>43550</v>
      </c>
      <c r="B212">
        <v>995</v>
      </c>
      <c r="C212">
        <v>1011</v>
      </c>
      <c r="D212">
        <v>2987.5</v>
      </c>
      <c r="E212">
        <v>3055</v>
      </c>
      <c r="F212">
        <v>0.330932896890343</v>
      </c>
      <c r="G212">
        <v>0.326031588217367</v>
      </c>
      <c r="H212">
        <v>1.2024876415964199E-2</v>
      </c>
      <c r="I212">
        <v>0.40759742582212499</v>
      </c>
      <c r="J212">
        <v>1.48</v>
      </c>
      <c r="L212">
        <v>0.33805646463333122</v>
      </c>
      <c r="M212">
        <v>0.31400671180140277</v>
      </c>
      <c r="N212">
        <v>0.35008134104929539</v>
      </c>
      <c r="O212">
        <v>0.3019818353854386</v>
      </c>
    </row>
    <row r="213" spans="1:15">
      <c r="A213" s="19">
        <v>43549</v>
      </c>
      <c r="B213">
        <v>982</v>
      </c>
      <c r="C213">
        <v>976</v>
      </c>
      <c r="D213">
        <v>2984</v>
      </c>
      <c r="E213">
        <v>2962.5</v>
      </c>
      <c r="F213">
        <v>0.32945147679324799</v>
      </c>
      <c r="G213">
        <v>0.32589243624609798</v>
      </c>
      <c r="H213">
        <v>1.20277379982239E-2</v>
      </c>
      <c r="I213">
        <v>0.29590273313864901</v>
      </c>
      <c r="J213">
        <v>1.08</v>
      </c>
      <c r="L213">
        <v>0.33792017424432186</v>
      </c>
      <c r="M213">
        <v>0.31386469824787411</v>
      </c>
      <c r="N213">
        <v>0.34994791224254579</v>
      </c>
      <c r="O213">
        <v>0.30183696024965018</v>
      </c>
    </row>
    <row r="214" spans="1:15">
      <c r="A214" s="19">
        <v>43546</v>
      </c>
      <c r="B214">
        <v>984</v>
      </c>
      <c r="C214">
        <v>990</v>
      </c>
      <c r="D214">
        <v>3060</v>
      </c>
      <c r="E214">
        <v>3054</v>
      </c>
      <c r="F214">
        <v>0.32416502946954801</v>
      </c>
      <c r="G214">
        <v>0.32573047856121601</v>
      </c>
      <c r="H214">
        <v>1.2060459983115101E-2</v>
      </c>
      <c r="I214">
        <v>-0.129800114909394</v>
      </c>
      <c r="J214">
        <v>-0.48</v>
      </c>
      <c r="L214">
        <v>0.33779093854433112</v>
      </c>
      <c r="M214">
        <v>0.3136700185781009</v>
      </c>
      <c r="N214">
        <v>0.34985139852744623</v>
      </c>
      <c r="O214">
        <v>0.30160955859498578</v>
      </c>
    </row>
    <row r="215" spans="1:15">
      <c r="A215" s="19">
        <v>43544</v>
      </c>
      <c r="B215">
        <v>963</v>
      </c>
      <c r="C215">
        <v>976</v>
      </c>
      <c r="D215">
        <v>3093</v>
      </c>
      <c r="E215">
        <v>3090</v>
      </c>
      <c r="F215">
        <v>0.31585760517799299</v>
      </c>
      <c r="G215">
        <v>0.32556428440853802</v>
      </c>
      <c r="H215">
        <v>1.21663038227498E-2</v>
      </c>
      <c r="I215">
        <v>-0.79783304543116695</v>
      </c>
      <c r="J215">
        <v>-3.07</v>
      </c>
      <c r="L215">
        <v>0.33773058823128782</v>
      </c>
      <c r="M215">
        <v>0.31339798058578822</v>
      </c>
      <c r="N215">
        <v>0.34989689205403762</v>
      </c>
      <c r="O215">
        <v>0.30123167676303841</v>
      </c>
    </row>
    <row r="216" spans="1:15">
      <c r="A216" s="19">
        <v>43543</v>
      </c>
      <c r="B216">
        <v>962</v>
      </c>
      <c r="C216">
        <v>964</v>
      </c>
      <c r="D216">
        <v>3066</v>
      </c>
      <c r="E216">
        <v>3076</v>
      </c>
      <c r="F216">
        <v>0.31339401820546098</v>
      </c>
      <c r="G216">
        <v>0.32549471161076698</v>
      </c>
      <c r="H216">
        <v>1.2236330252970801E-2</v>
      </c>
      <c r="I216">
        <v>-0.98891523480810295</v>
      </c>
      <c r="J216">
        <v>-3.86</v>
      </c>
      <c r="L216">
        <v>0.33773104186373781</v>
      </c>
      <c r="M216">
        <v>0.31325838135779616</v>
      </c>
      <c r="N216">
        <v>0.34996737211670859</v>
      </c>
      <c r="O216">
        <v>0.30102205110482538</v>
      </c>
    </row>
    <row r="217" spans="1:15">
      <c r="A217" s="19">
        <v>43542</v>
      </c>
      <c r="B217">
        <v>963</v>
      </c>
      <c r="C217">
        <v>966</v>
      </c>
      <c r="D217">
        <v>3065</v>
      </c>
      <c r="E217">
        <v>3056</v>
      </c>
      <c r="F217">
        <v>0.31609947643978997</v>
      </c>
      <c r="G217">
        <v>0.32549598537267199</v>
      </c>
      <c r="H217">
        <v>1.22350754520738E-2</v>
      </c>
      <c r="I217">
        <v>-0.76799762859568499</v>
      </c>
      <c r="J217">
        <v>-2.97</v>
      </c>
      <c r="L217">
        <v>0.3377310608247458</v>
      </c>
      <c r="M217">
        <v>0.31326090992059819</v>
      </c>
      <c r="N217">
        <v>0.34996613627681961</v>
      </c>
      <c r="O217">
        <v>0.30102583446852438</v>
      </c>
    </row>
    <row r="218" spans="1:15">
      <c r="A218" s="19">
        <v>43539</v>
      </c>
      <c r="B218">
        <v>958</v>
      </c>
      <c r="C218">
        <v>966</v>
      </c>
      <c r="D218">
        <v>3046</v>
      </c>
      <c r="E218">
        <v>3057</v>
      </c>
      <c r="F218">
        <v>0.315996074582924</v>
      </c>
      <c r="G218">
        <v>0.32547712988261202</v>
      </c>
      <c r="H218">
        <v>1.2250621701077E-2</v>
      </c>
      <c r="I218">
        <v>-0.77392442041164999</v>
      </c>
      <c r="J218">
        <v>-3</v>
      </c>
      <c r="L218">
        <v>0.33772775158368901</v>
      </c>
      <c r="M218">
        <v>0.31322650818153502</v>
      </c>
      <c r="N218">
        <v>0.349978373284766</v>
      </c>
      <c r="O218">
        <v>0.30097588648045803</v>
      </c>
    </row>
    <row r="219" spans="1:15">
      <c r="A219" s="19">
        <v>43538</v>
      </c>
      <c r="B219">
        <v>964</v>
      </c>
      <c r="C219">
        <v>955</v>
      </c>
      <c r="D219">
        <v>3042</v>
      </c>
      <c r="E219">
        <v>3023</v>
      </c>
      <c r="F219">
        <v>0.31591134634468998</v>
      </c>
      <c r="G219">
        <v>0.32542051344913397</v>
      </c>
      <c r="H219">
        <v>1.23040034239354E-2</v>
      </c>
      <c r="I219">
        <v>-0.77285146767310098</v>
      </c>
      <c r="J219">
        <v>-3.01</v>
      </c>
      <c r="L219">
        <v>0.33772451687306937</v>
      </c>
      <c r="M219">
        <v>0.31311651002519858</v>
      </c>
      <c r="N219">
        <v>0.35002852029700476</v>
      </c>
      <c r="O219">
        <v>0.30081250660126319</v>
      </c>
    </row>
    <row r="220" spans="1:15">
      <c r="A220" s="19">
        <v>43537</v>
      </c>
      <c r="B220">
        <v>971</v>
      </c>
      <c r="C220">
        <v>962</v>
      </c>
      <c r="D220">
        <v>3055</v>
      </c>
      <c r="E220">
        <v>3022</v>
      </c>
      <c r="F220">
        <v>0.31833223031105201</v>
      </c>
      <c r="G220">
        <v>0.32532705777112297</v>
      </c>
      <c r="H220">
        <v>1.2402104051008001E-2</v>
      </c>
      <c r="I220">
        <v>-0.56400328777295095</v>
      </c>
      <c r="J220">
        <v>-2.2000000000000002</v>
      </c>
      <c r="L220">
        <v>0.33772916182213097</v>
      </c>
      <c r="M220">
        <v>0.31292495372011497</v>
      </c>
      <c r="N220">
        <v>0.35013126587313897</v>
      </c>
      <c r="O220">
        <v>0.30052284966910697</v>
      </c>
    </row>
    <row r="221" spans="1:15">
      <c r="A221" s="19">
        <v>43536</v>
      </c>
      <c r="B221">
        <v>977</v>
      </c>
      <c r="C221">
        <v>985</v>
      </c>
      <c r="D221">
        <v>3037</v>
      </c>
      <c r="E221">
        <v>3047</v>
      </c>
      <c r="F221">
        <v>0.32326878897276001</v>
      </c>
      <c r="G221">
        <v>0.32512785416429502</v>
      </c>
      <c r="H221">
        <v>1.2630734274237601E-2</v>
      </c>
      <c r="I221">
        <v>-0.14718583664034601</v>
      </c>
      <c r="J221">
        <v>-0.57999999999999996</v>
      </c>
      <c r="L221">
        <v>0.33775858843853263</v>
      </c>
      <c r="M221">
        <v>0.31249711989005741</v>
      </c>
      <c r="N221">
        <v>0.35038932271277023</v>
      </c>
      <c r="O221">
        <v>0.2998663856158198</v>
      </c>
    </row>
    <row r="222" spans="1:15">
      <c r="A222" s="19">
        <v>43535</v>
      </c>
      <c r="B222">
        <v>973</v>
      </c>
      <c r="C222">
        <v>974</v>
      </c>
      <c r="D222">
        <v>2997.5</v>
      </c>
      <c r="E222">
        <v>3013</v>
      </c>
      <c r="F222">
        <v>0.32326584799203401</v>
      </c>
      <c r="G222">
        <v>0.32486834184386798</v>
      </c>
      <c r="H222">
        <v>1.28640584824274E-2</v>
      </c>
      <c r="I222">
        <v>-0.124571405985376</v>
      </c>
      <c r="J222">
        <v>-0.5</v>
      </c>
      <c r="L222">
        <v>0.33773240032629537</v>
      </c>
      <c r="M222">
        <v>0.31200428336144059</v>
      </c>
      <c r="N222">
        <v>0.35059645880872276</v>
      </c>
      <c r="O222">
        <v>0.29914022487901321</v>
      </c>
    </row>
    <row r="223" spans="1:15">
      <c r="A223" s="19">
        <v>43532</v>
      </c>
      <c r="B223">
        <v>980</v>
      </c>
      <c r="C223">
        <v>974</v>
      </c>
      <c r="D223">
        <v>3025</v>
      </c>
      <c r="E223">
        <v>2991.5</v>
      </c>
      <c r="F223">
        <v>0.32558916931305298</v>
      </c>
      <c r="G223">
        <v>0.32461232435259402</v>
      </c>
      <c r="H223">
        <v>1.30826167215438E-2</v>
      </c>
      <c r="I223">
        <v>7.4667398827858195E-2</v>
      </c>
      <c r="J223">
        <v>0.3</v>
      </c>
      <c r="L223">
        <v>0.33769494107413783</v>
      </c>
      <c r="M223">
        <v>0.3115297076310502</v>
      </c>
      <c r="N223">
        <v>0.35077755779568159</v>
      </c>
      <c r="O223">
        <v>0.29844709090950644</v>
      </c>
    </row>
    <row r="224" spans="1:15">
      <c r="A224" s="19">
        <v>43531</v>
      </c>
      <c r="B224">
        <v>1000</v>
      </c>
      <c r="C224">
        <v>989</v>
      </c>
      <c r="D224">
        <v>3066</v>
      </c>
      <c r="E224">
        <v>3046</v>
      </c>
      <c r="F224">
        <v>0.32468811556139199</v>
      </c>
      <c r="G224">
        <v>0.32429605754680002</v>
      </c>
      <c r="H224">
        <v>1.33393703094675E-2</v>
      </c>
      <c r="I224">
        <v>2.9391043617223299E-2</v>
      </c>
      <c r="J224">
        <v>0.12</v>
      </c>
      <c r="L224">
        <v>0.33763542785626754</v>
      </c>
      <c r="M224">
        <v>0.3109566872373325</v>
      </c>
      <c r="N224">
        <v>0.35097479816573501</v>
      </c>
      <c r="O224">
        <v>0.29761731692786503</v>
      </c>
    </row>
    <row r="225" spans="1:15">
      <c r="A225" s="19">
        <v>43530</v>
      </c>
      <c r="B225">
        <v>1019</v>
      </c>
      <c r="C225">
        <v>1013</v>
      </c>
      <c r="D225">
        <v>3099</v>
      </c>
      <c r="E225">
        <v>3096</v>
      </c>
      <c r="F225">
        <v>0.32719638242894</v>
      </c>
      <c r="G225">
        <v>0.323992883078904</v>
      </c>
      <c r="H225">
        <v>1.3583179612446599E-2</v>
      </c>
      <c r="I225">
        <v>0.23584311195447499</v>
      </c>
      <c r="J225">
        <v>0.98</v>
      </c>
      <c r="L225">
        <v>0.3375760626913506</v>
      </c>
      <c r="M225">
        <v>0.31040970346645741</v>
      </c>
      <c r="N225">
        <v>0.35115924230379719</v>
      </c>
      <c r="O225">
        <v>0.29682652385401082</v>
      </c>
    </row>
    <row r="226" spans="1:15">
      <c r="A226" s="19">
        <v>43529</v>
      </c>
      <c r="B226">
        <v>1011</v>
      </c>
      <c r="C226">
        <v>1022</v>
      </c>
      <c r="D226">
        <v>3100</v>
      </c>
      <c r="E226">
        <v>3092</v>
      </c>
      <c r="F226">
        <v>0.33053040103492798</v>
      </c>
      <c r="G226">
        <v>0.32368311017497398</v>
      </c>
      <c r="H226">
        <v>1.3770222889986E-2</v>
      </c>
      <c r="I226">
        <v>0.49725345149891298</v>
      </c>
      <c r="J226">
        <v>2.0699999999999998</v>
      </c>
      <c r="L226">
        <v>0.33745333306495995</v>
      </c>
      <c r="M226">
        <v>0.309912887284988</v>
      </c>
      <c r="N226">
        <v>0.35122355595494598</v>
      </c>
      <c r="O226">
        <v>0.29614266439500198</v>
      </c>
    </row>
    <row r="227" spans="1:15">
      <c r="A227" s="19">
        <v>43528</v>
      </c>
      <c r="B227">
        <v>1040</v>
      </c>
      <c r="C227">
        <v>1020</v>
      </c>
      <c r="D227">
        <v>3167</v>
      </c>
      <c r="E227">
        <v>3114</v>
      </c>
      <c r="F227">
        <v>0.32755298651252401</v>
      </c>
      <c r="G227">
        <v>0.32328339110235099</v>
      </c>
      <c r="H227">
        <v>1.39988723786671E-2</v>
      </c>
      <c r="I227">
        <v>0.30499566641375497</v>
      </c>
      <c r="J227">
        <v>1.3</v>
      </c>
      <c r="L227">
        <v>0.33728226348101809</v>
      </c>
      <c r="M227">
        <v>0.3092845187236839</v>
      </c>
      <c r="N227">
        <v>0.35128113585968518</v>
      </c>
      <c r="O227">
        <v>0.29528564634501681</v>
      </c>
    </row>
    <row r="228" spans="1:15">
      <c r="A228" s="19">
        <v>43525</v>
      </c>
      <c r="B228">
        <v>1036</v>
      </c>
      <c r="C228">
        <v>1034</v>
      </c>
      <c r="D228">
        <v>3160</v>
      </c>
      <c r="E228">
        <v>3155</v>
      </c>
      <c r="F228">
        <v>0.32773375594294701</v>
      </c>
      <c r="G228">
        <v>0.32311133125534403</v>
      </c>
      <c r="H228">
        <v>1.40246182029512E-2</v>
      </c>
      <c r="I228">
        <v>0.32959362035471801</v>
      </c>
      <c r="J228">
        <v>1.41</v>
      </c>
      <c r="L228">
        <v>0.33713594945829523</v>
      </c>
      <c r="M228">
        <v>0.30908671305239283</v>
      </c>
      <c r="N228">
        <v>0.35116056766124643</v>
      </c>
      <c r="O228">
        <v>0.29506209484944163</v>
      </c>
    </row>
    <row r="229" spans="1:15">
      <c r="A229" s="19">
        <v>43524</v>
      </c>
      <c r="B229">
        <v>1050</v>
      </c>
      <c r="C229">
        <v>1037</v>
      </c>
      <c r="D229">
        <v>3153</v>
      </c>
      <c r="E229">
        <v>3153</v>
      </c>
      <c r="F229">
        <v>0.328893117665715</v>
      </c>
      <c r="G229">
        <v>0.32280546101732699</v>
      </c>
      <c r="H229">
        <v>1.41698757949769E-2</v>
      </c>
      <c r="I229">
        <v>0.429619619569722</v>
      </c>
      <c r="J229">
        <v>1.85</v>
      </c>
      <c r="L229">
        <v>0.33697533681230391</v>
      </c>
      <c r="M229">
        <v>0.30863558522235007</v>
      </c>
      <c r="N229">
        <v>0.35114521260728077</v>
      </c>
      <c r="O229">
        <v>0.29446570942737321</v>
      </c>
    </row>
    <row r="230" spans="1:15">
      <c r="A230" s="19">
        <v>43523</v>
      </c>
      <c r="B230">
        <v>1048</v>
      </c>
      <c r="C230">
        <v>1049</v>
      </c>
      <c r="D230">
        <v>3154</v>
      </c>
      <c r="E230">
        <v>3176</v>
      </c>
      <c r="F230">
        <v>0.33028967254407998</v>
      </c>
      <c r="G230">
        <v>0.322603469863044</v>
      </c>
      <c r="H230">
        <v>1.41896196570848E-2</v>
      </c>
      <c r="I230">
        <v>0.54167785090690601</v>
      </c>
      <c r="J230">
        <v>2.33</v>
      </c>
      <c r="L230">
        <v>0.33679308952012882</v>
      </c>
      <c r="M230">
        <v>0.30841385020595918</v>
      </c>
      <c r="N230">
        <v>0.35098270917721358</v>
      </c>
      <c r="O230">
        <v>0.29422423054887442</v>
      </c>
    </row>
    <row r="231" spans="1:15">
      <c r="A231" s="19">
        <v>43522</v>
      </c>
      <c r="B231">
        <v>1057</v>
      </c>
      <c r="C231">
        <v>1051</v>
      </c>
      <c r="D231">
        <v>3140</v>
      </c>
      <c r="E231">
        <v>3154</v>
      </c>
      <c r="F231">
        <v>0.33322764743183197</v>
      </c>
      <c r="G231">
        <v>0.322440165854739</v>
      </c>
      <c r="H231">
        <v>1.4170687256986499E-2</v>
      </c>
      <c r="I231">
        <v>0.76125323927213495</v>
      </c>
      <c r="J231">
        <v>3.24</v>
      </c>
      <c r="L231">
        <v>0.33661085311172551</v>
      </c>
      <c r="M231">
        <v>0.3082694785977525</v>
      </c>
      <c r="N231">
        <v>0.35078154036871201</v>
      </c>
      <c r="O231">
        <v>0.294098791340766</v>
      </c>
    </row>
    <row r="232" spans="1:15">
      <c r="A232" s="19">
        <v>43521</v>
      </c>
      <c r="B232">
        <v>1060</v>
      </c>
      <c r="C232">
        <v>1056</v>
      </c>
      <c r="D232">
        <v>3159</v>
      </c>
      <c r="E232">
        <v>3151</v>
      </c>
      <c r="F232">
        <v>0.33513170422088201</v>
      </c>
      <c r="G232">
        <v>0.32204511579096001</v>
      </c>
      <c r="H232">
        <v>1.42770432400836E-2</v>
      </c>
      <c r="I232">
        <v>0.91661755237811304</v>
      </c>
      <c r="J232">
        <v>3.9</v>
      </c>
      <c r="L232">
        <v>0.33632215903104362</v>
      </c>
      <c r="M232">
        <v>0.3077680725508764</v>
      </c>
      <c r="N232">
        <v>0.35059920227112723</v>
      </c>
      <c r="O232">
        <v>0.29349102931079279</v>
      </c>
    </row>
    <row r="233" spans="1:15">
      <c r="A233" s="19">
        <v>43518</v>
      </c>
      <c r="B233">
        <v>1047</v>
      </c>
      <c r="C233">
        <v>1052</v>
      </c>
      <c r="D233">
        <v>3089</v>
      </c>
      <c r="E233">
        <v>3125</v>
      </c>
      <c r="F233">
        <v>0.33663999999999999</v>
      </c>
      <c r="G233">
        <v>0.32156723096784001</v>
      </c>
      <c r="H233">
        <v>1.44300335617601E-2</v>
      </c>
      <c r="I233">
        <v>1.0445415090442101</v>
      </c>
      <c r="J233">
        <v>4.4800000000000004</v>
      </c>
      <c r="L233">
        <v>0.3359972645296001</v>
      </c>
      <c r="M233">
        <v>0.30713719740607992</v>
      </c>
      <c r="N233">
        <v>0.3504272980913602</v>
      </c>
      <c r="O233">
        <v>0.29270716384431983</v>
      </c>
    </row>
    <row r="234" spans="1:15">
      <c r="A234" s="19">
        <v>43517</v>
      </c>
      <c r="B234">
        <v>1053</v>
      </c>
      <c r="C234">
        <v>1056</v>
      </c>
      <c r="D234">
        <v>3074</v>
      </c>
      <c r="E234">
        <v>3103</v>
      </c>
      <c r="F234">
        <v>0.34031582339671201</v>
      </c>
      <c r="G234">
        <v>0.32130559207165099</v>
      </c>
      <c r="H234">
        <v>1.4331932416017001E-2</v>
      </c>
      <c r="I234">
        <v>1.32642485139102</v>
      </c>
      <c r="J234">
        <v>5.59</v>
      </c>
      <c r="L234">
        <v>0.33563752448766798</v>
      </c>
      <c r="M234">
        <v>0.306973659655634</v>
      </c>
      <c r="N234">
        <v>0.34996945690368497</v>
      </c>
      <c r="O234">
        <v>0.29264172723961701</v>
      </c>
    </row>
    <row r="235" spans="1:15">
      <c r="A235" s="19">
        <v>43516</v>
      </c>
      <c r="B235">
        <v>1050</v>
      </c>
      <c r="C235">
        <v>1052</v>
      </c>
      <c r="D235">
        <v>3051</v>
      </c>
      <c r="E235">
        <v>3033</v>
      </c>
      <c r="F235">
        <v>0.34685130234091599</v>
      </c>
      <c r="G235">
        <v>0.32108742241072702</v>
      </c>
      <c r="H235">
        <v>1.41644494210986E-2</v>
      </c>
      <c r="I235">
        <v>1.81891149908107</v>
      </c>
      <c r="J235">
        <v>7.43</v>
      </c>
      <c r="L235">
        <v>0.33525187183182564</v>
      </c>
      <c r="M235">
        <v>0.3069229729896284</v>
      </c>
      <c r="N235">
        <v>0.34941632125292421</v>
      </c>
      <c r="O235">
        <v>0.29275852356852983</v>
      </c>
    </row>
    <row r="236" spans="1:15">
      <c r="A236" s="19">
        <v>43515</v>
      </c>
      <c r="B236">
        <v>1061</v>
      </c>
      <c r="C236">
        <v>1050</v>
      </c>
      <c r="D236">
        <v>3000</v>
      </c>
      <c r="E236">
        <v>3014</v>
      </c>
      <c r="F236">
        <v>0.34837425348374201</v>
      </c>
      <c r="G236">
        <v>0.320801949126786</v>
      </c>
      <c r="H236">
        <v>1.3854690840067701E-2</v>
      </c>
      <c r="I236">
        <v>1.9901060713109799</v>
      </c>
      <c r="J236">
        <v>7.91</v>
      </c>
      <c r="L236">
        <v>0.33465663996685369</v>
      </c>
      <c r="M236">
        <v>0.30694725828671832</v>
      </c>
      <c r="N236">
        <v>0.34851133080692143</v>
      </c>
      <c r="O236">
        <v>0.29309256744665058</v>
      </c>
    </row>
    <row r="237" spans="1:15">
      <c r="A237" s="19">
        <v>43514</v>
      </c>
      <c r="B237">
        <v>1069</v>
      </c>
      <c r="C237">
        <v>1060</v>
      </c>
      <c r="D237">
        <v>3015</v>
      </c>
      <c r="E237">
        <v>3003</v>
      </c>
      <c r="F237">
        <v>0.35298035298035202</v>
      </c>
      <c r="G237">
        <v>0.32042143883430901</v>
      </c>
      <c r="H237">
        <v>1.3479009058606099E-2</v>
      </c>
      <c r="I237">
        <v>2.4155272842743001</v>
      </c>
      <c r="J237">
        <v>9.2200000000000006</v>
      </c>
      <c r="L237">
        <v>0.33390044789291512</v>
      </c>
      <c r="M237">
        <v>0.30694242977570291</v>
      </c>
      <c r="N237">
        <v>0.34737945695152123</v>
      </c>
      <c r="O237">
        <v>0.2934634207170968</v>
      </c>
    </row>
    <row r="238" spans="1:15">
      <c r="A238" s="19">
        <v>43511</v>
      </c>
      <c r="B238">
        <v>1041</v>
      </c>
      <c r="C238">
        <v>1041</v>
      </c>
      <c r="D238">
        <v>3011</v>
      </c>
      <c r="E238">
        <v>2972.5</v>
      </c>
      <c r="F238">
        <v>0.35021026072329597</v>
      </c>
      <c r="G238">
        <v>0.320383246560277</v>
      </c>
      <c r="H238">
        <v>1.3390467779146899E-2</v>
      </c>
      <c r="I238">
        <v>2.22748111977605</v>
      </c>
      <c r="J238">
        <v>8.52</v>
      </c>
      <c r="L238">
        <v>0.33377371433942388</v>
      </c>
      <c r="M238">
        <v>0.30699277878113013</v>
      </c>
      <c r="N238">
        <v>0.34716418211857081</v>
      </c>
      <c r="O238">
        <v>0.2936023110019832</v>
      </c>
    </row>
    <row r="239" spans="1:15">
      <c r="A239" s="19">
        <v>43510</v>
      </c>
      <c r="B239">
        <v>1039</v>
      </c>
      <c r="C239">
        <v>1038</v>
      </c>
      <c r="D239">
        <v>3055</v>
      </c>
      <c r="E239">
        <v>3041</v>
      </c>
      <c r="F239">
        <v>0.34133508714238697</v>
      </c>
      <c r="G239">
        <v>0.32035453806902098</v>
      </c>
      <c r="H239">
        <v>1.3328654820595901E-2</v>
      </c>
      <c r="I239">
        <v>1.5740935117432799</v>
      </c>
      <c r="J239">
        <v>6.15</v>
      </c>
      <c r="L239">
        <v>0.3336831928896169</v>
      </c>
      <c r="M239">
        <v>0.30702588324842506</v>
      </c>
      <c r="N239">
        <v>0.34701184771021276</v>
      </c>
      <c r="O239">
        <v>0.29369722842782919</v>
      </c>
    </row>
    <row r="240" spans="1:15">
      <c r="A240" s="19">
        <v>43509</v>
      </c>
      <c r="B240">
        <v>1006</v>
      </c>
      <c r="C240">
        <v>1031</v>
      </c>
      <c r="D240">
        <v>2986.5</v>
      </c>
      <c r="E240">
        <v>3001</v>
      </c>
      <c r="F240">
        <v>0.34355214928357197</v>
      </c>
      <c r="G240">
        <v>0.32040379343733699</v>
      </c>
      <c r="H240">
        <v>1.3412657433467E-2</v>
      </c>
      <c r="I240">
        <v>1.7258590224242301</v>
      </c>
      <c r="J240">
        <v>6.74</v>
      </c>
      <c r="L240">
        <v>0.33381645087080397</v>
      </c>
      <c r="M240">
        <v>0.30699113600387001</v>
      </c>
      <c r="N240">
        <v>0.34722910830427101</v>
      </c>
      <c r="O240">
        <v>0.29357847857040298</v>
      </c>
    </row>
    <row r="241" spans="1:15">
      <c r="A241" s="19">
        <v>43508</v>
      </c>
      <c r="B241">
        <v>1003</v>
      </c>
      <c r="C241">
        <v>1030</v>
      </c>
      <c r="D241">
        <v>2926</v>
      </c>
      <c r="E241">
        <v>2950</v>
      </c>
      <c r="F241">
        <v>0.34915254237288101</v>
      </c>
      <c r="G241">
        <v>0.32046475118587803</v>
      </c>
      <c r="H241">
        <v>1.35276197249587E-2</v>
      </c>
      <c r="I241">
        <v>2.1206828525844199</v>
      </c>
      <c r="J241">
        <v>8.2200000000000006</v>
      </c>
      <c r="L241">
        <v>0.33399237091083672</v>
      </c>
      <c r="M241">
        <v>0.30693713146091933</v>
      </c>
      <c r="N241">
        <v>0.34751999063579542</v>
      </c>
      <c r="O241">
        <v>0.29340951173596064</v>
      </c>
    </row>
    <row r="242" spans="1:15">
      <c r="A242" s="19">
        <v>43504</v>
      </c>
      <c r="B242">
        <v>1014</v>
      </c>
      <c r="C242">
        <v>1003</v>
      </c>
      <c r="D242">
        <v>2982</v>
      </c>
      <c r="E242">
        <v>2926.5</v>
      </c>
      <c r="F242">
        <v>0.34273022381684598</v>
      </c>
      <c r="G242">
        <v>0.32045493448214302</v>
      </c>
      <c r="H242">
        <v>1.3507049549662999E-2</v>
      </c>
      <c r="I242">
        <v>1.6491602590780601</v>
      </c>
      <c r="J242">
        <v>6.5</v>
      </c>
      <c r="L242">
        <v>0.33396198403180599</v>
      </c>
      <c r="M242">
        <v>0.30694788493248004</v>
      </c>
      <c r="N242">
        <v>0.34746903358146902</v>
      </c>
      <c r="O242">
        <v>0.29344083538281701</v>
      </c>
    </row>
    <row r="243" spans="1:15">
      <c r="A243" s="19">
        <v>43503</v>
      </c>
      <c r="B243">
        <v>1025</v>
      </c>
      <c r="C243">
        <v>1030</v>
      </c>
      <c r="D243">
        <v>3004</v>
      </c>
      <c r="E243">
        <v>3002</v>
      </c>
      <c r="F243">
        <v>0.34310459693537598</v>
      </c>
      <c r="G243">
        <v>0.32057791154312298</v>
      </c>
      <c r="H243">
        <v>1.3749116888870301E-2</v>
      </c>
      <c r="I243">
        <v>1.63840962109264</v>
      </c>
      <c r="J243">
        <v>6.57</v>
      </c>
      <c r="L243">
        <v>0.3343270284319933</v>
      </c>
      <c r="M243">
        <v>0.30682879465425267</v>
      </c>
      <c r="N243">
        <v>0.34807614532086356</v>
      </c>
      <c r="O243">
        <v>0.29307967776538241</v>
      </c>
    </row>
    <row r="244" spans="1:15">
      <c r="A244" s="19">
        <v>43502</v>
      </c>
      <c r="B244">
        <v>1041</v>
      </c>
      <c r="C244">
        <v>1048</v>
      </c>
      <c r="D244">
        <v>3060</v>
      </c>
      <c r="E244">
        <v>3035</v>
      </c>
      <c r="F244">
        <v>0.345304777594728</v>
      </c>
      <c r="G244">
        <v>0.32070114099380698</v>
      </c>
      <c r="H244">
        <v>1.3989776416126001E-2</v>
      </c>
      <c r="I244">
        <v>1.7586869060008701</v>
      </c>
      <c r="J244">
        <v>7.13</v>
      </c>
      <c r="L244">
        <v>0.33469091740993295</v>
      </c>
      <c r="M244">
        <v>0.306711364577681</v>
      </c>
      <c r="N244">
        <v>0.34868069382605898</v>
      </c>
      <c r="O244">
        <v>0.29272158816155497</v>
      </c>
    </row>
    <row r="245" spans="1:15">
      <c r="A245" s="19">
        <v>43501</v>
      </c>
      <c r="B245">
        <v>1044</v>
      </c>
      <c r="C245">
        <v>1045</v>
      </c>
      <c r="D245">
        <v>3102</v>
      </c>
      <c r="E245">
        <v>3054</v>
      </c>
      <c r="F245">
        <v>0.34217419777341102</v>
      </c>
      <c r="G245">
        <v>0.32087068517475398</v>
      </c>
      <c r="H245">
        <v>1.43591015726086E-2</v>
      </c>
      <c r="I245">
        <v>1.4836243403484399</v>
      </c>
      <c r="J245">
        <v>6.23</v>
      </c>
      <c r="L245">
        <v>0.33522978674736259</v>
      </c>
      <c r="M245">
        <v>0.30651158360214537</v>
      </c>
      <c r="N245">
        <v>0.3495888883199712</v>
      </c>
      <c r="O245">
        <v>0.29215248202953675</v>
      </c>
    </row>
    <row r="246" spans="1:15">
      <c r="A246" s="19">
        <v>43500</v>
      </c>
      <c r="B246">
        <v>1025</v>
      </c>
      <c r="C246">
        <v>1039</v>
      </c>
      <c r="D246">
        <v>3105</v>
      </c>
      <c r="E246">
        <v>3132</v>
      </c>
      <c r="F246">
        <v>0.331736909323116</v>
      </c>
      <c r="G246">
        <v>0.32104316202031002</v>
      </c>
      <c r="H246">
        <v>1.4687882579998399E-2</v>
      </c>
      <c r="I246">
        <v>0.72806595808220398</v>
      </c>
      <c r="J246">
        <v>3.22</v>
      </c>
      <c r="L246">
        <v>0.33573104460030845</v>
      </c>
      <c r="M246">
        <v>0.3063552794403116</v>
      </c>
      <c r="N246">
        <v>0.35041892718030682</v>
      </c>
      <c r="O246">
        <v>0.29166739686031323</v>
      </c>
    </row>
    <row r="247" spans="1:15">
      <c r="A247" s="19">
        <v>43497</v>
      </c>
      <c r="B247">
        <v>1030</v>
      </c>
      <c r="C247">
        <v>1020</v>
      </c>
      <c r="D247">
        <v>3247</v>
      </c>
      <c r="E247">
        <v>3245</v>
      </c>
      <c r="F247">
        <v>0.31432973805855102</v>
      </c>
      <c r="G247">
        <v>0.32140444407212299</v>
      </c>
      <c r="H247">
        <v>1.5268256022521499E-2</v>
      </c>
      <c r="I247">
        <v>-0.46336045211295401</v>
      </c>
      <c r="J247">
        <v>-2.25</v>
      </c>
      <c r="L247">
        <v>0.33667270009464451</v>
      </c>
      <c r="M247">
        <v>0.30613618804960147</v>
      </c>
      <c r="N247">
        <v>0.35194095611716597</v>
      </c>
      <c r="O247">
        <v>0.29086793202708</v>
      </c>
    </row>
    <row r="248" spans="1:15">
      <c r="A248" s="19">
        <v>43496</v>
      </c>
      <c r="B248">
        <v>1025</v>
      </c>
      <c r="C248">
        <v>1009</v>
      </c>
      <c r="D248">
        <v>3288</v>
      </c>
      <c r="E248">
        <v>3249</v>
      </c>
      <c r="F248">
        <v>0.31055709449061197</v>
      </c>
      <c r="G248">
        <v>0.32187401908530799</v>
      </c>
      <c r="H248">
        <v>1.55817997327845E-2</v>
      </c>
      <c r="I248">
        <v>-0.72629123649205396</v>
      </c>
      <c r="J248">
        <v>-3.64</v>
      </c>
      <c r="L248">
        <v>0.3374558188180925</v>
      </c>
      <c r="M248">
        <v>0.30629221935252349</v>
      </c>
      <c r="N248">
        <v>0.35303761855087701</v>
      </c>
      <c r="O248">
        <v>0.29071041961973898</v>
      </c>
    </row>
    <row r="249" spans="1:15">
      <c r="A249" s="19">
        <v>43495</v>
      </c>
      <c r="B249">
        <v>1016</v>
      </c>
      <c r="C249">
        <v>999</v>
      </c>
      <c r="D249">
        <v>3287</v>
      </c>
      <c r="E249">
        <v>3241</v>
      </c>
      <c r="F249">
        <v>0.30823819808700997</v>
      </c>
      <c r="G249">
        <v>0.32239971764547598</v>
      </c>
      <c r="H249">
        <v>1.5853847016379201E-2</v>
      </c>
      <c r="I249">
        <v>-0.89325446018469201</v>
      </c>
      <c r="J249">
        <v>-4.59</v>
      </c>
      <c r="L249">
        <v>0.33825356466185519</v>
      </c>
      <c r="M249">
        <v>0.30654587062909677</v>
      </c>
      <c r="N249">
        <v>0.3541074116782344</v>
      </c>
      <c r="O249">
        <v>0.29069202361271756</v>
      </c>
    </row>
    <row r="250" spans="1:15">
      <c r="A250" s="19">
        <v>43494</v>
      </c>
      <c r="B250">
        <v>1011</v>
      </c>
      <c r="C250">
        <v>1006</v>
      </c>
      <c r="D250">
        <v>3237</v>
      </c>
      <c r="E250">
        <v>3245</v>
      </c>
      <c r="F250">
        <v>0.31001540832049301</v>
      </c>
      <c r="G250">
        <v>0.32289600849800199</v>
      </c>
      <c r="H250">
        <v>1.59848222120723E-2</v>
      </c>
      <c r="I250">
        <v>-0.80580190424525</v>
      </c>
      <c r="J250">
        <v>-4.1500000000000004</v>
      </c>
      <c r="L250">
        <v>0.3388808307100743</v>
      </c>
      <c r="M250">
        <v>0.30691118628592967</v>
      </c>
      <c r="N250">
        <v>0.35486565292214656</v>
      </c>
      <c r="O250">
        <v>0.29092636407385741</v>
      </c>
    </row>
    <row r="251" spans="1:15">
      <c r="A251" s="19">
        <v>43493</v>
      </c>
      <c r="B251">
        <v>1014</v>
      </c>
      <c r="C251">
        <v>1013</v>
      </c>
      <c r="D251">
        <v>3283</v>
      </c>
      <c r="E251">
        <v>3250</v>
      </c>
      <c r="F251">
        <v>0.31169230769230699</v>
      </c>
      <c r="G251">
        <v>0.32340482875606003</v>
      </c>
      <c r="H251">
        <v>1.6172976739295301E-2</v>
      </c>
      <c r="I251">
        <v>-0.72420317252390098</v>
      </c>
      <c r="J251">
        <v>-3.76</v>
      </c>
      <c r="L251">
        <v>0.33957780549535532</v>
      </c>
      <c r="M251">
        <v>0.30723185201676473</v>
      </c>
      <c r="N251">
        <v>0.35575078223465062</v>
      </c>
      <c r="O251">
        <v>0.29105887527746943</v>
      </c>
    </row>
    <row r="252" spans="1:15">
      <c r="A252" s="19">
        <v>43490</v>
      </c>
      <c r="B252">
        <v>1026</v>
      </c>
      <c r="C252">
        <v>1022</v>
      </c>
      <c r="D252">
        <v>3266</v>
      </c>
      <c r="E252">
        <v>3283</v>
      </c>
      <c r="F252">
        <v>0.31130063965884802</v>
      </c>
      <c r="G252">
        <v>0.32390641084882299</v>
      </c>
      <c r="H252">
        <v>1.6383920624934101E-2</v>
      </c>
      <c r="I252">
        <v>-0.76939894171546097</v>
      </c>
      <c r="J252">
        <v>-4.05</v>
      </c>
      <c r="L252">
        <v>0.34029033147375709</v>
      </c>
      <c r="M252">
        <v>0.30752249022388889</v>
      </c>
      <c r="N252">
        <v>0.35667425209869119</v>
      </c>
      <c r="O252">
        <v>0.29113856959895479</v>
      </c>
    </row>
    <row r="253" spans="1:15">
      <c r="A253" s="19">
        <v>43489</v>
      </c>
      <c r="B253">
        <v>987</v>
      </c>
      <c r="C253">
        <v>1011</v>
      </c>
      <c r="D253">
        <v>3188</v>
      </c>
      <c r="E253">
        <v>3234</v>
      </c>
      <c r="F253">
        <v>0.31261595547309801</v>
      </c>
      <c r="G253">
        <v>0.32431492479087398</v>
      </c>
      <c r="H253">
        <v>1.6446366708310602E-2</v>
      </c>
      <c r="I253">
        <v>-0.71134065810803304</v>
      </c>
      <c r="J253">
        <v>-3.74</v>
      </c>
      <c r="L253">
        <v>0.3407612914991846</v>
      </c>
      <c r="M253">
        <v>0.30786855808256336</v>
      </c>
      <c r="N253">
        <v>0.35720765820749517</v>
      </c>
      <c r="O253">
        <v>0.29142219137425279</v>
      </c>
    </row>
    <row r="254" spans="1:15">
      <c r="A254" s="19">
        <v>43488</v>
      </c>
      <c r="B254">
        <v>992</v>
      </c>
      <c r="C254">
        <v>993</v>
      </c>
      <c r="D254">
        <v>3218</v>
      </c>
      <c r="E254">
        <v>3232</v>
      </c>
      <c r="F254">
        <v>0.30724009900990101</v>
      </c>
      <c r="G254">
        <v>0.32473611216771497</v>
      </c>
      <c r="H254">
        <v>1.6545560527863198E-2</v>
      </c>
      <c r="I254">
        <v>-1.0574445712099101</v>
      </c>
      <c r="J254">
        <v>-5.69</v>
      </c>
      <c r="L254">
        <v>0.34128167269557819</v>
      </c>
      <c r="M254">
        <v>0.30819055163985176</v>
      </c>
      <c r="N254">
        <v>0.35782723322344134</v>
      </c>
      <c r="O254">
        <v>0.29164499111198861</v>
      </c>
    </row>
    <row r="255" spans="1:15">
      <c r="A255" s="19">
        <v>43487</v>
      </c>
      <c r="B255">
        <v>1013</v>
      </c>
      <c r="C255">
        <v>1000</v>
      </c>
      <c r="D255">
        <v>3265</v>
      </c>
      <c r="E255">
        <v>3239</v>
      </c>
      <c r="F255">
        <v>0.30873726458783501</v>
      </c>
      <c r="G255">
        <v>0.32521842795526901</v>
      </c>
      <c r="H255">
        <v>1.6555750567432099E-2</v>
      </c>
      <c r="I255">
        <v>-0.99549478595399299</v>
      </c>
      <c r="J255">
        <v>-5.34</v>
      </c>
      <c r="L255">
        <v>0.34177417852270109</v>
      </c>
      <c r="M255">
        <v>0.30866267738783693</v>
      </c>
      <c r="N255">
        <v>0.35832992909013323</v>
      </c>
      <c r="O255">
        <v>0.29210692682040479</v>
      </c>
    </row>
    <row r="256" spans="1:15">
      <c r="A256" s="19">
        <v>43486</v>
      </c>
      <c r="B256">
        <v>1000</v>
      </c>
      <c r="C256">
        <v>1006</v>
      </c>
      <c r="D256">
        <v>3253</v>
      </c>
      <c r="E256">
        <v>3243</v>
      </c>
      <c r="F256">
        <v>0.31020659882824497</v>
      </c>
      <c r="G256">
        <v>0.32568465294127502</v>
      </c>
      <c r="H256">
        <v>1.6577396692816299E-2</v>
      </c>
      <c r="I256">
        <v>-0.93368424486923995</v>
      </c>
      <c r="J256">
        <v>-4.99</v>
      </c>
      <c r="L256">
        <v>0.34226204963409135</v>
      </c>
      <c r="M256">
        <v>0.30910725624845869</v>
      </c>
      <c r="N256">
        <v>0.35883944632690762</v>
      </c>
      <c r="O256">
        <v>0.29252985955564242</v>
      </c>
    </row>
    <row r="257" spans="1:15">
      <c r="A257" s="19">
        <v>43483</v>
      </c>
      <c r="B257">
        <v>985</v>
      </c>
      <c r="C257">
        <v>986</v>
      </c>
      <c r="D257">
        <v>3219</v>
      </c>
      <c r="E257">
        <v>3215</v>
      </c>
      <c r="F257">
        <v>0.30668740279937701</v>
      </c>
      <c r="G257">
        <v>0.32616290208363702</v>
      </c>
      <c r="H257">
        <v>1.6641237779131599E-2</v>
      </c>
      <c r="I257">
        <v>-1.17031554640017</v>
      </c>
      <c r="J257">
        <v>-6.35</v>
      </c>
      <c r="L257">
        <v>0.34280413986276864</v>
      </c>
      <c r="M257">
        <v>0.3095216643045054</v>
      </c>
      <c r="N257">
        <v>0.35944537764190021</v>
      </c>
      <c r="O257">
        <v>0.29288042652537383</v>
      </c>
    </row>
    <row r="258" spans="1:15">
      <c r="A258" s="19">
        <v>43482</v>
      </c>
      <c r="B258">
        <v>986</v>
      </c>
      <c r="C258">
        <v>992</v>
      </c>
      <c r="D258">
        <v>3204</v>
      </c>
      <c r="E258">
        <v>3206</v>
      </c>
      <c r="F258">
        <v>0.30941983780411703</v>
      </c>
      <c r="G258">
        <v>0.32659402491927397</v>
      </c>
      <c r="H258">
        <v>1.65496912486006E-2</v>
      </c>
      <c r="I258">
        <v>-1.03773459318216</v>
      </c>
      <c r="J258">
        <v>-5.55</v>
      </c>
      <c r="L258">
        <v>0.34314371616787459</v>
      </c>
      <c r="M258">
        <v>0.31004433367067336</v>
      </c>
      <c r="N258">
        <v>0.35969340741647515</v>
      </c>
      <c r="O258">
        <v>0.29349464242207279</v>
      </c>
    </row>
    <row r="259" spans="1:15">
      <c r="A259" s="19">
        <v>43481</v>
      </c>
      <c r="B259">
        <v>995</v>
      </c>
      <c r="C259">
        <v>992</v>
      </c>
      <c r="D259">
        <v>3203</v>
      </c>
      <c r="E259">
        <v>3210</v>
      </c>
      <c r="F259">
        <v>0.309034267912772</v>
      </c>
      <c r="G259">
        <v>0.32691414464132401</v>
      </c>
      <c r="H259">
        <v>1.6446274943265799E-2</v>
      </c>
      <c r="I259">
        <v>-1.08716878382683</v>
      </c>
      <c r="J259">
        <v>-5.79</v>
      </c>
      <c r="L259">
        <v>0.34336041958458979</v>
      </c>
      <c r="M259">
        <v>0.31046786969805823</v>
      </c>
      <c r="N259">
        <v>0.35980669452785563</v>
      </c>
      <c r="O259">
        <v>0.29402159475479239</v>
      </c>
    </row>
    <row r="260" spans="1:15">
      <c r="A260" s="19">
        <v>43480</v>
      </c>
      <c r="B260">
        <v>970</v>
      </c>
      <c r="C260">
        <v>1004</v>
      </c>
      <c r="D260">
        <v>3184</v>
      </c>
      <c r="E260">
        <v>3219</v>
      </c>
      <c r="F260">
        <v>0.31189810500155302</v>
      </c>
      <c r="G260">
        <v>0.32737726487644903</v>
      </c>
      <c r="H260">
        <v>1.6425298783945799E-2</v>
      </c>
      <c r="I260">
        <v>-0.94239746128850399</v>
      </c>
      <c r="J260">
        <v>-4.96</v>
      </c>
      <c r="L260">
        <v>0.3438025636603948</v>
      </c>
      <c r="M260">
        <v>0.31095196609250325</v>
      </c>
      <c r="N260">
        <v>0.36022786244434063</v>
      </c>
      <c r="O260">
        <v>0.29452666730855742</v>
      </c>
    </row>
    <row r="261" spans="1:15">
      <c r="A261" s="19">
        <v>43476</v>
      </c>
      <c r="B261">
        <v>989</v>
      </c>
      <c r="C261">
        <v>985</v>
      </c>
      <c r="D261">
        <v>3131</v>
      </c>
      <c r="E261">
        <v>3170</v>
      </c>
      <c r="F261">
        <v>0.31072555205047298</v>
      </c>
      <c r="G261">
        <v>0.32790874072935899</v>
      </c>
      <c r="H261">
        <v>1.6560174148631299E-2</v>
      </c>
      <c r="I261">
        <v>-1.03762125474427</v>
      </c>
      <c r="J261">
        <v>-5.53</v>
      </c>
      <c r="L261">
        <v>0.34446891487799031</v>
      </c>
      <c r="M261">
        <v>0.31134856658072768</v>
      </c>
      <c r="N261">
        <v>0.36102908902662156</v>
      </c>
      <c r="O261">
        <v>0.29478839243209642</v>
      </c>
    </row>
    <row r="262" spans="1:15">
      <c r="A262" s="19">
        <v>43475</v>
      </c>
      <c r="B262">
        <v>974</v>
      </c>
      <c r="C262">
        <v>981</v>
      </c>
      <c r="D262">
        <v>3074</v>
      </c>
      <c r="E262">
        <v>3095</v>
      </c>
      <c r="F262">
        <v>0.31696284329563801</v>
      </c>
      <c r="G262">
        <v>0.32856069885792699</v>
      </c>
      <c r="H262">
        <v>1.6831149231980098E-2</v>
      </c>
      <c r="I262">
        <v>-0.68907092453631702</v>
      </c>
      <c r="J262">
        <v>-3.66</v>
      </c>
      <c r="L262">
        <v>0.34539184808990708</v>
      </c>
      <c r="M262">
        <v>0.3117295496259469</v>
      </c>
      <c r="N262">
        <v>0.36222299732188717</v>
      </c>
      <c r="O262">
        <v>0.29489840039396681</v>
      </c>
    </row>
    <row r="263" spans="1:15">
      <c r="A263" s="19">
        <v>43474</v>
      </c>
      <c r="B263">
        <v>974</v>
      </c>
      <c r="C263">
        <v>989</v>
      </c>
      <c r="D263">
        <v>3119</v>
      </c>
      <c r="E263">
        <v>3124</v>
      </c>
      <c r="F263">
        <v>0.316581306017925</v>
      </c>
      <c r="G263">
        <v>0.32910916236686</v>
      </c>
      <c r="H263">
        <v>1.7112150293879799E-2</v>
      </c>
      <c r="I263">
        <v>-0.73210298728008305</v>
      </c>
      <c r="J263">
        <v>-3.96</v>
      </c>
      <c r="L263">
        <v>0.3462213126607398</v>
      </c>
      <c r="M263">
        <v>0.3119970120729802</v>
      </c>
      <c r="N263">
        <v>0.3633334629546196</v>
      </c>
      <c r="O263">
        <v>0.29488486177910039</v>
      </c>
    </row>
    <row r="264" spans="1:15">
      <c r="A264" s="19">
        <v>43473</v>
      </c>
      <c r="B264">
        <v>968</v>
      </c>
      <c r="C264">
        <v>967</v>
      </c>
      <c r="D264">
        <v>3025</v>
      </c>
      <c r="E264">
        <v>3084</v>
      </c>
      <c r="F264">
        <v>0.31355382619973998</v>
      </c>
      <c r="G264">
        <v>0.329696133667364</v>
      </c>
      <c r="H264">
        <v>1.7424532021736501E-2</v>
      </c>
      <c r="I264">
        <v>-0.92641268342167804</v>
      </c>
      <c r="J264">
        <v>-5.15</v>
      </c>
      <c r="L264">
        <v>0.34712066568910049</v>
      </c>
      <c r="M264">
        <v>0.31227160164562751</v>
      </c>
      <c r="N264">
        <v>0.36454519771083699</v>
      </c>
      <c r="O264">
        <v>0.29484706962389101</v>
      </c>
    </row>
    <row r="265" spans="1:15">
      <c r="A265" s="19">
        <v>43472</v>
      </c>
      <c r="B265">
        <v>964</v>
      </c>
      <c r="C265">
        <v>967</v>
      </c>
      <c r="D265">
        <v>2962.5</v>
      </c>
      <c r="E265">
        <v>2989</v>
      </c>
      <c r="F265">
        <v>0.32351957176313101</v>
      </c>
      <c r="G265">
        <v>0.33047317451320002</v>
      </c>
      <c r="H265">
        <v>1.79780003034542E-2</v>
      </c>
      <c r="I265">
        <v>-0.38678399336400898</v>
      </c>
      <c r="J265">
        <v>-2.15</v>
      </c>
      <c r="L265">
        <v>0.34845117481665422</v>
      </c>
      <c r="M265">
        <v>0.31249517420974582</v>
      </c>
      <c r="N265">
        <v>0.36642917512010842</v>
      </c>
      <c r="O265">
        <v>0.29451717390629162</v>
      </c>
    </row>
    <row r="266" spans="1:15">
      <c r="A266" s="19">
        <v>43469</v>
      </c>
      <c r="B266">
        <v>935</v>
      </c>
      <c r="C266">
        <v>931</v>
      </c>
      <c r="D266">
        <v>2800</v>
      </c>
      <c r="E266">
        <v>2882.5</v>
      </c>
      <c r="F266">
        <v>0.322983521248915</v>
      </c>
      <c r="G266">
        <v>0.33111232124381901</v>
      </c>
      <c r="H266">
        <v>1.85620414336581E-2</v>
      </c>
      <c r="I266">
        <v>-0.43792596972465198</v>
      </c>
      <c r="J266">
        <v>-2.52</v>
      </c>
      <c r="L266">
        <v>0.34967436267747709</v>
      </c>
      <c r="M266">
        <v>0.31255027981016092</v>
      </c>
      <c r="N266">
        <v>0.36823640411113523</v>
      </c>
      <c r="O266">
        <v>0.29398823837650279</v>
      </c>
    </row>
    <row r="267" spans="1:15">
      <c r="A267" s="19">
        <v>43462</v>
      </c>
      <c r="B267">
        <v>956</v>
      </c>
      <c r="C267">
        <v>965</v>
      </c>
      <c r="D267">
        <v>2887</v>
      </c>
      <c r="E267">
        <v>2894.5</v>
      </c>
      <c r="F267">
        <v>0.333390913802038</v>
      </c>
      <c r="G267">
        <v>0.33173992515381101</v>
      </c>
      <c r="H267">
        <v>1.9065509756732098E-2</v>
      </c>
      <c r="I267">
        <v>8.6595568085678504E-2</v>
      </c>
      <c r="J267">
        <v>0.5</v>
      </c>
      <c r="L267">
        <v>0.35080543491054311</v>
      </c>
      <c r="M267">
        <v>0.31267441539707891</v>
      </c>
      <c r="N267">
        <v>0.36987094466727521</v>
      </c>
      <c r="O267">
        <v>0.29360890564034681</v>
      </c>
    </row>
    <row r="268" spans="1:15">
      <c r="A268" s="19">
        <v>43461</v>
      </c>
      <c r="B268">
        <v>940</v>
      </c>
      <c r="C268">
        <v>957</v>
      </c>
      <c r="D268">
        <v>2881.5</v>
      </c>
      <c r="E268">
        <v>2896.5</v>
      </c>
      <c r="F268">
        <v>0.33039875712066202</v>
      </c>
      <c r="G268">
        <v>0.33213975971839099</v>
      </c>
      <c r="H268">
        <v>1.9407321174935901E-2</v>
      </c>
      <c r="I268">
        <v>-8.9708547719483098E-2</v>
      </c>
      <c r="J268">
        <v>-0.53</v>
      </c>
      <c r="L268">
        <v>0.35154708089332687</v>
      </c>
      <c r="M268">
        <v>0.31273243854345512</v>
      </c>
      <c r="N268">
        <v>0.3709544020682628</v>
      </c>
      <c r="O268">
        <v>0.29332511736851918</v>
      </c>
    </row>
    <row r="269" spans="1:15">
      <c r="A269" s="19">
        <v>43460</v>
      </c>
      <c r="B269">
        <v>897</v>
      </c>
      <c r="C269">
        <v>900</v>
      </c>
      <c r="D269">
        <v>2778</v>
      </c>
      <c r="E269">
        <v>2781.5</v>
      </c>
      <c r="F269">
        <v>0.32356642099586502</v>
      </c>
      <c r="G269">
        <v>0.33260615727241799</v>
      </c>
      <c r="H269">
        <v>1.9776680476828699E-2</v>
      </c>
      <c r="I269">
        <v>-0.45709067743416898</v>
      </c>
      <c r="J269">
        <v>-2.79</v>
      </c>
      <c r="L269">
        <v>0.35238283774924667</v>
      </c>
      <c r="M269">
        <v>0.31282947679558931</v>
      </c>
      <c r="N269">
        <v>0.3721595182260754</v>
      </c>
      <c r="O269">
        <v>0.29305279631876058</v>
      </c>
    </row>
    <row r="270" spans="1:15">
      <c r="A270" s="19">
        <v>43459</v>
      </c>
      <c r="B270">
        <v>942</v>
      </c>
      <c r="C270">
        <v>894</v>
      </c>
      <c r="D270">
        <v>2839.5</v>
      </c>
      <c r="E270">
        <v>2756</v>
      </c>
      <c r="F270">
        <v>0.32438316400580502</v>
      </c>
      <c r="G270">
        <v>0.33317468539448297</v>
      </c>
      <c r="H270">
        <v>2.0118573378768E-2</v>
      </c>
      <c r="I270">
        <v>-0.43698532809269303</v>
      </c>
      <c r="J270">
        <v>-2.71</v>
      </c>
      <c r="L270">
        <v>0.35329325877325096</v>
      </c>
      <c r="M270">
        <v>0.31305611201571498</v>
      </c>
      <c r="N270">
        <v>0.37341183215201895</v>
      </c>
      <c r="O270">
        <v>0.29293753863694699</v>
      </c>
    </row>
    <row r="271" spans="1:15">
      <c r="A271" s="19">
        <v>43455</v>
      </c>
      <c r="B271">
        <v>953</v>
      </c>
      <c r="C271">
        <v>946</v>
      </c>
      <c r="D271">
        <v>2957</v>
      </c>
      <c r="E271">
        <v>2921.5</v>
      </c>
      <c r="F271">
        <v>0.32380626390552703</v>
      </c>
      <c r="G271">
        <v>0.33364758772814501</v>
      </c>
      <c r="H271">
        <v>2.0322181046977299E-2</v>
      </c>
      <c r="I271">
        <v>-0.484265138661443</v>
      </c>
      <c r="J271">
        <v>-3.04</v>
      </c>
      <c r="L271">
        <v>0.35396976877512232</v>
      </c>
      <c r="M271">
        <v>0.31332540668116771</v>
      </c>
      <c r="N271">
        <v>0.37429194982209962</v>
      </c>
      <c r="O271">
        <v>0.2930032256341904</v>
      </c>
    </row>
    <row r="272" spans="1:15">
      <c r="A272" s="19">
        <v>43454</v>
      </c>
      <c r="B272">
        <v>974</v>
      </c>
      <c r="C272">
        <v>958</v>
      </c>
      <c r="D272">
        <v>3022</v>
      </c>
      <c r="E272">
        <v>2964</v>
      </c>
      <c r="F272">
        <v>0.32321187584345401</v>
      </c>
      <c r="G272">
        <v>0.33410904065494101</v>
      </c>
      <c r="H272">
        <v>2.0485748671042799E-2</v>
      </c>
      <c r="I272">
        <v>-0.53193881202350501</v>
      </c>
      <c r="J272">
        <v>-3.37</v>
      </c>
      <c r="L272">
        <v>0.35459478932598382</v>
      </c>
      <c r="M272">
        <v>0.31362329198389821</v>
      </c>
      <c r="N272">
        <v>0.37508053799702662</v>
      </c>
      <c r="O272">
        <v>0.29313754331285541</v>
      </c>
    </row>
    <row r="273" spans="1:15">
      <c r="A273" s="19">
        <v>43453</v>
      </c>
      <c r="B273">
        <v>995</v>
      </c>
      <c r="C273">
        <v>985</v>
      </c>
      <c r="D273">
        <v>3029</v>
      </c>
      <c r="E273">
        <v>3047</v>
      </c>
      <c r="F273">
        <v>0.32326878897276001</v>
      </c>
      <c r="G273">
        <v>0.33455856072267398</v>
      </c>
      <c r="H273">
        <v>2.0611209659809799E-2</v>
      </c>
      <c r="I273">
        <v>-0.54774911013247196</v>
      </c>
      <c r="J273">
        <v>-3.49</v>
      </c>
      <c r="L273">
        <v>0.35516977038248376</v>
      </c>
      <c r="M273">
        <v>0.3139473510628642</v>
      </c>
      <c r="N273">
        <v>0.3757809800422936</v>
      </c>
      <c r="O273">
        <v>0.29333614140305436</v>
      </c>
    </row>
    <row r="274" spans="1:15">
      <c r="A274" s="19">
        <v>43452</v>
      </c>
      <c r="B274">
        <v>1002</v>
      </c>
      <c r="C274">
        <v>1011</v>
      </c>
      <c r="D274">
        <v>3049</v>
      </c>
      <c r="E274">
        <v>3028</v>
      </c>
      <c r="F274">
        <v>0.333883751651254</v>
      </c>
      <c r="G274">
        <v>0.33492848501432099</v>
      </c>
      <c r="H274">
        <v>2.06541931975198E-2</v>
      </c>
      <c r="I274">
        <v>-5.0582143445414902E-2</v>
      </c>
      <c r="J274">
        <v>-0.31</v>
      </c>
      <c r="L274">
        <v>0.35558267821184081</v>
      </c>
      <c r="M274">
        <v>0.31427429181680117</v>
      </c>
      <c r="N274">
        <v>0.37623687140936057</v>
      </c>
      <c r="O274">
        <v>0.2936200986192814</v>
      </c>
    </row>
    <row r="275" spans="1:15">
      <c r="A275" s="19">
        <v>43451</v>
      </c>
      <c r="B275">
        <v>1027</v>
      </c>
      <c r="C275">
        <v>1015</v>
      </c>
      <c r="D275">
        <v>3054</v>
      </c>
      <c r="E275">
        <v>3050</v>
      </c>
      <c r="F275">
        <v>0.332786885245901</v>
      </c>
      <c r="G275">
        <v>0.33509918570413499</v>
      </c>
      <c r="H275">
        <v>2.06977121662325E-2</v>
      </c>
      <c r="I275">
        <v>-0.11171768356148799</v>
      </c>
      <c r="J275">
        <v>-0.69</v>
      </c>
      <c r="L275">
        <v>0.3557968978703675</v>
      </c>
      <c r="M275">
        <v>0.31440147353790249</v>
      </c>
      <c r="N275">
        <v>0.37649461003660001</v>
      </c>
      <c r="O275">
        <v>0.29370376137166998</v>
      </c>
    </row>
    <row r="276" spans="1:15">
      <c r="A276" s="19">
        <v>43448</v>
      </c>
      <c r="B276">
        <v>1044</v>
      </c>
      <c r="C276">
        <v>1026</v>
      </c>
      <c r="D276">
        <v>3078</v>
      </c>
      <c r="E276">
        <v>3054</v>
      </c>
      <c r="F276">
        <v>0.33595284872298598</v>
      </c>
      <c r="G276">
        <v>0.33524597748589202</v>
      </c>
      <c r="H276">
        <v>2.0719820817756501E-2</v>
      </c>
      <c r="I276">
        <v>3.4115702221107498E-2</v>
      </c>
      <c r="J276">
        <v>0.21</v>
      </c>
      <c r="L276">
        <v>0.3559657983036485</v>
      </c>
      <c r="M276">
        <v>0.31452615666813555</v>
      </c>
      <c r="N276">
        <v>0.37668561912140502</v>
      </c>
      <c r="O276">
        <v>0.29380633585037902</v>
      </c>
    </row>
    <row r="277" spans="1:15">
      <c r="A277" s="19">
        <v>43447</v>
      </c>
      <c r="B277">
        <v>1039</v>
      </c>
      <c r="C277">
        <v>1044</v>
      </c>
      <c r="D277">
        <v>3112</v>
      </c>
      <c r="E277">
        <v>3114</v>
      </c>
      <c r="F277">
        <v>0.33526011560693603</v>
      </c>
      <c r="G277">
        <v>0.33538429732400898</v>
      </c>
      <c r="H277">
        <v>2.07586685337409E-2</v>
      </c>
      <c r="I277">
        <v>-5.9821619518131601E-3</v>
      </c>
      <c r="J277">
        <v>-0.04</v>
      </c>
      <c r="L277">
        <v>0.3561429658577499</v>
      </c>
      <c r="M277">
        <v>0.31462562879026806</v>
      </c>
      <c r="N277">
        <v>0.37690163439149077</v>
      </c>
      <c r="O277">
        <v>0.2938669602565272</v>
      </c>
    </row>
    <row r="278" spans="1:15">
      <c r="A278" s="19">
        <v>43446</v>
      </c>
      <c r="B278">
        <v>1035</v>
      </c>
      <c r="C278">
        <v>1033</v>
      </c>
      <c r="D278">
        <v>3067</v>
      </c>
      <c r="E278">
        <v>3082</v>
      </c>
      <c r="F278">
        <v>0.33517196625567802</v>
      </c>
      <c r="G278">
        <v>0.33551801249990798</v>
      </c>
      <c r="H278">
        <v>2.0789714060205602E-2</v>
      </c>
      <c r="I278">
        <v>-1.6645069923926802E-2</v>
      </c>
      <c r="J278">
        <v>-0.1</v>
      </c>
      <c r="L278">
        <v>0.35630772656011356</v>
      </c>
      <c r="M278">
        <v>0.3147282984397024</v>
      </c>
      <c r="N278">
        <v>0.37709744062031919</v>
      </c>
      <c r="O278">
        <v>0.29393858437949677</v>
      </c>
    </row>
    <row r="279" spans="1:15">
      <c r="A279" s="19">
        <v>43445</v>
      </c>
      <c r="B279">
        <v>1019</v>
      </c>
      <c r="C279">
        <v>1001</v>
      </c>
      <c r="D279">
        <v>3048</v>
      </c>
      <c r="E279">
        <v>3021</v>
      </c>
      <c r="F279">
        <v>0.33134723601456401</v>
      </c>
      <c r="G279">
        <v>0.33558190406496202</v>
      </c>
      <c r="H279">
        <v>2.0795914733599801E-2</v>
      </c>
      <c r="I279">
        <v>-0.20362980444211501</v>
      </c>
      <c r="J279">
        <v>-1.28</v>
      </c>
      <c r="L279">
        <v>0.35637781879856184</v>
      </c>
      <c r="M279">
        <v>0.3147859893313622</v>
      </c>
      <c r="N279">
        <v>0.3771737335321616</v>
      </c>
      <c r="O279">
        <v>0.29399007459776244</v>
      </c>
    </row>
    <row r="280" spans="1:15">
      <c r="A280" s="19">
        <v>43444</v>
      </c>
      <c r="B280">
        <v>999</v>
      </c>
      <c r="C280">
        <v>1007</v>
      </c>
      <c r="D280">
        <v>3003</v>
      </c>
      <c r="E280">
        <v>3033</v>
      </c>
      <c r="F280">
        <v>0.33201450708869101</v>
      </c>
      <c r="G280">
        <v>0.33562414580383798</v>
      </c>
      <c r="H280">
        <v>2.07904870817491E-2</v>
      </c>
      <c r="I280">
        <v>-0.173619728145577</v>
      </c>
      <c r="J280">
        <v>-1.0900000000000001</v>
      </c>
      <c r="L280">
        <v>0.35641463288558706</v>
      </c>
      <c r="M280">
        <v>0.3148336587220889</v>
      </c>
      <c r="N280">
        <v>0.37720511996733619</v>
      </c>
      <c r="O280">
        <v>0.29404317164033977</v>
      </c>
    </row>
    <row r="281" spans="1:15">
      <c r="A281" s="19">
        <v>43441</v>
      </c>
      <c r="B281">
        <v>1032</v>
      </c>
      <c r="C281">
        <v>1016</v>
      </c>
      <c r="D281">
        <v>3111</v>
      </c>
      <c r="E281">
        <v>3086</v>
      </c>
      <c r="F281">
        <v>0.32922877511341497</v>
      </c>
      <c r="G281">
        <v>0.33573005696296099</v>
      </c>
      <c r="H281">
        <v>2.0792061511646202E-2</v>
      </c>
      <c r="I281">
        <v>-0.31268096460296202</v>
      </c>
      <c r="J281">
        <v>-1.97</v>
      </c>
      <c r="L281">
        <v>0.35652211847460719</v>
      </c>
      <c r="M281">
        <v>0.31493799545131479</v>
      </c>
      <c r="N281">
        <v>0.37731417998625338</v>
      </c>
      <c r="O281">
        <v>0.29414593393966859</v>
      </c>
    </row>
    <row r="282" spans="1:15">
      <c r="A282" s="19">
        <v>43440</v>
      </c>
      <c r="B282">
        <v>1035</v>
      </c>
      <c r="C282">
        <v>1035</v>
      </c>
      <c r="D282">
        <v>3115</v>
      </c>
      <c r="E282">
        <v>3079</v>
      </c>
      <c r="F282">
        <v>0.33614810003247803</v>
      </c>
      <c r="G282">
        <v>0.33589073223664501</v>
      </c>
      <c r="H282">
        <v>2.0787762160645599E-2</v>
      </c>
      <c r="I282">
        <v>1.2380736023632899E-2</v>
      </c>
      <c r="J282">
        <v>0.08</v>
      </c>
      <c r="L282">
        <v>0.3566784943972906</v>
      </c>
      <c r="M282">
        <v>0.31510297007599941</v>
      </c>
      <c r="N282">
        <v>0.3774662565579362</v>
      </c>
      <c r="O282">
        <v>0.29431520791535382</v>
      </c>
    </row>
    <row r="283" spans="1:15">
      <c r="A283" s="19">
        <v>43439</v>
      </c>
      <c r="B283">
        <v>1025</v>
      </c>
      <c r="C283">
        <v>1040</v>
      </c>
      <c r="D283">
        <v>3120</v>
      </c>
      <c r="E283">
        <v>3115</v>
      </c>
      <c r="F283">
        <v>0.333868378812199</v>
      </c>
      <c r="G283">
        <v>0.33600881793779103</v>
      </c>
      <c r="H283">
        <v>2.0814026803796199E-2</v>
      </c>
      <c r="I283">
        <v>-0.102836377879661</v>
      </c>
      <c r="J283">
        <v>-0.64</v>
      </c>
      <c r="L283">
        <v>0.35682284474158721</v>
      </c>
      <c r="M283">
        <v>0.31519479113399484</v>
      </c>
      <c r="N283">
        <v>0.37763687154538345</v>
      </c>
      <c r="O283">
        <v>0.29438076433019861</v>
      </c>
    </row>
    <row r="284" spans="1:15">
      <c r="A284" s="19">
        <v>43438</v>
      </c>
      <c r="B284">
        <v>1055</v>
      </c>
      <c r="C284">
        <v>1038</v>
      </c>
      <c r="D284">
        <v>3300</v>
      </c>
      <c r="E284">
        <v>3191</v>
      </c>
      <c r="F284">
        <v>0.32528987778125901</v>
      </c>
      <c r="G284">
        <v>0.33613804149773502</v>
      </c>
      <c r="H284">
        <v>2.0830415919197199E-2</v>
      </c>
      <c r="I284">
        <v>-0.52078478694601904</v>
      </c>
      <c r="J284">
        <v>-3.33</v>
      </c>
      <c r="L284">
        <v>0.35696845741693223</v>
      </c>
      <c r="M284">
        <v>0.31530762557853781</v>
      </c>
      <c r="N284">
        <v>0.37779887333612944</v>
      </c>
      <c r="O284">
        <v>0.2944772096593406</v>
      </c>
    </row>
    <row r="285" spans="1:15">
      <c r="A285" s="19">
        <v>43437</v>
      </c>
      <c r="B285">
        <v>1032</v>
      </c>
      <c r="C285">
        <v>1032</v>
      </c>
      <c r="D285">
        <v>3250</v>
      </c>
      <c r="E285">
        <v>3269</v>
      </c>
      <c r="F285">
        <v>0.315692872438054</v>
      </c>
      <c r="G285">
        <v>0.33639000928678298</v>
      </c>
      <c r="H285">
        <v>2.0811956814536001E-2</v>
      </c>
      <c r="I285">
        <v>-0.99448298077734198</v>
      </c>
      <c r="J285">
        <v>-6.56</v>
      </c>
      <c r="L285">
        <v>0.35720196610131899</v>
      </c>
      <c r="M285">
        <v>0.31557805247224696</v>
      </c>
      <c r="N285">
        <v>0.37801392291585501</v>
      </c>
      <c r="O285">
        <v>0.29476609565771095</v>
      </c>
    </row>
    <row r="286" spans="1:15">
      <c r="A286" s="19">
        <v>43434</v>
      </c>
      <c r="B286">
        <v>1007</v>
      </c>
      <c r="C286">
        <v>1010</v>
      </c>
      <c r="D286">
        <v>3171</v>
      </c>
      <c r="E286">
        <v>3202</v>
      </c>
      <c r="F286">
        <v>0.31542785758900599</v>
      </c>
      <c r="G286">
        <v>0.33676910032413998</v>
      </c>
      <c r="H286">
        <v>2.0690091574814801E-2</v>
      </c>
      <c r="I286">
        <v>-1.0314716422575401</v>
      </c>
      <c r="J286">
        <v>-6.77</v>
      </c>
      <c r="L286">
        <v>0.35745919189895481</v>
      </c>
      <c r="M286">
        <v>0.31607900874932515</v>
      </c>
      <c r="N286">
        <v>0.37814928347376958</v>
      </c>
      <c r="O286">
        <v>0.29538891717451038</v>
      </c>
    </row>
    <row r="287" spans="1:15">
      <c r="A287" s="19">
        <v>43433</v>
      </c>
      <c r="B287">
        <v>1013</v>
      </c>
      <c r="C287">
        <v>1007</v>
      </c>
      <c r="D287">
        <v>3157</v>
      </c>
      <c r="E287">
        <v>3142</v>
      </c>
      <c r="F287">
        <v>0.32049649904519401</v>
      </c>
      <c r="G287">
        <v>0.337188497430777</v>
      </c>
      <c r="H287">
        <v>2.05717070149764E-2</v>
      </c>
      <c r="I287">
        <v>-0.81140560544787899</v>
      </c>
      <c r="J287">
        <v>-5.21</v>
      </c>
      <c r="L287">
        <v>0.3577602044457534</v>
      </c>
      <c r="M287">
        <v>0.3166167904158006</v>
      </c>
      <c r="N287">
        <v>0.37833191146072981</v>
      </c>
      <c r="O287">
        <v>0.29604508340082419</v>
      </c>
    </row>
    <row r="288" spans="1:15">
      <c r="A288" s="19">
        <v>43432</v>
      </c>
      <c r="B288">
        <v>1000</v>
      </c>
      <c r="C288">
        <v>1003</v>
      </c>
      <c r="D288">
        <v>3205</v>
      </c>
      <c r="E288">
        <v>3161</v>
      </c>
      <c r="F288">
        <v>0.31730465042708</v>
      </c>
      <c r="G288">
        <v>0.33752328678634202</v>
      </c>
      <c r="H288">
        <v>2.05015299984465E-2</v>
      </c>
      <c r="I288">
        <v>-0.98620134013386496</v>
      </c>
      <c r="J288">
        <v>-6.37</v>
      </c>
      <c r="L288">
        <v>0.35802481678478854</v>
      </c>
      <c r="M288">
        <v>0.31702175678789551</v>
      </c>
      <c r="N288">
        <v>0.37852634678323505</v>
      </c>
      <c r="O288">
        <v>0.296520226789449</v>
      </c>
    </row>
    <row r="289" spans="1:15">
      <c r="A289" s="19">
        <v>43431</v>
      </c>
      <c r="B289">
        <v>991</v>
      </c>
      <c r="C289">
        <v>999</v>
      </c>
      <c r="D289">
        <v>3198</v>
      </c>
      <c r="E289">
        <v>3205</v>
      </c>
      <c r="F289">
        <v>0.31170046801871998</v>
      </c>
      <c r="G289">
        <v>0.33796967533768202</v>
      </c>
      <c r="H289">
        <v>2.0420760009290301E-2</v>
      </c>
      <c r="I289">
        <v>-1.28639714227143</v>
      </c>
      <c r="J289">
        <v>-8.43</v>
      </c>
      <c r="L289">
        <v>0.35839043534697235</v>
      </c>
      <c r="M289">
        <v>0.31754891532839169</v>
      </c>
      <c r="N289">
        <v>0.37881119535626262</v>
      </c>
      <c r="O289">
        <v>0.29712815531910142</v>
      </c>
    </row>
    <row r="290" spans="1:15">
      <c r="A290" s="19">
        <v>43430</v>
      </c>
      <c r="B290">
        <v>980</v>
      </c>
      <c r="C290">
        <v>981</v>
      </c>
      <c r="D290">
        <v>3136</v>
      </c>
      <c r="E290">
        <v>3158</v>
      </c>
      <c r="F290">
        <v>0.31063964534515498</v>
      </c>
      <c r="G290">
        <v>0.33812705109256602</v>
      </c>
      <c r="H290">
        <v>2.0262574717484601E-2</v>
      </c>
      <c r="I290">
        <v>-1.3565603646457001</v>
      </c>
      <c r="J290">
        <v>-8.85</v>
      </c>
      <c r="L290">
        <v>0.35838962581005063</v>
      </c>
      <c r="M290">
        <v>0.31786447637508142</v>
      </c>
      <c r="N290">
        <v>0.37865220052753523</v>
      </c>
      <c r="O290">
        <v>0.29760190165759681</v>
      </c>
    </row>
    <row r="291" spans="1:15">
      <c r="A291" s="19">
        <v>43426</v>
      </c>
      <c r="B291">
        <v>999</v>
      </c>
      <c r="C291">
        <v>990</v>
      </c>
      <c r="D291">
        <v>3146</v>
      </c>
      <c r="E291">
        <v>3158</v>
      </c>
      <c r="F291">
        <v>0.31348955034832099</v>
      </c>
      <c r="G291">
        <v>0.338299944528622</v>
      </c>
      <c r="H291">
        <v>2.00818118829677E-2</v>
      </c>
      <c r="I291">
        <v>-1.2354659193547799</v>
      </c>
      <c r="J291">
        <v>-7.91</v>
      </c>
      <c r="L291">
        <v>0.3583817564115897</v>
      </c>
      <c r="M291">
        <v>0.31821813264565429</v>
      </c>
      <c r="N291">
        <v>0.37846356829455741</v>
      </c>
      <c r="O291">
        <v>0.29813632076268659</v>
      </c>
    </row>
    <row r="292" spans="1:15">
      <c r="A292" s="19">
        <v>43425</v>
      </c>
      <c r="B292">
        <v>968</v>
      </c>
      <c r="C292">
        <v>990</v>
      </c>
      <c r="D292">
        <v>3107</v>
      </c>
      <c r="E292">
        <v>3146</v>
      </c>
      <c r="F292">
        <v>0.31468531468531402</v>
      </c>
      <c r="G292">
        <v>0.33846363731642998</v>
      </c>
      <c r="H292">
        <v>1.9928358127368598E-2</v>
      </c>
      <c r="I292">
        <v>-1.19319025075428</v>
      </c>
      <c r="J292">
        <v>-7.56</v>
      </c>
      <c r="L292">
        <v>0.35839199544379857</v>
      </c>
      <c r="M292">
        <v>0.31853527918906138</v>
      </c>
      <c r="N292">
        <v>0.37832035357116717</v>
      </c>
      <c r="O292">
        <v>0.29860692106169279</v>
      </c>
    </row>
    <row r="293" spans="1:15">
      <c r="A293" s="19">
        <v>43424</v>
      </c>
      <c r="B293">
        <v>974</v>
      </c>
      <c r="C293">
        <v>987</v>
      </c>
      <c r="D293">
        <v>3148</v>
      </c>
      <c r="E293">
        <v>3166</v>
      </c>
      <c r="F293">
        <v>0.311749842072015</v>
      </c>
      <c r="G293">
        <v>0.33865442089182901</v>
      </c>
      <c r="H293">
        <v>1.9767648074848401E-2</v>
      </c>
      <c r="I293">
        <v>-1.36104096541697</v>
      </c>
      <c r="J293">
        <v>-8.6300000000000008</v>
      </c>
      <c r="L293">
        <v>0.35842206896667739</v>
      </c>
      <c r="M293">
        <v>0.31888677281698063</v>
      </c>
      <c r="N293">
        <v>0.37818971704152582</v>
      </c>
      <c r="O293">
        <v>0.2991191247421322</v>
      </c>
    </row>
    <row r="294" spans="1:15">
      <c r="A294" s="19">
        <v>43423</v>
      </c>
      <c r="B294">
        <v>966</v>
      </c>
      <c r="C294">
        <v>982</v>
      </c>
      <c r="D294">
        <v>3179</v>
      </c>
      <c r="E294">
        <v>3179</v>
      </c>
      <c r="F294">
        <v>0.30890217049386598</v>
      </c>
      <c r="G294">
        <v>0.338909082709409</v>
      </c>
      <c r="H294">
        <v>1.9541132720053998E-2</v>
      </c>
      <c r="I294">
        <v>-1.5355769107871899</v>
      </c>
      <c r="J294">
        <v>-9.7100000000000009</v>
      </c>
      <c r="L294">
        <v>0.35845021542946298</v>
      </c>
      <c r="M294">
        <v>0.31936794998935503</v>
      </c>
      <c r="N294">
        <v>0.37799134814951701</v>
      </c>
      <c r="O294">
        <v>0.29982681726930099</v>
      </c>
    </row>
    <row r="295" spans="1:15">
      <c r="A295" s="19">
        <v>43420</v>
      </c>
      <c r="B295">
        <v>972</v>
      </c>
      <c r="C295">
        <v>966</v>
      </c>
      <c r="D295">
        <v>3211</v>
      </c>
      <c r="E295">
        <v>3184</v>
      </c>
      <c r="F295">
        <v>0.30339195979899403</v>
      </c>
      <c r="G295">
        <v>0.33912159729390701</v>
      </c>
      <c r="H295">
        <v>1.9298810228039E-2</v>
      </c>
      <c r="I295">
        <v>-1.8513906853698601</v>
      </c>
      <c r="J295">
        <v>-11.78</v>
      </c>
      <c r="L295">
        <v>0.35842040752194598</v>
      </c>
      <c r="M295">
        <v>0.31982278706586803</v>
      </c>
      <c r="N295">
        <v>0.37771921774998501</v>
      </c>
      <c r="O295">
        <v>0.300523976837829</v>
      </c>
    </row>
    <row r="296" spans="1:15">
      <c r="A296" s="19">
        <v>43419</v>
      </c>
      <c r="B296">
        <v>976</v>
      </c>
      <c r="C296">
        <v>974</v>
      </c>
      <c r="D296">
        <v>3220</v>
      </c>
      <c r="E296">
        <v>3206</v>
      </c>
      <c r="F296">
        <v>0.30380536494073601</v>
      </c>
      <c r="G296">
        <v>0.339507568381336</v>
      </c>
      <c r="H296">
        <v>1.8864965266007099E-2</v>
      </c>
      <c r="I296">
        <v>-1.8925136058920899</v>
      </c>
      <c r="J296">
        <v>-11.75</v>
      </c>
      <c r="L296">
        <v>0.35837253364734312</v>
      </c>
      <c r="M296">
        <v>0.32064260311532888</v>
      </c>
      <c r="N296">
        <v>0.37723749891335018</v>
      </c>
      <c r="O296">
        <v>0.30177763784932182</v>
      </c>
    </row>
    <row r="297" spans="1:15">
      <c r="A297" s="19">
        <v>43418</v>
      </c>
      <c r="B297">
        <v>974</v>
      </c>
      <c r="C297">
        <v>980</v>
      </c>
      <c r="D297">
        <v>3223</v>
      </c>
      <c r="E297">
        <v>3223</v>
      </c>
      <c r="F297">
        <v>0.30406453614644702</v>
      </c>
      <c r="G297">
        <v>0.33983541149016799</v>
      </c>
      <c r="H297">
        <v>1.84507743319367E-2</v>
      </c>
      <c r="I297">
        <v>-1.9387194651123401</v>
      </c>
      <c r="J297">
        <v>-11.76</v>
      </c>
      <c r="L297">
        <v>0.3582861858221047</v>
      </c>
      <c r="M297">
        <v>0.32138463715823129</v>
      </c>
      <c r="N297">
        <v>0.3767369601540414</v>
      </c>
      <c r="O297">
        <v>0.30293386282629459</v>
      </c>
    </row>
    <row r="298" spans="1:15">
      <c r="A298" s="19">
        <v>43417</v>
      </c>
      <c r="B298">
        <v>976</v>
      </c>
      <c r="C298">
        <v>969</v>
      </c>
      <c r="D298">
        <v>3212</v>
      </c>
      <c r="E298">
        <v>3210</v>
      </c>
      <c r="F298">
        <v>0.30186915887850402</v>
      </c>
      <c r="G298">
        <v>0.34020717111718002</v>
      </c>
      <c r="H298">
        <v>1.8001720062181099E-2</v>
      </c>
      <c r="I298">
        <v>-2.1296860581238599</v>
      </c>
      <c r="J298">
        <v>-12.7</v>
      </c>
      <c r="L298">
        <v>0.35820889117936111</v>
      </c>
      <c r="M298">
        <v>0.32220545105499893</v>
      </c>
      <c r="N298">
        <v>0.3762106112415422</v>
      </c>
      <c r="O298">
        <v>0.30420373099281783</v>
      </c>
    </row>
    <row r="299" spans="1:15">
      <c r="A299" s="19">
        <v>43416</v>
      </c>
      <c r="B299">
        <v>989</v>
      </c>
      <c r="C299">
        <v>991</v>
      </c>
      <c r="D299">
        <v>3252</v>
      </c>
      <c r="E299">
        <v>3282</v>
      </c>
      <c r="F299">
        <v>0.30195003046922603</v>
      </c>
      <c r="G299">
        <v>0.34062935239893999</v>
      </c>
      <c r="H299">
        <v>1.74608213858484E-2</v>
      </c>
      <c r="I299">
        <v>-2.21520632248507</v>
      </c>
      <c r="J299">
        <v>-12.81</v>
      </c>
      <c r="L299">
        <v>0.35809017378478841</v>
      </c>
      <c r="M299">
        <v>0.32316853101309156</v>
      </c>
      <c r="N299">
        <v>0.37555099517063678</v>
      </c>
      <c r="O299">
        <v>0.3057077096272432</v>
      </c>
    </row>
    <row r="300" spans="1:15">
      <c r="A300" s="19">
        <v>43413</v>
      </c>
      <c r="B300">
        <v>995</v>
      </c>
      <c r="C300">
        <v>997</v>
      </c>
      <c r="D300">
        <v>3266</v>
      </c>
      <c r="E300">
        <v>3280</v>
      </c>
      <c r="F300">
        <v>0.303963414634146</v>
      </c>
      <c r="G300">
        <v>0.34101573552138797</v>
      </c>
      <c r="H300">
        <v>1.6912652393604202E-2</v>
      </c>
      <c r="I300">
        <v>-2.1908048498208199</v>
      </c>
      <c r="J300">
        <v>-12.19</v>
      </c>
      <c r="L300">
        <v>0.35792838791499215</v>
      </c>
      <c r="M300">
        <v>0.3241030831277838</v>
      </c>
      <c r="N300">
        <v>0.37484104030859638</v>
      </c>
      <c r="O300">
        <v>0.30719043073417956</v>
      </c>
    </row>
    <row r="301" spans="1:15">
      <c r="A301" s="19">
        <v>43412</v>
      </c>
      <c r="B301">
        <v>1005</v>
      </c>
      <c r="C301">
        <v>981</v>
      </c>
      <c r="D301">
        <v>3287</v>
      </c>
      <c r="E301">
        <v>3264</v>
      </c>
      <c r="F301">
        <v>0.300551470588235</v>
      </c>
      <c r="G301">
        <v>0.34138034115195698</v>
      </c>
      <c r="H301">
        <v>1.63968350304858E-2</v>
      </c>
      <c r="I301">
        <v>-2.4900458221242499</v>
      </c>
      <c r="J301">
        <v>-13.58</v>
      </c>
      <c r="L301">
        <v>0.35777717618244276</v>
      </c>
      <c r="M301">
        <v>0.3249835061214712</v>
      </c>
      <c r="N301">
        <v>0.37417401121292859</v>
      </c>
      <c r="O301">
        <v>0.30858667109098536</v>
      </c>
    </row>
    <row r="302" spans="1:15">
      <c r="A302" s="19">
        <v>43411</v>
      </c>
      <c r="B302">
        <v>1018</v>
      </c>
      <c r="C302">
        <v>1016</v>
      </c>
      <c r="D302">
        <v>3295</v>
      </c>
      <c r="E302">
        <v>3229</v>
      </c>
      <c r="F302">
        <v>0.31464849798699202</v>
      </c>
      <c r="G302">
        <v>0.34183246151747199</v>
      </c>
      <c r="H302">
        <v>1.5718257546397899E-2</v>
      </c>
      <c r="I302">
        <v>-1.72945146433923</v>
      </c>
      <c r="J302">
        <v>-8.64</v>
      </c>
      <c r="L302">
        <v>0.35755071906386987</v>
      </c>
      <c r="M302">
        <v>0.3261142039710741</v>
      </c>
      <c r="N302">
        <v>0.37326897661026781</v>
      </c>
      <c r="O302">
        <v>0.31039594642467616</v>
      </c>
    </row>
    <row r="303" spans="1:15">
      <c r="A303" s="19">
        <v>43410</v>
      </c>
      <c r="B303">
        <v>1010</v>
      </c>
      <c r="C303">
        <v>1011</v>
      </c>
      <c r="D303">
        <v>3234</v>
      </c>
      <c r="E303">
        <v>3317</v>
      </c>
      <c r="F303">
        <v>0.30479348809164902</v>
      </c>
      <c r="G303">
        <v>0.34205189102183298</v>
      </c>
      <c r="H303">
        <v>1.54498136478467E-2</v>
      </c>
      <c r="I303">
        <v>-2.4115762027574301</v>
      </c>
      <c r="J303">
        <v>-12.22</v>
      </c>
      <c r="L303">
        <v>0.35750170466967968</v>
      </c>
      <c r="M303">
        <v>0.32660207737398628</v>
      </c>
      <c r="N303">
        <v>0.37295151831752638</v>
      </c>
      <c r="O303">
        <v>0.31115226372613958</v>
      </c>
    </row>
    <row r="304" spans="1:15">
      <c r="A304" s="19">
        <v>43409</v>
      </c>
      <c r="B304">
        <v>1016</v>
      </c>
      <c r="C304">
        <v>1009</v>
      </c>
      <c r="D304">
        <v>3199</v>
      </c>
      <c r="E304">
        <v>3216</v>
      </c>
      <c r="F304">
        <v>0.313743781094527</v>
      </c>
      <c r="G304">
        <v>0.34242573489412298</v>
      </c>
      <c r="H304">
        <v>1.4872164412837801E-2</v>
      </c>
      <c r="I304">
        <v>-1.92856621292036</v>
      </c>
      <c r="J304">
        <v>-9.14</v>
      </c>
      <c r="L304">
        <v>0.35729789930696076</v>
      </c>
      <c r="M304">
        <v>0.32755357048128519</v>
      </c>
      <c r="N304">
        <v>0.37217006371979861</v>
      </c>
      <c r="O304">
        <v>0.31268140606844735</v>
      </c>
    </row>
    <row r="305" spans="1:15">
      <c r="A305" s="19">
        <v>43406</v>
      </c>
      <c r="B305">
        <v>1017</v>
      </c>
      <c r="C305">
        <v>1033</v>
      </c>
      <c r="D305">
        <v>3258</v>
      </c>
      <c r="E305">
        <v>3248</v>
      </c>
      <c r="F305">
        <v>0.318041871921182</v>
      </c>
      <c r="G305">
        <v>0.34263624198253001</v>
      </c>
      <c r="H305">
        <v>1.4573432831356601E-2</v>
      </c>
      <c r="I305">
        <v>-1.6876167987291499</v>
      </c>
      <c r="J305">
        <v>-7.73</v>
      </c>
      <c r="L305">
        <v>0.3572096748138866</v>
      </c>
      <c r="M305">
        <v>0.32806280915117342</v>
      </c>
      <c r="N305">
        <v>0.37178310764524319</v>
      </c>
      <c r="O305">
        <v>0.31348937631981683</v>
      </c>
    </row>
    <row r="306" spans="1:15">
      <c r="A306" s="19">
        <v>43405</v>
      </c>
      <c r="B306">
        <v>974</v>
      </c>
      <c r="C306">
        <v>987</v>
      </c>
      <c r="D306">
        <v>3241</v>
      </c>
      <c r="E306">
        <v>3251</v>
      </c>
      <c r="F306">
        <v>0.303598892648415</v>
      </c>
      <c r="G306">
        <v>0.34275319196590198</v>
      </c>
      <c r="H306">
        <v>1.44098730822937E-2</v>
      </c>
      <c r="I306">
        <v>-2.7171855778242699</v>
      </c>
      <c r="J306">
        <v>-12.9</v>
      </c>
      <c r="L306">
        <v>0.35716306504819567</v>
      </c>
      <c r="M306">
        <v>0.32834331888360829</v>
      </c>
      <c r="N306">
        <v>0.37157293813048936</v>
      </c>
      <c r="O306">
        <v>0.3139334458013146</v>
      </c>
    </row>
    <row r="307" spans="1:15">
      <c r="A307" s="19">
        <v>43404</v>
      </c>
      <c r="B307">
        <v>968</v>
      </c>
      <c r="C307">
        <v>970</v>
      </c>
      <c r="D307">
        <v>3135</v>
      </c>
      <c r="E307">
        <v>3241</v>
      </c>
      <c r="F307">
        <v>0.29929034248688602</v>
      </c>
      <c r="G307">
        <v>0.34303894508619998</v>
      </c>
      <c r="H307">
        <v>1.3831484895989E-2</v>
      </c>
      <c r="I307" s="20">
        <v>-3.1629722280938699</v>
      </c>
      <c r="J307">
        <v>-14.62</v>
      </c>
      <c r="L307">
        <v>0.35687042998218899</v>
      </c>
      <c r="M307">
        <v>0.32920746019021097</v>
      </c>
      <c r="N307">
        <v>0.370701914878178</v>
      </c>
      <c r="O307">
        <v>0.31537597529422196</v>
      </c>
    </row>
    <row r="308" spans="1:15">
      <c r="A308" s="19">
        <v>43403</v>
      </c>
      <c r="B308">
        <v>959</v>
      </c>
      <c r="C308">
        <v>965</v>
      </c>
      <c r="D308">
        <v>2980</v>
      </c>
      <c r="E308">
        <v>3044</v>
      </c>
      <c r="F308">
        <v>0.31701708278580798</v>
      </c>
      <c r="G308">
        <v>0.34336875085007501</v>
      </c>
      <c r="H308">
        <v>1.3057641752246101E-2</v>
      </c>
      <c r="I308">
        <v>-2.0181031586147098</v>
      </c>
      <c r="J308">
        <v>-8.31</v>
      </c>
      <c r="L308">
        <v>0.35642639260232112</v>
      </c>
      <c r="M308">
        <v>0.3303111090978289</v>
      </c>
      <c r="N308">
        <v>0.36948403435456723</v>
      </c>
      <c r="O308">
        <v>0.3172534673455828</v>
      </c>
    </row>
    <row r="309" spans="1:15">
      <c r="A309" s="19">
        <v>43402</v>
      </c>
      <c r="B309">
        <v>973</v>
      </c>
      <c r="C309">
        <v>967</v>
      </c>
      <c r="D309">
        <v>2999.5</v>
      </c>
      <c r="E309">
        <v>2985</v>
      </c>
      <c r="F309">
        <v>0.32395309882746998</v>
      </c>
      <c r="G309">
        <v>0.34344904191838699</v>
      </c>
      <c r="H309">
        <v>1.2913072968383199E-2</v>
      </c>
      <c r="I309">
        <v>-1.50978339072746</v>
      </c>
      <c r="J309">
        <v>-6.02</v>
      </c>
      <c r="L309">
        <v>0.35636211488677016</v>
      </c>
      <c r="M309">
        <v>0.33053596895000381</v>
      </c>
      <c r="N309">
        <v>0.3692751878551534</v>
      </c>
      <c r="O309">
        <v>0.31762289598162058</v>
      </c>
    </row>
    <row r="310" spans="1:15">
      <c r="A310" s="19">
        <v>43399</v>
      </c>
      <c r="B310">
        <v>950</v>
      </c>
      <c r="C310">
        <v>969</v>
      </c>
      <c r="D310">
        <v>2972</v>
      </c>
      <c r="E310">
        <v>2977.5</v>
      </c>
      <c r="F310">
        <v>0.32544080604533998</v>
      </c>
      <c r="G310">
        <v>0.34347634208149003</v>
      </c>
      <c r="H310">
        <v>1.2873931829605801E-2</v>
      </c>
      <c r="I310">
        <v>-1.4009345610075801</v>
      </c>
      <c r="J310">
        <v>-5.54</v>
      </c>
      <c r="L310">
        <v>0.35635027391109581</v>
      </c>
      <c r="M310">
        <v>0.33060241025188425</v>
      </c>
      <c r="N310">
        <v>0.36922420574070164</v>
      </c>
      <c r="O310">
        <v>0.31772847842227842</v>
      </c>
    </row>
    <row r="311" spans="1:15">
      <c r="A311" s="19">
        <v>43398</v>
      </c>
      <c r="B311">
        <v>997</v>
      </c>
      <c r="C311">
        <v>936</v>
      </c>
      <c r="D311">
        <v>2950</v>
      </c>
      <c r="E311">
        <v>2926.5</v>
      </c>
      <c r="F311">
        <v>0.31983598154792398</v>
      </c>
      <c r="G311">
        <v>0.34346634944121501</v>
      </c>
      <c r="H311">
        <v>1.28882099266157E-2</v>
      </c>
      <c r="I311">
        <v>-1.8334871970459701</v>
      </c>
      <c r="J311">
        <v>-7.39</v>
      </c>
      <c r="L311">
        <v>0.35635455936783073</v>
      </c>
      <c r="M311">
        <v>0.3305781395145993</v>
      </c>
      <c r="N311">
        <v>0.36924276929444644</v>
      </c>
      <c r="O311">
        <v>0.31768992958798359</v>
      </c>
    </row>
    <row r="312" spans="1:15">
      <c r="A312" s="19">
        <v>43397</v>
      </c>
      <c r="B312">
        <v>1054</v>
      </c>
      <c r="C312">
        <v>1057</v>
      </c>
      <c r="D312">
        <v>3060</v>
      </c>
      <c r="E312">
        <v>3019</v>
      </c>
      <c r="F312">
        <v>0.35011593242795602</v>
      </c>
      <c r="G312">
        <v>0.34347696262404498</v>
      </c>
      <c r="H312">
        <v>1.28690599352473E-2</v>
      </c>
      <c r="I312">
        <v>0.51588615153830497</v>
      </c>
      <c r="J312">
        <v>1.9</v>
      </c>
      <c r="L312">
        <v>0.35634602255929226</v>
      </c>
      <c r="M312">
        <v>0.33060790268879769</v>
      </c>
      <c r="N312">
        <v>0.3692150824945396</v>
      </c>
      <c r="O312">
        <v>0.31773884275355035</v>
      </c>
    </row>
    <row r="313" spans="1:15">
      <c r="A313" s="19">
        <v>43396</v>
      </c>
      <c r="B313">
        <v>1053</v>
      </c>
      <c r="C313">
        <v>1048</v>
      </c>
      <c r="D313">
        <v>3056</v>
      </c>
      <c r="E313">
        <v>3011</v>
      </c>
      <c r="F313">
        <v>0.34805712387910898</v>
      </c>
      <c r="G313">
        <v>0.34313035823187299</v>
      </c>
      <c r="H313">
        <v>1.30345875337775E-2</v>
      </c>
      <c r="I313">
        <v>0.37797633676316</v>
      </c>
      <c r="J313">
        <v>1.42</v>
      </c>
      <c r="L313">
        <v>0.3561649457656505</v>
      </c>
      <c r="M313">
        <v>0.33009577069809548</v>
      </c>
      <c r="N313">
        <v>0.36919953329942801</v>
      </c>
      <c r="O313">
        <v>0.31706118316431797</v>
      </c>
    </row>
    <row r="314" spans="1:15">
      <c r="A314" s="19">
        <v>43395</v>
      </c>
      <c r="B314">
        <v>1058</v>
      </c>
      <c r="C314">
        <v>1062</v>
      </c>
      <c r="D314">
        <v>3054</v>
      </c>
      <c r="E314">
        <v>3078</v>
      </c>
      <c r="F314">
        <v>0.34502923976608102</v>
      </c>
      <c r="G314">
        <v>0.34286433518324699</v>
      </c>
      <c r="H314">
        <v>1.31345368079219E-2</v>
      </c>
      <c r="I314">
        <v>0.16482534667904</v>
      </c>
      <c r="J314">
        <v>0.63</v>
      </c>
      <c r="L314">
        <v>0.35599887199116892</v>
      </c>
      <c r="M314">
        <v>0.32972979837532507</v>
      </c>
      <c r="N314">
        <v>0.36913340879909079</v>
      </c>
      <c r="O314">
        <v>0.3165952615674032</v>
      </c>
    </row>
    <row r="315" spans="1:15">
      <c r="A315" s="19">
        <v>43392</v>
      </c>
      <c r="B315">
        <v>1064</v>
      </c>
      <c r="C315">
        <v>1067</v>
      </c>
      <c r="D315">
        <v>3057</v>
      </c>
      <c r="E315">
        <v>3065</v>
      </c>
      <c r="F315">
        <v>0.348123980424143</v>
      </c>
      <c r="G315">
        <v>0.34254224230827701</v>
      </c>
      <c r="H315">
        <v>1.3371555600015499E-2</v>
      </c>
      <c r="I315">
        <v>0.41743371398462897</v>
      </c>
      <c r="J315">
        <v>1.6</v>
      </c>
      <c r="L315">
        <v>0.35591379790829253</v>
      </c>
      <c r="M315">
        <v>0.3291706867082615</v>
      </c>
      <c r="N315">
        <v>0.36928535350830799</v>
      </c>
      <c r="O315">
        <v>0.31579913110824603</v>
      </c>
    </row>
    <row r="316" spans="1:15">
      <c r="A316" s="19">
        <v>43391</v>
      </c>
      <c r="B316">
        <v>1083</v>
      </c>
      <c r="C316">
        <v>1078</v>
      </c>
      <c r="D316">
        <v>3100</v>
      </c>
      <c r="E316">
        <v>3094</v>
      </c>
      <c r="F316">
        <v>0.34841628959276</v>
      </c>
      <c r="G316">
        <v>0.34217944542464201</v>
      </c>
      <c r="H316">
        <v>1.35826514939559E-2</v>
      </c>
      <c r="I316">
        <v>0.459177221096571</v>
      </c>
      <c r="J316">
        <v>1.79</v>
      </c>
      <c r="L316">
        <v>0.35576209691859789</v>
      </c>
      <c r="M316">
        <v>0.32859679393068614</v>
      </c>
      <c r="N316">
        <v>0.36934474841255382</v>
      </c>
      <c r="O316">
        <v>0.3150141424367302</v>
      </c>
    </row>
    <row r="317" spans="1:15">
      <c r="A317" s="19">
        <v>43390</v>
      </c>
      <c r="B317">
        <v>1096</v>
      </c>
      <c r="C317">
        <v>1090</v>
      </c>
      <c r="D317">
        <v>3084</v>
      </c>
      <c r="E317">
        <v>3097</v>
      </c>
      <c r="F317">
        <v>0.35195350339037701</v>
      </c>
      <c r="G317">
        <v>0.341813021856468</v>
      </c>
      <c r="H317">
        <v>1.3778732501032001E-2</v>
      </c>
      <c r="I317">
        <v>0.73595169462429899</v>
      </c>
      <c r="J317">
        <v>2.88</v>
      </c>
      <c r="L317">
        <v>0.35559175435750001</v>
      </c>
      <c r="M317">
        <v>0.32803428935543599</v>
      </c>
      <c r="N317">
        <v>0.36937048685853202</v>
      </c>
      <c r="O317">
        <v>0.31425555685440398</v>
      </c>
    </row>
    <row r="318" spans="1:15">
      <c r="A318" s="19">
        <v>43389</v>
      </c>
      <c r="B318">
        <v>1074</v>
      </c>
      <c r="C318">
        <v>1081</v>
      </c>
      <c r="D318">
        <v>3024</v>
      </c>
      <c r="E318">
        <v>3068</v>
      </c>
      <c r="F318">
        <v>0.35234680573663602</v>
      </c>
      <c r="G318">
        <v>0.341406465182792</v>
      </c>
      <c r="H318">
        <v>1.3922623488070799E-2</v>
      </c>
      <c r="I318">
        <v>0.78579590715916103</v>
      </c>
      <c r="J318">
        <v>3.1</v>
      </c>
      <c r="L318">
        <v>0.35532908867086277</v>
      </c>
      <c r="M318">
        <v>0.32748384169472122</v>
      </c>
      <c r="N318">
        <v>0.3692517121589336</v>
      </c>
      <c r="O318">
        <v>0.31356121820665039</v>
      </c>
    </row>
    <row r="319" spans="1:15">
      <c r="A319" s="19">
        <v>43388</v>
      </c>
      <c r="B319">
        <v>1093</v>
      </c>
      <c r="C319">
        <v>1078</v>
      </c>
      <c r="D319">
        <v>3060</v>
      </c>
      <c r="E319">
        <v>3011</v>
      </c>
      <c r="F319">
        <v>0.35802059116572499</v>
      </c>
      <c r="G319">
        <v>0.34090489020191</v>
      </c>
      <c r="H319">
        <v>1.41944135042392E-2</v>
      </c>
      <c r="I319">
        <v>1.2058054359697901</v>
      </c>
      <c r="J319">
        <v>4.78</v>
      </c>
      <c r="L319">
        <v>0.35509930370614923</v>
      </c>
      <c r="M319">
        <v>0.32671047669767078</v>
      </c>
      <c r="N319">
        <v>0.36929371721038839</v>
      </c>
      <c r="O319">
        <v>0.31251606319343161</v>
      </c>
    </row>
    <row r="320" spans="1:15">
      <c r="A320" s="19">
        <v>43385</v>
      </c>
      <c r="B320">
        <v>1100</v>
      </c>
      <c r="C320">
        <v>1098</v>
      </c>
      <c r="D320">
        <v>3054</v>
      </c>
      <c r="E320">
        <v>3092</v>
      </c>
      <c r="F320">
        <v>0.35510996119016802</v>
      </c>
      <c r="G320">
        <v>0.340481990364292</v>
      </c>
      <c r="H320">
        <v>1.4150597040031101E-2</v>
      </c>
      <c r="I320">
        <v>1.0337352398979001</v>
      </c>
      <c r="J320">
        <v>4.12</v>
      </c>
      <c r="L320">
        <v>0.35463258740432307</v>
      </c>
      <c r="M320">
        <v>0.32633139332426092</v>
      </c>
      <c r="N320">
        <v>0.36878318444435421</v>
      </c>
      <c r="O320">
        <v>0.31218079628422979</v>
      </c>
    </row>
    <row r="321" spans="1:15">
      <c r="A321" s="19">
        <v>43384</v>
      </c>
      <c r="B321">
        <v>1095</v>
      </c>
      <c r="C321">
        <v>1107</v>
      </c>
      <c r="D321">
        <v>3100</v>
      </c>
      <c r="E321">
        <v>3085</v>
      </c>
      <c r="F321">
        <v>0.35883306320907599</v>
      </c>
      <c r="G321">
        <v>0.34006139027752702</v>
      </c>
      <c r="H321">
        <v>1.41783381619018E-2</v>
      </c>
      <c r="I321">
        <v>1.3239684875050499</v>
      </c>
      <c r="J321">
        <v>5.23</v>
      </c>
      <c r="L321">
        <v>0.3542397284394288</v>
      </c>
      <c r="M321">
        <v>0.32588305211562524</v>
      </c>
      <c r="N321">
        <v>0.36841806660133064</v>
      </c>
      <c r="O321">
        <v>0.3117047139537234</v>
      </c>
    </row>
    <row r="322" spans="1:15">
      <c r="A322" s="19">
        <v>43383</v>
      </c>
      <c r="B322">
        <v>1130</v>
      </c>
      <c r="C322">
        <v>1121</v>
      </c>
      <c r="D322">
        <v>3231</v>
      </c>
      <c r="E322">
        <v>3207</v>
      </c>
      <c r="F322">
        <v>0.34954786404739602</v>
      </c>
      <c r="G322">
        <v>0.33948600588796102</v>
      </c>
      <c r="H322">
        <v>1.42801397184167E-2</v>
      </c>
      <c r="I322">
        <v>0.70460502192832597</v>
      </c>
      <c r="J322">
        <v>2.88</v>
      </c>
      <c r="L322">
        <v>0.3537661456063777</v>
      </c>
      <c r="M322">
        <v>0.32520586616954433</v>
      </c>
      <c r="N322">
        <v>0.36804628532479444</v>
      </c>
      <c r="O322">
        <v>0.31092572645112759</v>
      </c>
    </row>
    <row r="323" spans="1:15">
      <c r="A323" s="19">
        <v>43382</v>
      </c>
      <c r="B323">
        <v>1135</v>
      </c>
      <c r="C323">
        <v>1128</v>
      </c>
      <c r="D323">
        <v>3264</v>
      </c>
      <c r="E323">
        <v>3223</v>
      </c>
      <c r="F323">
        <v>0.34998448650325698</v>
      </c>
      <c r="G323">
        <v>0.33896343360464198</v>
      </c>
      <c r="H323">
        <v>1.4615551530735399E-2</v>
      </c>
      <c r="I323">
        <v>0.75406342863206599</v>
      </c>
      <c r="J323">
        <v>3.15</v>
      </c>
      <c r="L323">
        <v>0.35357898513537739</v>
      </c>
      <c r="M323">
        <v>0.32434788207390658</v>
      </c>
      <c r="N323">
        <v>0.36819453666611279</v>
      </c>
      <c r="O323">
        <v>0.30973233054317117</v>
      </c>
    </row>
    <row r="324" spans="1:15">
      <c r="A324" s="19">
        <v>43378</v>
      </c>
      <c r="B324">
        <v>1145</v>
      </c>
      <c r="C324">
        <v>1149</v>
      </c>
      <c r="D324">
        <v>3316</v>
      </c>
      <c r="E324">
        <v>3326</v>
      </c>
      <c r="F324">
        <v>0.34546001202645799</v>
      </c>
      <c r="G324">
        <v>0.33842442189918498</v>
      </c>
      <c r="H324">
        <v>1.4940979930640801E-2</v>
      </c>
      <c r="I324">
        <v>0.47089214763242898</v>
      </c>
      <c r="J324">
        <v>2.04</v>
      </c>
      <c r="L324">
        <v>0.35336540182982579</v>
      </c>
      <c r="M324">
        <v>0.32348344196854417</v>
      </c>
      <c r="N324">
        <v>0.36830638176046659</v>
      </c>
      <c r="O324">
        <v>0.30854246203790336</v>
      </c>
    </row>
    <row r="325" spans="1:15">
      <c r="A325" s="19">
        <v>43377</v>
      </c>
      <c r="B325">
        <v>1157</v>
      </c>
      <c r="C325">
        <v>1165</v>
      </c>
      <c r="D325">
        <v>3400</v>
      </c>
      <c r="E325">
        <v>3346</v>
      </c>
      <c r="F325">
        <v>0.34817692767483499</v>
      </c>
      <c r="G325">
        <v>0.33792354134267799</v>
      </c>
      <c r="H325">
        <v>1.5321557337649099E-2</v>
      </c>
      <c r="I325">
        <v>0.66921306406381398</v>
      </c>
      <c r="J325">
        <v>2.94</v>
      </c>
      <c r="L325">
        <v>0.35324509868032711</v>
      </c>
      <c r="M325">
        <v>0.32260198400502887</v>
      </c>
      <c r="N325">
        <v>0.36856665601797617</v>
      </c>
      <c r="O325">
        <v>0.30728042666737981</v>
      </c>
    </row>
    <row r="326" spans="1:15">
      <c r="A326" s="19">
        <v>43376</v>
      </c>
      <c r="B326">
        <v>1187</v>
      </c>
      <c r="C326">
        <v>1166</v>
      </c>
      <c r="D326">
        <v>3428</v>
      </c>
      <c r="E326">
        <v>3338</v>
      </c>
      <c r="F326">
        <v>0.34931096464949002</v>
      </c>
      <c r="G326">
        <v>0.337349627006373</v>
      </c>
      <c r="H326">
        <v>1.5727521599676199E-2</v>
      </c>
      <c r="I326">
        <v>0.76053544528999195</v>
      </c>
      <c r="J326">
        <v>3.42</v>
      </c>
      <c r="L326">
        <v>0.35307714860604922</v>
      </c>
      <c r="M326">
        <v>0.32162210540669678</v>
      </c>
      <c r="N326">
        <v>0.36880467020572538</v>
      </c>
      <c r="O326">
        <v>0.30589458380702061</v>
      </c>
    </row>
    <row r="327" spans="1:15">
      <c r="A327" s="19">
        <v>43375</v>
      </c>
      <c r="B327">
        <v>1185</v>
      </c>
      <c r="C327">
        <v>1192</v>
      </c>
      <c r="D327">
        <v>3466</v>
      </c>
      <c r="E327">
        <v>3486</v>
      </c>
      <c r="F327">
        <v>0.34193918531267897</v>
      </c>
      <c r="G327">
        <v>0.33680196915900301</v>
      </c>
      <c r="H327">
        <v>1.60140016714687E-2</v>
      </c>
      <c r="I327">
        <v>0.32079528022206599</v>
      </c>
      <c r="J327">
        <v>1.5</v>
      </c>
      <c r="L327">
        <v>0.35281597083047173</v>
      </c>
      <c r="M327">
        <v>0.3207879674875343</v>
      </c>
      <c r="N327">
        <v>0.36882997250194038</v>
      </c>
      <c r="O327">
        <v>0.30477396581606564</v>
      </c>
    </row>
    <row r="328" spans="1:15">
      <c r="A328" s="19">
        <v>43374</v>
      </c>
      <c r="B328">
        <v>1173</v>
      </c>
      <c r="C328">
        <v>1182</v>
      </c>
      <c r="D328">
        <v>3400</v>
      </c>
      <c r="E328">
        <v>3434</v>
      </c>
      <c r="F328">
        <v>0.344205008736167</v>
      </c>
      <c r="G328">
        <v>0.33641132780178701</v>
      </c>
      <c r="H328">
        <v>1.6239676133785901E-2</v>
      </c>
      <c r="I328">
        <v>0.479916032202511</v>
      </c>
      <c r="J328">
        <v>2.2599999999999998</v>
      </c>
      <c r="L328">
        <v>0.35265100393557292</v>
      </c>
      <c r="M328">
        <v>0.3201716516680011</v>
      </c>
      <c r="N328">
        <v>0.36889068006935882</v>
      </c>
      <c r="O328">
        <v>0.30393197553421519</v>
      </c>
    </row>
    <row r="329" spans="1:15">
      <c r="A329" s="19">
        <v>43371</v>
      </c>
      <c r="B329">
        <v>1184</v>
      </c>
      <c r="C329">
        <v>1181</v>
      </c>
      <c r="D329">
        <v>3462</v>
      </c>
      <c r="E329">
        <v>3439</v>
      </c>
      <c r="F329">
        <v>0.34341378307647502</v>
      </c>
      <c r="G329">
        <v>0.33596497011628501</v>
      </c>
      <c r="H329">
        <v>1.6477649885087702E-2</v>
      </c>
      <c r="I329">
        <v>0.45205554263727898</v>
      </c>
      <c r="J329">
        <v>2.17</v>
      </c>
      <c r="L329">
        <v>0.35244262000137272</v>
      </c>
      <c r="M329">
        <v>0.3194873202311973</v>
      </c>
      <c r="N329">
        <v>0.36892026988646043</v>
      </c>
      <c r="O329">
        <v>0.30300967034610959</v>
      </c>
    </row>
    <row r="330" spans="1:15">
      <c r="A330" s="19">
        <v>43370</v>
      </c>
      <c r="B330">
        <v>1182</v>
      </c>
      <c r="C330">
        <v>1171</v>
      </c>
      <c r="D330">
        <v>3470</v>
      </c>
      <c r="E330">
        <v>3407</v>
      </c>
      <c r="F330">
        <v>0.34370413853830301</v>
      </c>
      <c r="G330">
        <v>0.335631783060169</v>
      </c>
      <c r="H330">
        <v>1.6576014511180698E-2</v>
      </c>
      <c r="I330">
        <v>0.48699013099252902</v>
      </c>
      <c r="J330">
        <v>2.35</v>
      </c>
      <c r="L330">
        <v>0.35220779757134968</v>
      </c>
      <c r="M330">
        <v>0.31905576854898832</v>
      </c>
      <c r="N330">
        <v>0.36878381208253042</v>
      </c>
      <c r="O330">
        <v>0.30247975403780758</v>
      </c>
    </row>
    <row r="331" spans="1:15">
      <c r="A331" s="19">
        <v>43369</v>
      </c>
      <c r="B331">
        <v>1186</v>
      </c>
      <c r="C331">
        <v>1186</v>
      </c>
      <c r="D331">
        <v>3452</v>
      </c>
      <c r="E331">
        <v>3427</v>
      </c>
      <c r="F331">
        <v>0.34607528450539798</v>
      </c>
      <c r="G331">
        <v>0.335256054219985</v>
      </c>
      <c r="H331">
        <v>1.6707631893592499E-2</v>
      </c>
      <c r="I331">
        <v>0.64756216526187405</v>
      </c>
      <c r="J331">
        <v>3.13</v>
      </c>
      <c r="L331">
        <v>0.35196368611357748</v>
      </c>
      <c r="M331">
        <v>0.31854842232639252</v>
      </c>
      <c r="N331">
        <v>0.36867131800717001</v>
      </c>
      <c r="O331">
        <v>0.30184079043279999</v>
      </c>
    </row>
    <row r="332" spans="1:15">
      <c r="A332" s="19">
        <v>43368</v>
      </c>
      <c r="B332">
        <v>1176</v>
      </c>
      <c r="C332">
        <v>1192</v>
      </c>
      <c r="D332">
        <v>3500</v>
      </c>
      <c r="E332">
        <v>3516</v>
      </c>
      <c r="F332">
        <v>0.339021615472127</v>
      </c>
      <c r="G332">
        <v>0.33492188011096902</v>
      </c>
      <c r="H332">
        <v>1.6738509581505301E-2</v>
      </c>
      <c r="I332">
        <v>0.244928339718328</v>
      </c>
      <c r="J332">
        <v>1.21</v>
      </c>
      <c r="L332">
        <v>0.35166038969247432</v>
      </c>
      <c r="M332">
        <v>0.31818337052946372</v>
      </c>
      <c r="N332">
        <v>0.36839889927397962</v>
      </c>
      <c r="O332">
        <v>0.30144486094795842</v>
      </c>
    </row>
    <row r="333" spans="1:15">
      <c r="A333" s="19">
        <v>43364</v>
      </c>
      <c r="B333">
        <v>1184</v>
      </c>
      <c r="C333">
        <v>1164</v>
      </c>
      <c r="D333">
        <v>3443</v>
      </c>
      <c r="E333">
        <v>3491</v>
      </c>
      <c r="F333">
        <v>0.33342881695789101</v>
      </c>
      <c r="G333">
        <v>0.33468515148235201</v>
      </c>
      <c r="H333">
        <v>1.6804274645982099E-2</v>
      </c>
      <c r="I333">
        <v>-7.4762794046619396E-2</v>
      </c>
      <c r="J333">
        <v>-0.38</v>
      </c>
      <c r="L333">
        <v>0.35148942612833411</v>
      </c>
      <c r="M333">
        <v>0.3178808768363699</v>
      </c>
      <c r="N333">
        <v>0.36829370077431622</v>
      </c>
      <c r="O333">
        <v>0.30107660219038779</v>
      </c>
    </row>
    <row r="334" spans="1:15">
      <c r="A334" s="19">
        <v>43363</v>
      </c>
      <c r="B334">
        <v>1187</v>
      </c>
      <c r="C334">
        <v>1175</v>
      </c>
      <c r="D334">
        <v>3425</v>
      </c>
      <c r="E334">
        <v>3418</v>
      </c>
      <c r="F334">
        <v>0.34376828554710298</v>
      </c>
      <c r="G334">
        <v>0.33452813287827898</v>
      </c>
      <c r="H334">
        <v>1.68701701376722E-2</v>
      </c>
      <c r="I334">
        <v>0.54772136815565098</v>
      </c>
      <c r="J334">
        <v>2.69</v>
      </c>
      <c r="L334">
        <v>0.35139830301595121</v>
      </c>
      <c r="M334">
        <v>0.31765796274060676</v>
      </c>
      <c r="N334">
        <v>0.36826847315362338</v>
      </c>
      <c r="O334">
        <v>0.30078779260293459</v>
      </c>
    </row>
    <row r="335" spans="1:15">
      <c r="A335" s="19">
        <v>43362</v>
      </c>
      <c r="B335">
        <v>1194</v>
      </c>
      <c r="C335">
        <v>1190</v>
      </c>
      <c r="D335">
        <v>3318</v>
      </c>
      <c r="E335">
        <v>3383</v>
      </c>
      <c r="F335">
        <v>0.35175879396984899</v>
      </c>
      <c r="G335">
        <v>0.33419647936261498</v>
      </c>
      <c r="H335">
        <v>1.6929652750948199E-2</v>
      </c>
      <c r="I335">
        <v>1.03737004329578</v>
      </c>
      <c r="J335">
        <v>4.99</v>
      </c>
      <c r="L335">
        <v>0.35112613211356319</v>
      </c>
      <c r="M335">
        <v>0.31726682661166677</v>
      </c>
      <c r="N335">
        <v>0.3680557848645114</v>
      </c>
      <c r="O335">
        <v>0.30033717386071856</v>
      </c>
    </row>
    <row r="336" spans="1:15">
      <c r="A336" s="19">
        <v>43361</v>
      </c>
      <c r="B336">
        <v>1150</v>
      </c>
      <c r="C336">
        <v>1181</v>
      </c>
      <c r="D336">
        <v>3192</v>
      </c>
      <c r="E336">
        <v>3284</v>
      </c>
      <c r="F336">
        <v>0.35962241169305698</v>
      </c>
      <c r="G336">
        <v>0.33365025240742002</v>
      </c>
      <c r="H336">
        <v>1.7014877331516302E-2</v>
      </c>
      <c r="I336">
        <v>1.5264382328239701</v>
      </c>
      <c r="J336">
        <v>7.22</v>
      </c>
      <c r="L336">
        <v>0.35066512973893632</v>
      </c>
      <c r="M336">
        <v>0.31663537507590372</v>
      </c>
      <c r="N336">
        <v>0.36768000707045262</v>
      </c>
      <c r="O336">
        <v>0.29962049774438743</v>
      </c>
    </row>
    <row r="337" spans="1:15">
      <c r="A337" s="19">
        <v>43357</v>
      </c>
      <c r="B337">
        <v>1143</v>
      </c>
      <c r="C337">
        <v>1152</v>
      </c>
      <c r="D337">
        <v>3189</v>
      </c>
      <c r="E337">
        <v>3217</v>
      </c>
      <c r="F337">
        <v>0.35809760646565097</v>
      </c>
      <c r="G337">
        <v>0.33303686029767499</v>
      </c>
      <c r="H337">
        <v>1.6896340035370001E-2</v>
      </c>
      <c r="I337" s="20">
        <v>1.4832056004740799</v>
      </c>
      <c r="J337">
        <v>7</v>
      </c>
      <c r="L337">
        <v>0.34993320033304498</v>
      </c>
      <c r="M337">
        <v>0.31614052026230499</v>
      </c>
      <c r="N337">
        <v>0.36682954036841497</v>
      </c>
      <c r="O337">
        <v>0.299244180226935</v>
      </c>
    </row>
    <row r="338" spans="1:15">
      <c r="A338" s="19">
        <v>43356</v>
      </c>
      <c r="B338">
        <v>1152</v>
      </c>
      <c r="C338">
        <v>1146</v>
      </c>
      <c r="D338">
        <v>3131</v>
      </c>
      <c r="E338">
        <v>3178</v>
      </c>
      <c r="F338">
        <v>0.36060415355569497</v>
      </c>
      <c r="G338">
        <v>0.332412694551666</v>
      </c>
      <c r="H338">
        <v>1.6823534733944701E-2</v>
      </c>
      <c r="I338">
        <v>1.67571556452683</v>
      </c>
      <c r="J338">
        <v>7.82</v>
      </c>
      <c r="L338">
        <v>0.34923622928561071</v>
      </c>
      <c r="M338">
        <v>0.31558915981772129</v>
      </c>
      <c r="N338">
        <v>0.36605976401955542</v>
      </c>
      <c r="O338">
        <v>0.29876562508377658</v>
      </c>
    </row>
    <row r="339" spans="1:15">
      <c r="A339" s="19">
        <v>43355</v>
      </c>
      <c r="B339">
        <v>1171</v>
      </c>
      <c r="C339">
        <v>1159</v>
      </c>
      <c r="D339">
        <v>3155</v>
      </c>
      <c r="E339">
        <v>3117</v>
      </c>
      <c r="F339">
        <v>0.37183188963747099</v>
      </c>
      <c r="G339">
        <v>0.331778620056431</v>
      </c>
      <c r="H339">
        <v>1.6644280853072201E-2</v>
      </c>
      <c r="I339">
        <v>2.4064283662725399</v>
      </c>
      <c r="J339">
        <v>10.77</v>
      </c>
      <c r="L339">
        <v>0.34842290090950317</v>
      </c>
      <c r="M339">
        <v>0.31513433920335882</v>
      </c>
      <c r="N339">
        <v>0.36506718176257541</v>
      </c>
      <c r="O339">
        <v>0.29849005835028658</v>
      </c>
    </row>
    <row r="340" spans="1:15">
      <c r="A340" s="19">
        <v>43354</v>
      </c>
      <c r="B340">
        <v>1179</v>
      </c>
      <c r="C340">
        <v>1179</v>
      </c>
      <c r="D340">
        <v>3165</v>
      </c>
      <c r="E340">
        <v>3174</v>
      </c>
      <c r="F340">
        <v>0.37145557655954597</v>
      </c>
      <c r="G340">
        <v>0.33096230424363199</v>
      </c>
      <c r="H340">
        <v>1.61539884223698E-2</v>
      </c>
      <c r="I340">
        <v>2.5067043046681401</v>
      </c>
      <c r="J340">
        <v>10.9</v>
      </c>
      <c r="L340">
        <v>0.3471162926660018</v>
      </c>
      <c r="M340">
        <v>0.31480831582126217</v>
      </c>
      <c r="N340">
        <v>0.36327028108837156</v>
      </c>
      <c r="O340">
        <v>0.29865432739889242</v>
      </c>
    </row>
    <row r="341" spans="1:15">
      <c r="A341" s="19">
        <v>43353</v>
      </c>
      <c r="B341">
        <v>1155</v>
      </c>
      <c r="C341">
        <v>1169</v>
      </c>
      <c r="D341">
        <v>3140</v>
      </c>
      <c r="E341">
        <v>3159</v>
      </c>
      <c r="F341">
        <v>0.37005381449825803</v>
      </c>
      <c r="G341">
        <v>0.33024667565333499</v>
      </c>
      <c r="H341">
        <v>1.5520703973940699E-2</v>
      </c>
      <c r="I341">
        <v>2.5647766307353002</v>
      </c>
      <c r="J341">
        <v>10.76</v>
      </c>
      <c r="L341">
        <v>0.34576737962727566</v>
      </c>
      <c r="M341">
        <v>0.31472597167939431</v>
      </c>
      <c r="N341">
        <v>0.36128808360121639</v>
      </c>
      <c r="O341">
        <v>0.29920526770545358</v>
      </c>
    </row>
    <row r="342" spans="1:15">
      <c r="A342" s="19">
        <v>43350</v>
      </c>
      <c r="B342">
        <v>1152</v>
      </c>
      <c r="C342">
        <v>1153</v>
      </c>
      <c r="D342">
        <v>3221</v>
      </c>
      <c r="E342">
        <v>3173</v>
      </c>
      <c r="F342">
        <v>0.36337850614560302</v>
      </c>
      <c r="G342">
        <v>0.32961984796850602</v>
      </c>
      <c r="H342">
        <v>1.4834533242460901E-2</v>
      </c>
      <c r="I342">
        <v>2.2756805101538302</v>
      </c>
      <c r="J342">
        <v>9.2899999999999991</v>
      </c>
      <c r="L342">
        <v>0.34445438121096694</v>
      </c>
      <c r="M342">
        <v>0.3147853147260451</v>
      </c>
      <c r="N342">
        <v>0.35928891445342781</v>
      </c>
      <c r="O342">
        <v>0.29995078148358423</v>
      </c>
    </row>
    <row r="343" spans="1:15">
      <c r="A343" s="19">
        <v>43349</v>
      </c>
      <c r="B343">
        <v>1173</v>
      </c>
      <c r="C343">
        <v>1163</v>
      </c>
      <c r="D343">
        <v>3188</v>
      </c>
      <c r="E343">
        <v>3183</v>
      </c>
      <c r="F343">
        <v>0.36537857367263499</v>
      </c>
      <c r="G343">
        <v>0.32912484370078099</v>
      </c>
      <c r="H343">
        <v>1.4309932894178401E-2</v>
      </c>
      <c r="I343">
        <v>2.5334661063716801</v>
      </c>
      <c r="J343">
        <v>9.92</v>
      </c>
      <c r="L343">
        <v>0.34343477659495941</v>
      </c>
      <c r="M343">
        <v>0.31481491080660257</v>
      </c>
      <c r="N343">
        <v>0.35774470948913778</v>
      </c>
      <c r="O343">
        <v>0.3005049779124242</v>
      </c>
    </row>
    <row r="344" spans="1:15">
      <c r="A344" s="19">
        <v>43348</v>
      </c>
      <c r="B344">
        <v>1162</v>
      </c>
      <c r="C344">
        <v>1166</v>
      </c>
      <c r="D344">
        <v>3217</v>
      </c>
      <c r="E344">
        <v>3184</v>
      </c>
      <c r="F344">
        <v>0.36620603015075298</v>
      </c>
      <c r="G344">
        <v>0.328565030889934</v>
      </c>
      <c r="H344">
        <v>1.3688479200896201E-2</v>
      </c>
      <c r="I344">
        <v>2.7498306209468999</v>
      </c>
      <c r="J344">
        <v>10.28</v>
      </c>
      <c r="L344">
        <v>0.34225351009083022</v>
      </c>
      <c r="M344">
        <v>0.31487655168903778</v>
      </c>
      <c r="N344">
        <v>0.35594198929172638</v>
      </c>
      <c r="O344">
        <v>0.30118807248814161</v>
      </c>
    </row>
    <row r="345" spans="1:15">
      <c r="A345" s="19">
        <v>43347</v>
      </c>
      <c r="B345">
        <v>1174</v>
      </c>
      <c r="C345">
        <v>1158</v>
      </c>
      <c r="D345">
        <v>3256</v>
      </c>
      <c r="E345">
        <v>3218</v>
      </c>
      <c r="F345">
        <v>0.35985083903045301</v>
      </c>
      <c r="G345">
        <v>0.327985921333668</v>
      </c>
      <c r="H345">
        <v>1.29844199353848E-2</v>
      </c>
      <c r="I345">
        <v>2.4540886582039301</v>
      </c>
      <c r="J345">
        <v>8.86</v>
      </c>
      <c r="L345">
        <v>0.34097034126905279</v>
      </c>
      <c r="M345">
        <v>0.3150015013982832</v>
      </c>
      <c r="N345">
        <v>0.35395476120443758</v>
      </c>
      <c r="O345">
        <v>0.30201708146289841</v>
      </c>
    </row>
    <row r="346" spans="1:15">
      <c r="A346" s="19">
        <v>43346</v>
      </c>
      <c r="B346">
        <v>1178</v>
      </c>
      <c r="C346">
        <v>1167</v>
      </c>
      <c r="D346">
        <v>3278</v>
      </c>
      <c r="E346">
        <v>3256</v>
      </c>
      <c r="F346">
        <v>0.35841523341523301</v>
      </c>
      <c r="G346">
        <v>0.32748898541541299</v>
      </c>
      <c r="H346">
        <v>1.24579079099953E-2</v>
      </c>
      <c r="I346">
        <v>2.4824591916438199</v>
      </c>
      <c r="J346">
        <v>8.6300000000000008</v>
      </c>
      <c r="L346">
        <v>0.33994689332540828</v>
      </c>
      <c r="M346">
        <v>0.3150310775054177</v>
      </c>
      <c r="N346">
        <v>0.35240480123540358</v>
      </c>
      <c r="O346">
        <v>0.30257316959542241</v>
      </c>
    </row>
    <row r="347" spans="1:15">
      <c r="A347" s="19">
        <v>43343</v>
      </c>
      <c r="B347">
        <v>1174</v>
      </c>
      <c r="C347">
        <v>1175</v>
      </c>
      <c r="D347">
        <v>3320</v>
      </c>
      <c r="E347">
        <v>3292</v>
      </c>
      <c r="F347">
        <v>0.35692588092345001</v>
      </c>
      <c r="G347">
        <v>0.32694943187585901</v>
      </c>
      <c r="H347">
        <v>1.19736990933632E-2</v>
      </c>
      <c r="I347">
        <v>2.5035245009795202</v>
      </c>
      <c r="J347">
        <v>8.4</v>
      </c>
      <c r="L347">
        <v>0.33892313096922222</v>
      </c>
      <c r="M347">
        <v>0.3149757327824958</v>
      </c>
      <c r="N347">
        <v>0.35089683006258543</v>
      </c>
      <c r="O347">
        <v>0.30300203368913259</v>
      </c>
    </row>
    <row r="348" spans="1:15">
      <c r="A348" s="19">
        <v>43342</v>
      </c>
      <c r="B348">
        <v>1184</v>
      </c>
      <c r="C348">
        <v>1178</v>
      </c>
      <c r="D348">
        <v>3408</v>
      </c>
      <c r="E348">
        <v>3356</v>
      </c>
      <c r="F348">
        <v>0.35101311084624498</v>
      </c>
      <c r="G348">
        <v>0.32647938797206399</v>
      </c>
      <c r="H348">
        <v>1.1469029157018499E-2</v>
      </c>
      <c r="I348">
        <v>2.1391281283095598</v>
      </c>
      <c r="J348">
        <v>6.99</v>
      </c>
      <c r="L348">
        <v>0.33794841712908247</v>
      </c>
      <c r="M348">
        <v>0.31501035881504552</v>
      </c>
      <c r="N348">
        <v>0.349417446286101</v>
      </c>
      <c r="O348">
        <v>0.30354132965802699</v>
      </c>
    </row>
    <row r="349" spans="1:15">
      <c r="A349" s="19">
        <v>43341</v>
      </c>
      <c r="B349">
        <v>1163</v>
      </c>
      <c r="C349">
        <v>1177</v>
      </c>
      <c r="D349">
        <v>3377</v>
      </c>
      <c r="E349">
        <v>3395</v>
      </c>
      <c r="F349">
        <v>0.34668630338733403</v>
      </c>
      <c r="G349">
        <v>0.32611056847213599</v>
      </c>
      <c r="H349">
        <v>1.11133999272002E-2</v>
      </c>
      <c r="I349">
        <v>1.851434758938</v>
      </c>
      <c r="J349">
        <v>5.93</v>
      </c>
      <c r="L349">
        <v>0.33722396839933616</v>
      </c>
      <c r="M349">
        <v>0.31499716854493581</v>
      </c>
      <c r="N349">
        <v>0.34833736832653639</v>
      </c>
      <c r="O349">
        <v>0.30388376861773558</v>
      </c>
    </row>
    <row r="350" spans="1:15">
      <c r="A350" s="19">
        <v>43340</v>
      </c>
      <c r="B350">
        <v>1173</v>
      </c>
      <c r="C350">
        <v>1161</v>
      </c>
      <c r="D350">
        <v>3410</v>
      </c>
      <c r="E350">
        <v>3377</v>
      </c>
      <c r="F350">
        <v>0.34379626887770198</v>
      </c>
      <c r="G350">
        <v>0.32573134002825199</v>
      </c>
      <c r="H350">
        <v>1.0887796003357399E-2</v>
      </c>
      <c r="I350">
        <v>1.6591906060582799</v>
      </c>
      <c r="J350">
        <v>5.25</v>
      </c>
      <c r="L350">
        <v>0.33661913603160937</v>
      </c>
      <c r="M350">
        <v>0.31484354402489462</v>
      </c>
      <c r="N350">
        <v>0.3475069320349668</v>
      </c>
      <c r="O350">
        <v>0.30395574802153719</v>
      </c>
    </row>
    <row r="351" spans="1:15">
      <c r="A351" s="19">
        <v>43339</v>
      </c>
      <c r="B351">
        <v>1146</v>
      </c>
      <c r="C351">
        <v>1155</v>
      </c>
      <c r="D351">
        <v>3309</v>
      </c>
      <c r="E351">
        <v>3335</v>
      </c>
      <c r="F351">
        <v>0.34632683658170899</v>
      </c>
      <c r="G351">
        <v>0.32535044654510797</v>
      </c>
      <c r="H351">
        <v>1.0747947852190401E-2</v>
      </c>
      <c r="I351">
        <v>1.9516646642759099</v>
      </c>
      <c r="J351">
        <v>6.06</v>
      </c>
      <c r="L351">
        <v>0.33609839439729838</v>
      </c>
      <c r="M351">
        <v>0.31460249869291756</v>
      </c>
      <c r="N351">
        <v>0.34684634224948879</v>
      </c>
      <c r="O351">
        <v>0.30385455084072716</v>
      </c>
    </row>
    <row r="352" spans="1:15">
      <c r="A352" s="19">
        <v>43336</v>
      </c>
      <c r="B352">
        <v>1150</v>
      </c>
      <c r="C352">
        <v>1136</v>
      </c>
      <c r="D352">
        <v>3310</v>
      </c>
      <c r="E352">
        <v>3290</v>
      </c>
      <c r="F352">
        <v>0.345288753799392</v>
      </c>
      <c r="G352">
        <v>0.32517474637421701</v>
      </c>
      <c r="H352">
        <v>1.05086484910746E-2</v>
      </c>
      <c r="I352">
        <v>1.91404322280439</v>
      </c>
      <c r="J352">
        <v>5.83</v>
      </c>
      <c r="L352">
        <v>0.33568339486529158</v>
      </c>
      <c r="M352">
        <v>0.31466609788314243</v>
      </c>
      <c r="N352">
        <v>0.34619204335636622</v>
      </c>
      <c r="O352">
        <v>0.30415744939206779</v>
      </c>
    </row>
    <row r="353" spans="1:15">
      <c r="A353" s="19">
        <v>43335</v>
      </c>
      <c r="B353">
        <v>1132</v>
      </c>
      <c r="C353">
        <v>1128</v>
      </c>
      <c r="D353">
        <v>3356</v>
      </c>
      <c r="E353">
        <v>3318</v>
      </c>
      <c r="F353">
        <v>0.33996383363471899</v>
      </c>
      <c r="G353">
        <v>0.32510422965689101</v>
      </c>
      <c r="H353">
        <v>1.03905206080571E-2</v>
      </c>
      <c r="I353">
        <v>1.43011159289797</v>
      </c>
      <c r="J353">
        <v>4.37</v>
      </c>
      <c r="L353">
        <v>0.33549475026494813</v>
      </c>
      <c r="M353">
        <v>0.31471370904883389</v>
      </c>
      <c r="N353">
        <v>0.34588527087300519</v>
      </c>
      <c r="O353">
        <v>0.30432318844077683</v>
      </c>
    </row>
    <row r="354" spans="1:15">
      <c r="A354" s="19">
        <v>43334</v>
      </c>
      <c r="B354">
        <v>1118</v>
      </c>
      <c r="C354">
        <v>1132</v>
      </c>
      <c r="D354">
        <v>3346</v>
      </c>
      <c r="E354">
        <v>3384</v>
      </c>
      <c r="F354">
        <v>0.33451536643025997</v>
      </c>
      <c r="G354">
        <v>0.32509726896559399</v>
      </c>
      <c r="H354">
        <v>1.03807339656118E-2</v>
      </c>
      <c r="I354">
        <v>0.90726700981497299</v>
      </c>
      <c r="J354">
        <v>2.82</v>
      </c>
      <c r="L354">
        <v>0.33547800293120578</v>
      </c>
      <c r="M354">
        <v>0.3147165349999822</v>
      </c>
      <c r="N354">
        <v>0.34585873689681756</v>
      </c>
      <c r="O354">
        <v>0.30433580103437041</v>
      </c>
    </row>
    <row r="355" spans="1:15">
      <c r="A355" s="19">
        <v>43333</v>
      </c>
      <c r="B355">
        <v>1128</v>
      </c>
      <c r="C355">
        <v>1129</v>
      </c>
      <c r="D355">
        <v>3315</v>
      </c>
      <c r="E355">
        <v>3321</v>
      </c>
      <c r="F355">
        <v>0.33995784402288398</v>
      </c>
      <c r="G355">
        <v>0.32512925875387</v>
      </c>
      <c r="H355">
        <v>1.04133535039158E-2</v>
      </c>
      <c r="I355">
        <v>1.42399710750603</v>
      </c>
      <c r="J355">
        <v>4.3600000000000003</v>
      </c>
      <c r="L355">
        <v>0.33554261225778581</v>
      </c>
      <c r="M355">
        <v>0.31471590524995419</v>
      </c>
      <c r="N355">
        <v>0.34595596576170162</v>
      </c>
      <c r="O355">
        <v>0.30430255174603837</v>
      </c>
    </row>
    <row r="356" spans="1:15">
      <c r="A356" s="19">
        <v>43332</v>
      </c>
      <c r="B356">
        <v>1133</v>
      </c>
      <c r="C356">
        <v>1131</v>
      </c>
      <c r="D356">
        <v>3310</v>
      </c>
      <c r="E356">
        <v>3314</v>
      </c>
      <c r="F356">
        <v>0.34127942063971001</v>
      </c>
      <c r="G356">
        <v>0.32509865200239602</v>
      </c>
      <c r="H356">
        <v>1.03730199444947E-2</v>
      </c>
      <c r="I356">
        <v>1.55988986080193</v>
      </c>
      <c r="J356">
        <v>4.74</v>
      </c>
      <c r="L356">
        <v>0.3354716719468907</v>
      </c>
      <c r="M356">
        <v>0.31472563205790133</v>
      </c>
      <c r="N356">
        <v>0.34584469189138539</v>
      </c>
      <c r="O356">
        <v>0.30435261211340664</v>
      </c>
    </row>
    <row r="357" spans="1:15">
      <c r="A357" s="19">
        <v>43329</v>
      </c>
      <c r="B357">
        <v>1131</v>
      </c>
      <c r="C357">
        <v>1143</v>
      </c>
      <c r="D357">
        <v>3350</v>
      </c>
      <c r="E357">
        <v>3313</v>
      </c>
      <c r="F357">
        <v>0.345004527618472</v>
      </c>
      <c r="G357">
        <v>0.32498293884465901</v>
      </c>
      <c r="H357">
        <v>1.02394195481112E-2</v>
      </c>
      <c r="I357">
        <v>1.9553441168944601</v>
      </c>
      <c r="J357">
        <v>5.8</v>
      </c>
      <c r="L357">
        <v>0.3352223583927702</v>
      </c>
      <c r="M357">
        <v>0.31474351929654781</v>
      </c>
      <c r="N357">
        <v>0.3454617779408814</v>
      </c>
      <c r="O357">
        <v>0.30450409974843662</v>
      </c>
    </row>
    <row r="358" spans="1:15">
      <c r="A358" s="19">
        <v>43328</v>
      </c>
      <c r="B358">
        <v>1118</v>
      </c>
      <c r="C358">
        <v>1131</v>
      </c>
      <c r="D358">
        <v>3283</v>
      </c>
      <c r="E358">
        <v>3292</v>
      </c>
      <c r="F358">
        <v>0.34356014580801902</v>
      </c>
      <c r="G358">
        <v>0.324747489736466</v>
      </c>
      <c r="H358">
        <v>9.9759644720728204E-3</v>
      </c>
      <c r="I358">
        <v>1.88579822274007</v>
      </c>
      <c r="J358">
        <v>5.48</v>
      </c>
      <c r="L358">
        <v>0.33472345420853883</v>
      </c>
      <c r="M358">
        <v>0.31477152526439317</v>
      </c>
      <c r="N358">
        <v>0.34469941868061166</v>
      </c>
      <c r="O358">
        <v>0.30479556079232034</v>
      </c>
    </row>
    <row r="359" spans="1:15">
      <c r="A359" s="19">
        <v>43327</v>
      </c>
      <c r="B359">
        <v>1148</v>
      </c>
      <c r="C359">
        <v>1131</v>
      </c>
      <c r="D359">
        <v>3329</v>
      </c>
      <c r="E359">
        <v>3286</v>
      </c>
      <c r="F359">
        <v>0.34418746195982902</v>
      </c>
      <c r="G359">
        <v>0.32444241560405701</v>
      </c>
      <c r="H359">
        <v>9.7431285752061902E-3</v>
      </c>
      <c r="I359">
        <v>2.0265612019139398</v>
      </c>
      <c r="J359">
        <v>5.74</v>
      </c>
      <c r="L359">
        <v>0.33418554417926322</v>
      </c>
      <c r="M359">
        <v>0.3146992870288508</v>
      </c>
      <c r="N359">
        <v>0.34392867275446937</v>
      </c>
      <c r="O359">
        <v>0.30495615845364465</v>
      </c>
    </row>
    <row r="360" spans="1:15">
      <c r="A360" s="19">
        <v>43326</v>
      </c>
      <c r="B360">
        <v>1143</v>
      </c>
      <c r="C360">
        <v>1148</v>
      </c>
      <c r="D360">
        <v>3315</v>
      </c>
      <c r="E360">
        <v>3336</v>
      </c>
      <c r="F360">
        <v>0.34412470023980801</v>
      </c>
      <c r="G360">
        <v>0.32403198704445202</v>
      </c>
      <c r="H360">
        <v>9.5491419065090403E-3</v>
      </c>
      <c r="I360">
        <v>2.1041380882254401</v>
      </c>
      <c r="J360">
        <v>5.84</v>
      </c>
      <c r="L360">
        <v>0.33358112895096104</v>
      </c>
      <c r="M360">
        <v>0.314482845137943</v>
      </c>
      <c r="N360">
        <v>0.34313027085747011</v>
      </c>
      <c r="O360">
        <v>0.30493370323143393</v>
      </c>
    </row>
    <row r="361" spans="1:15">
      <c r="A361" s="19">
        <v>43325</v>
      </c>
      <c r="B361">
        <v>1150</v>
      </c>
      <c r="C361">
        <v>1135</v>
      </c>
      <c r="D361">
        <v>3343</v>
      </c>
      <c r="E361">
        <v>3272</v>
      </c>
      <c r="F361">
        <v>0.34688264058679702</v>
      </c>
      <c r="G361">
        <v>0.32364973432615102</v>
      </c>
      <c r="H361">
        <v>9.3079423657810006E-3</v>
      </c>
      <c r="I361">
        <v>2.4960303091322098</v>
      </c>
      <c r="J361">
        <v>6.7</v>
      </c>
      <c r="L361">
        <v>0.33295767669193199</v>
      </c>
      <c r="M361">
        <v>0.31434179196037004</v>
      </c>
      <c r="N361">
        <v>0.34226561905771302</v>
      </c>
      <c r="O361">
        <v>0.30503384959458901</v>
      </c>
    </row>
    <row r="362" spans="1:15">
      <c r="A362" s="19">
        <v>43322</v>
      </c>
      <c r="B362">
        <v>1192</v>
      </c>
      <c r="C362">
        <v>1164</v>
      </c>
      <c r="D362">
        <v>3398</v>
      </c>
      <c r="E362">
        <v>3368</v>
      </c>
      <c r="F362">
        <v>0.345605700712589</v>
      </c>
      <c r="G362">
        <v>0.32330270731797101</v>
      </c>
      <c r="H362">
        <v>8.9120453471050708E-3</v>
      </c>
      <c r="I362">
        <v>2.5025673149051499</v>
      </c>
      <c r="J362">
        <v>6.45</v>
      </c>
      <c r="L362">
        <v>0.33221475266507605</v>
      </c>
      <c r="M362">
        <v>0.31439066197086596</v>
      </c>
      <c r="N362">
        <v>0.34112679801218115</v>
      </c>
      <c r="O362">
        <v>0.30547861662376086</v>
      </c>
    </row>
    <row r="363" spans="1:15">
      <c r="A363" s="19">
        <v>43321</v>
      </c>
      <c r="B363">
        <v>1228</v>
      </c>
      <c r="C363">
        <v>1186</v>
      </c>
      <c r="D363">
        <v>3420</v>
      </c>
      <c r="E363">
        <v>3381</v>
      </c>
      <c r="F363">
        <v>0.35078379177758001</v>
      </c>
      <c r="G363">
        <v>0.32297943856470501</v>
      </c>
      <c r="H363">
        <v>8.5286592942456305E-3</v>
      </c>
      <c r="I363">
        <v>3.2601083304657901</v>
      </c>
      <c r="J363">
        <v>7.93</v>
      </c>
      <c r="L363">
        <v>0.33150809785895063</v>
      </c>
      <c r="M363">
        <v>0.31445077927045939</v>
      </c>
      <c r="N363">
        <v>0.34003675715319626</v>
      </c>
      <c r="O363">
        <v>0.30592211997621377</v>
      </c>
    </row>
    <row r="364" spans="1:15">
      <c r="A364" s="19">
        <v>43320</v>
      </c>
      <c r="B364">
        <v>1115</v>
      </c>
      <c r="C364">
        <v>1108</v>
      </c>
      <c r="D364">
        <v>3450</v>
      </c>
      <c r="E364">
        <v>3425</v>
      </c>
      <c r="F364">
        <v>0.32350364963503597</v>
      </c>
      <c r="G364">
        <v>0.32260795233865103</v>
      </c>
      <c r="H364">
        <v>7.8925477550924796E-3</v>
      </c>
      <c r="I364">
        <v>0.113486458895033</v>
      </c>
      <c r="J364">
        <v>0.28000000000000003</v>
      </c>
      <c r="L364">
        <v>0.33050050009374349</v>
      </c>
      <c r="M364">
        <v>0.31471540458355857</v>
      </c>
      <c r="N364">
        <v>0.338393047848836</v>
      </c>
      <c r="O364">
        <v>0.30682285682846605</v>
      </c>
    </row>
    <row r="365" spans="1:15">
      <c r="A365" s="19">
        <v>43319</v>
      </c>
      <c r="B365">
        <v>1101</v>
      </c>
      <c r="C365">
        <v>1109</v>
      </c>
      <c r="D365">
        <v>3398</v>
      </c>
      <c r="E365">
        <v>3427</v>
      </c>
      <c r="F365">
        <v>0.32360665304931402</v>
      </c>
      <c r="G365">
        <v>0.322636663723811</v>
      </c>
      <c r="H365">
        <v>7.8996673927288295E-3</v>
      </c>
      <c r="I365">
        <v>0.122788628594083</v>
      </c>
      <c r="J365">
        <v>0.3</v>
      </c>
      <c r="L365">
        <v>0.33053633111653985</v>
      </c>
      <c r="M365">
        <v>0.31473699633108215</v>
      </c>
      <c r="N365">
        <v>0.33843599850926864</v>
      </c>
      <c r="O365">
        <v>0.30683732893835336</v>
      </c>
    </row>
    <row r="366" spans="1:15">
      <c r="A366" s="19">
        <v>43318</v>
      </c>
      <c r="B366">
        <v>1111</v>
      </c>
      <c r="C366">
        <v>1105</v>
      </c>
      <c r="D366">
        <v>3405</v>
      </c>
      <c r="E366">
        <v>3392</v>
      </c>
      <c r="F366">
        <v>0.32576650943396201</v>
      </c>
      <c r="G366">
        <v>0.322558299704856</v>
      </c>
      <c r="H366">
        <v>7.9187845299963401E-3</v>
      </c>
      <c r="I366">
        <v>0.40513916207130102</v>
      </c>
      <c r="J366">
        <v>0.98</v>
      </c>
      <c r="L366">
        <v>0.33047708423485234</v>
      </c>
      <c r="M366">
        <v>0.31463951517485966</v>
      </c>
      <c r="N366">
        <v>0.33839586876484867</v>
      </c>
      <c r="O366">
        <v>0.30672073064486333</v>
      </c>
    </row>
    <row r="367" spans="1:15">
      <c r="A367" s="19">
        <v>43315</v>
      </c>
      <c r="B367">
        <v>1111</v>
      </c>
      <c r="C367">
        <v>1112</v>
      </c>
      <c r="D367">
        <v>3391</v>
      </c>
      <c r="E367">
        <v>3380</v>
      </c>
      <c r="F367">
        <v>0.32899408284023601</v>
      </c>
      <c r="G367">
        <v>0.32231376141741602</v>
      </c>
      <c r="H367">
        <v>8.0971113543338805E-3</v>
      </c>
      <c r="I367">
        <v>0.82502526277408295</v>
      </c>
      <c r="J367">
        <v>2.0299999999999998</v>
      </c>
      <c r="L367">
        <v>0.33041087277174991</v>
      </c>
      <c r="M367">
        <v>0.31421665006308214</v>
      </c>
      <c r="N367">
        <v>0.33850798412608379</v>
      </c>
      <c r="O367">
        <v>0.30611953870874825</v>
      </c>
    </row>
    <row r="368" spans="1:15">
      <c r="A368" s="19">
        <v>43314</v>
      </c>
      <c r="B368">
        <v>1110</v>
      </c>
      <c r="C368">
        <v>1110</v>
      </c>
      <c r="D368">
        <v>3411</v>
      </c>
      <c r="E368">
        <v>3355</v>
      </c>
      <c r="F368">
        <v>0.33084947839046103</v>
      </c>
      <c r="G368">
        <v>0.32202729703771599</v>
      </c>
      <c r="H368">
        <v>8.2345880432010896E-3</v>
      </c>
      <c r="I368">
        <v>1.07135673411485</v>
      </c>
      <c r="J368">
        <v>2.67</v>
      </c>
      <c r="L368">
        <v>0.33026188508091708</v>
      </c>
      <c r="M368">
        <v>0.31379270899451489</v>
      </c>
      <c r="N368">
        <v>0.33849647312411818</v>
      </c>
      <c r="O368">
        <v>0.30555812095131379</v>
      </c>
    </row>
    <row r="369" spans="1:15">
      <c r="A369" s="19">
        <v>43313</v>
      </c>
      <c r="B369">
        <v>1122</v>
      </c>
      <c r="C369">
        <v>1122</v>
      </c>
      <c r="D369">
        <v>3495</v>
      </c>
      <c r="E369">
        <v>3454</v>
      </c>
      <c r="F369">
        <v>0.32484076433121001</v>
      </c>
      <c r="G369">
        <v>0.32173647600417199</v>
      </c>
      <c r="H369">
        <v>8.3027571978121408E-3</v>
      </c>
      <c r="I369">
        <v>0.37388643953791001</v>
      </c>
      <c r="J369">
        <v>0.96</v>
      </c>
      <c r="L369">
        <v>0.33003923320198414</v>
      </c>
      <c r="M369">
        <v>0.31343371880635984</v>
      </c>
      <c r="N369">
        <v>0.33834199039979629</v>
      </c>
      <c r="O369">
        <v>0.30513096160854769</v>
      </c>
    </row>
    <row r="370" spans="1:15">
      <c r="A370" s="19">
        <v>43312</v>
      </c>
      <c r="B370">
        <v>1118</v>
      </c>
      <c r="C370">
        <v>1115</v>
      </c>
      <c r="D370">
        <v>3394</v>
      </c>
      <c r="E370">
        <v>3355</v>
      </c>
      <c r="F370">
        <v>0.33233979135618402</v>
      </c>
      <c r="G370">
        <v>0.32147844742843901</v>
      </c>
      <c r="H370">
        <v>8.5006243353438708E-3</v>
      </c>
      <c r="I370">
        <v>1.2777113185187501</v>
      </c>
      <c r="J370">
        <v>3.27</v>
      </c>
      <c r="L370">
        <v>0.32997907176378288</v>
      </c>
      <c r="M370">
        <v>0.31297782309309513</v>
      </c>
      <c r="N370">
        <v>0.33847969609912676</v>
      </c>
      <c r="O370">
        <v>0.30447719875775126</v>
      </c>
    </row>
    <row r="371" spans="1:15">
      <c r="A371" s="19">
        <v>43311</v>
      </c>
      <c r="B371">
        <v>1109</v>
      </c>
      <c r="C371">
        <v>1108</v>
      </c>
      <c r="D371">
        <v>3369</v>
      </c>
      <c r="E371">
        <v>3374</v>
      </c>
      <c r="F371">
        <v>0.328393598103141</v>
      </c>
      <c r="G371">
        <v>0.321076864171224</v>
      </c>
      <c r="H371">
        <v>8.6874081675350906E-3</v>
      </c>
      <c r="I371">
        <v>0.84222288061237705</v>
      </c>
      <c r="J371">
        <v>2.23</v>
      </c>
      <c r="L371">
        <v>0.3297642723387591</v>
      </c>
      <c r="M371">
        <v>0.31238945600368889</v>
      </c>
      <c r="N371">
        <v>0.33845168050629415</v>
      </c>
      <c r="O371">
        <v>0.30370204783615384</v>
      </c>
    </row>
    <row r="372" spans="1:15">
      <c r="A372" s="19">
        <v>43308</v>
      </c>
      <c r="B372">
        <v>1119</v>
      </c>
      <c r="C372">
        <v>1117</v>
      </c>
      <c r="D372">
        <v>3355</v>
      </c>
      <c r="E372">
        <v>3365</v>
      </c>
      <c r="F372">
        <v>0.33194650817236199</v>
      </c>
      <c r="G372">
        <v>0.32074338504782002</v>
      </c>
      <c r="H372">
        <v>8.8780921790110792E-3</v>
      </c>
      <c r="I372">
        <v>1.2618840735882499</v>
      </c>
      <c r="J372">
        <v>3.37</v>
      </c>
      <c r="L372">
        <v>0.32962147722683111</v>
      </c>
      <c r="M372">
        <v>0.31186529286880893</v>
      </c>
      <c r="N372">
        <v>0.33849956940584219</v>
      </c>
      <c r="O372">
        <v>0.30298720068979784</v>
      </c>
    </row>
    <row r="373" spans="1:15">
      <c r="A373" s="19">
        <v>43307</v>
      </c>
      <c r="B373">
        <v>1117</v>
      </c>
      <c r="C373">
        <v>1115</v>
      </c>
      <c r="D373">
        <v>3370</v>
      </c>
      <c r="E373">
        <v>3343</v>
      </c>
      <c r="F373">
        <v>0.33353275501046897</v>
      </c>
      <c r="G373">
        <v>0.32040636869879702</v>
      </c>
      <c r="H373">
        <v>8.9260389242083304E-3</v>
      </c>
      <c r="I373">
        <v>1.4705723807759901</v>
      </c>
      <c r="J373">
        <v>3.94</v>
      </c>
      <c r="L373">
        <v>0.32933240762300536</v>
      </c>
      <c r="M373">
        <v>0.31148032977458867</v>
      </c>
      <c r="N373">
        <v>0.33825844654721365</v>
      </c>
      <c r="O373">
        <v>0.30255429085038038</v>
      </c>
    </row>
    <row r="374" spans="1:15">
      <c r="A374" s="19">
        <v>43306</v>
      </c>
      <c r="B374">
        <v>1098</v>
      </c>
      <c r="C374">
        <v>1101</v>
      </c>
      <c r="D374">
        <v>3305</v>
      </c>
      <c r="E374">
        <v>3327</v>
      </c>
      <c r="F374">
        <v>0.33092876465283999</v>
      </c>
      <c r="G374">
        <v>0.320074089168982</v>
      </c>
      <c r="H374">
        <v>8.8950114497940297E-3</v>
      </c>
      <c r="I374">
        <v>1.22031045661092</v>
      </c>
      <c r="J374">
        <v>3.28</v>
      </c>
      <c r="L374">
        <v>0.32896910061877604</v>
      </c>
      <c r="M374">
        <v>0.31117907771918796</v>
      </c>
      <c r="N374">
        <v>0.33786411206857003</v>
      </c>
      <c r="O374">
        <v>0.30228406626939397</v>
      </c>
    </row>
    <row r="375" spans="1:15">
      <c r="A375" s="19">
        <v>43305</v>
      </c>
      <c r="B375">
        <v>1093</v>
      </c>
      <c r="C375">
        <v>1091</v>
      </c>
      <c r="D375">
        <v>3298</v>
      </c>
      <c r="E375">
        <v>3293</v>
      </c>
      <c r="F375">
        <v>0.33130883692681401</v>
      </c>
      <c r="G375">
        <v>0.31974708796937801</v>
      </c>
      <c r="H375">
        <v>8.9406402980462697E-3</v>
      </c>
      <c r="I375">
        <v>1.2931678908905799</v>
      </c>
      <c r="J375">
        <v>3.49</v>
      </c>
      <c r="L375">
        <v>0.32868772826742426</v>
      </c>
      <c r="M375">
        <v>0.31080644767133175</v>
      </c>
      <c r="N375">
        <v>0.33762836856547057</v>
      </c>
      <c r="O375">
        <v>0.30186580737328544</v>
      </c>
    </row>
    <row r="376" spans="1:15">
      <c r="A376" s="19">
        <v>43304</v>
      </c>
      <c r="B376">
        <v>1076</v>
      </c>
      <c r="C376">
        <v>1088</v>
      </c>
      <c r="D376">
        <v>3248</v>
      </c>
      <c r="E376">
        <v>3253</v>
      </c>
      <c r="F376">
        <v>0.33446049800184402</v>
      </c>
      <c r="G376">
        <v>0.31944032313840798</v>
      </c>
      <c r="H376">
        <v>8.9333822241214108E-3</v>
      </c>
      <c r="I376">
        <v>1.68135365605197</v>
      </c>
      <c r="J376">
        <v>4.49</v>
      </c>
      <c r="L376">
        <v>0.32837370536252941</v>
      </c>
      <c r="M376">
        <v>0.31050694091428654</v>
      </c>
      <c r="N376">
        <v>0.33730708758665079</v>
      </c>
      <c r="O376">
        <v>0.30157355869016517</v>
      </c>
    </row>
    <row r="377" spans="1:15">
      <c r="A377" s="19">
        <v>43301</v>
      </c>
      <c r="B377">
        <v>1093</v>
      </c>
      <c r="C377">
        <v>1090</v>
      </c>
      <c r="D377">
        <v>3302</v>
      </c>
      <c r="E377">
        <v>3292</v>
      </c>
      <c r="F377">
        <v>0.33110571081409401</v>
      </c>
      <c r="G377">
        <v>0.31911916241816202</v>
      </c>
      <c r="H377">
        <v>8.8198757937095005E-3</v>
      </c>
      <c r="I377">
        <v>1.35903823095575</v>
      </c>
      <c r="J377">
        <v>3.62</v>
      </c>
      <c r="L377">
        <v>0.32793903821187154</v>
      </c>
      <c r="M377">
        <v>0.3102992866244525</v>
      </c>
      <c r="N377">
        <v>0.336758914005581</v>
      </c>
      <c r="O377">
        <v>0.30147941083074303</v>
      </c>
    </row>
    <row r="378" spans="1:15">
      <c r="A378" s="19">
        <v>43300</v>
      </c>
      <c r="B378">
        <v>1097</v>
      </c>
      <c r="C378">
        <v>1106</v>
      </c>
      <c r="D378">
        <v>3316</v>
      </c>
      <c r="E378">
        <v>3323</v>
      </c>
      <c r="F378">
        <v>0.33283177851339102</v>
      </c>
      <c r="G378">
        <v>0.318826696744411</v>
      </c>
      <c r="H378">
        <v>8.7811489974373696E-3</v>
      </c>
      <c r="I378">
        <v>1.59490310129879</v>
      </c>
      <c r="J378">
        <v>4.21</v>
      </c>
      <c r="L378">
        <v>0.32760784574184837</v>
      </c>
      <c r="M378">
        <v>0.31004554774697363</v>
      </c>
      <c r="N378">
        <v>0.33638899473928574</v>
      </c>
      <c r="O378">
        <v>0.30126439874953626</v>
      </c>
    </row>
    <row r="379" spans="1:15">
      <c r="A379" s="19">
        <v>43299</v>
      </c>
      <c r="B379">
        <v>1101</v>
      </c>
      <c r="C379">
        <v>1098</v>
      </c>
      <c r="D379">
        <v>3367</v>
      </c>
      <c r="E379">
        <v>3332</v>
      </c>
      <c r="F379">
        <v>0.32953181272509002</v>
      </c>
      <c r="G379">
        <v>0.31848730035330403</v>
      </c>
      <c r="H379">
        <v>8.7250262267825705E-3</v>
      </c>
      <c r="I379">
        <v>1.26584288513461</v>
      </c>
      <c r="J379">
        <v>3.35</v>
      </c>
      <c r="L379">
        <v>0.32721232658008659</v>
      </c>
      <c r="M379">
        <v>0.30976227412652146</v>
      </c>
      <c r="N379">
        <v>0.33593735280686915</v>
      </c>
      <c r="O379">
        <v>0.3010372478997389</v>
      </c>
    </row>
    <row r="380" spans="1:15">
      <c r="A380" s="19">
        <v>43298</v>
      </c>
      <c r="B380">
        <v>1071</v>
      </c>
      <c r="C380">
        <v>1086</v>
      </c>
      <c r="D380">
        <v>3283</v>
      </c>
      <c r="E380">
        <v>3323</v>
      </c>
      <c r="F380">
        <v>0.32681312067408902</v>
      </c>
      <c r="G380">
        <v>0.318216952170087</v>
      </c>
      <c r="H380">
        <v>8.6926910287939193E-3</v>
      </c>
      <c r="I380">
        <v>0.98889612842885699</v>
      </c>
      <c r="J380">
        <v>2.63</v>
      </c>
      <c r="L380">
        <v>0.32690964319888094</v>
      </c>
      <c r="M380">
        <v>0.30952426114129306</v>
      </c>
      <c r="N380">
        <v>0.33560233422767483</v>
      </c>
      <c r="O380">
        <v>0.30083157011249917</v>
      </c>
    </row>
    <row r="381" spans="1:15">
      <c r="A381" s="19">
        <v>43294</v>
      </c>
      <c r="B381">
        <v>1064</v>
      </c>
      <c r="C381">
        <v>1070</v>
      </c>
      <c r="D381">
        <v>3261</v>
      </c>
      <c r="E381">
        <v>3292</v>
      </c>
      <c r="F381">
        <v>0.32503037667071599</v>
      </c>
      <c r="G381">
        <v>0.31791344863809201</v>
      </c>
      <c r="H381">
        <v>8.7841566167708909E-3</v>
      </c>
      <c r="I381">
        <v>0.81020049426676199</v>
      </c>
      <c r="J381">
        <v>2.19</v>
      </c>
      <c r="L381">
        <v>0.32669760525486291</v>
      </c>
      <c r="M381">
        <v>0.30912929202132111</v>
      </c>
      <c r="N381">
        <v>0.33548176187163381</v>
      </c>
      <c r="O381">
        <v>0.30034513540455021</v>
      </c>
    </row>
    <row r="382" spans="1:15">
      <c r="A382" s="19">
        <v>43293</v>
      </c>
      <c r="B382">
        <v>1051</v>
      </c>
      <c r="C382">
        <v>1056</v>
      </c>
      <c r="D382">
        <v>3247</v>
      </c>
      <c r="E382">
        <v>3259</v>
      </c>
      <c r="F382">
        <v>0.32402577477753902</v>
      </c>
      <c r="G382">
        <v>0.31771687842407498</v>
      </c>
      <c r="H382">
        <v>8.7876506623661404E-3</v>
      </c>
      <c r="I382">
        <v>0.71792753215392402</v>
      </c>
      <c r="J382">
        <v>1.95</v>
      </c>
      <c r="L382">
        <v>0.32650452908644112</v>
      </c>
      <c r="M382">
        <v>0.30892922776170884</v>
      </c>
      <c r="N382">
        <v>0.33529217974880726</v>
      </c>
      <c r="O382">
        <v>0.30014157709934269</v>
      </c>
    </row>
    <row r="383" spans="1:15">
      <c r="A383" s="19">
        <v>43292</v>
      </c>
      <c r="B383">
        <v>1064</v>
      </c>
      <c r="C383">
        <v>1046</v>
      </c>
      <c r="D383">
        <v>3241</v>
      </c>
      <c r="E383">
        <v>3238</v>
      </c>
      <c r="F383">
        <v>0.323038912909203</v>
      </c>
      <c r="G383">
        <v>0.317572043793928</v>
      </c>
      <c r="H383">
        <v>8.7719789107392407E-3</v>
      </c>
      <c r="I383">
        <v>0.62321959171399799</v>
      </c>
      <c r="J383">
        <v>1.69</v>
      </c>
      <c r="L383">
        <v>0.32634402270466722</v>
      </c>
      <c r="M383">
        <v>0.30880006488318879</v>
      </c>
      <c r="N383">
        <v>0.3351160016154065</v>
      </c>
      <c r="O383">
        <v>0.30002808597244951</v>
      </c>
    </row>
    <row r="384" spans="1:15">
      <c r="A384" s="19">
        <v>43291</v>
      </c>
      <c r="B384">
        <v>1054</v>
      </c>
      <c r="C384">
        <v>1067</v>
      </c>
      <c r="D384">
        <v>3280</v>
      </c>
      <c r="E384">
        <v>3273</v>
      </c>
      <c r="F384">
        <v>0.32600061106018902</v>
      </c>
      <c r="G384">
        <v>0.31742120132121998</v>
      </c>
      <c r="H384">
        <v>8.7739442280082205E-3</v>
      </c>
      <c r="I384">
        <v>0.97782815983513904</v>
      </c>
      <c r="J384">
        <v>2.63</v>
      </c>
      <c r="L384">
        <v>0.32619514554922818</v>
      </c>
      <c r="M384">
        <v>0.30864725709321178</v>
      </c>
      <c r="N384">
        <v>0.33496908977723644</v>
      </c>
      <c r="O384">
        <v>0.29987331286520352</v>
      </c>
    </row>
    <row r="385" spans="1:15">
      <c r="A385" s="19">
        <v>43290</v>
      </c>
      <c r="B385">
        <v>1045</v>
      </c>
      <c r="C385">
        <v>1052</v>
      </c>
      <c r="D385">
        <v>3227</v>
      </c>
      <c r="E385">
        <v>3240</v>
      </c>
      <c r="F385">
        <v>0.32469135802469101</v>
      </c>
      <c r="G385">
        <v>0.31710291078656</v>
      </c>
      <c r="H385">
        <v>8.8891767594099502E-3</v>
      </c>
      <c r="I385">
        <v>0.85367266773024997</v>
      </c>
      <c r="J385">
        <v>2.34</v>
      </c>
      <c r="L385">
        <v>0.32599208754596998</v>
      </c>
      <c r="M385">
        <v>0.30821373402715002</v>
      </c>
      <c r="N385">
        <v>0.3348812643053799</v>
      </c>
      <c r="O385">
        <v>0.2993245572677401</v>
      </c>
    </row>
    <row r="386" spans="1:15">
      <c r="A386" s="19">
        <v>43287</v>
      </c>
      <c r="B386">
        <v>1045</v>
      </c>
      <c r="C386">
        <v>1035</v>
      </c>
      <c r="D386">
        <v>3215</v>
      </c>
      <c r="E386">
        <v>3228</v>
      </c>
      <c r="F386">
        <v>0.320631970260223</v>
      </c>
      <c r="G386">
        <v>0.316859359895379</v>
      </c>
      <c r="H386">
        <v>8.9280780682631702E-3</v>
      </c>
      <c r="I386">
        <v>0.42255570975055101</v>
      </c>
      <c r="J386">
        <v>1.18</v>
      </c>
      <c r="L386">
        <v>0.32578743796364218</v>
      </c>
      <c r="M386">
        <v>0.30793128182711582</v>
      </c>
      <c r="N386">
        <v>0.33471551603190536</v>
      </c>
      <c r="O386">
        <v>0.29900320375885264</v>
      </c>
    </row>
    <row r="387" spans="1:15">
      <c r="A387" s="19">
        <v>43286</v>
      </c>
      <c r="B387">
        <v>1038</v>
      </c>
      <c r="C387">
        <v>1032</v>
      </c>
      <c r="D387">
        <v>3195</v>
      </c>
      <c r="E387">
        <v>3184</v>
      </c>
      <c r="F387">
        <v>0.324120603015075</v>
      </c>
      <c r="G387">
        <v>0.31657071012061699</v>
      </c>
      <c r="H387">
        <v>9.1486739460778302E-3</v>
      </c>
      <c r="I387">
        <v>0.82524450417149997</v>
      </c>
      <c r="J387">
        <v>2.33</v>
      </c>
      <c r="L387">
        <v>0.32571938406669482</v>
      </c>
      <c r="M387">
        <v>0.30742203617453917</v>
      </c>
      <c r="N387">
        <v>0.33486805801277264</v>
      </c>
      <c r="O387">
        <v>0.29827336222846135</v>
      </c>
    </row>
    <row r="388" spans="1:15">
      <c r="A388" s="19">
        <v>43285</v>
      </c>
      <c r="B388">
        <v>1020</v>
      </c>
      <c r="C388">
        <v>1046</v>
      </c>
      <c r="D388">
        <v>3181</v>
      </c>
      <c r="E388">
        <v>3188</v>
      </c>
      <c r="F388">
        <v>0.32810539523212001</v>
      </c>
      <c r="G388">
        <v>0.31623315138257302</v>
      </c>
      <c r="H388">
        <v>9.3291568245266708E-3</v>
      </c>
      <c r="I388">
        <v>1.27259559174033</v>
      </c>
      <c r="J388">
        <v>3.62</v>
      </c>
      <c r="L388">
        <v>0.32556230820709969</v>
      </c>
      <c r="M388">
        <v>0.30690399455804634</v>
      </c>
      <c r="N388">
        <v>0.33489146503162637</v>
      </c>
      <c r="O388">
        <v>0.29757483773351967</v>
      </c>
    </row>
    <row r="389" spans="1:15">
      <c r="A389" s="19">
        <v>43284</v>
      </c>
      <c r="B389">
        <v>1030</v>
      </c>
      <c r="C389">
        <v>1030</v>
      </c>
      <c r="D389">
        <v>3228</v>
      </c>
      <c r="E389">
        <v>3210</v>
      </c>
      <c r="F389">
        <v>0.32087227414330199</v>
      </c>
      <c r="G389">
        <v>0.315879347628783</v>
      </c>
      <c r="H389">
        <v>9.3752537723168598E-3</v>
      </c>
      <c r="I389">
        <v>0.53256441220411199</v>
      </c>
      <c r="J389">
        <v>1.56</v>
      </c>
      <c r="L389">
        <v>0.32525460140109985</v>
      </c>
      <c r="M389">
        <v>0.30650409385646615</v>
      </c>
      <c r="N389">
        <v>0.3346298551734167</v>
      </c>
      <c r="O389">
        <v>0.2971288400841493</v>
      </c>
    </row>
    <row r="390" spans="1:15">
      <c r="A390" s="19">
        <v>43283</v>
      </c>
      <c r="B390">
        <v>1035</v>
      </c>
      <c r="C390">
        <v>1025</v>
      </c>
      <c r="D390">
        <v>3227</v>
      </c>
      <c r="E390">
        <v>3194</v>
      </c>
      <c r="F390">
        <v>0.32091421415153398</v>
      </c>
      <c r="G390">
        <v>0.31562600317614298</v>
      </c>
      <c r="H390">
        <v>9.4928970967845493E-3</v>
      </c>
      <c r="I390">
        <v>0.55707029387075602</v>
      </c>
      <c r="J390">
        <v>1.65</v>
      </c>
      <c r="L390">
        <v>0.3251189002729275</v>
      </c>
      <c r="M390">
        <v>0.30613310607935845</v>
      </c>
      <c r="N390">
        <v>0.33461179736971208</v>
      </c>
      <c r="O390">
        <v>0.29664020898257387</v>
      </c>
    </row>
    <row r="391" spans="1:15">
      <c r="A391" s="19">
        <v>43280</v>
      </c>
      <c r="B391">
        <v>1045</v>
      </c>
      <c r="C391">
        <v>1044</v>
      </c>
      <c r="D391">
        <v>3209</v>
      </c>
      <c r="E391">
        <v>3253</v>
      </c>
      <c r="F391">
        <v>0.32093452197971101</v>
      </c>
      <c r="G391">
        <v>0.31535649614243599</v>
      </c>
      <c r="H391">
        <v>9.6249464535158296E-3</v>
      </c>
      <c r="I391">
        <v>0.57953837605370695</v>
      </c>
      <c r="J391">
        <v>1.74</v>
      </c>
      <c r="L391">
        <v>0.3249814425959518</v>
      </c>
      <c r="M391">
        <v>0.30573154968892019</v>
      </c>
      <c r="N391">
        <v>0.33460638904946766</v>
      </c>
      <c r="O391">
        <v>0.29610660323540433</v>
      </c>
    </row>
    <row r="392" spans="1:15">
      <c r="A392" s="19">
        <v>43279</v>
      </c>
      <c r="B392">
        <v>1015</v>
      </c>
      <c r="C392">
        <v>1038</v>
      </c>
      <c r="D392">
        <v>3212</v>
      </c>
      <c r="E392">
        <v>3229</v>
      </c>
      <c r="F392">
        <v>0.321461752864664</v>
      </c>
      <c r="G392">
        <v>0.315021382733567</v>
      </c>
      <c r="H392">
        <v>9.8595803911909908E-3</v>
      </c>
      <c r="I392">
        <v>0.65320935329567098</v>
      </c>
      <c r="J392">
        <v>2</v>
      </c>
      <c r="L392">
        <v>0.324880963124758</v>
      </c>
      <c r="M392">
        <v>0.305161802342376</v>
      </c>
      <c r="N392">
        <v>0.33474054351594901</v>
      </c>
      <c r="O392">
        <v>0.295302221951185</v>
      </c>
    </row>
    <row r="393" spans="1:15">
      <c r="A393" s="19">
        <v>43278</v>
      </c>
      <c r="B393">
        <v>1066</v>
      </c>
      <c r="C393">
        <v>1015</v>
      </c>
      <c r="D393">
        <v>3287</v>
      </c>
      <c r="E393">
        <v>3225</v>
      </c>
      <c r="F393">
        <v>0.31472868217054201</v>
      </c>
      <c r="G393">
        <v>0.31470983270825198</v>
      </c>
      <c r="H393">
        <v>1.00190330615209E-2</v>
      </c>
      <c r="I393">
        <v>1.8813654146346899E-3</v>
      </c>
      <c r="J393">
        <v>0.01</v>
      </c>
      <c r="L393">
        <v>0.32472886576977289</v>
      </c>
      <c r="M393">
        <v>0.30469079964673107</v>
      </c>
      <c r="N393">
        <v>0.3347478988312938</v>
      </c>
      <c r="O393">
        <v>0.29467176658521016</v>
      </c>
    </row>
    <row r="394" spans="1:15">
      <c r="A394" s="19">
        <v>43277</v>
      </c>
      <c r="B394">
        <v>1070</v>
      </c>
      <c r="C394">
        <v>1083</v>
      </c>
      <c r="D394">
        <v>3283</v>
      </c>
      <c r="E394">
        <v>3319</v>
      </c>
      <c r="F394">
        <v>0.32630310334438001</v>
      </c>
      <c r="G394">
        <v>0.31437960776249002</v>
      </c>
      <c r="H394">
        <v>1.0413364703974101E-2</v>
      </c>
      <c r="I394">
        <v>1.1450185334755001</v>
      </c>
      <c r="J394">
        <v>3.65</v>
      </c>
      <c r="L394">
        <v>0.3247929724664641</v>
      </c>
      <c r="M394">
        <v>0.30396624305851594</v>
      </c>
      <c r="N394">
        <v>0.33520633717043824</v>
      </c>
      <c r="O394">
        <v>0.2935528783545418</v>
      </c>
    </row>
    <row r="395" spans="1:15">
      <c r="A395" s="19">
        <v>43276</v>
      </c>
      <c r="B395">
        <v>1057</v>
      </c>
      <c r="C395">
        <v>1071</v>
      </c>
      <c r="D395">
        <v>3351</v>
      </c>
      <c r="E395">
        <v>3310</v>
      </c>
      <c r="F395">
        <v>0.32356495468277902</v>
      </c>
      <c r="G395">
        <v>0.313929101515734</v>
      </c>
      <c r="H395">
        <v>1.06166699567931E-2</v>
      </c>
      <c r="I395">
        <v>0.90761540165234</v>
      </c>
      <c r="J395">
        <v>2.98</v>
      </c>
      <c r="L395">
        <v>0.32454577147252711</v>
      </c>
      <c r="M395">
        <v>0.30331243155894089</v>
      </c>
      <c r="N395">
        <v>0.33516244142932022</v>
      </c>
      <c r="O395">
        <v>0.29269576160214777</v>
      </c>
    </row>
    <row r="396" spans="1:15">
      <c r="A396" s="19">
        <v>43273</v>
      </c>
      <c r="B396">
        <v>1048</v>
      </c>
      <c r="C396">
        <v>1055</v>
      </c>
      <c r="D396">
        <v>3366</v>
      </c>
      <c r="E396">
        <v>3342</v>
      </c>
      <c r="F396">
        <v>0.31567923399162101</v>
      </c>
      <c r="G396">
        <v>0.313521066877192</v>
      </c>
      <c r="H396">
        <v>1.08245362462257E-2</v>
      </c>
      <c r="I396">
        <v>0.19937732807554101</v>
      </c>
      <c r="J396">
        <v>0.68</v>
      </c>
      <c r="L396">
        <v>0.3243456031234177</v>
      </c>
      <c r="M396">
        <v>0.3026965306309663</v>
      </c>
      <c r="N396">
        <v>0.33517013936964341</v>
      </c>
      <c r="O396">
        <v>0.2918719943847406</v>
      </c>
    </row>
    <row r="397" spans="1:15">
      <c r="A397" s="19">
        <v>43272</v>
      </c>
      <c r="B397">
        <v>1057</v>
      </c>
      <c r="C397">
        <v>1058</v>
      </c>
      <c r="D397">
        <v>3401</v>
      </c>
      <c r="E397">
        <v>3409</v>
      </c>
      <c r="F397">
        <v>0.31035494279847398</v>
      </c>
      <c r="G397">
        <v>0.313218144939861</v>
      </c>
      <c r="H397">
        <v>1.1074901282977299E-2</v>
      </c>
      <c r="I397">
        <v>-0.25853071447126402</v>
      </c>
      <c r="J397">
        <v>-0.92</v>
      </c>
      <c r="L397">
        <v>0.32429304622283828</v>
      </c>
      <c r="M397">
        <v>0.30214324365688372</v>
      </c>
      <c r="N397">
        <v>0.33536794750581561</v>
      </c>
      <c r="O397">
        <v>0.29106834237390639</v>
      </c>
    </row>
    <row r="398" spans="1:15">
      <c r="A398" s="19">
        <v>43271</v>
      </c>
      <c r="B398">
        <v>1056</v>
      </c>
      <c r="C398">
        <v>1059</v>
      </c>
      <c r="D398">
        <v>3430</v>
      </c>
      <c r="E398">
        <v>3421</v>
      </c>
      <c r="F398">
        <v>0.30955860859397799</v>
      </c>
      <c r="G398">
        <v>0.31293249357739</v>
      </c>
      <c r="H398">
        <v>1.1416100449732E-2</v>
      </c>
      <c r="I398">
        <v>-0.295537429638767</v>
      </c>
      <c r="J398">
        <v>-1.0900000000000001</v>
      </c>
      <c r="L398">
        <v>0.32434859402712202</v>
      </c>
      <c r="M398">
        <v>0.30151639312765799</v>
      </c>
      <c r="N398">
        <v>0.33576469447685398</v>
      </c>
      <c r="O398">
        <v>0.29010029267792603</v>
      </c>
    </row>
    <row r="399" spans="1:15">
      <c r="A399" s="19">
        <v>43270</v>
      </c>
      <c r="B399">
        <v>1100</v>
      </c>
      <c r="C399">
        <v>1057</v>
      </c>
      <c r="D399">
        <v>3456</v>
      </c>
      <c r="E399">
        <v>3433</v>
      </c>
      <c r="F399">
        <v>0.30789397028837701</v>
      </c>
      <c r="G399">
        <v>0.312626502001566</v>
      </c>
      <c r="H399">
        <v>1.1803422924515101E-2</v>
      </c>
      <c r="I399">
        <v>-0.40094570392456302</v>
      </c>
      <c r="J399">
        <v>-1.54</v>
      </c>
      <c r="L399">
        <v>0.32442992492608108</v>
      </c>
      <c r="M399">
        <v>0.30082307907705091</v>
      </c>
      <c r="N399">
        <v>0.33623334785059622</v>
      </c>
      <c r="O399">
        <v>0.28901965615253578</v>
      </c>
    </row>
    <row r="400" spans="1:15">
      <c r="A400" s="19">
        <v>43269</v>
      </c>
      <c r="B400">
        <v>1085</v>
      </c>
      <c r="C400">
        <v>1064</v>
      </c>
      <c r="D400">
        <v>3515</v>
      </c>
      <c r="E400">
        <v>3487</v>
      </c>
      <c r="F400">
        <v>0.30513335245196399</v>
      </c>
      <c r="G400">
        <v>0.31239941294255202</v>
      </c>
      <c r="H400">
        <v>1.2053478489446901E-2</v>
      </c>
      <c r="I400">
        <v>-0.60281855540284202</v>
      </c>
      <c r="J400">
        <v>-2.38</v>
      </c>
      <c r="L400">
        <v>0.3244528914319989</v>
      </c>
      <c r="M400">
        <v>0.30034593445310515</v>
      </c>
      <c r="N400">
        <v>0.33650636992144584</v>
      </c>
      <c r="O400">
        <v>0.28829245596365821</v>
      </c>
    </row>
    <row r="401" spans="1:15">
      <c r="A401" s="19">
        <v>43266</v>
      </c>
      <c r="B401">
        <v>1108</v>
      </c>
      <c r="C401">
        <v>1089</v>
      </c>
      <c r="D401">
        <v>3560</v>
      </c>
      <c r="E401">
        <v>3533</v>
      </c>
      <c r="F401">
        <v>0.30823662609680103</v>
      </c>
      <c r="G401">
        <v>0.31215439892462898</v>
      </c>
      <c r="H401">
        <v>1.23810046179831E-2</v>
      </c>
      <c r="I401">
        <v>-0.31643416255069101</v>
      </c>
      <c r="J401">
        <v>-1.27</v>
      </c>
      <c r="L401">
        <v>0.32453540354261207</v>
      </c>
      <c r="M401">
        <v>0.2997733943066459</v>
      </c>
      <c r="N401">
        <v>0.3369164081605952</v>
      </c>
      <c r="O401">
        <v>0.28739238968866276</v>
      </c>
    </row>
    <row r="402" spans="1:15">
      <c r="A402" s="19">
        <v>43265</v>
      </c>
      <c r="B402">
        <v>1113</v>
      </c>
      <c r="C402">
        <v>1108</v>
      </c>
      <c r="D402">
        <v>3580</v>
      </c>
      <c r="E402">
        <v>3544</v>
      </c>
      <c r="F402">
        <v>0.31264108352144399</v>
      </c>
      <c r="G402">
        <v>0.31184284764320103</v>
      </c>
      <c r="H402">
        <v>1.2763745551804401E-2</v>
      </c>
      <c r="I402">
        <v>6.2539313009904202E-2</v>
      </c>
      <c r="J402">
        <v>0.26</v>
      </c>
      <c r="L402">
        <v>0.3246065931950054</v>
      </c>
      <c r="M402">
        <v>0.29907910209139665</v>
      </c>
      <c r="N402">
        <v>0.33737033874680983</v>
      </c>
      <c r="O402">
        <v>0.28631535653959223</v>
      </c>
    </row>
    <row r="403" spans="1:15">
      <c r="A403" s="19">
        <v>43264</v>
      </c>
      <c r="B403">
        <v>1130</v>
      </c>
      <c r="C403">
        <v>1118</v>
      </c>
      <c r="D403">
        <v>3578</v>
      </c>
      <c r="E403">
        <v>3598</v>
      </c>
      <c r="F403">
        <v>0.31072818232351301</v>
      </c>
      <c r="G403">
        <v>0.31147837441861498</v>
      </c>
      <c r="H403">
        <v>1.3121034388672299E-2</v>
      </c>
      <c r="I403">
        <v>-5.7174767848359703E-2</v>
      </c>
      <c r="J403">
        <v>-0.24</v>
      </c>
      <c r="L403">
        <v>0.32459940880728727</v>
      </c>
      <c r="M403">
        <v>0.29835734002994269</v>
      </c>
      <c r="N403">
        <v>0.33772044319595956</v>
      </c>
      <c r="O403">
        <v>0.28523630564127039</v>
      </c>
    </row>
    <row r="404" spans="1:15">
      <c r="A404" s="19">
        <v>43263</v>
      </c>
      <c r="B404">
        <v>1130</v>
      </c>
      <c r="C404">
        <v>1132</v>
      </c>
      <c r="D404">
        <v>3617</v>
      </c>
      <c r="E404">
        <v>3555</v>
      </c>
      <c r="F404">
        <v>0.31842475386779101</v>
      </c>
      <c r="G404">
        <v>0.31105829845291799</v>
      </c>
      <c r="H404">
        <v>1.36326865005067E-2</v>
      </c>
      <c r="I404">
        <v>0.54035244004174898</v>
      </c>
      <c r="J404">
        <v>2.31</v>
      </c>
      <c r="L404">
        <v>0.32469098495342469</v>
      </c>
      <c r="M404">
        <v>0.2974256119524113</v>
      </c>
      <c r="N404">
        <v>0.33832367145393138</v>
      </c>
      <c r="O404">
        <v>0.2837929254519046</v>
      </c>
    </row>
    <row r="405" spans="1:15">
      <c r="A405" s="19">
        <v>43262</v>
      </c>
      <c r="B405">
        <v>1128</v>
      </c>
      <c r="C405">
        <v>1128</v>
      </c>
      <c r="D405">
        <v>3517</v>
      </c>
      <c r="E405">
        <v>3575</v>
      </c>
      <c r="F405">
        <v>0.31552447552447499</v>
      </c>
      <c r="G405">
        <v>0.31051075481500301</v>
      </c>
      <c r="H405">
        <v>1.4141029957165799E-2</v>
      </c>
      <c r="I405">
        <v>0.35455131094824699</v>
      </c>
      <c r="J405">
        <v>1.59</v>
      </c>
      <c r="L405">
        <v>0.32465178477216883</v>
      </c>
      <c r="M405">
        <v>0.29636972485783719</v>
      </c>
      <c r="N405">
        <v>0.33879281472933459</v>
      </c>
      <c r="O405">
        <v>0.28222869490067143</v>
      </c>
    </row>
    <row r="406" spans="1:15">
      <c r="A406" s="19">
        <v>43259</v>
      </c>
      <c r="B406">
        <v>1135</v>
      </c>
      <c r="C406">
        <v>1129</v>
      </c>
      <c r="D406">
        <v>3536</v>
      </c>
      <c r="E406">
        <v>3517</v>
      </c>
      <c r="F406">
        <v>0.32101222632925702</v>
      </c>
      <c r="G406">
        <v>0.31005541306296402</v>
      </c>
      <c r="H406">
        <v>1.4517082617743799E-2</v>
      </c>
      <c r="I406">
        <v>0.75475311085582497</v>
      </c>
      <c r="J406">
        <v>3.41</v>
      </c>
      <c r="L406">
        <v>0.32457249568070784</v>
      </c>
      <c r="M406">
        <v>0.29553833044522021</v>
      </c>
      <c r="N406">
        <v>0.3390895782984516</v>
      </c>
      <c r="O406">
        <v>0.28102124782747645</v>
      </c>
    </row>
    <row r="407" spans="1:15">
      <c r="A407" s="19">
        <v>43258</v>
      </c>
      <c r="B407">
        <v>1131</v>
      </c>
      <c r="C407">
        <v>1136</v>
      </c>
      <c r="D407">
        <v>3544</v>
      </c>
      <c r="E407">
        <v>3536</v>
      </c>
      <c r="F407">
        <v>0.32126696832579099</v>
      </c>
      <c r="G407">
        <v>0.30946606628344703</v>
      </c>
      <c r="H407">
        <v>1.49510318998014E-2</v>
      </c>
      <c r="I407">
        <v>0.78930351573264201</v>
      </c>
      <c r="J407">
        <v>3.67</v>
      </c>
      <c r="L407">
        <v>0.32441709818324843</v>
      </c>
      <c r="M407">
        <v>0.29451503438364562</v>
      </c>
      <c r="N407">
        <v>0.33936813008304983</v>
      </c>
      <c r="O407">
        <v>0.27956400248384422</v>
      </c>
    </row>
    <row r="408" spans="1:15">
      <c r="A408" s="19">
        <v>43257</v>
      </c>
      <c r="B408">
        <v>1120</v>
      </c>
      <c r="C408">
        <v>1129</v>
      </c>
      <c r="D408">
        <v>3521</v>
      </c>
      <c r="E408">
        <v>3510</v>
      </c>
      <c r="F408">
        <v>0.32165242165242097</v>
      </c>
      <c r="G408">
        <v>0.30884263742472401</v>
      </c>
      <c r="H408">
        <v>1.54136436699541E-2</v>
      </c>
      <c r="I408">
        <v>0.83106788388179798</v>
      </c>
      <c r="J408">
        <v>3.98</v>
      </c>
      <c r="L408">
        <v>0.32425628109467813</v>
      </c>
      <c r="M408">
        <v>0.29342899375476988</v>
      </c>
      <c r="N408">
        <v>0.3396699247646322</v>
      </c>
      <c r="O408">
        <v>0.27801535008481582</v>
      </c>
    </row>
    <row r="409" spans="1:15">
      <c r="A409" s="19">
        <v>43256</v>
      </c>
      <c r="B409">
        <v>1106</v>
      </c>
      <c r="C409">
        <v>1119</v>
      </c>
      <c r="D409">
        <v>3526</v>
      </c>
      <c r="E409">
        <v>3509</v>
      </c>
      <c r="F409">
        <v>0.31889427187232799</v>
      </c>
      <c r="G409">
        <v>0.30816043730885201</v>
      </c>
      <c r="H409">
        <v>1.59543760916744E-2</v>
      </c>
      <c r="I409">
        <v>0.67278309736457997</v>
      </c>
      <c r="J409">
        <v>3.37</v>
      </c>
      <c r="L409">
        <v>0.32411481340052639</v>
      </c>
      <c r="M409">
        <v>0.29220606121717763</v>
      </c>
      <c r="N409">
        <v>0.34006918949220083</v>
      </c>
      <c r="O409">
        <v>0.27625168512550319</v>
      </c>
    </row>
    <row r="410" spans="1:15">
      <c r="A410" s="19">
        <v>43255</v>
      </c>
      <c r="B410">
        <v>1102</v>
      </c>
      <c r="C410">
        <v>1103</v>
      </c>
      <c r="D410">
        <v>3508</v>
      </c>
      <c r="E410">
        <v>3549</v>
      </c>
      <c r="F410">
        <v>0.31079177233023297</v>
      </c>
      <c r="G410">
        <v>0.30759353312155102</v>
      </c>
      <c r="H410">
        <v>1.6314231560688799E-2</v>
      </c>
      <c r="I410">
        <v>0.19603983165157299</v>
      </c>
      <c r="J410">
        <v>1.03</v>
      </c>
      <c r="L410">
        <v>0.32390776468223981</v>
      </c>
      <c r="M410">
        <v>0.29127930156086224</v>
      </c>
      <c r="N410">
        <v>0.34022199624292859</v>
      </c>
      <c r="O410">
        <v>0.27496507000017345</v>
      </c>
    </row>
    <row r="411" spans="1:15">
      <c r="A411" s="19">
        <v>43252</v>
      </c>
      <c r="B411">
        <v>1079</v>
      </c>
      <c r="C411">
        <v>1087</v>
      </c>
      <c r="D411">
        <v>3471</v>
      </c>
      <c r="E411">
        <v>3466</v>
      </c>
      <c r="F411">
        <v>0.31361800346220398</v>
      </c>
      <c r="G411">
        <v>0.30709575542435102</v>
      </c>
      <c r="H411">
        <v>1.67721806027245E-2</v>
      </c>
      <c r="I411">
        <v>0.38887299107626999</v>
      </c>
      <c r="J411">
        <v>2.08</v>
      </c>
      <c r="L411">
        <v>0.32386793602707553</v>
      </c>
      <c r="M411">
        <v>0.29032357482162652</v>
      </c>
      <c r="N411">
        <v>0.34064011662980004</v>
      </c>
      <c r="O411">
        <v>0.27355139421890201</v>
      </c>
    </row>
    <row r="412" spans="1:15">
      <c r="A412" s="19">
        <v>43251</v>
      </c>
      <c r="B412">
        <v>1073</v>
      </c>
      <c r="C412">
        <v>1073</v>
      </c>
      <c r="D412">
        <v>3420</v>
      </c>
      <c r="E412">
        <v>3447</v>
      </c>
      <c r="F412">
        <v>0.31128517551494</v>
      </c>
      <c r="G412">
        <v>0.30658567962939598</v>
      </c>
      <c r="H412">
        <v>1.7143671773955801E-2</v>
      </c>
      <c r="I412">
        <v>0.27412423356608301</v>
      </c>
      <c r="J412">
        <v>1.51</v>
      </c>
      <c r="L412">
        <v>0.32372935140335179</v>
      </c>
      <c r="M412">
        <v>0.28944200785544016</v>
      </c>
      <c r="N412">
        <v>0.34087302317730761</v>
      </c>
      <c r="O412">
        <v>0.27229833608148435</v>
      </c>
    </row>
    <row r="413" spans="1:15">
      <c r="A413" s="19">
        <v>43250</v>
      </c>
      <c r="B413">
        <v>1080</v>
      </c>
      <c r="C413">
        <v>1070</v>
      </c>
      <c r="D413">
        <v>3444</v>
      </c>
      <c r="E413">
        <v>3418</v>
      </c>
      <c r="F413">
        <v>0.31304856641310702</v>
      </c>
      <c r="G413">
        <v>0.306156701284377</v>
      </c>
      <c r="H413">
        <v>1.7420998165287801E-2</v>
      </c>
      <c r="I413">
        <v>0.39560678804627503</v>
      </c>
      <c r="J413">
        <v>2.2000000000000002</v>
      </c>
      <c r="L413">
        <v>0.3235776994496648</v>
      </c>
      <c r="M413">
        <v>0.28873570311908919</v>
      </c>
      <c r="N413">
        <v>0.34099869761495261</v>
      </c>
      <c r="O413">
        <v>0.27131470495380139</v>
      </c>
    </row>
    <row r="414" spans="1:15">
      <c r="A414" s="19">
        <v>43249</v>
      </c>
      <c r="B414">
        <v>1123</v>
      </c>
      <c r="C414">
        <v>1098</v>
      </c>
      <c r="D414">
        <v>3534</v>
      </c>
      <c r="E414">
        <v>3535</v>
      </c>
      <c r="F414">
        <v>0.31060820367751002</v>
      </c>
      <c r="G414">
        <v>0.30572230373220199</v>
      </c>
      <c r="H414">
        <v>1.7648440431327201E-2</v>
      </c>
      <c r="I414">
        <v>0.276845988988074</v>
      </c>
      <c r="J414">
        <v>1.57</v>
      </c>
      <c r="L414">
        <v>0.32337074416352918</v>
      </c>
      <c r="M414">
        <v>0.28807386330087481</v>
      </c>
      <c r="N414">
        <v>0.34101918459485642</v>
      </c>
      <c r="O414">
        <v>0.27042542286954757</v>
      </c>
    </row>
    <row r="415" spans="1:15">
      <c r="A415" s="19">
        <v>43248</v>
      </c>
      <c r="B415">
        <v>1126</v>
      </c>
      <c r="C415">
        <v>1124</v>
      </c>
      <c r="D415">
        <v>3515</v>
      </c>
      <c r="E415">
        <v>3537</v>
      </c>
      <c r="F415">
        <v>0.31778343228724898</v>
      </c>
      <c r="G415">
        <v>0.305542365828401</v>
      </c>
      <c r="H415">
        <v>1.7666495931905501E-2</v>
      </c>
      <c r="I415">
        <v>0.69289725059403195</v>
      </c>
      <c r="J415">
        <v>3.85</v>
      </c>
      <c r="L415">
        <v>0.3232088617603065</v>
      </c>
      <c r="M415">
        <v>0.2878758698964955</v>
      </c>
      <c r="N415">
        <v>0.340875357692212</v>
      </c>
      <c r="O415">
        <v>0.27020937396458999</v>
      </c>
    </row>
    <row r="416" spans="1:15">
      <c r="A416" s="19">
        <v>43245</v>
      </c>
      <c r="B416">
        <v>1138</v>
      </c>
      <c r="C416">
        <v>1130</v>
      </c>
      <c r="D416">
        <v>3531</v>
      </c>
      <c r="E416">
        <v>3498</v>
      </c>
      <c r="F416">
        <v>0.32304173813607701</v>
      </c>
      <c r="G416">
        <v>0.305334465183348</v>
      </c>
      <c r="H416">
        <v>1.7612884643747599E-2</v>
      </c>
      <c r="I416">
        <v>1.0053590488378401</v>
      </c>
      <c r="J416">
        <v>5.48</v>
      </c>
      <c r="L416">
        <v>0.32294734982709561</v>
      </c>
      <c r="M416">
        <v>0.2877215805396004</v>
      </c>
      <c r="N416">
        <v>0.34056023447084321</v>
      </c>
      <c r="O416">
        <v>0.27010869589585279</v>
      </c>
    </row>
    <row r="417" spans="1:15">
      <c r="A417" s="19">
        <v>43244</v>
      </c>
      <c r="B417">
        <v>1178</v>
      </c>
      <c r="C417">
        <v>1152</v>
      </c>
      <c r="D417">
        <v>3630</v>
      </c>
      <c r="E417">
        <v>3531</v>
      </c>
      <c r="F417">
        <v>0.32625318606627002</v>
      </c>
      <c r="G417">
        <v>0.30522261475884299</v>
      </c>
      <c r="H417">
        <v>1.7526504265624899E-2</v>
      </c>
      <c r="I417">
        <v>1.1999296031139499</v>
      </c>
      <c r="J417">
        <v>6.45</v>
      </c>
      <c r="L417">
        <v>0.3227491190244679</v>
      </c>
      <c r="M417">
        <v>0.28769611049321808</v>
      </c>
      <c r="N417">
        <v>0.34027562329009281</v>
      </c>
      <c r="O417">
        <v>0.27016960622759317</v>
      </c>
    </row>
    <row r="418" spans="1:15">
      <c r="A418" s="19">
        <v>43243</v>
      </c>
      <c r="B418">
        <v>1189</v>
      </c>
      <c r="C418">
        <v>1182</v>
      </c>
      <c r="D418">
        <v>3660</v>
      </c>
      <c r="E418">
        <v>3655</v>
      </c>
      <c r="F418">
        <v>0.32339261285909698</v>
      </c>
      <c r="G418">
        <v>0.30514310868635602</v>
      </c>
      <c r="H418">
        <v>1.7444254225129099E-2</v>
      </c>
      <c r="I418">
        <v>1.0461613283789299</v>
      </c>
      <c r="J418">
        <v>5.64</v>
      </c>
      <c r="L418">
        <v>0.3225873629114851</v>
      </c>
      <c r="M418">
        <v>0.28769885446122695</v>
      </c>
      <c r="N418">
        <v>0.34003161713661423</v>
      </c>
      <c r="O418">
        <v>0.27025460023609782</v>
      </c>
    </row>
    <row r="419" spans="1:15">
      <c r="A419" s="19">
        <v>43242</v>
      </c>
      <c r="B419">
        <v>1195</v>
      </c>
      <c r="C419">
        <v>1192</v>
      </c>
      <c r="D419">
        <v>3687</v>
      </c>
      <c r="E419">
        <v>3693</v>
      </c>
      <c r="F419">
        <v>0.32277281343081499</v>
      </c>
      <c r="G419">
        <v>0.30505145461143401</v>
      </c>
      <c r="H419">
        <v>1.7366011556046501E-2</v>
      </c>
      <c r="I419">
        <v>1.02046222658481</v>
      </c>
      <c r="J419">
        <v>5.49</v>
      </c>
      <c r="L419">
        <v>0.32241746616748052</v>
      </c>
      <c r="M419">
        <v>0.28768544305538751</v>
      </c>
      <c r="N419">
        <v>0.33978347772352702</v>
      </c>
      <c r="O419">
        <v>0.27031943149934101</v>
      </c>
    </row>
    <row r="420" spans="1:15">
      <c r="A420" s="19">
        <v>43241</v>
      </c>
      <c r="B420">
        <v>1179</v>
      </c>
      <c r="C420">
        <v>1190</v>
      </c>
      <c r="D420">
        <v>3690</v>
      </c>
      <c r="E420">
        <v>3689</v>
      </c>
      <c r="F420">
        <v>0.32258064516128998</v>
      </c>
      <c r="G420">
        <v>0.30487520563405501</v>
      </c>
      <c r="H420">
        <v>1.7251965933637401E-2</v>
      </c>
      <c r="I420">
        <v>1.0262853286020901</v>
      </c>
      <c r="J420">
        <v>5.49</v>
      </c>
      <c r="L420">
        <v>0.32212717156769244</v>
      </c>
      <c r="M420">
        <v>0.28762323970041759</v>
      </c>
      <c r="N420">
        <v>0.33937913750132981</v>
      </c>
      <c r="O420">
        <v>0.27037127376678022</v>
      </c>
    </row>
    <row r="421" spans="1:15">
      <c r="A421" s="19">
        <v>43238</v>
      </c>
      <c r="B421">
        <v>1176</v>
      </c>
      <c r="C421">
        <v>1178</v>
      </c>
      <c r="D421">
        <v>3675</v>
      </c>
      <c r="E421">
        <v>3705</v>
      </c>
      <c r="F421">
        <v>0.31794871794871699</v>
      </c>
      <c r="G421">
        <v>0.30473256293005502</v>
      </c>
      <c r="H421">
        <v>1.7148903716283598E-2</v>
      </c>
      <c r="I421">
        <v>0.77067054765218301</v>
      </c>
      <c r="J421">
        <v>4.16</v>
      </c>
      <c r="L421">
        <v>0.3218814666463386</v>
      </c>
      <c r="M421">
        <v>0.28758365921377144</v>
      </c>
      <c r="N421">
        <v>0.33903037036262224</v>
      </c>
      <c r="O421">
        <v>0.2704347554974878</v>
      </c>
    </row>
    <row r="422" spans="1:15">
      <c r="A422" s="19">
        <v>43237</v>
      </c>
      <c r="B422">
        <v>1181</v>
      </c>
      <c r="C422">
        <v>1177</v>
      </c>
      <c r="D422">
        <v>3653</v>
      </c>
      <c r="E422">
        <v>3659</v>
      </c>
      <c r="F422">
        <v>0.32167258813883498</v>
      </c>
      <c r="G422">
        <v>0.30464953112162202</v>
      </c>
      <c r="H422">
        <v>1.70997179209652E-2</v>
      </c>
      <c r="I422">
        <v>0.99551683225965404</v>
      </c>
      <c r="J422">
        <v>5.29</v>
      </c>
      <c r="L422">
        <v>0.32174924904258723</v>
      </c>
      <c r="M422">
        <v>0.28754981320065681</v>
      </c>
      <c r="N422">
        <v>0.33884896696355243</v>
      </c>
      <c r="O422">
        <v>0.2704500952796916</v>
      </c>
    </row>
    <row r="423" spans="1:15">
      <c r="A423" s="19">
        <v>43236</v>
      </c>
      <c r="B423">
        <v>1160</v>
      </c>
      <c r="C423">
        <v>1177</v>
      </c>
      <c r="D423">
        <v>3620</v>
      </c>
      <c r="E423">
        <v>3640</v>
      </c>
      <c r="F423">
        <v>0.32335164835164798</v>
      </c>
      <c r="G423">
        <v>0.304507358476795</v>
      </c>
      <c r="H423">
        <v>1.7001637962489401E-2</v>
      </c>
      <c r="I423">
        <v>1.1083808463884</v>
      </c>
      <c r="J423">
        <v>5.83</v>
      </c>
      <c r="L423">
        <v>0.32150899643928438</v>
      </c>
      <c r="M423">
        <v>0.28750572051430562</v>
      </c>
      <c r="N423">
        <v>0.33851063440177381</v>
      </c>
      <c r="O423">
        <v>0.27050408255181618</v>
      </c>
    </row>
    <row r="424" spans="1:15">
      <c r="A424" s="19">
        <v>43235</v>
      </c>
      <c r="B424">
        <v>1168</v>
      </c>
      <c r="C424">
        <v>1160</v>
      </c>
      <c r="D424">
        <v>3631</v>
      </c>
      <c r="E424">
        <v>3645</v>
      </c>
      <c r="F424">
        <v>0.31824417009602102</v>
      </c>
      <c r="G424">
        <v>0.30433554581274402</v>
      </c>
      <c r="H424">
        <v>1.6874974604115901E-2</v>
      </c>
      <c r="I424">
        <v>0.82421601273908296</v>
      </c>
      <c r="J424">
        <v>4.37</v>
      </c>
      <c r="L424">
        <v>0.32121052041685993</v>
      </c>
      <c r="M424">
        <v>0.28746057120862811</v>
      </c>
      <c r="N424">
        <v>0.33808549502097585</v>
      </c>
      <c r="O424">
        <v>0.2705855966045122</v>
      </c>
    </row>
    <row r="425" spans="1:15">
      <c r="A425" s="19">
        <v>43234</v>
      </c>
      <c r="B425">
        <v>1101</v>
      </c>
      <c r="C425">
        <v>1155</v>
      </c>
      <c r="D425">
        <v>3600</v>
      </c>
      <c r="E425">
        <v>3664</v>
      </c>
      <c r="F425">
        <v>0.315229257641921</v>
      </c>
      <c r="G425">
        <v>0.30417257978040102</v>
      </c>
      <c r="H425">
        <v>1.6798713876651099E-2</v>
      </c>
      <c r="I425">
        <v>0.65818597439701898</v>
      </c>
      <c r="J425">
        <v>3.51</v>
      </c>
      <c r="L425">
        <v>0.32097129365705213</v>
      </c>
      <c r="M425">
        <v>0.28737386590374991</v>
      </c>
      <c r="N425">
        <v>0.33777000753370323</v>
      </c>
      <c r="O425">
        <v>0.27057515202709881</v>
      </c>
    </row>
    <row r="426" spans="1:15">
      <c r="A426" s="19">
        <v>43231</v>
      </c>
      <c r="B426">
        <v>1214</v>
      </c>
      <c r="C426">
        <v>1207</v>
      </c>
      <c r="D426">
        <v>3566</v>
      </c>
      <c r="E426">
        <v>3623</v>
      </c>
      <c r="F426">
        <v>0.33314932376483503</v>
      </c>
      <c r="G426">
        <v>0.304103526361925</v>
      </c>
      <c r="H426">
        <v>1.67637300390929E-2</v>
      </c>
      <c r="I426">
        <v>1.7326571911606301</v>
      </c>
      <c r="J426">
        <v>8.7200000000000006</v>
      </c>
      <c r="L426">
        <v>0.32086725640101788</v>
      </c>
      <c r="M426">
        <v>0.28733979632283213</v>
      </c>
      <c r="N426">
        <v>0.3376309864401108</v>
      </c>
      <c r="O426">
        <v>0.2705760662837392</v>
      </c>
    </row>
    <row r="427" spans="1:15">
      <c r="A427" s="19">
        <v>43230</v>
      </c>
      <c r="B427">
        <v>1210</v>
      </c>
      <c r="C427">
        <v>1207</v>
      </c>
      <c r="D427">
        <v>3571</v>
      </c>
      <c r="E427">
        <v>3550</v>
      </c>
      <c r="F427">
        <v>0.34</v>
      </c>
      <c r="G427">
        <v>0.303748470177295</v>
      </c>
      <c r="H427">
        <v>1.6423326915908799E-2</v>
      </c>
      <c r="I427">
        <v>2.2073195040396199</v>
      </c>
      <c r="J427">
        <v>10.66</v>
      </c>
      <c r="L427">
        <v>0.32017179709320381</v>
      </c>
      <c r="M427">
        <v>0.2873251432613862</v>
      </c>
      <c r="N427">
        <v>0.33659512400911262</v>
      </c>
      <c r="O427">
        <v>0.27090181634547739</v>
      </c>
    </row>
    <row r="428" spans="1:15">
      <c r="A428" s="19">
        <v>43229</v>
      </c>
      <c r="B428">
        <v>1222</v>
      </c>
      <c r="C428">
        <v>1204</v>
      </c>
      <c r="D428">
        <v>3600</v>
      </c>
      <c r="E428">
        <v>3547</v>
      </c>
      <c r="F428">
        <v>0.33944178178742601</v>
      </c>
      <c r="G428">
        <v>0.30332879035163102</v>
      </c>
      <c r="H428">
        <v>1.58849394428765E-2</v>
      </c>
      <c r="I428">
        <v>2.2734107086564501</v>
      </c>
      <c r="J428">
        <v>10.64</v>
      </c>
      <c r="L428">
        <v>0.31921372979450752</v>
      </c>
      <c r="M428">
        <v>0.28744385090875452</v>
      </c>
      <c r="N428">
        <v>0.33509866923738402</v>
      </c>
      <c r="O428">
        <v>0.27155891146587802</v>
      </c>
    </row>
    <row r="429" spans="1:15">
      <c r="A429" s="19">
        <v>43228</v>
      </c>
      <c r="B429">
        <v>1222</v>
      </c>
      <c r="C429">
        <v>1223</v>
      </c>
      <c r="D429">
        <v>3629</v>
      </c>
      <c r="E429">
        <v>3630</v>
      </c>
      <c r="F429">
        <v>0.33691460055096401</v>
      </c>
      <c r="G429">
        <v>0.30295318606862998</v>
      </c>
      <c r="H429">
        <v>1.5350658856269499E-2</v>
      </c>
      <c r="I429">
        <v>2.2123750387732399</v>
      </c>
      <c r="J429">
        <v>10.08</v>
      </c>
      <c r="L429">
        <v>0.31830384492489949</v>
      </c>
      <c r="M429">
        <v>0.28760252721236046</v>
      </c>
      <c r="N429">
        <v>0.33365450378116895</v>
      </c>
      <c r="O429">
        <v>0.272251868356091</v>
      </c>
    </row>
    <row r="430" spans="1:15">
      <c r="A430" s="19">
        <v>43227</v>
      </c>
      <c r="B430">
        <v>1221</v>
      </c>
      <c r="C430">
        <v>1222</v>
      </c>
      <c r="D430">
        <v>3670</v>
      </c>
      <c r="E430">
        <v>3619</v>
      </c>
      <c r="F430">
        <v>0.337662337662337</v>
      </c>
      <c r="G430">
        <v>0.30265920314359301</v>
      </c>
      <c r="H430">
        <v>1.4902016522657E-2</v>
      </c>
      <c r="I430">
        <v>2.34888576760906</v>
      </c>
      <c r="J430">
        <v>10.37</v>
      </c>
      <c r="L430">
        <v>0.31756121966625001</v>
      </c>
      <c r="M430">
        <v>0.28775718662093602</v>
      </c>
      <c r="N430">
        <v>0.332463236188907</v>
      </c>
      <c r="O430">
        <v>0.27285517009827903</v>
      </c>
    </row>
    <row r="431" spans="1:15">
      <c r="A431" s="19">
        <v>43222</v>
      </c>
      <c r="B431">
        <v>1226</v>
      </c>
      <c r="C431">
        <v>1211</v>
      </c>
      <c r="D431">
        <v>3740</v>
      </c>
      <c r="E431">
        <v>3641</v>
      </c>
      <c r="F431">
        <v>0.33260093380939298</v>
      </c>
      <c r="G431">
        <v>0.30235698840279501</v>
      </c>
      <c r="H431">
        <v>1.4410824662636599E-2</v>
      </c>
      <c r="I431">
        <v>2.09869636989005</v>
      </c>
      <c r="J431">
        <v>9.09</v>
      </c>
      <c r="L431">
        <v>0.31676781306543161</v>
      </c>
      <c r="M431">
        <v>0.28794616374015841</v>
      </c>
      <c r="N431">
        <v>0.33117863772806821</v>
      </c>
      <c r="O431">
        <v>0.27353533907752181</v>
      </c>
    </row>
    <row r="432" spans="1:15">
      <c r="A432" s="19">
        <v>43221</v>
      </c>
      <c r="B432">
        <v>1209</v>
      </c>
      <c r="C432">
        <v>1221</v>
      </c>
      <c r="D432">
        <v>3800</v>
      </c>
      <c r="E432">
        <v>3730</v>
      </c>
      <c r="F432">
        <v>0.32734584450402099</v>
      </c>
      <c r="G432">
        <v>0.30215282003802502</v>
      </c>
      <c r="H432">
        <v>1.4085695689894699E-2</v>
      </c>
      <c r="I432">
        <v>1.7885537939081</v>
      </c>
      <c r="J432">
        <v>7.7</v>
      </c>
      <c r="L432">
        <v>0.31623851572791972</v>
      </c>
      <c r="M432">
        <v>0.28806712434813031</v>
      </c>
      <c r="N432">
        <v>0.33032421141781443</v>
      </c>
      <c r="O432">
        <v>0.2739814286582356</v>
      </c>
    </row>
    <row r="433" spans="1:15">
      <c r="A433" s="19">
        <v>43217</v>
      </c>
      <c r="B433">
        <v>1202</v>
      </c>
      <c r="C433">
        <v>1208</v>
      </c>
      <c r="D433">
        <v>3827</v>
      </c>
      <c r="E433">
        <v>3767</v>
      </c>
      <c r="F433">
        <v>0.32067958587735601</v>
      </c>
      <c r="G433">
        <v>0.30197433230835702</v>
      </c>
      <c r="H433">
        <v>1.3848141172771999E-2</v>
      </c>
      <c r="I433">
        <v>1.3507411092671899</v>
      </c>
      <c r="J433">
        <v>5.83</v>
      </c>
      <c r="L433">
        <v>0.31582247348112902</v>
      </c>
      <c r="M433">
        <v>0.28812619113558502</v>
      </c>
      <c r="N433">
        <v>0.32967061465390102</v>
      </c>
      <c r="O433">
        <v>0.27427804996281302</v>
      </c>
    </row>
    <row r="434" spans="1:15">
      <c r="A434" s="19">
        <v>43216</v>
      </c>
      <c r="B434">
        <v>1201</v>
      </c>
      <c r="C434">
        <v>1190</v>
      </c>
      <c r="D434">
        <v>3794</v>
      </c>
      <c r="E434">
        <v>3797</v>
      </c>
      <c r="F434">
        <v>0.31340531998946503</v>
      </c>
      <c r="G434">
        <v>0.301800668530463</v>
      </c>
      <c r="H434">
        <v>1.3693280757809401E-2</v>
      </c>
      <c r="I434">
        <v>0.84747049770255201</v>
      </c>
      <c r="J434">
        <v>3.7</v>
      </c>
      <c r="L434">
        <v>0.3154939492882724</v>
      </c>
      <c r="M434">
        <v>0.2881073877726536</v>
      </c>
      <c r="N434">
        <v>0.3291872300460818</v>
      </c>
      <c r="O434">
        <v>0.2744141070148442</v>
      </c>
    </row>
    <row r="435" spans="1:15">
      <c r="A435" s="19">
        <v>43215</v>
      </c>
      <c r="B435">
        <v>1197</v>
      </c>
      <c r="C435">
        <v>1194</v>
      </c>
      <c r="D435">
        <v>3721</v>
      </c>
      <c r="E435">
        <v>3785</v>
      </c>
      <c r="F435">
        <v>0.315455746367239</v>
      </c>
      <c r="G435">
        <v>0.30182475719826801</v>
      </c>
      <c r="H435">
        <v>1.3715245481944201E-2</v>
      </c>
      <c r="I435">
        <v>0.99385674043643402</v>
      </c>
      <c r="J435">
        <v>4.32</v>
      </c>
      <c r="L435">
        <v>0.31554000268021221</v>
      </c>
      <c r="M435">
        <v>0.28810951171632382</v>
      </c>
      <c r="N435">
        <v>0.3292552481621564</v>
      </c>
      <c r="O435">
        <v>0.27439426623437962</v>
      </c>
    </row>
    <row r="436" spans="1:15">
      <c r="A436" s="19">
        <v>43214</v>
      </c>
      <c r="B436">
        <v>1195</v>
      </c>
      <c r="C436">
        <v>1200</v>
      </c>
      <c r="D436">
        <v>3725</v>
      </c>
      <c r="E436">
        <v>3740</v>
      </c>
      <c r="F436">
        <v>0.32085561497326198</v>
      </c>
      <c r="G436">
        <v>0.30182990498524398</v>
      </c>
      <c r="H436">
        <v>1.37204321530197E-2</v>
      </c>
      <c r="I436">
        <v>1.38666987860363</v>
      </c>
      <c r="J436">
        <v>5.93</v>
      </c>
      <c r="L436">
        <v>0.31555033713826369</v>
      </c>
      <c r="M436">
        <v>0.28810947283222427</v>
      </c>
      <c r="N436">
        <v>0.3292707692912834</v>
      </c>
      <c r="O436">
        <v>0.27438904067920455</v>
      </c>
    </row>
    <row r="437" spans="1:15">
      <c r="A437" s="19">
        <v>43213</v>
      </c>
      <c r="B437">
        <v>1194</v>
      </c>
      <c r="C437">
        <v>1181</v>
      </c>
      <c r="D437">
        <v>3682</v>
      </c>
      <c r="E437">
        <v>3675</v>
      </c>
      <c r="F437">
        <v>0.32136054421768701</v>
      </c>
      <c r="G437">
        <v>0.30176323670866501</v>
      </c>
      <c r="H437">
        <v>1.36397338921244E-2</v>
      </c>
      <c r="I437">
        <v>1.4367807806233801</v>
      </c>
      <c r="J437">
        <v>6.1</v>
      </c>
      <c r="L437">
        <v>0.31540297060078942</v>
      </c>
      <c r="M437">
        <v>0.28812350281654059</v>
      </c>
      <c r="N437">
        <v>0.32904270449291378</v>
      </c>
      <c r="O437">
        <v>0.27448376892441623</v>
      </c>
    </row>
    <row r="438" spans="1:15">
      <c r="A438" s="19">
        <v>43210</v>
      </c>
      <c r="B438">
        <v>1200</v>
      </c>
      <c r="C438">
        <v>1189</v>
      </c>
      <c r="D438">
        <v>3698</v>
      </c>
      <c r="E438">
        <v>3682</v>
      </c>
      <c r="F438">
        <v>0.322922324823465</v>
      </c>
      <c r="G438">
        <v>0.30175945828032502</v>
      </c>
      <c r="H438">
        <v>1.3634342780872799E-2</v>
      </c>
      <c r="I438">
        <v>1.55217357251931</v>
      </c>
      <c r="J438">
        <v>6.55</v>
      </c>
      <c r="L438">
        <v>0.3153938010611978</v>
      </c>
      <c r="M438">
        <v>0.28812511549945224</v>
      </c>
      <c r="N438">
        <v>0.32902814384207063</v>
      </c>
      <c r="O438">
        <v>0.27449077271857941</v>
      </c>
    </row>
    <row r="439" spans="1:15">
      <c r="A439" s="19">
        <v>43209</v>
      </c>
      <c r="B439">
        <v>1192</v>
      </c>
      <c r="C439">
        <v>1202</v>
      </c>
      <c r="D439">
        <v>3730</v>
      </c>
      <c r="E439">
        <v>3691</v>
      </c>
      <c r="F439">
        <v>0.32565700352207999</v>
      </c>
      <c r="G439">
        <v>0.30172697782587599</v>
      </c>
      <c r="H439">
        <v>1.35867071998691E-2</v>
      </c>
      <c r="I439">
        <v>1.7612822109271</v>
      </c>
      <c r="J439">
        <v>7.35</v>
      </c>
      <c r="L439">
        <v>0.31531368502574508</v>
      </c>
      <c r="M439">
        <v>0.28814027062600689</v>
      </c>
      <c r="N439">
        <v>0.32890039222561418</v>
      </c>
      <c r="O439">
        <v>0.27455356342613779</v>
      </c>
    </row>
    <row r="440" spans="1:15">
      <c r="A440" s="19">
        <v>43208</v>
      </c>
      <c r="B440">
        <v>1155</v>
      </c>
      <c r="C440">
        <v>1181</v>
      </c>
      <c r="D440">
        <v>3735</v>
      </c>
      <c r="E440">
        <v>3717</v>
      </c>
      <c r="F440">
        <v>0.31772935162765598</v>
      </c>
      <c r="G440">
        <v>0.30163991225901698</v>
      </c>
      <c r="H440">
        <v>1.34533490472677E-2</v>
      </c>
      <c r="I440">
        <v>1.19594305567405</v>
      </c>
      <c r="J440">
        <v>5.0599999999999996</v>
      </c>
      <c r="L440">
        <v>0.31509326130628468</v>
      </c>
      <c r="M440">
        <v>0.28818656321174929</v>
      </c>
      <c r="N440">
        <v>0.32854661035355237</v>
      </c>
      <c r="O440">
        <v>0.2747332141644816</v>
      </c>
    </row>
    <row r="441" spans="1:15">
      <c r="A441" s="19">
        <v>43207</v>
      </c>
      <c r="B441">
        <v>1165</v>
      </c>
      <c r="C441">
        <v>1155</v>
      </c>
      <c r="D441">
        <v>3775</v>
      </c>
      <c r="E441">
        <v>3757</v>
      </c>
      <c r="F441">
        <v>0.30742613787596401</v>
      </c>
      <c r="G441">
        <v>0.301642225081305</v>
      </c>
      <c r="H441">
        <v>1.34561294751659E-2</v>
      </c>
      <c r="I441">
        <v>0.42983480541965002</v>
      </c>
      <c r="J441">
        <v>1.88</v>
      </c>
      <c r="L441">
        <v>0.31509835455647089</v>
      </c>
      <c r="M441">
        <v>0.28818609560613911</v>
      </c>
      <c r="N441">
        <v>0.32855448403163678</v>
      </c>
      <c r="O441">
        <v>0.27472996613097322</v>
      </c>
    </row>
    <row r="442" spans="1:15">
      <c r="A442" s="19">
        <v>43206</v>
      </c>
      <c r="B442">
        <v>1161</v>
      </c>
      <c r="C442">
        <v>1163</v>
      </c>
      <c r="D442">
        <v>3773</v>
      </c>
      <c r="E442">
        <v>3782</v>
      </c>
      <c r="F442">
        <v>0.30750925436277099</v>
      </c>
      <c r="G442">
        <v>0.30177159711586898</v>
      </c>
      <c r="H442">
        <v>1.3557378828912101E-2</v>
      </c>
      <c r="I442">
        <v>0.423212873174652</v>
      </c>
      <c r="J442">
        <v>1.87</v>
      </c>
      <c r="L442">
        <v>0.3153289759447811</v>
      </c>
      <c r="M442">
        <v>0.28821421828695687</v>
      </c>
      <c r="N442">
        <v>0.32888635477369321</v>
      </c>
      <c r="O442">
        <v>0.27465683945804475</v>
      </c>
    </row>
    <row r="443" spans="1:15">
      <c r="A443" s="19">
        <v>43203</v>
      </c>
      <c r="B443">
        <v>1154</v>
      </c>
      <c r="C443">
        <v>1166</v>
      </c>
      <c r="D443">
        <v>3761</v>
      </c>
      <c r="E443">
        <v>3773</v>
      </c>
      <c r="F443">
        <v>0.30903790087463501</v>
      </c>
      <c r="G443">
        <v>0.30194265436897599</v>
      </c>
      <c r="H443">
        <v>1.3708783304533199E-2</v>
      </c>
      <c r="I443">
        <v>0.51756938220134996</v>
      </c>
      <c r="J443">
        <v>2.2999999999999998</v>
      </c>
      <c r="L443">
        <v>0.31565143767350917</v>
      </c>
      <c r="M443">
        <v>0.28823387106444281</v>
      </c>
      <c r="N443">
        <v>0.32936022097804241</v>
      </c>
      <c r="O443">
        <v>0.27452508775990958</v>
      </c>
    </row>
    <row r="444" spans="1:15">
      <c r="A444" s="19">
        <v>43202</v>
      </c>
      <c r="B444">
        <v>1143</v>
      </c>
      <c r="C444">
        <v>1141</v>
      </c>
      <c r="D444">
        <v>3764</v>
      </c>
      <c r="E444">
        <v>3735</v>
      </c>
      <c r="F444">
        <v>0.30548862115127101</v>
      </c>
      <c r="G444">
        <v>0.302054301052743</v>
      </c>
      <c r="H444">
        <v>1.37999083273803E-2</v>
      </c>
      <c r="I444">
        <v>0.248865428454662</v>
      </c>
      <c r="J444">
        <v>1.1200000000000001</v>
      </c>
      <c r="L444">
        <v>0.31585420938012332</v>
      </c>
      <c r="M444">
        <v>0.28825439272536268</v>
      </c>
      <c r="N444">
        <v>0.32965411770750358</v>
      </c>
      <c r="O444">
        <v>0.27445448439798242</v>
      </c>
    </row>
    <row r="445" spans="1:15">
      <c r="A445" s="19">
        <v>43201</v>
      </c>
      <c r="B445">
        <v>1140</v>
      </c>
      <c r="C445">
        <v>1143</v>
      </c>
      <c r="D445">
        <v>3768</v>
      </c>
      <c r="E445">
        <v>3782</v>
      </c>
      <c r="F445">
        <v>0.30222104706504399</v>
      </c>
      <c r="G445">
        <v>0.30219705774073402</v>
      </c>
      <c r="H445">
        <v>1.3889783839036E-2</v>
      </c>
      <c r="I445">
        <v>1.7271200609164099E-3</v>
      </c>
      <c r="J445">
        <v>0.01</v>
      </c>
      <c r="L445">
        <v>0.31608684157977002</v>
      </c>
      <c r="M445">
        <v>0.28830727390169802</v>
      </c>
      <c r="N445">
        <v>0.32997662541880601</v>
      </c>
      <c r="O445">
        <v>0.27441749006266203</v>
      </c>
    </row>
    <row r="446" spans="1:15">
      <c r="A446" s="19">
        <v>43200</v>
      </c>
      <c r="B446">
        <v>1128</v>
      </c>
      <c r="C446">
        <v>1148</v>
      </c>
      <c r="D446">
        <v>3700</v>
      </c>
      <c r="E446">
        <v>3784</v>
      </c>
      <c r="F446">
        <v>0.30338266384778001</v>
      </c>
      <c r="G446">
        <v>0.30236732378329501</v>
      </c>
      <c r="H446">
        <v>1.39670885691412E-2</v>
      </c>
      <c r="I446">
        <v>7.2695183356072599E-2</v>
      </c>
      <c r="J446">
        <v>0.33</v>
      </c>
      <c r="L446">
        <v>0.3163344123524362</v>
      </c>
      <c r="M446">
        <v>0.28840023521415381</v>
      </c>
      <c r="N446">
        <v>0.3303015009215774</v>
      </c>
      <c r="O446">
        <v>0.27443314664501262</v>
      </c>
    </row>
    <row r="447" spans="1:15">
      <c r="A447" s="19">
        <v>43199</v>
      </c>
      <c r="B447">
        <v>1130</v>
      </c>
      <c r="C447">
        <v>1131</v>
      </c>
      <c r="D447">
        <v>3670</v>
      </c>
      <c r="E447">
        <v>3688</v>
      </c>
      <c r="F447">
        <v>0.30667028199566099</v>
      </c>
      <c r="G447">
        <v>0.30258331820440199</v>
      </c>
      <c r="H447">
        <v>1.4105691912607399E-2</v>
      </c>
      <c r="I447">
        <v>0.28973862583839599</v>
      </c>
      <c r="J447">
        <v>1.33</v>
      </c>
      <c r="L447">
        <v>0.3166890101170094</v>
      </c>
      <c r="M447">
        <v>0.28847762629179458</v>
      </c>
      <c r="N447">
        <v>0.33079470202961681</v>
      </c>
      <c r="O447">
        <v>0.27437193437918717</v>
      </c>
    </row>
    <row r="448" spans="1:15">
      <c r="A448" s="19">
        <v>43196</v>
      </c>
      <c r="B448">
        <v>1144</v>
      </c>
      <c r="C448">
        <v>1136</v>
      </c>
      <c r="D448">
        <v>3721</v>
      </c>
      <c r="E448">
        <v>3681</v>
      </c>
      <c r="F448">
        <v>0.30861179027438101</v>
      </c>
      <c r="G448">
        <v>0.30272494694930802</v>
      </c>
      <c r="H448">
        <v>1.41990334650016E-2</v>
      </c>
      <c r="I448">
        <v>0.414594651078452</v>
      </c>
      <c r="J448">
        <v>1.91</v>
      </c>
      <c r="L448">
        <v>0.31692398041430964</v>
      </c>
      <c r="M448">
        <v>0.2885259134843064</v>
      </c>
      <c r="N448">
        <v>0.3311230138793112</v>
      </c>
      <c r="O448">
        <v>0.27432688001930483</v>
      </c>
    </row>
    <row r="449" spans="1:15">
      <c r="A449" s="19">
        <v>43195</v>
      </c>
      <c r="B449">
        <v>1139</v>
      </c>
      <c r="C449">
        <v>1134</v>
      </c>
      <c r="D449">
        <v>3704</v>
      </c>
      <c r="E449">
        <v>3701</v>
      </c>
      <c r="F449">
        <v>0.306403674682518</v>
      </c>
      <c r="G449">
        <v>0.30287776680226602</v>
      </c>
      <c r="H449">
        <v>1.4322709015923E-2</v>
      </c>
      <c r="I449">
        <v>0.24617604646799399</v>
      </c>
      <c r="J449">
        <v>1.1499999999999999</v>
      </c>
      <c r="L449">
        <v>0.317200475818189</v>
      </c>
      <c r="M449">
        <v>0.28855505778634305</v>
      </c>
      <c r="N449">
        <v>0.33152318483411203</v>
      </c>
      <c r="O449">
        <v>0.27423234877042002</v>
      </c>
    </row>
    <row r="450" spans="1:15">
      <c r="A450" s="19">
        <v>43194</v>
      </c>
      <c r="B450">
        <v>1117</v>
      </c>
      <c r="C450">
        <v>1129</v>
      </c>
      <c r="D450">
        <v>3637</v>
      </c>
      <c r="E450">
        <v>3662</v>
      </c>
      <c r="F450">
        <v>0.308301474604041</v>
      </c>
      <c r="G450">
        <v>0.30308728970703802</v>
      </c>
      <c r="H450">
        <v>1.44867559930112E-2</v>
      </c>
      <c r="I450">
        <v>0.35992770911016703</v>
      </c>
      <c r="J450">
        <v>1.69</v>
      </c>
      <c r="L450">
        <v>0.31757404570004921</v>
      </c>
      <c r="M450">
        <v>0.28860053371402683</v>
      </c>
      <c r="N450">
        <v>0.3320608016930604</v>
      </c>
      <c r="O450">
        <v>0.27411377772101564</v>
      </c>
    </row>
    <row r="451" spans="1:15">
      <c r="A451" s="19">
        <v>43193</v>
      </c>
      <c r="B451">
        <v>1112</v>
      </c>
      <c r="C451">
        <v>1122</v>
      </c>
      <c r="D451">
        <v>3597</v>
      </c>
      <c r="E451">
        <v>3615</v>
      </c>
      <c r="F451">
        <v>0.310373443983402</v>
      </c>
      <c r="G451">
        <v>0.303348647519815</v>
      </c>
      <c r="H451">
        <v>1.4752844477841399E-2</v>
      </c>
      <c r="I451">
        <v>0.476165560759367</v>
      </c>
      <c r="J451">
        <v>2.2599999999999998</v>
      </c>
      <c r="L451">
        <v>0.31810149199765642</v>
      </c>
      <c r="M451">
        <v>0.28859580304197358</v>
      </c>
      <c r="N451">
        <v>0.33285433647549778</v>
      </c>
      <c r="O451">
        <v>0.27384295856413221</v>
      </c>
    </row>
    <row r="452" spans="1:15">
      <c r="A452" s="19">
        <v>43192</v>
      </c>
      <c r="B452">
        <v>1122</v>
      </c>
      <c r="C452">
        <v>1126</v>
      </c>
      <c r="D452">
        <v>3660</v>
      </c>
      <c r="E452">
        <v>3642</v>
      </c>
      <c r="F452">
        <v>0.309170785282811</v>
      </c>
      <c r="G452">
        <v>0.30358440021004801</v>
      </c>
      <c r="H452">
        <v>1.5002383810817499E-2</v>
      </c>
      <c r="I452">
        <v>0.37236649476568201</v>
      </c>
      <c r="J452">
        <v>1.81</v>
      </c>
      <c r="L452">
        <v>0.31858678402086549</v>
      </c>
      <c r="M452">
        <v>0.28858201639923053</v>
      </c>
      <c r="N452">
        <v>0.33358916783168302</v>
      </c>
      <c r="O452">
        <v>0.273579632588413</v>
      </c>
    </row>
    <row r="453" spans="1:15">
      <c r="A453" s="19">
        <v>43189</v>
      </c>
      <c r="B453">
        <v>1137</v>
      </c>
      <c r="C453">
        <v>1125</v>
      </c>
      <c r="D453">
        <v>3684</v>
      </c>
      <c r="E453">
        <v>3660</v>
      </c>
      <c r="F453">
        <v>0.30737704918032699</v>
      </c>
      <c r="G453">
        <v>0.30384766949930597</v>
      </c>
      <c r="H453">
        <v>1.52689868833423E-2</v>
      </c>
      <c r="I453">
        <v>0.23114694563471899</v>
      </c>
      <c r="J453">
        <v>1.1499999999999999</v>
      </c>
      <c r="L453">
        <v>0.3191166563826483</v>
      </c>
      <c r="M453">
        <v>0.28857868261596364</v>
      </c>
      <c r="N453">
        <v>0.33438564326599057</v>
      </c>
      <c r="O453">
        <v>0.27330969573262137</v>
      </c>
    </row>
    <row r="454" spans="1:15">
      <c r="A454" s="19">
        <v>43188</v>
      </c>
      <c r="B454">
        <v>1122</v>
      </c>
      <c r="C454">
        <v>1126</v>
      </c>
      <c r="D454">
        <v>3695</v>
      </c>
      <c r="E454">
        <v>3641</v>
      </c>
      <c r="F454">
        <v>0.30925569898379501</v>
      </c>
      <c r="G454">
        <v>0.30411565602141699</v>
      </c>
      <c r="H454">
        <v>1.55031627173938E-2</v>
      </c>
      <c r="I454">
        <v>0.33154802385006399</v>
      </c>
      <c r="J454">
        <v>1.66</v>
      </c>
      <c r="L454">
        <v>0.31961881873881082</v>
      </c>
      <c r="M454">
        <v>0.28861249330402317</v>
      </c>
      <c r="N454">
        <v>0.33512198145620459</v>
      </c>
      <c r="O454">
        <v>0.2731093305866294</v>
      </c>
    </row>
    <row r="455" spans="1:15">
      <c r="A455" s="19">
        <v>43187</v>
      </c>
      <c r="B455">
        <v>1102</v>
      </c>
      <c r="C455">
        <v>1111</v>
      </c>
      <c r="D455">
        <v>3571</v>
      </c>
      <c r="E455">
        <v>3654</v>
      </c>
      <c r="F455">
        <v>0.30405035577449302</v>
      </c>
      <c r="G455">
        <v>0.30437938968668099</v>
      </c>
      <c r="H455">
        <v>1.5754566385669799E-2</v>
      </c>
      <c r="I455">
        <v>-2.0884986875126601E-2</v>
      </c>
      <c r="J455">
        <v>-0.11</v>
      </c>
      <c r="L455">
        <v>0.32013395607235079</v>
      </c>
      <c r="M455">
        <v>0.28862482330101119</v>
      </c>
      <c r="N455">
        <v>0.33588852245802059</v>
      </c>
      <c r="O455">
        <v>0.27287025691534139</v>
      </c>
    </row>
    <row r="456" spans="1:15">
      <c r="A456" s="19">
        <v>43186</v>
      </c>
      <c r="B456">
        <v>1101</v>
      </c>
      <c r="C456">
        <v>1122</v>
      </c>
      <c r="D456">
        <v>3535</v>
      </c>
      <c r="E456">
        <v>3616</v>
      </c>
      <c r="F456">
        <v>0.31028761061946902</v>
      </c>
      <c r="G456">
        <v>0.30470375853827802</v>
      </c>
      <c r="H456">
        <v>1.5993086835742701E-2</v>
      </c>
      <c r="I456">
        <v>0.34914160965541802</v>
      </c>
      <c r="J456">
        <v>1.8</v>
      </c>
      <c r="L456">
        <v>0.32069684537402071</v>
      </c>
      <c r="M456">
        <v>0.28871067170253534</v>
      </c>
      <c r="N456">
        <v>0.3366899322097634</v>
      </c>
      <c r="O456">
        <v>0.27271758486679265</v>
      </c>
    </row>
    <row r="457" spans="1:15">
      <c r="A457" s="19">
        <v>43185</v>
      </c>
      <c r="B457">
        <v>1076</v>
      </c>
      <c r="C457">
        <v>1092</v>
      </c>
      <c r="D457">
        <v>3434</v>
      </c>
      <c r="E457">
        <v>3487</v>
      </c>
      <c r="F457">
        <v>0.31316317751648898</v>
      </c>
      <c r="G457">
        <v>0.30495704898307802</v>
      </c>
      <c r="H457">
        <v>1.62282176146318E-2</v>
      </c>
      <c r="I457">
        <v>0.50567035322553799</v>
      </c>
      <c r="J457">
        <v>2.62</v>
      </c>
      <c r="L457">
        <v>0.3211852665977098</v>
      </c>
      <c r="M457">
        <v>0.28872883136844624</v>
      </c>
      <c r="N457">
        <v>0.33741348421234163</v>
      </c>
      <c r="O457">
        <v>0.2725006137538144</v>
      </c>
    </row>
    <row r="458" spans="1:15">
      <c r="A458" s="19">
        <v>43182</v>
      </c>
      <c r="B458">
        <v>1083</v>
      </c>
      <c r="C458">
        <v>1082</v>
      </c>
      <c r="D458">
        <v>3542</v>
      </c>
      <c r="E458">
        <v>3471</v>
      </c>
      <c r="F458">
        <v>0.31172572745606397</v>
      </c>
      <c r="G458">
        <v>0.305185954960562</v>
      </c>
      <c r="H458">
        <v>1.6461754424651299E-2</v>
      </c>
      <c r="I458">
        <v>0.397270687364217</v>
      </c>
      <c r="J458">
        <v>2.1</v>
      </c>
      <c r="L458">
        <v>0.32164770938521331</v>
      </c>
      <c r="M458">
        <v>0.28872420053591069</v>
      </c>
      <c r="N458">
        <v>0.33810946380986462</v>
      </c>
      <c r="O458">
        <v>0.27226244611125938</v>
      </c>
    </row>
    <row r="459" spans="1:15">
      <c r="A459" s="19">
        <v>43181</v>
      </c>
      <c r="B459">
        <v>1119</v>
      </c>
      <c r="C459">
        <v>1107</v>
      </c>
      <c r="D459">
        <v>3661</v>
      </c>
      <c r="E459">
        <v>3664</v>
      </c>
      <c r="F459">
        <v>0.30212882096069799</v>
      </c>
      <c r="G459">
        <v>0.30548117887938098</v>
      </c>
      <c r="H459">
        <v>1.6772011902933301E-2</v>
      </c>
      <c r="I459">
        <v>-0.199878102763377</v>
      </c>
      <c r="J459">
        <v>-1.1100000000000001</v>
      </c>
      <c r="L459">
        <v>0.32225319078231429</v>
      </c>
      <c r="M459">
        <v>0.28870916697644766</v>
      </c>
      <c r="N459">
        <v>0.33902520268524761</v>
      </c>
      <c r="O459">
        <v>0.27193715507351435</v>
      </c>
    </row>
    <row r="460" spans="1:15">
      <c r="A460" s="19">
        <v>43179</v>
      </c>
      <c r="B460">
        <v>1080</v>
      </c>
      <c r="C460">
        <v>1116</v>
      </c>
      <c r="D460">
        <v>3643</v>
      </c>
      <c r="E460">
        <v>3642</v>
      </c>
      <c r="F460">
        <v>0.30642504118616098</v>
      </c>
      <c r="G460">
        <v>0.30594979361450703</v>
      </c>
      <c r="H460">
        <v>1.71583460046188E-2</v>
      </c>
      <c r="I460">
        <v>2.7697749627257798E-2</v>
      </c>
      <c r="J460">
        <v>0.16</v>
      </c>
      <c r="L460">
        <v>0.32310813961912582</v>
      </c>
      <c r="M460">
        <v>0.28879144760988823</v>
      </c>
      <c r="N460">
        <v>0.34026648562374462</v>
      </c>
      <c r="O460">
        <v>0.27163310160526943</v>
      </c>
    </row>
    <row r="461" spans="1:15">
      <c r="A461" s="19">
        <v>43178</v>
      </c>
      <c r="B461">
        <v>1086</v>
      </c>
      <c r="C461">
        <v>1088</v>
      </c>
      <c r="D461">
        <v>3658</v>
      </c>
      <c r="E461">
        <v>3639</v>
      </c>
      <c r="F461">
        <v>0.29898323715306402</v>
      </c>
      <c r="G461">
        <v>0.30626308501257099</v>
      </c>
      <c r="H461">
        <v>1.7377279147610201E-2</v>
      </c>
      <c r="I461">
        <v>-0.41892909687811403</v>
      </c>
      <c r="J461">
        <v>-2.4300000000000002</v>
      </c>
      <c r="L461">
        <v>0.32364036416018122</v>
      </c>
      <c r="M461">
        <v>0.28888580586496077</v>
      </c>
      <c r="N461">
        <v>0.34101764330779138</v>
      </c>
      <c r="O461">
        <v>0.2715085267173506</v>
      </c>
    </row>
    <row r="462" spans="1:15">
      <c r="A462" s="19">
        <v>43175</v>
      </c>
      <c r="B462">
        <v>1112</v>
      </c>
      <c r="C462">
        <v>1099</v>
      </c>
      <c r="D462">
        <v>3696</v>
      </c>
      <c r="E462">
        <v>3678</v>
      </c>
      <c r="F462">
        <v>0.29880369766177201</v>
      </c>
      <c r="G462">
        <v>0.30676099559202702</v>
      </c>
      <c r="H462">
        <v>1.7693674292857599E-2</v>
      </c>
      <c r="I462">
        <v>-0.44972557980602201</v>
      </c>
      <c r="J462">
        <v>-2.66</v>
      </c>
      <c r="L462">
        <v>0.32445466988488464</v>
      </c>
      <c r="M462">
        <v>0.2890673212991694</v>
      </c>
      <c r="N462">
        <v>0.3421483441777422</v>
      </c>
      <c r="O462">
        <v>0.27137364700631184</v>
      </c>
    </row>
    <row r="463" spans="1:15">
      <c r="A463" s="19">
        <v>43174</v>
      </c>
      <c r="B463">
        <v>1102</v>
      </c>
      <c r="C463">
        <v>1114</v>
      </c>
      <c r="D463">
        <v>3662</v>
      </c>
      <c r="E463">
        <v>3694</v>
      </c>
      <c r="F463">
        <v>0.301570113697888</v>
      </c>
      <c r="G463">
        <v>0.30729610753354297</v>
      </c>
      <c r="H463">
        <v>1.8048255709317299E-2</v>
      </c>
      <c r="I463">
        <v>-0.31726023433382</v>
      </c>
      <c r="J463">
        <v>-1.9</v>
      </c>
      <c r="L463">
        <v>0.32534436324286026</v>
      </c>
      <c r="M463">
        <v>0.28924785182422569</v>
      </c>
      <c r="N463">
        <v>0.34339261895217754</v>
      </c>
      <c r="O463">
        <v>0.2711995961149084</v>
      </c>
    </row>
    <row r="464" spans="1:15">
      <c r="A464" s="19">
        <v>43173</v>
      </c>
      <c r="B464">
        <v>1106</v>
      </c>
      <c r="C464">
        <v>1113</v>
      </c>
      <c r="D464">
        <v>3686</v>
      </c>
      <c r="E464">
        <v>3687</v>
      </c>
      <c r="F464">
        <v>0.30187144019528001</v>
      </c>
      <c r="G464">
        <v>0.30776866752497301</v>
      </c>
      <c r="H464">
        <v>1.83535539043574E-2</v>
      </c>
      <c r="I464">
        <v>-0.32131255670831899</v>
      </c>
      <c r="J464">
        <v>-1.95</v>
      </c>
      <c r="L464">
        <v>0.32612222142933039</v>
      </c>
      <c r="M464">
        <v>0.28941511362061562</v>
      </c>
      <c r="N464">
        <v>0.34447577533368778</v>
      </c>
      <c r="O464">
        <v>0.27106155971625823</v>
      </c>
    </row>
    <row r="465" spans="1:15">
      <c r="A465" s="19">
        <v>43172</v>
      </c>
      <c r="B465">
        <v>1104</v>
      </c>
      <c r="C465">
        <v>1115</v>
      </c>
      <c r="D465">
        <v>3687</v>
      </c>
      <c r="E465">
        <v>3708</v>
      </c>
      <c r="F465">
        <v>0.30070118662351603</v>
      </c>
      <c r="G465">
        <v>0.30823619449907902</v>
      </c>
      <c r="H465">
        <v>1.8641720524517399E-2</v>
      </c>
      <c r="I465">
        <v>-0.40420131101376899</v>
      </c>
      <c r="J465">
        <v>-2.5099999999999998</v>
      </c>
      <c r="L465">
        <v>0.32687791502359642</v>
      </c>
      <c r="M465">
        <v>0.28959447397456162</v>
      </c>
      <c r="N465">
        <v>0.34551963554811382</v>
      </c>
      <c r="O465">
        <v>0.27095275345004421</v>
      </c>
    </row>
    <row r="466" spans="1:15">
      <c r="A466" s="19">
        <v>43171</v>
      </c>
      <c r="B466">
        <v>1104</v>
      </c>
      <c r="C466">
        <v>1106</v>
      </c>
      <c r="D466">
        <v>3701</v>
      </c>
      <c r="E466">
        <v>3739</v>
      </c>
      <c r="F466">
        <v>0.29580101631452199</v>
      </c>
      <c r="G466">
        <v>0.30873999967010901</v>
      </c>
      <c r="H466">
        <v>1.8939483793854701E-2</v>
      </c>
      <c r="I466">
        <v>-0.68317507997682403</v>
      </c>
      <c r="J466">
        <v>-4.37</v>
      </c>
      <c r="L466">
        <v>0.32767948346396369</v>
      </c>
      <c r="M466">
        <v>0.28980051587625433</v>
      </c>
      <c r="N466">
        <v>0.34661896725781843</v>
      </c>
      <c r="O466">
        <v>0.27086103208239959</v>
      </c>
    </row>
    <row r="467" spans="1:15">
      <c r="A467" s="19">
        <v>43168</v>
      </c>
      <c r="B467">
        <v>1084</v>
      </c>
      <c r="C467">
        <v>1080</v>
      </c>
      <c r="D467">
        <v>3677</v>
      </c>
      <c r="E467">
        <v>3623</v>
      </c>
      <c r="F467">
        <v>0.29809550096604998</v>
      </c>
      <c r="G467">
        <v>0.30930461463877601</v>
      </c>
      <c r="H467">
        <v>1.91750729767656E-2</v>
      </c>
      <c r="I467">
        <v>-0.58456693678862603</v>
      </c>
      <c r="J467">
        <v>-3.76</v>
      </c>
      <c r="L467">
        <v>0.32847968761554158</v>
      </c>
      <c r="M467">
        <v>0.29012954166201044</v>
      </c>
      <c r="N467">
        <v>0.34765476059230721</v>
      </c>
      <c r="O467">
        <v>0.27095446868524481</v>
      </c>
    </row>
    <row r="468" spans="1:15">
      <c r="A468" s="19">
        <v>43167</v>
      </c>
      <c r="B468">
        <v>1072</v>
      </c>
      <c r="C468">
        <v>1063</v>
      </c>
      <c r="D468">
        <v>3681</v>
      </c>
      <c r="E468">
        <v>3666</v>
      </c>
      <c r="F468">
        <v>0.28996181123840697</v>
      </c>
      <c r="G468">
        <v>0.30981452526341802</v>
      </c>
      <c r="H468">
        <v>1.9377636230827801E-2</v>
      </c>
      <c r="I468">
        <v>-1.02451680837252</v>
      </c>
      <c r="J468">
        <v>-6.85</v>
      </c>
      <c r="L468">
        <v>0.32919216149424579</v>
      </c>
      <c r="M468">
        <v>0.29043688903259024</v>
      </c>
      <c r="N468">
        <v>0.34856979772507363</v>
      </c>
      <c r="O468">
        <v>0.27105925280176241</v>
      </c>
    </row>
    <row r="469" spans="1:15">
      <c r="A469" s="19">
        <v>43166</v>
      </c>
      <c r="B469">
        <v>1072</v>
      </c>
      <c r="C469">
        <v>1063</v>
      </c>
      <c r="D469">
        <v>3649</v>
      </c>
      <c r="E469">
        <v>3634</v>
      </c>
      <c r="F469">
        <v>0.29251513483764402</v>
      </c>
      <c r="G469">
        <v>0.31050453720933702</v>
      </c>
      <c r="H469">
        <v>1.9578768759800701E-2</v>
      </c>
      <c r="I469">
        <v>-0.91882194393290695</v>
      </c>
      <c r="J469">
        <v>-6.15</v>
      </c>
      <c r="L469">
        <v>0.33008330596913771</v>
      </c>
      <c r="M469">
        <v>0.29092576844953633</v>
      </c>
      <c r="N469">
        <v>0.3496620747289384</v>
      </c>
      <c r="O469">
        <v>0.27134699968973564</v>
      </c>
    </row>
    <row r="470" spans="1:15">
      <c r="A470" s="19">
        <v>43165</v>
      </c>
      <c r="B470">
        <v>1075</v>
      </c>
      <c r="C470">
        <v>1074</v>
      </c>
      <c r="D470">
        <v>3700</v>
      </c>
      <c r="E470">
        <v>3666</v>
      </c>
      <c r="F470">
        <v>0.292962356792144</v>
      </c>
      <c r="G470">
        <v>0.311172170092544</v>
      </c>
      <c r="H470">
        <v>1.98063586846065E-2</v>
      </c>
      <c r="I470">
        <v>-0.91939228155819697</v>
      </c>
      <c r="J470">
        <v>-6.22</v>
      </c>
      <c r="L470">
        <v>0.3309785287771505</v>
      </c>
      <c r="M470">
        <v>0.29136581140793749</v>
      </c>
      <c r="N470">
        <v>0.35078488746175701</v>
      </c>
      <c r="O470">
        <v>0.27155945272333099</v>
      </c>
    </row>
    <row r="471" spans="1:15">
      <c r="A471" s="19">
        <v>43164</v>
      </c>
      <c r="B471">
        <v>1055</v>
      </c>
      <c r="C471">
        <v>1057</v>
      </c>
      <c r="D471">
        <v>3647</v>
      </c>
      <c r="E471">
        <v>3608</v>
      </c>
      <c r="F471">
        <v>0.29296008869179602</v>
      </c>
      <c r="G471">
        <v>0.31177970764590102</v>
      </c>
      <c r="H471">
        <v>1.9936877702658298E-2</v>
      </c>
      <c r="I471">
        <v>-0.94396019450910196</v>
      </c>
      <c r="J471">
        <v>-6.42</v>
      </c>
      <c r="L471">
        <v>0.3317165853485593</v>
      </c>
      <c r="M471">
        <v>0.29184282994324273</v>
      </c>
      <c r="N471">
        <v>0.35165346305121759</v>
      </c>
      <c r="O471">
        <v>0.27190595224058445</v>
      </c>
    </row>
    <row r="472" spans="1:15">
      <c r="A472" s="19">
        <v>43161</v>
      </c>
      <c r="B472">
        <v>1070</v>
      </c>
      <c r="C472">
        <v>1065</v>
      </c>
      <c r="D472">
        <v>3761</v>
      </c>
      <c r="E472">
        <v>3686</v>
      </c>
      <c r="F472">
        <v>0.28893109061312999</v>
      </c>
      <c r="G472">
        <v>0.31231801757445499</v>
      </c>
      <c r="H472">
        <v>1.9966498389073099E-2</v>
      </c>
      <c r="I472">
        <v>-1.17130838395396</v>
      </c>
      <c r="J472">
        <v>-8.09</v>
      </c>
      <c r="L472">
        <v>0.33228451596352809</v>
      </c>
      <c r="M472">
        <v>0.29235151918538188</v>
      </c>
      <c r="N472">
        <v>0.3522510143526012</v>
      </c>
      <c r="O472">
        <v>0.27238502079630877</v>
      </c>
    </row>
    <row r="473" spans="1:15">
      <c r="A473" s="19">
        <v>43160</v>
      </c>
      <c r="B473">
        <v>1124</v>
      </c>
      <c r="C473">
        <v>1098</v>
      </c>
      <c r="D473">
        <v>3852</v>
      </c>
      <c r="E473">
        <v>3831</v>
      </c>
      <c r="F473">
        <v>0.28660924040720398</v>
      </c>
      <c r="G473">
        <v>0.31278326459307998</v>
      </c>
      <c r="H473">
        <v>1.9822142068173999E-2</v>
      </c>
      <c r="I473">
        <v>-1.3204437792775601</v>
      </c>
      <c r="J473">
        <v>-9.1300000000000008</v>
      </c>
      <c r="L473">
        <v>0.33260540666125399</v>
      </c>
      <c r="M473">
        <v>0.29296112252490597</v>
      </c>
      <c r="N473">
        <v>0.352427548729428</v>
      </c>
      <c r="O473">
        <v>0.27313898045673196</v>
      </c>
    </row>
    <row r="474" spans="1:15">
      <c r="A474" s="19">
        <v>43159</v>
      </c>
      <c r="B474">
        <v>1150</v>
      </c>
      <c r="C474">
        <v>1130</v>
      </c>
      <c r="D474">
        <v>3944</v>
      </c>
      <c r="E474">
        <v>3885</v>
      </c>
      <c r="F474">
        <v>0.29086229086228998</v>
      </c>
      <c r="G474">
        <v>0.313629865058141</v>
      </c>
      <c r="H474">
        <v>2.0040898876671199E-2</v>
      </c>
      <c r="I474">
        <v>-1.1360555400213801</v>
      </c>
      <c r="J474">
        <v>-7.83</v>
      </c>
      <c r="L474">
        <v>0.33367076393481221</v>
      </c>
      <c r="M474">
        <v>0.29358896618146979</v>
      </c>
      <c r="N474">
        <v>0.35371166281148342</v>
      </c>
      <c r="O474">
        <v>0.27354806730479858</v>
      </c>
    </row>
    <row r="475" spans="1:15">
      <c r="A475" s="19">
        <v>43158</v>
      </c>
      <c r="B475">
        <v>1125</v>
      </c>
      <c r="C475">
        <v>1139</v>
      </c>
      <c r="D475">
        <v>3922</v>
      </c>
      <c r="E475">
        <v>3972</v>
      </c>
      <c r="F475">
        <v>0.28675730110775399</v>
      </c>
      <c r="G475">
        <v>0.31444634108962899</v>
      </c>
      <c r="H475">
        <v>2.0341831792453101E-2</v>
      </c>
      <c r="I475">
        <v>-1.3611871469779599</v>
      </c>
      <c r="J475">
        <v>-9.66</v>
      </c>
      <c r="L475">
        <v>0.33478817288208207</v>
      </c>
      <c r="M475">
        <v>0.29410450929717591</v>
      </c>
      <c r="N475">
        <v>0.3551300046745352</v>
      </c>
      <c r="O475">
        <v>0.27376267750472277</v>
      </c>
    </row>
    <row r="476" spans="1:15">
      <c r="A476" s="19">
        <v>43157</v>
      </c>
      <c r="B476">
        <v>1104</v>
      </c>
      <c r="C476">
        <v>1109</v>
      </c>
      <c r="D476">
        <v>3856</v>
      </c>
      <c r="E476">
        <v>3893</v>
      </c>
      <c r="F476">
        <v>0.28487027998972497</v>
      </c>
      <c r="G476">
        <v>0.31524378618080501</v>
      </c>
      <c r="H476">
        <v>2.0412915629111201E-2</v>
      </c>
      <c r="I476">
        <v>-1.4879553094200599</v>
      </c>
      <c r="J476">
        <v>-10.66</v>
      </c>
      <c r="L476">
        <v>0.33565670180991619</v>
      </c>
      <c r="M476">
        <v>0.29483087055169382</v>
      </c>
      <c r="N476">
        <v>0.35606961743902743</v>
      </c>
      <c r="O476">
        <v>0.27441795492258259</v>
      </c>
    </row>
    <row r="477" spans="1:15">
      <c r="A477" s="19">
        <v>43154</v>
      </c>
      <c r="B477">
        <v>1077</v>
      </c>
      <c r="C477">
        <v>1097</v>
      </c>
      <c r="D477">
        <v>3834</v>
      </c>
      <c r="E477">
        <v>3845</v>
      </c>
      <c r="F477">
        <v>0.28530559167750302</v>
      </c>
      <c r="G477">
        <v>0.31613805521032301</v>
      </c>
      <c r="H477">
        <v>2.05314884473E-2</v>
      </c>
      <c r="I477">
        <v>-1.5017159429020699</v>
      </c>
      <c r="J477">
        <v>-10.81</v>
      </c>
      <c r="L477">
        <v>0.33666954365762303</v>
      </c>
      <c r="M477">
        <v>0.29560656676302299</v>
      </c>
      <c r="N477">
        <v>0.35720103210492299</v>
      </c>
      <c r="O477">
        <v>0.27507507831572303</v>
      </c>
    </row>
    <row r="478" spans="1:15">
      <c r="A478" s="19">
        <v>43153</v>
      </c>
      <c r="B478">
        <v>1059</v>
      </c>
      <c r="C478">
        <v>1063</v>
      </c>
      <c r="D478">
        <v>3808</v>
      </c>
      <c r="E478">
        <v>3807</v>
      </c>
      <c r="F478">
        <v>0.27922248489624302</v>
      </c>
      <c r="G478">
        <v>0.317233309513683</v>
      </c>
      <c r="H478">
        <v>2.10421555054311E-2</v>
      </c>
      <c r="I478">
        <v>-1.8064130648416299</v>
      </c>
      <c r="J478">
        <v>-13.61</v>
      </c>
      <c r="L478">
        <v>0.3382754650191141</v>
      </c>
      <c r="M478">
        <v>0.29619115400825191</v>
      </c>
      <c r="N478">
        <v>0.35931762052454519</v>
      </c>
      <c r="O478">
        <v>0.27514899850282082</v>
      </c>
    </row>
    <row r="479" spans="1:15">
      <c r="A479" s="19">
        <v>43152</v>
      </c>
      <c r="B479">
        <v>1069</v>
      </c>
      <c r="C479">
        <v>1067</v>
      </c>
      <c r="D479">
        <v>3840</v>
      </c>
      <c r="E479">
        <v>3847</v>
      </c>
      <c r="F479">
        <v>0.277358981024174</v>
      </c>
      <c r="G479">
        <v>0.31838497641011798</v>
      </c>
      <c r="H479">
        <v>2.1292477612152399E-2</v>
      </c>
      <c r="I479">
        <v>-1.92678353986053</v>
      </c>
      <c r="J479">
        <v>-14.79</v>
      </c>
      <c r="L479">
        <v>0.3396774540222704</v>
      </c>
      <c r="M479">
        <v>0.29709249879796557</v>
      </c>
      <c r="N479">
        <v>0.36096993163442276</v>
      </c>
      <c r="O479">
        <v>0.2758000211858132</v>
      </c>
    </row>
    <row r="480" spans="1:15">
      <c r="A480" s="19">
        <v>43151</v>
      </c>
      <c r="B480">
        <v>1040</v>
      </c>
      <c r="C480">
        <v>1065</v>
      </c>
      <c r="D480">
        <v>3827</v>
      </c>
      <c r="E480">
        <v>3785</v>
      </c>
      <c r="F480">
        <v>0.28137384412153199</v>
      </c>
      <c r="G480">
        <v>0.31955039891797599</v>
      </c>
      <c r="H480">
        <v>2.1406818493617599E-2</v>
      </c>
      <c r="I480">
        <v>-1.7833829351066901</v>
      </c>
      <c r="J480">
        <v>-13.57</v>
      </c>
      <c r="L480">
        <v>0.34095721741159357</v>
      </c>
      <c r="M480">
        <v>0.2981435804243584</v>
      </c>
      <c r="N480">
        <v>0.36236403590521116</v>
      </c>
      <c r="O480">
        <v>0.27673676193074082</v>
      </c>
    </row>
    <row r="481" spans="1:15">
      <c r="A481" s="19">
        <v>43150</v>
      </c>
      <c r="B481">
        <v>1053</v>
      </c>
      <c r="C481">
        <v>1066</v>
      </c>
      <c r="D481">
        <v>3798</v>
      </c>
      <c r="E481">
        <v>3851</v>
      </c>
      <c r="F481">
        <v>0.27681121786548901</v>
      </c>
      <c r="G481">
        <v>0.32062529366603898</v>
      </c>
      <c r="H481">
        <v>2.14867360656661E-2</v>
      </c>
      <c r="I481">
        <v>-2.0391219804929199</v>
      </c>
      <c r="J481">
        <v>-15.83</v>
      </c>
      <c r="L481">
        <v>0.34211202973170507</v>
      </c>
      <c r="M481">
        <v>0.29913855760037289</v>
      </c>
      <c r="N481">
        <v>0.36359876579737116</v>
      </c>
      <c r="O481">
        <v>0.2776518215347068</v>
      </c>
    </row>
    <row r="482" spans="1:15">
      <c r="A482" s="19">
        <v>43147</v>
      </c>
      <c r="B482">
        <v>1024</v>
      </c>
      <c r="C482">
        <v>1036</v>
      </c>
      <c r="D482">
        <v>3779</v>
      </c>
      <c r="E482">
        <v>3774</v>
      </c>
      <c r="F482">
        <v>0.27450980392156799</v>
      </c>
      <c r="G482">
        <v>0.32176534021764602</v>
      </c>
      <c r="H482">
        <v>2.1399951145892399E-2</v>
      </c>
      <c r="I482">
        <v>-2.2082076717800398</v>
      </c>
      <c r="J482">
        <v>-17.21</v>
      </c>
      <c r="L482">
        <v>0.34316529136353841</v>
      </c>
      <c r="M482">
        <v>0.30036538907175364</v>
      </c>
      <c r="N482">
        <v>0.36456524250943084</v>
      </c>
      <c r="O482">
        <v>0.2789654379258612</v>
      </c>
    </row>
    <row r="483" spans="1:15">
      <c r="A483" s="19">
        <v>43146</v>
      </c>
      <c r="B483">
        <v>1012</v>
      </c>
      <c r="C483">
        <v>1010</v>
      </c>
      <c r="D483">
        <v>3732</v>
      </c>
      <c r="E483">
        <v>3734</v>
      </c>
      <c r="F483">
        <v>0.27048741296197099</v>
      </c>
      <c r="G483">
        <v>0.32302493426933399</v>
      </c>
      <c r="H483">
        <v>2.13616252926687E-2</v>
      </c>
      <c r="I483">
        <v>-2.4594346444881299</v>
      </c>
      <c r="J483">
        <v>-19.420000000000002</v>
      </c>
      <c r="L483">
        <v>0.3443865595620027</v>
      </c>
      <c r="M483">
        <v>0.30166330897666527</v>
      </c>
      <c r="N483">
        <v>0.36574818485467137</v>
      </c>
      <c r="O483">
        <v>0.28030168368399661</v>
      </c>
    </row>
    <row r="484" spans="1:15">
      <c r="A484" s="19">
        <v>43145</v>
      </c>
      <c r="B484">
        <v>1022</v>
      </c>
      <c r="C484">
        <v>1019</v>
      </c>
      <c r="D484">
        <v>3735</v>
      </c>
      <c r="E484">
        <v>3687</v>
      </c>
      <c r="F484">
        <v>0.27637645782478898</v>
      </c>
      <c r="G484">
        <v>0.324342569412091</v>
      </c>
      <c r="H484">
        <v>2.1126866348473099E-2</v>
      </c>
      <c r="I484">
        <v>-2.2703845802843499</v>
      </c>
      <c r="J484">
        <v>-17.36</v>
      </c>
      <c r="L484">
        <v>0.3454694357605641</v>
      </c>
      <c r="M484">
        <v>0.30321570306361789</v>
      </c>
      <c r="N484">
        <v>0.36659630210903721</v>
      </c>
      <c r="O484">
        <v>0.28208883671514479</v>
      </c>
    </row>
    <row r="485" spans="1:15">
      <c r="A485" s="19">
        <v>43144</v>
      </c>
      <c r="B485">
        <v>1047</v>
      </c>
      <c r="C485">
        <v>1020</v>
      </c>
      <c r="D485">
        <v>3798</v>
      </c>
      <c r="E485">
        <v>3730</v>
      </c>
      <c r="F485">
        <v>0.27345844504021399</v>
      </c>
      <c r="G485">
        <v>0.32557063938189901</v>
      </c>
      <c r="H485">
        <v>2.09794311706402E-2</v>
      </c>
      <c r="I485">
        <v>-2.4839660292893599</v>
      </c>
      <c r="J485">
        <v>-19.059999999999999</v>
      </c>
      <c r="L485">
        <v>0.34655007055253922</v>
      </c>
      <c r="M485">
        <v>0.30459120821125879</v>
      </c>
      <c r="N485">
        <v>0.36752950172317939</v>
      </c>
      <c r="O485">
        <v>0.28361177704061863</v>
      </c>
    </row>
    <row r="486" spans="1:15">
      <c r="A486" s="19">
        <v>43140</v>
      </c>
      <c r="B486">
        <v>1043</v>
      </c>
      <c r="C486">
        <v>1045</v>
      </c>
      <c r="D486">
        <v>3751</v>
      </c>
      <c r="E486">
        <v>3795</v>
      </c>
      <c r="F486">
        <v>0.27536231884057899</v>
      </c>
      <c r="G486">
        <v>0.32689146571562899</v>
      </c>
      <c r="H486">
        <v>2.0774342303440298E-2</v>
      </c>
      <c r="I486">
        <v>-2.4804225386483898</v>
      </c>
      <c r="J486">
        <v>-18.71</v>
      </c>
      <c r="L486">
        <v>0.34766580801906927</v>
      </c>
      <c r="M486">
        <v>0.30611712341218872</v>
      </c>
      <c r="N486">
        <v>0.3684401503225096</v>
      </c>
      <c r="O486">
        <v>0.28534278110874839</v>
      </c>
    </row>
    <row r="487" spans="1:15">
      <c r="A487" s="19">
        <v>43139</v>
      </c>
      <c r="B487">
        <v>1084</v>
      </c>
      <c r="C487">
        <v>1081</v>
      </c>
      <c r="D487">
        <v>3884</v>
      </c>
      <c r="E487">
        <v>3873</v>
      </c>
      <c r="F487">
        <v>0.27911179963852301</v>
      </c>
      <c r="G487">
        <v>0.32810178192751899</v>
      </c>
      <c r="H487">
        <v>2.0377443634310499E-2</v>
      </c>
      <c r="I487">
        <v>-2.4041279744486301</v>
      </c>
      <c r="J487">
        <v>-17.55</v>
      </c>
      <c r="L487">
        <v>0.34847922556182948</v>
      </c>
      <c r="M487">
        <v>0.3077243382932085</v>
      </c>
      <c r="N487">
        <v>0.36885666919613996</v>
      </c>
      <c r="O487">
        <v>0.28734689465889801</v>
      </c>
    </row>
    <row r="488" spans="1:15">
      <c r="A488" s="19">
        <v>43138</v>
      </c>
      <c r="B488">
        <v>1102</v>
      </c>
      <c r="C488">
        <v>1077</v>
      </c>
      <c r="D488">
        <v>3933</v>
      </c>
      <c r="E488">
        <v>3840</v>
      </c>
      <c r="F488">
        <v>0.28046874999999999</v>
      </c>
      <c r="G488">
        <v>0.329248201133582</v>
      </c>
      <c r="H488">
        <v>2.0004264384728999E-2</v>
      </c>
      <c r="I488">
        <v>-2.4384526316708399</v>
      </c>
      <c r="J488">
        <v>-17.39</v>
      </c>
      <c r="L488">
        <v>0.34925246551831102</v>
      </c>
      <c r="M488">
        <v>0.30924393674885298</v>
      </c>
      <c r="N488">
        <v>0.36925672990303998</v>
      </c>
      <c r="O488">
        <v>0.28923967236412401</v>
      </c>
    </row>
    <row r="489" spans="1:15">
      <c r="A489" s="19">
        <v>43137</v>
      </c>
      <c r="B489">
        <v>1152</v>
      </c>
      <c r="C489">
        <v>1132</v>
      </c>
      <c r="D489">
        <v>3831</v>
      </c>
      <c r="E489">
        <v>3810</v>
      </c>
      <c r="F489">
        <v>0.29711286089238798</v>
      </c>
      <c r="G489">
        <v>0.330344723237462</v>
      </c>
      <c r="H489">
        <v>1.9549163521900299E-2</v>
      </c>
      <c r="I489">
        <v>-1.699912239613</v>
      </c>
      <c r="J489">
        <v>-11.18</v>
      </c>
      <c r="L489">
        <v>0.34989388675936228</v>
      </c>
      <c r="M489">
        <v>0.31079555971556172</v>
      </c>
      <c r="N489">
        <v>0.36944305028126262</v>
      </c>
      <c r="O489">
        <v>0.29124639619366138</v>
      </c>
    </row>
    <row r="490" spans="1:15">
      <c r="A490" s="19">
        <v>43136</v>
      </c>
      <c r="B490">
        <v>1201</v>
      </c>
      <c r="C490">
        <v>1200</v>
      </c>
      <c r="D490">
        <v>3983</v>
      </c>
      <c r="E490">
        <v>3971</v>
      </c>
      <c r="F490">
        <v>0.30219088390833498</v>
      </c>
      <c r="G490">
        <v>0.33124988509223102</v>
      </c>
      <c r="H490">
        <v>1.95611578608446E-2</v>
      </c>
      <c r="I490">
        <v>-1.4855460699523599</v>
      </c>
      <c r="J490">
        <v>-9.6199999999999992</v>
      </c>
      <c r="L490">
        <v>0.35081104295307564</v>
      </c>
      <c r="M490">
        <v>0.31168872723138641</v>
      </c>
      <c r="N490">
        <v>0.37037220081392019</v>
      </c>
      <c r="O490">
        <v>0.29212756937054185</v>
      </c>
    </row>
    <row r="491" spans="1:15">
      <c r="A491" s="19">
        <v>43133</v>
      </c>
      <c r="B491">
        <v>1221</v>
      </c>
      <c r="C491">
        <v>1224</v>
      </c>
      <c r="D491">
        <v>3858</v>
      </c>
      <c r="E491">
        <v>3890</v>
      </c>
      <c r="F491">
        <v>0.3146529562982</v>
      </c>
      <c r="G491">
        <v>0.33212570233936201</v>
      </c>
      <c r="H491">
        <v>1.9710410471167599E-2</v>
      </c>
      <c r="I491">
        <v>-0.88647296649254204</v>
      </c>
      <c r="J491">
        <v>-5.55</v>
      </c>
      <c r="L491">
        <v>0.35183611281052962</v>
      </c>
      <c r="M491">
        <v>0.31241529186819439</v>
      </c>
      <c r="N491">
        <v>0.37154652328169718</v>
      </c>
      <c r="O491">
        <v>0.29270488139702683</v>
      </c>
    </row>
    <row r="492" spans="1:15">
      <c r="A492" s="19">
        <v>43132</v>
      </c>
      <c r="B492">
        <v>1223</v>
      </c>
      <c r="C492">
        <v>1236</v>
      </c>
      <c r="D492">
        <v>3850</v>
      </c>
      <c r="E492">
        <v>3859</v>
      </c>
      <c r="F492">
        <v>0.32029023062969603</v>
      </c>
      <c r="G492">
        <v>0.33280265127935599</v>
      </c>
      <c r="H492">
        <v>1.99688556833835E-2</v>
      </c>
      <c r="I492">
        <v>-0.62659677890663501</v>
      </c>
      <c r="J492">
        <v>-3.91</v>
      </c>
      <c r="L492">
        <v>0.35277150696273951</v>
      </c>
      <c r="M492">
        <v>0.31283379559597246</v>
      </c>
      <c r="N492">
        <v>0.37274036264612298</v>
      </c>
      <c r="O492">
        <v>0.292864939912589</v>
      </c>
    </row>
    <row r="493" spans="1:15">
      <c r="A493" s="19">
        <v>43131</v>
      </c>
      <c r="B493">
        <v>1214</v>
      </c>
      <c r="C493">
        <v>1211</v>
      </c>
      <c r="D493">
        <v>3890</v>
      </c>
      <c r="E493">
        <v>3826</v>
      </c>
      <c r="F493">
        <v>0.31651855723993699</v>
      </c>
      <c r="G493">
        <v>0.33343263432602199</v>
      </c>
      <c r="H493">
        <v>2.0306624309129901E-2</v>
      </c>
      <c r="I493">
        <v>-0.83293396423750998</v>
      </c>
      <c r="J493">
        <v>-5.34</v>
      </c>
      <c r="L493">
        <v>0.35373925863515188</v>
      </c>
      <c r="M493">
        <v>0.31312601001689211</v>
      </c>
      <c r="N493">
        <v>0.37404588294428182</v>
      </c>
      <c r="O493">
        <v>0.29281938570776217</v>
      </c>
    </row>
    <row r="494" spans="1:15">
      <c r="A494" s="19">
        <v>43130</v>
      </c>
      <c r="B494">
        <v>1231</v>
      </c>
      <c r="C494">
        <v>1215</v>
      </c>
      <c r="D494">
        <v>3958</v>
      </c>
      <c r="E494">
        <v>3925</v>
      </c>
      <c r="F494">
        <v>0.30955414012738802</v>
      </c>
      <c r="G494">
        <v>0.334146307601002</v>
      </c>
      <c r="H494">
        <v>2.06375174735406E-2</v>
      </c>
      <c r="I494">
        <v>-1.1916243077755599</v>
      </c>
      <c r="J494">
        <v>-7.94</v>
      </c>
      <c r="L494">
        <v>0.35478382507454259</v>
      </c>
      <c r="M494">
        <v>0.31350879012746141</v>
      </c>
      <c r="N494">
        <v>0.37542134254808318</v>
      </c>
      <c r="O494">
        <v>0.29287127265392082</v>
      </c>
    </row>
    <row r="495" spans="1:15">
      <c r="A495" s="19">
        <v>43129</v>
      </c>
      <c r="B495">
        <v>1218</v>
      </c>
      <c r="C495">
        <v>1231</v>
      </c>
      <c r="D495">
        <v>3922</v>
      </c>
      <c r="E495">
        <v>3947</v>
      </c>
      <c r="F495">
        <v>0.31188244236128698</v>
      </c>
      <c r="G495">
        <v>0.334888825791547</v>
      </c>
      <c r="H495">
        <v>2.0740914289538798E-2</v>
      </c>
      <c r="I495">
        <v>-1.1092270624667799</v>
      </c>
      <c r="J495">
        <v>-7.38</v>
      </c>
      <c r="L495">
        <v>0.35562974008108578</v>
      </c>
      <c r="M495">
        <v>0.31414791150200821</v>
      </c>
      <c r="N495">
        <v>0.37637065437062461</v>
      </c>
      <c r="O495">
        <v>0.29340699721246938</v>
      </c>
    </row>
    <row r="496" spans="1:15">
      <c r="A496" s="19">
        <v>43126</v>
      </c>
      <c r="B496">
        <v>1230</v>
      </c>
      <c r="C496">
        <v>1226</v>
      </c>
      <c r="D496">
        <v>3950</v>
      </c>
      <c r="E496">
        <v>3933</v>
      </c>
      <c r="F496">
        <v>0.31172133231629801</v>
      </c>
      <c r="G496">
        <v>0.33554345894888699</v>
      </c>
      <c r="H496">
        <v>2.0779228593696599E-2</v>
      </c>
      <c r="I496">
        <v>-1.14643941304998</v>
      </c>
      <c r="J496">
        <v>-7.64</v>
      </c>
      <c r="L496">
        <v>0.35632268754258356</v>
      </c>
      <c r="M496">
        <v>0.31476423035519041</v>
      </c>
      <c r="N496">
        <v>0.37710191613628019</v>
      </c>
      <c r="O496">
        <v>0.29398500176149378</v>
      </c>
    </row>
    <row r="497" spans="1:15">
      <c r="A497" s="19">
        <v>43125</v>
      </c>
      <c r="B497">
        <v>1229</v>
      </c>
      <c r="C497">
        <v>1226</v>
      </c>
      <c r="D497">
        <v>3943</v>
      </c>
      <c r="E497">
        <v>3942</v>
      </c>
      <c r="F497">
        <v>0.31100963977676299</v>
      </c>
      <c r="G497">
        <v>0.33622199153086102</v>
      </c>
      <c r="H497">
        <v>2.0821100863309499E-2</v>
      </c>
      <c r="I497">
        <v>-1.2109038767747</v>
      </c>
      <c r="J497">
        <v>-8.11</v>
      </c>
      <c r="L497">
        <v>0.35704309239417054</v>
      </c>
      <c r="M497">
        <v>0.3154008906675515</v>
      </c>
      <c r="N497">
        <v>0.37786419325748</v>
      </c>
      <c r="O497">
        <v>0.29457978980424204</v>
      </c>
    </row>
    <row r="498" spans="1:15">
      <c r="A498" s="19">
        <v>43124</v>
      </c>
      <c r="B498">
        <v>1240</v>
      </c>
      <c r="C498">
        <v>1240</v>
      </c>
      <c r="D498">
        <v>4025</v>
      </c>
      <c r="E498">
        <v>3994</v>
      </c>
      <c r="F498">
        <v>0.31046569854782102</v>
      </c>
      <c r="G498">
        <v>0.33688180985612898</v>
      </c>
      <c r="H498">
        <v>2.0795762890400901E-2</v>
      </c>
      <c r="I498">
        <v>-1.2702641132968799</v>
      </c>
      <c r="J498">
        <v>-8.51</v>
      </c>
      <c r="L498">
        <v>0.35767757274652989</v>
      </c>
      <c r="M498">
        <v>0.31608604696572806</v>
      </c>
      <c r="N498">
        <v>0.37847333563693075</v>
      </c>
      <c r="O498">
        <v>0.2952902840753272</v>
      </c>
    </row>
    <row r="499" spans="1:15">
      <c r="A499" s="19">
        <v>43123</v>
      </c>
      <c r="B499">
        <v>1232</v>
      </c>
      <c r="C499">
        <v>1240</v>
      </c>
      <c r="D499">
        <v>3993</v>
      </c>
      <c r="E499">
        <v>4052</v>
      </c>
      <c r="F499">
        <v>0.30602171767028602</v>
      </c>
      <c r="G499">
        <v>0.33756614780583899</v>
      </c>
      <c r="H499">
        <v>2.0759677817016198E-2</v>
      </c>
      <c r="I499">
        <v>-1.51950480222276</v>
      </c>
      <c r="J499">
        <v>-10.31</v>
      </c>
      <c r="L499">
        <v>0.3583258256228552</v>
      </c>
      <c r="M499">
        <v>0.31680646998882278</v>
      </c>
      <c r="N499">
        <v>0.37908550343987141</v>
      </c>
      <c r="O499">
        <v>0.29604679217180657</v>
      </c>
    </row>
    <row r="500" spans="1:15">
      <c r="A500" s="19">
        <v>43122</v>
      </c>
      <c r="B500">
        <v>1225</v>
      </c>
      <c r="C500">
        <v>1234</v>
      </c>
      <c r="D500">
        <v>4000</v>
      </c>
      <c r="E500">
        <v>3980</v>
      </c>
      <c r="F500">
        <v>0.310050251256281</v>
      </c>
      <c r="G500">
        <v>0.33833979981353302</v>
      </c>
      <c r="H500">
        <v>2.0650597313421299E-2</v>
      </c>
      <c r="I500">
        <v>-1.3699142997120899</v>
      </c>
      <c r="J500">
        <v>-9.1199999999999992</v>
      </c>
      <c r="L500">
        <v>0.3589903971269543</v>
      </c>
      <c r="M500">
        <v>0.31768920250011173</v>
      </c>
      <c r="N500">
        <v>0.37964099444037563</v>
      </c>
      <c r="O500">
        <v>0.2970386051866904</v>
      </c>
    </row>
    <row r="501" spans="1:15">
      <c r="A501" s="19">
        <v>43119</v>
      </c>
      <c r="B501">
        <v>1222</v>
      </c>
      <c r="C501">
        <v>1227</v>
      </c>
      <c r="D501">
        <v>3993</v>
      </c>
      <c r="E501">
        <v>4003</v>
      </c>
      <c r="F501">
        <v>0.30652010991756101</v>
      </c>
      <c r="G501">
        <v>0.339036254524127</v>
      </c>
      <c r="H501">
        <v>2.05654085498875E-2</v>
      </c>
      <c r="I501">
        <v>-1.5811086138983399</v>
      </c>
      <c r="J501">
        <v>-10.61</v>
      </c>
      <c r="L501">
        <v>0.35960166307401448</v>
      </c>
      <c r="M501">
        <v>0.31847084597423952</v>
      </c>
      <c r="N501">
        <v>0.38016707162390201</v>
      </c>
      <c r="O501">
        <v>0.29790543742435199</v>
      </c>
    </row>
    <row r="502" spans="1:15">
      <c r="A502" s="19">
        <v>43118</v>
      </c>
      <c r="B502">
        <v>1259</v>
      </c>
      <c r="C502">
        <v>1227</v>
      </c>
      <c r="D502">
        <v>4037</v>
      </c>
      <c r="E502">
        <v>3977</v>
      </c>
      <c r="F502">
        <v>0.30852401307518201</v>
      </c>
      <c r="G502">
        <v>0.33968396492498798</v>
      </c>
      <c r="H502">
        <v>2.0294311202871802E-2</v>
      </c>
      <c r="I502">
        <v>-1.5354032732777101</v>
      </c>
      <c r="J502">
        <v>-10.1</v>
      </c>
      <c r="L502">
        <v>0.35997827612785976</v>
      </c>
      <c r="M502">
        <v>0.3193896537221162</v>
      </c>
      <c r="N502">
        <v>0.3802725873307316</v>
      </c>
      <c r="O502">
        <v>0.29909534251924436</v>
      </c>
    </row>
    <row r="503" spans="1:15">
      <c r="A503" s="19">
        <v>43117</v>
      </c>
      <c r="B503">
        <v>1257</v>
      </c>
      <c r="C503">
        <v>1251</v>
      </c>
      <c r="D503">
        <v>3989</v>
      </c>
      <c r="E503">
        <v>4019</v>
      </c>
      <c r="F503">
        <v>0.31127146056232802</v>
      </c>
      <c r="G503">
        <v>0.34034015268716</v>
      </c>
      <c r="H503">
        <v>2.0070590552203199E-2</v>
      </c>
      <c r="I503">
        <v>-1.44832271124381</v>
      </c>
      <c r="J503">
        <v>-9.34</v>
      </c>
      <c r="L503">
        <v>0.36041074323936317</v>
      </c>
      <c r="M503">
        <v>0.32026956213495683</v>
      </c>
      <c r="N503">
        <v>0.3804813337915664</v>
      </c>
      <c r="O503">
        <v>0.3001989715827536</v>
      </c>
    </row>
    <row r="504" spans="1:15">
      <c r="A504" s="19">
        <v>43116</v>
      </c>
      <c r="B504">
        <v>1250</v>
      </c>
      <c r="C504">
        <v>1256</v>
      </c>
      <c r="D504">
        <v>3983</v>
      </c>
      <c r="E504">
        <v>3989</v>
      </c>
      <c r="F504">
        <v>0.314865881173226</v>
      </c>
      <c r="G504">
        <v>0.340944972633975</v>
      </c>
      <c r="H504">
        <v>1.9867956258789801E-2</v>
      </c>
      <c r="I504">
        <v>-1.31262074070712</v>
      </c>
      <c r="J504">
        <v>-8.2799999999999994</v>
      </c>
      <c r="L504">
        <v>0.36081292889276478</v>
      </c>
      <c r="M504">
        <v>0.32107701637518521</v>
      </c>
      <c r="N504">
        <v>0.38068088515155463</v>
      </c>
      <c r="O504">
        <v>0.30120906011639537</v>
      </c>
    </row>
    <row r="505" spans="1:15">
      <c r="A505" s="19">
        <v>43115</v>
      </c>
      <c r="B505">
        <v>1264</v>
      </c>
      <c r="C505">
        <v>1254</v>
      </c>
      <c r="D505">
        <v>4000</v>
      </c>
      <c r="E505">
        <v>3981</v>
      </c>
      <c r="F505">
        <v>0.31499623210248601</v>
      </c>
      <c r="G505">
        <v>0.34148025332732201</v>
      </c>
      <c r="H505">
        <v>1.9698205469352199E-2</v>
      </c>
      <c r="I505">
        <v>-1.3444890330766901</v>
      </c>
      <c r="J505">
        <v>-8.41</v>
      </c>
      <c r="L505">
        <v>0.36117845879667421</v>
      </c>
      <c r="M505">
        <v>0.32178204785796982</v>
      </c>
      <c r="N505">
        <v>0.3808766642660264</v>
      </c>
      <c r="O505">
        <v>0.30208384238861763</v>
      </c>
    </row>
    <row r="506" spans="1:15">
      <c r="A506" s="19">
        <v>43112</v>
      </c>
      <c r="B506">
        <v>1264</v>
      </c>
      <c r="C506">
        <v>1259</v>
      </c>
      <c r="D506">
        <v>4005</v>
      </c>
      <c r="E506">
        <v>3968</v>
      </c>
      <c r="F506">
        <v>0.31728830645161199</v>
      </c>
      <c r="G506">
        <v>0.34203963509802798</v>
      </c>
      <c r="H506">
        <v>1.9533180252482001E-2</v>
      </c>
      <c r="I506">
        <v>-1.2671427963334501</v>
      </c>
      <c r="J506">
        <v>-7.8</v>
      </c>
      <c r="L506">
        <v>0.36157281535051</v>
      </c>
      <c r="M506">
        <v>0.32250645484554596</v>
      </c>
      <c r="N506">
        <v>0.38110599560299196</v>
      </c>
      <c r="O506">
        <v>0.302973274593064</v>
      </c>
    </row>
    <row r="507" spans="1:15">
      <c r="A507" s="19">
        <v>43111</v>
      </c>
      <c r="B507">
        <v>1252</v>
      </c>
      <c r="C507">
        <v>1264</v>
      </c>
      <c r="D507">
        <v>4035</v>
      </c>
      <c r="E507">
        <v>4026</v>
      </c>
      <c r="F507">
        <v>0.31395926477893599</v>
      </c>
      <c r="G507">
        <v>0.34262282021643697</v>
      </c>
      <c r="H507">
        <v>1.9438201537533999E-2</v>
      </c>
      <c r="I507">
        <v>-1.47459914859681</v>
      </c>
      <c r="J507">
        <v>-9.1300000000000008</v>
      </c>
      <c r="L507">
        <v>0.36206102175397098</v>
      </c>
      <c r="M507">
        <v>0.32318461867890297</v>
      </c>
      <c r="N507">
        <v>0.38149922329150499</v>
      </c>
      <c r="O507">
        <v>0.30374641714136896</v>
      </c>
    </row>
    <row r="508" spans="1:15">
      <c r="A508" s="19">
        <v>43110</v>
      </c>
      <c r="B508">
        <v>1262</v>
      </c>
      <c r="C508">
        <v>1262</v>
      </c>
      <c r="D508">
        <v>4035</v>
      </c>
      <c r="E508">
        <v>4102</v>
      </c>
      <c r="F508">
        <v>0.30765480253534799</v>
      </c>
      <c r="G508">
        <v>0.34323329656461898</v>
      </c>
      <c r="H508">
        <v>1.9246434870385801E-2</v>
      </c>
      <c r="I508">
        <v>-1.84857581515081</v>
      </c>
      <c r="J508">
        <v>-11.56</v>
      </c>
      <c r="L508">
        <v>0.36247973143500478</v>
      </c>
      <c r="M508">
        <v>0.32398686169423319</v>
      </c>
      <c r="N508">
        <v>0.38172616630539058</v>
      </c>
      <c r="O508">
        <v>0.30474042682384739</v>
      </c>
    </row>
    <row r="509" spans="1:15">
      <c r="A509" s="19">
        <v>43109</v>
      </c>
      <c r="B509">
        <v>1272</v>
      </c>
      <c r="C509">
        <v>1264</v>
      </c>
      <c r="D509">
        <v>4042</v>
      </c>
      <c r="E509">
        <v>4010</v>
      </c>
      <c r="F509">
        <v>0.315211970074812</v>
      </c>
      <c r="G509">
        <v>0.34393041075372099</v>
      </c>
      <c r="H509">
        <v>1.88886832639691E-2</v>
      </c>
      <c r="I509">
        <v>-1.52040458710481</v>
      </c>
      <c r="J509">
        <v>-9.11</v>
      </c>
      <c r="L509">
        <v>0.36281909401769008</v>
      </c>
      <c r="M509">
        <v>0.32504172748975191</v>
      </c>
      <c r="N509">
        <v>0.38170777728165917</v>
      </c>
      <c r="O509">
        <v>0.30615304422578282</v>
      </c>
    </row>
    <row r="510" spans="1:15">
      <c r="A510" s="19">
        <v>43105</v>
      </c>
      <c r="B510">
        <v>1269</v>
      </c>
      <c r="C510">
        <v>1270</v>
      </c>
      <c r="D510">
        <v>4000</v>
      </c>
      <c r="E510">
        <v>4021</v>
      </c>
      <c r="F510">
        <v>0.31584183039045</v>
      </c>
      <c r="G510">
        <v>0.34453272544791402</v>
      </c>
      <c r="H510">
        <v>1.86824307609674E-2</v>
      </c>
      <c r="I510">
        <v>-1.5357153158788901</v>
      </c>
      <c r="J510">
        <v>-9.08</v>
      </c>
      <c r="L510">
        <v>0.36321515620888145</v>
      </c>
      <c r="M510">
        <v>0.3258502946869466</v>
      </c>
      <c r="N510">
        <v>0.38189758696984882</v>
      </c>
      <c r="O510">
        <v>0.30716786392597922</v>
      </c>
    </row>
    <row r="511" spans="1:15">
      <c r="A511" s="19">
        <v>43104</v>
      </c>
      <c r="B511">
        <v>1257</v>
      </c>
      <c r="C511">
        <v>1259</v>
      </c>
      <c r="D511">
        <v>3925</v>
      </c>
      <c r="E511">
        <v>3986</v>
      </c>
      <c r="F511">
        <v>0.31585549422980402</v>
      </c>
      <c r="G511">
        <v>0.34515680247216801</v>
      </c>
      <c r="H511">
        <v>1.84944180795166E-2</v>
      </c>
      <c r="I511">
        <v>-1.58433253300444</v>
      </c>
      <c r="J511">
        <v>-9.2799999999999994</v>
      </c>
      <c r="L511">
        <v>0.36365122055168464</v>
      </c>
      <c r="M511">
        <v>0.32666238439265138</v>
      </c>
      <c r="N511">
        <v>0.38214563863120121</v>
      </c>
      <c r="O511">
        <v>0.30816796631313481</v>
      </c>
    </row>
    <row r="512" spans="1:15">
      <c r="A512" s="19">
        <v>43098</v>
      </c>
      <c r="B512">
        <v>1240</v>
      </c>
      <c r="C512">
        <v>1240</v>
      </c>
      <c r="D512">
        <v>3860</v>
      </c>
      <c r="E512">
        <v>3862</v>
      </c>
      <c r="F512">
        <v>0.32107716209218001</v>
      </c>
      <c r="G512">
        <v>0.34577182833747699</v>
      </c>
      <c r="H512">
        <v>1.8275458393621501E-2</v>
      </c>
      <c r="I512">
        <v>-1.3512474332198201</v>
      </c>
      <c r="J512">
        <v>-7.69</v>
      </c>
      <c r="L512">
        <v>0.36404728673109849</v>
      </c>
      <c r="M512">
        <v>0.3274963699438555</v>
      </c>
      <c r="N512">
        <v>0.38232274512471998</v>
      </c>
      <c r="O512">
        <v>0.30922091155023401</v>
      </c>
    </row>
    <row r="513" spans="1:15">
      <c r="A513" s="19">
        <v>43097</v>
      </c>
      <c r="B513">
        <v>1245</v>
      </c>
      <c r="C513">
        <v>1239</v>
      </c>
      <c r="D513">
        <v>3893</v>
      </c>
      <c r="E513">
        <v>3866</v>
      </c>
      <c r="F513">
        <v>0.32048629073978202</v>
      </c>
      <c r="G513">
        <v>0.346359881480298</v>
      </c>
      <c r="H513">
        <v>1.8180718033508E-2</v>
      </c>
      <c r="I513">
        <v>-1.4231336019198599</v>
      </c>
      <c r="J513">
        <v>-8.07</v>
      </c>
      <c r="L513">
        <v>0.36454059951380602</v>
      </c>
      <c r="M513">
        <v>0.32817916344678999</v>
      </c>
      <c r="N513">
        <v>0.38272131754731398</v>
      </c>
      <c r="O513">
        <v>0.30999844541328203</v>
      </c>
    </row>
    <row r="514" spans="1:15">
      <c r="A514" s="19">
        <v>43096</v>
      </c>
      <c r="B514">
        <v>1243</v>
      </c>
      <c r="C514">
        <v>1243</v>
      </c>
      <c r="D514">
        <v>3886</v>
      </c>
      <c r="E514">
        <v>3895</v>
      </c>
      <c r="F514">
        <v>0.31912708600770201</v>
      </c>
      <c r="G514">
        <v>0.34698141063308302</v>
      </c>
      <c r="H514">
        <v>1.8082096516814299E-2</v>
      </c>
      <c r="I514">
        <v>-1.5404366744464699</v>
      </c>
      <c r="J514">
        <v>-8.73</v>
      </c>
      <c r="L514">
        <v>0.36506350714989733</v>
      </c>
      <c r="M514">
        <v>0.32889931411626872</v>
      </c>
      <c r="N514">
        <v>0.38314560366671163</v>
      </c>
      <c r="O514">
        <v>0.31081721759945441</v>
      </c>
    </row>
    <row r="515" spans="1:15">
      <c r="A515" s="19">
        <v>43095</v>
      </c>
      <c r="B515">
        <v>1246</v>
      </c>
      <c r="C515">
        <v>1243</v>
      </c>
      <c r="D515">
        <v>3922</v>
      </c>
      <c r="E515">
        <v>3910</v>
      </c>
      <c r="F515">
        <v>0.31790281329923198</v>
      </c>
      <c r="G515">
        <v>0.34761541605554702</v>
      </c>
      <c r="H515">
        <v>1.7927294317410102E-2</v>
      </c>
      <c r="I515">
        <v>-1.6573947094436201</v>
      </c>
      <c r="J515">
        <v>-9.35</v>
      </c>
      <c r="L515">
        <v>0.3655427103729571</v>
      </c>
      <c r="M515">
        <v>0.32968812173813694</v>
      </c>
      <c r="N515">
        <v>0.38347000469036724</v>
      </c>
      <c r="O515">
        <v>0.3117608274207268</v>
      </c>
    </row>
    <row r="516" spans="1:15">
      <c r="A516" s="19">
        <v>43094</v>
      </c>
      <c r="B516">
        <v>1255</v>
      </c>
      <c r="C516">
        <v>1246</v>
      </c>
      <c r="D516">
        <v>3898</v>
      </c>
      <c r="E516">
        <v>3929</v>
      </c>
      <c r="F516">
        <v>0.31712904046831197</v>
      </c>
      <c r="G516">
        <v>0.34833059857124099</v>
      </c>
      <c r="H516">
        <v>1.7797134034577399E-2</v>
      </c>
      <c r="I516">
        <v>-1.75317880071633</v>
      </c>
      <c r="J516">
        <v>-9.84</v>
      </c>
      <c r="L516">
        <v>0.36612773260581838</v>
      </c>
      <c r="M516">
        <v>0.3305334645366636</v>
      </c>
      <c r="N516">
        <v>0.38392486664039577</v>
      </c>
      <c r="O516">
        <v>0.31273633050208621</v>
      </c>
    </row>
    <row r="517" spans="1:15">
      <c r="A517" s="19">
        <v>43091</v>
      </c>
      <c r="B517">
        <v>1232</v>
      </c>
      <c r="C517">
        <v>1249</v>
      </c>
      <c r="D517">
        <v>3894</v>
      </c>
      <c r="E517">
        <v>3899</v>
      </c>
      <c r="F517">
        <v>0.320338548345729</v>
      </c>
      <c r="G517">
        <v>0.34900898270945202</v>
      </c>
      <c r="H517">
        <v>1.7563025608361899E-2</v>
      </c>
      <c r="I517">
        <v>-1.6324313932601799</v>
      </c>
      <c r="J517">
        <v>-8.9499999999999993</v>
      </c>
      <c r="L517">
        <v>0.36657200831781389</v>
      </c>
      <c r="M517">
        <v>0.33144595710109015</v>
      </c>
      <c r="N517">
        <v>0.38413503392617582</v>
      </c>
      <c r="O517">
        <v>0.31388293149272822</v>
      </c>
    </row>
    <row r="518" spans="1:15">
      <c r="A518" s="19">
        <v>43090</v>
      </c>
      <c r="B518">
        <v>1232</v>
      </c>
      <c r="C518">
        <v>1236</v>
      </c>
      <c r="D518">
        <v>3895</v>
      </c>
      <c r="E518">
        <v>3894</v>
      </c>
      <c r="F518">
        <v>0.31741140215716401</v>
      </c>
      <c r="G518">
        <v>0.34963834851292902</v>
      </c>
      <c r="H518">
        <v>1.7369023688183102E-2</v>
      </c>
      <c r="I518">
        <v>-1.8554264726859799</v>
      </c>
      <c r="J518">
        <v>-10.15</v>
      </c>
      <c r="L518">
        <v>0.36700737220111213</v>
      </c>
      <c r="M518">
        <v>0.33226932482474592</v>
      </c>
      <c r="N518">
        <v>0.38437639588929523</v>
      </c>
      <c r="O518">
        <v>0.31490030113656281</v>
      </c>
    </row>
    <row r="519" spans="1:15">
      <c r="A519" s="19">
        <v>43089</v>
      </c>
      <c r="B519">
        <v>1222</v>
      </c>
      <c r="C519">
        <v>1230</v>
      </c>
      <c r="D519">
        <v>3926</v>
      </c>
      <c r="E519">
        <v>3890</v>
      </c>
      <c r="F519">
        <v>0.31619537275064202</v>
      </c>
      <c r="G519">
        <v>0.35014779855135097</v>
      </c>
      <c r="H519">
        <v>1.6972119992631599E-2</v>
      </c>
      <c r="I519">
        <v>-2.0004823095434499</v>
      </c>
      <c r="J519">
        <v>-10.74</v>
      </c>
      <c r="L519">
        <v>0.36711991854398257</v>
      </c>
      <c r="M519">
        <v>0.33317567855871938</v>
      </c>
      <c r="N519">
        <v>0.38409203853661417</v>
      </c>
      <c r="O519">
        <v>0.31620355856608778</v>
      </c>
    </row>
    <row r="520" spans="1:15">
      <c r="A520" s="19">
        <v>43088</v>
      </c>
      <c r="B520">
        <v>1226</v>
      </c>
      <c r="C520">
        <v>1225</v>
      </c>
      <c r="D520">
        <v>3838</v>
      </c>
      <c r="E520">
        <v>3889</v>
      </c>
      <c r="F520">
        <v>0.314991000257135</v>
      </c>
      <c r="G520">
        <v>0.35068789183948301</v>
      </c>
      <c r="H520">
        <v>1.6521614893656101E-2</v>
      </c>
      <c r="I520">
        <v>-2.1606175795838798</v>
      </c>
      <c r="J520">
        <v>-11.33</v>
      </c>
      <c r="L520">
        <v>0.36720950673313912</v>
      </c>
      <c r="M520">
        <v>0.3341662769458269</v>
      </c>
      <c r="N520">
        <v>0.38373112162679524</v>
      </c>
      <c r="O520">
        <v>0.31764466205217079</v>
      </c>
    </row>
    <row r="521" spans="1:15">
      <c r="A521" s="19">
        <v>43087</v>
      </c>
      <c r="B521">
        <v>1206</v>
      </c>
      <c r="C521">
        <v>1224</v>
      </c>
      <c r="D521">
        <v>3808</v>
      </c>
      <c r="E521">
        <v>3830</v>
      </c>
      <c r="F521">
        <v>0.31958224543080899</v>
      </c>
      <c r="G521">
        <v>0.35132573113430099</v>
      </c>
      <c r="H521">
        <v>1.6047806138881699E-2</v>
      </c>
      <c r="I521">
        <v>-1.9780576502965901</v>
      </c>
      <c r="J521">
        <v>-9.93</v>
      </c>
      <c r="L521">
        <v>0.36737353727318267</v>
      </c>
      <c r="M521">
        <v>0.33527792499541931</v>
      </c>
      <c r="N521">
        <v>0.38342134341206441</v>
      </c>
      <c r="O521">
        <v>0.31923011885653757</v>
      </c>
    </row>
    <row r="522" spans="1:15">
      <c r="A522" s="19">
        <v>43084</v>
      </c>
      <c r="B522">
        <v>1221</v>
      </c>
      <c r="C522">
        <v>1200</v>
      </c>
      <c r="D522">
        <v>3800</v>
      </c>
      <c r="E522">
        <v>3782</v>
      </c>
      <c r="F522">
        <v>0.31729243786356398</v>
      </c>
      <c r="G522">
        <v>0.351858494177679</v>
      </c>
      <c r="H522">
        <v>1.5643288268082201E-2</v>
      </c>
      <c r="I522">
        <v>-2.2096413312693399</v>
      </c>
      <c r="J522">
        <v>-10.89</v>
      </c>
      <c r="L522">
        <v>0.3675017824457612</v>
      </c>
      <c r="M522">
        <v>0.3362152059095968</v>
      </c>
      <c r="N522">
        <v>0.38314507071384341</v>
      </c>
      <c r="O522">
        <v>0.3205719176415146</v>
      </c>
    </row>
    <row r="523" spans="1:15">
      <c r="A523" s="19">
        <v>43083</v>
      </c>
      <c r="B523">
        <v>1230</v>
      </c>
      <c r="C523">
        <v>1223</v>
      </c>
      <c r="D523">
        <v>3828</v>
      </c>
      <c r="E523">
        <v>3821</v>
      </c>
      <c r="F523">
        <v>0.32007327924626999</v>
      </c>
      <c r="G523">
        <v>0.35238326495690397</v>
      </c>
      <c r="H523">
        <v>1.51265461576274E-2</v>
      </c>
      <c r="I523">
        <v>-2.1359790512615899</v>
      </c>
      <c r="J523">
        <v>-10.09</v>
      </c>
      <c r="L523">
        <v>0.36750981111453135</v>
      </c>
      <c r="M523">
        <v>0.3372567187992766</v>
      </c>
      <c r="N523">
        <v>0.38263635727215878</v>
      </c>
      <c r="O523">
        <v>0.32213017264164917</v>
      </c>
    </row>
    <row r="524" spans="1:15">
      <c r="A524" s="19">
        <v>43082</v>
      </c>
      <c r="B524">
        <v>1244</v>
      </c>
      <c r="C524">
        <v>1235</v>
      </c>
      <c r="D524">
        <v>3834</v>
      </c>
      <c r="E524">
        <v>3834</v>
      </c>
      <c r="F524">
        <v>0.322117892540427</v>
      </c>
      <c r="G524">
        <v>0.35285849709342998</v>
      </c>
      <c r="H524">
        <v>1.46565850307464E-2</v>
      </c>
      <c r="I524">
        <v>-2.0973920247121498</v>
      </c>
      <c r="J524">
        <v>-9.5399999999999991</v>
      </c>
      <c r="L524">
        <v>0.36751508212417638</v>
      </c>
      <c r="M524">
        <v>0.33820191206268357</v>
      </c>
      <c r="N524">
        <v>0.38217166715492279</v>
      </c>
      <c r="O524">
        <v>0.32354532703193717</v>
      </c>
    </row>
    <row r="525" spans="1:15">
      <c r="A525" s="19">
        <v>43081</v>
      </c>
      <c r="B525">
        <v>1241</v>
      </c>
      <c r="C525">
        <v>1248</v>
      </c>
      <c r="D525">
        <v>3800</v>
      </c>
      <c r="E525">
        <v>3806</v>
      </c>
      <c r="F525">
        <v>0.32790331056227001</v>
      </c>
      <c r="G525">
        <v>0.35330101220673499</v>
      </c>
      <c r="H525">
        <v>1.42161799663999E-2</v>
      </c>
      <c r="I525">
        <v>-1.7865348992832399</v>
      </c>
      <c r="J525">
        <v>-7.75</v>
      </c>
      <c r="L525">
        <v>0.36751719217313489</v>
      </c>
      <c r="M525">
        <v>0.33908483224033509</v>
      </c>
      <c r="N525">
        <v>0.38173337213953479</v>
      </c>
      <c r="O525">
        <v>0.32486865227393519</v>
      </c>
    </row>
    <row r="526" spans="1:15">
      <c r="A526" s="19">
        <v>43080</v>
      </c>
      <c r="B526">
        <v>1242</v>
      </c>
      <c r="C526">
        <v>1243</v>
      </c>
      <c r="D526">
        <v>3781</v>
      </c>
      <c r="E526">
        <v>3789</v>
      </c>
      <c r="F526">
        <v>0.328054895750857</v>
      </c>
      <c r="G526">
        <v>0.353721391807783</v>
      </c>
      <c r="H526">
        <v>1.39220554564231E-2</v>
      </c>
      <c r="I526">
        <v>-1.8435852476858201</v>
      </c>
      <c r="J526">
        <v>-7.82</v>
      </c>
      <c r="L526">
        <v>0.36764344726420611</v>
      </c>
      <c r="M526">
        <v>0.33979933635135989</v>
      </c>
      <c r="N526">
        <v>0.38156550272062922</v>
      </c>
      <c r="O526">
        <v>0.32587728089493678</v>
      </c>
    </row>
    <row r="527" spans="1:15">
      <c r="A527" s="19">
        <v>43077</v>
      </c>
      <c r="B527">
        <v>1245</v>
      </c>
      <c r="C527">
        <v>1241</v>
      </c>
      <c r="D527">
        <v>3735</v>
      </c>
      <c r="E527">
        <v>3773</v>
      </c>
      <c r="F527">
        <v>0.32891598197720601</v>
      </c>
      <c r="G527">
        <v>0.35413444323086202</v>
      </c>
      <c r="H527">
        <v>1.36105000667923E-2</v>
      </c>
      <c r="I527">
        <v>-1.85286808933534</v>
      </c>
      <c r="J527">
        <v>-7.67</v>
      </c>
      <c r="L527">
        <v>0.36774494329765434</v>
      </c>
      <c r="M527">
        <v>0.3405239431640697</v>
      </c>
      <c r="N527">
        <v>0.3813554433644466</v>
      </c>
      <c r="O527">
        <v>0.32691344309727743</v>
      </c>
    </row>
    <row r="528" spans="1:15">
      <c r="A528" s="19">
        <v>43076</v>
      </c>
      <c r="B528">
        <v>1230</v>
      </c>
      <c r="C528">
        <v>1230</v>
      </c>
      <c r="D528">
        <v>3733</v>
      </c>
      <c r="E528">
        <v>3756</v>
      </c>
      <c r="F528">
        <v>0.32747603833865802</v>
      </c>
      <c r="G528">
        <v>0.354494659516364</v>
      </c>
      <c r="H528">
        <v>1.32920817911883E-2</v>
      </c>
      <c r="I528">
        <v>-2.0326854440225701</v>
      </c>
      <c r="J528">
        <v>-8.25</v>
      </c>
      <c r="L528">
        <v>0.36778674130755229</v>
      </c>
      <c r="M528">
        <v>0.3412025777251757</v>
      </c>
      <c r="N528">
        <v>0.38107882309874058</v>
      </c>
      <c r="O528">
        <v>0.32791049593398741</v>
      </c>
    </row>
    <row r="529" spans="1:15">
      <c r="A529" s="19">
        <v>43075</v>
      </c>
      <c r="B529">
        <v>1245</v>
      </c>
      <c r="C529">
        <v>1225</v>
      </c>
      <c r="D529">
        <v>3745</v>
      </c>
      <c r="E529">
        <v>3723</v>
      </c>
      <c r="F529">
        <v>0.32903572387859198</v>
      </c>
      <c r="G529">
        <v>0.35488769423696997</v>
      </c>
      <c r="H529">
        <v>1.2917901202234801E-2</v>
      </c>
      <c r="I529">
        <v>-2.0012515929371801</v>
      </c>
      <c r="J529">
        <v>-7.86</v>
      </c>
      <c r="L529">
        <v>0.36780559543920477</v>
      </c>
      <c r="M529">
        <v>0.34196979303473518</v>
      </c>
      <c r="N529">
        <v>0.38072349664143956</v>
      </c>
      <c r="O529">
        <v>0.32905189183250039</v>
      </c>
    </row>
    <row r="530" spans="1:15">
      <c r="A530" s="19">
        <v>43074</v>
      </c>
      <c r="B530">
        <v>1234</v>
      </c>
      <c r="C530">
        <v>1237</v>
      </c>
      <c r="D530">
        <v>3784</v>
      </c>
      <c r="E530">
        <v>3767</v>
      </c>
      <c r="F530">
        <v>0.32837801964427898</v>
      </c>
      <c r="G530">
        <v>0.35529844806427802</v>
      </c>
      <c r="H530">
        <v>1.2574568152678401E-2</v>
      </c>
      <c r="I530">
        <v>-2.1408630573341099</v>
      </c>
      <c r="J530">
        <v>-8.1999999999999993</v>
      </c>
      <c r="L530">
        <v>0.36787301621695639</v>
      </c>
      <c r="M530">
        <v>0.34272387991159964</v>
      </c>
      <c r="N530">
        <v>0.38044758436963483</v>
      </c>
      <c r="O530">
        <v>0.3301493117589212</v>
      </c>
    </row>
    <row r="531" spans="1:15">
      <c r="A531" s="19">
        <v>43073</v>
      </c>
      <c r="B531">
        <v>1257</v>
      </c>
      <c r="C531">
        <v>1247</v>
      </c>
      <c r="D531">
        <v>3798</v>
      </c>
      <c r="E531">
        <v>3787</v>
      </c>
      <c r="F531">
        <v>0.32928439397940301</v>
      </c>
      <c r="G531">
        <v>0.35571868104424398</v>
      </c>
      <c r="H531">
        <v>1.21886072446338E-2</v>
      </c>
      <c r="I531">
        <v>-2.1687701091918599</v>
      </c>
      <c r="J531">
        <v>-8.0299999999999994</v>
      </c>
      <c r="L531">
        <v>0.36790728828887775</v>
      </c>
      <c r="M531">
        <v>0.3435300737996102</v>
      </c>
      <c r="N531">
        <v>0.38009589553351159</v>
      </c>
      <c r="O531">
        <v>0.33134146655497637</v>
      </c>
    </row>
    <row r="532" spans="1:15">
      <c r="A532" s="19">
        <v>43070</v>
      </c>
      <c r="B532">
        <v>1251</v>
      </c>
      <c r="C532">
        <v>1247</v>
      </c>
      <c r="D532">
        <v>3753</v>
      </c>
      <c r="E532">
        <v>3775</v>
      </c>
      <c r="F532">
        <v>0.33033112582781399</v>
      </c>
      <c r="G532">
        <v>0.356158065389789</v>
      </c>
      <c r="H532">
        <v>1.18160424571942E-2</v>
      </c>
      <c r="I532">
        <v>-2.1857520955546699</v>
      </c>
      <c r="J532">
        <v>-7.82</v>
      </c>
      <c r="L532">
        <v>0.3679741078469832</v>
      </c>
      <c r="M532">
        <v>0.3443420229325948</v>
      </c>
      <c r="N532">
        <v>0.3797901503041774</v>
      </c>
      <c r="O532">
        <v>0.33252598047540061</v>
      </c>
    </row>
    <row r="533" spans="1:15">
      <c r="A533" s="19">
        <v>43069</v>
      </c>
      <c r="B533">
        <v>1248</v>
      </c>
      <c r="C533">
        <v>1250</v>
      </c>
      <c r="D533">
        <v>3750</v>
      </c>
      <c r="E533">
        <v>3744</v>
      </c>
      <c r="F533">
        <v>0.33386752136752101</v>
      </c>
      <c r="G533">
        <v>0.35662333035235799</v>
      </c>
      <c r="H533">
        <v>1.1471922643229399E-2</v>
      </c>
      <c r="I533">
        <v>-1.98360899846784</v>
      </c>
      <c r="J533">
        <v>-6.82</v>
      </c>
      <c r="L533">
        <v>0.36809525299558737</v>
      </c>
      <c r="M533">
        <v>0.34515140770912861</v>
      </c>
      <c r="N533">
        <v>0.37956717563881681</v>
      </c>
      <c r="O533">
        <v>0.33367948506589917</v>
      </c>
    </row>
    <row r="534" spans="1:15">
      <c r="A534" s="19">
        <v>43068</v>
      </c>
      <c r="B534">
        <v>1244</v>
      </c>
      <c r="C534">
        <v>1255</v>
      </c>
      <c r="D534">
        <v>3730</v>
      </c>
      <c r="E534">
        <v>3721</v>
      </c>
      <c r="F534">
        <v>0.33727492609513499</v>
      </c>
      <c r="G534">
        <v>0.35698008048981</v>
      </c>
      <c r="H534">
        <v>1.11707995259168E-2</v>
      </c>
      <c r="I534">
        <v>-1.76398782817267</v>
      </c>
      <c r="J534">
        <v>-5.84</v>
      </c>
      <c r="L534">
        <v>0.36815088001572682</v>
      </c>
      <c r="M534">
        <v>0.34580928096389318</v>
      </c>
      <c r="N534">
        <v>0.37932167954164359</v>
      </c>
      <c r="O534">
        <v>0.33463848143797642</v>
      </c>
    </row>
    <row r="535" spans="1:15">
      <c r="A535" s="19">
        <v>43067</v>
      </c>
      <c r="B535">
        <v>1236</v>
      </c>
      <c r="C535">
        <v>1225</v>
      </c>
      <c r="D535">
        <v>3685</v>
      </c>
      <c r="E535">
        <v>3713</v>
      </c>
      <c r="F535">
        <v>0.32992189604093702</v>
      </c>
      <c r="G535">
        <v>0.35738759536409698</v>
      </c>
      <c r="H535">
        <v>1.1000706095562401E-2</v>
      </c>
      <c r="I535">
        <v>-2.4967214908358799</v>
      </c>
      <c r="J535">
        <v>-8.32</v>
      </c>
      <c r="L535">
        <v>0.3683883014596594</v>
      </c>
      <c r="M535">
        <v>0.34638688926853456</v>
      </c>
      <c r="N535">
        <v>0.37938900755522176</v>
      </c>
      <c r="O535">
        <v>0.3353861831729722</v>
      </c>
    </row>
    <row r="536" spans="1:15">
      <c r="A536" s="19">
        <v>43066</v>
      </c>
      <c r="B536">
        <v>1255</v>
      </c>
      <c r="C536">
        <v>1236</v>
      </c>
      <c r="D536">
        <v>3719</v>
      </c>
      <c r="E536">
        <v>3675</v>
      </c>
      <c r="F536">
        <v>0.33632653061224399</v>
      </c>
      <c r="G536">
        <v>0.35818216092733801</v>
      </c>
      <c r="H536">
        <v>1.1139465204095899E-2</v>
      </c>
      <c r="I536">
        <v>-1.9619999627142799</v>
      </c>
      <c r="J536">
        <v>-6.5</v>
      </c>
      <c r="L536">
        <v>0.36932162613143393</v>
      </c>
      <c r="M536">
        <v>0.34704269572324209</v>
      </c>
      <c r="N536">
        <v>0.3804610913355298</v>
      </c>
      <c r="O536">
        <v>0.33590323051914622</v>
      </c>
    </row>
    <row r="537" spans="1:15">
      <c r="A537" s="19">
        <v>43063</v>
      </c>
      <c r="B537">
        <v>1243</v>
      </c>
      <c r="C537">
        <v>1250</v>
      </c>
      <c r="D537">
        <v>3681</v>
      </c>
      <c r="E537">
        <v>3688</v>
      </c>
      <c r="F537">
        <v>0.33893709327548799</v>
      </c>
      <c r="G537">
        <v>0.35880174066841197</v>
      </c>
      <c r="H537">
        <v>1.1198755448739399E-2</v>
      </c>
      <c r="I537">
        <v>-1.77382634024397</v>
      </c>
      <c r="J537">
        <v>-5.86</v>
      </c>
      <c r="L537">
        <v>0.37000049611715136</v>
      </c>
      <c r="M537">
        <v>0.34760298521967259</v>
      </c>
      <c r="N537">
        <v>0.3811992515658908</v>
      </c>
      <c r="O537">
        <v>0.33640422977093315</v>
      </c>
    </row>
    <row r="538" spans="1:15">
      <c r="A538" s="19">
        <v>43061</v>
      </c>
      <c r="B538">
        <v>1252</v>
      </c>
      <c r="C538">
        <v>1252</v>
      </c>
      <c r="D538">
        <v>3735</v>
      </c>
      <c r="E538">
        <v>3715</v>
      </c>
      <c r="F538">
        <v>0.33701211305518097</v>
      </c>
      <c r="G538">
        <v>0.35939404609140602</v>
      </c>
      <c r="H538">
        <v>1.130669490573E-2</v>
      </c>
      <c r="I538">
        <v>-1.9795292278455201</v>
      </c>
      <c r="J538">
        <v>-6.64</v>
      </c>
      <c r="L538">
        <v>0.37070074099713601</v>
      </c>
      <c r="M538">
        <v>0.34808735118567602</v>
      </c>
      <c r="N538">
        <v>0.38200743590286601</v>
      </c>
      <c r="O538">
        <v>0.33678065627994602</v>
      </c>
    </row>
    <row r="539" spans="1:15">
      <c r="A539" s="19">
        <v>43060</v>
      </c>
      <c r="B539">
        <v>1250</v>
      </c>
      <c r="C539">
        <v>1247</v>
      </c>
      <c r="D539">
        <v>3702</v>
      </c>
      <c r="E539">
        <v>3701</v>
      </c>
      <c r="F539">
        <v>0.33693596325317399</v>
      </c>
      <c r="G539">
        <v>0.35993247171116199</v>
      </c>
      <c r="H539">
        <v>1.11889273977109E-2</v>
      </c>
      <c r="I539">
        <v>-2.0552915968238699</v>
      </c>
      <c r="J539">
        <v>-6.83</v>
      </c>
      <c r="L539">
        <v>0.37112139910887287</v>
      </c>
      <c r="M539">
        <v>0.34874354431345111</v>
      </c>
      <c r="N539">
        <v>0.38231032650658381</v>
      </c>
      <c r="O539">
        <v>0.33755461691574018</v>
      </c>
    </row>
    <row r="540" spans="1:15">
      <c r="A540" s="19">
        <v>43059</v>
      </c>
      <c r="B540">
        <v>1234</v>
      </c>
      <c r="C540">
        <v>1248</v>
      </c>
      <c r="D540">
        <v>3670</v>
      </c>
      <c r="E540">
        <v>3687</v>
      </c>
      <c r="F540">
        <v>0.33848657445077202</v>
      </c>
      <c r="G540">
        <v>0.360451400622609</v>
      </c>
      <c r="H540">
        <v>1.10114596684048E-2</v>
      </c>
      <c r="I540">
        <v>-1.9947242993460701</v>
      </c>
      <c r="J540">
        <v>-6.49</v>
      </c>
      <c r="L540">
        <v>0.37146286029101377</v>
      </c>
      <c r="M540">
        <v>0.34943994095420422</v>
      </c>
      <c r="N540">
        <v>0.38247431995941861</v>
      </c>
      <c r="O540">
        <v>0.33842848128579939</v>
      </c>
    </row>
    <row r="541" spans="1:15">
      <c r="A541" s="19">
        <v>43056</v>
      </c>
      <c r="B541">
        <v>1250</v>
      </c>
      <c r="C541">
        <v>1241</v>
      </c>
      <c r="D541">
        <v>3719</v>
      </c>
      <c r="E541">
        <v>3670</v>
      </c>
      <c r="F541">
        <v>0.33814713896457699</v>
      </c>
      <c r="G541">
        <v>0.36114025034733999</v>
      </c>
      <c r="H541">
        <v>1.12296637040385E-2</v>
      </c>
      <c r="I541">
        <v>-2.0475333891337599</v>
      </c>
      <c r="J541">
        <v>-6.8</v>
      </c>
      <c r="L541">
        <v>0.37236991405137848</v>
      </c>
      <c r="M541">
        <v>0.34991058664330149</v>
      </c>
      <c r="N541">
        <v>0.38359957775541698</v>
      </c>
      <c r="O541">
        <v>0.338680922939263</v>
      </c>
    </row>
    <row r="542" spans="1:15">
      <c r="A542" s="19">
        <v>43055</v>
      </c>
      <c r="B542">
        <v>1227</v>
      </c>
      <c r="C542">
        <v>1231</v>
      </c>
      <c r="D542">
        <v>3640</v>
      </c>
      <c r="E542">
        <v>3660</v>
      </c>
      <c r="F542">
        <v>0.336338797814207</v>
      </c>
      <c r="G542">
        <v>0.36174959694578701</v>
      </c>
      <c r="H542">
        <v>1.12053666155597E-2</v>
      </c>
      <c r="I542">
        <v>-2.2677347384863298</v>
      </c>
      <c r="J542">
        <v>-7.56</v>
      </c>
      <c r="L542">
        <v>0.37295496356134672</v>
      </c>
      <c r="M542">
        <v>0.3505442303302273</v>
      </c>
      <c r="N542">
        <v>0.38416033017690643</v>
      </c>
      <c r="O542">
        <v>0.33933886371466759</v>
      </c>
    </row>
    <row r="543" spans="1:15">
      <c r="A543" s="19">
        <v>43054</v>
      </c>
      <c r="B543">
        <v>1257</v>
      </c>
      <c r="C543">
        <v>1237</v>
      </c>
      <c r="D543">
        <v>3667</v>
      </c>
      <c r="E543">
        <v>3620</v>
      </c>
      <c r="F543">
        <v>0.34171270718232</v>
      </c>
      <c r="G543">
        <v>0.36243461706982899</v>
      </c>
      <c r="H543">
        <v>1.12013889160309E-2</v>
      </c>
      <c r="I543">
        <v>-1.84994111380708</v>
      </c>
      <c r="J543">
        <v>-6.06</v>
      </c>
      <c r="L543">
        <v>0.37363600598585989</v>
      </c>
      <c r="M543">
        <v>0.35123322815379809</v>
      </c>
      <c r="N543">
        <v>0.38483739490189078</v>
      </c>
      <c r="O543">
        <v>0.3400318392377672</v>
      </c>
    </row>
    <row r="544" spans="1:15">
      <c r="A544" s="19">
        <v>43053</v>
      </c>
      <c r="B544">
        <v>1268</v>
      </c>
      <c r="C544">
        <v>1271</v>
      </c>
      <c r="D544">
        <v>3735</v>
      </c>
      <c r="E544">
        <v>3710</v>
      </c>
      <c r="F544">
        <v>0.34258760107816699</v>
      </c>
      <c r="G544">
        <v>0.36309922686151003</v>
      </c>
      <c r="H544">
        <v>1.1428622059799999E-2</v>
      </c>
      <c r="I544">
        <v>-1.79475930484155</v>
      </c>
      <c r="J544">
        <v>-5.99</v>
      </c>
      <c r="L544">
        <v>0.37452784892131002</v>
      </c>
      <c r="M544">
        <v>0.35167060480171003</v>
      </c>
      <c r="N544">
        <v>0.38595647098111002</v>
      </c>
      <c r="O544">
        <v>0.34024198274191003</v>
      </c>
    </row>
    <row r="545" spans="1:15">
      <c r="A545" s="19">
        <v>43052</v>
      </c>
      <c r="B545">
        <v>1253</v>
      </c>
      <c r="C545">
        <v>1260</v>
      </c>
      <c r="D545">
        <v>3764</v>
      </c>
      <c r="E545">
        <v>3722</v>
      </c>
      <c r="F545">
        <v>0.33852767329392802</v>
      </c>
      <c r="G545">
        <v>0.36374182169469499</v>
      </c>
      <c r="H545">
        <v>1.1610717184636E-2</v>
      </c>
      <c r="I545">
        <v>-2.1716271268868899</v>
      </c>
      <c r="J545">
        <v>-7.45</v>
      </c>
      <c r="L545">
        <v>0.37535253887933101</v>
      </c>
      <c r="M545">
        <v>0.35213110451005897</v>
      </c>
      <c r="N545">
        <v>0.38696325606396698</v>
      </c>
      <c r="O545">
        <v>0.340520387325423</v>
      </c>
    </row>
    <row r="546" spans="1:15">
      <c r="A546" s="19">
        <v>43049</v>
      </c>
      <c r="B546">
        <v>1214</v>
      </c>
      <c r="C546">
        <v>1256</v>
      </c>
      <c r="D546">
        <v>3722</v>
      </c>
      <c r="E546">
        <v>3768</v>
      </c>
      <c r="F546">
        <v>0.33333333333333298</v>
      </c>
      <c r="G546">
        <v>0.36444664515058001</v>
      </c>
      <c r="H546">
        <v>1.16630672984864E-2</v>
      </c>
      <c r="I546">
        <v>-2.6676783234617001</v>
      </c>
      <c r="J546">
        <v>-9.33</v>
      </c>
      <c r="L546">
        <v>0.37610971244906638</v>
      </c>
      <c r="M546">
        <v>0.35278357785209363</v>
      </c>
      <c r="N546">
        <v>0.38777277974755281</v>
      </c>
      <c r="O546">
        <v>0.3411205105536072</v>
      </c>
    </row>
    <row r="547" spans="1:15">
      <c r="A547" s="19">
        <v>43048</v>
      </c>
      <c r="B547">
        <v>1249</v>
      </c>
      <c r="C547">
        <v>1226</v>
      </c>
      <c r="D547">
        <v>3844</v>
      </c>
      <c r="E547">
        <v>3786</v>
      </c>
      <c r="F547">
        <v>0.32382461701003601</v>
      </c>
      <c r="G547">
        <v>0.36525313211091298</v>
      </c>
      <c r="H547">
        <v>1.15746856689117E-2</v>
      </c>
      <c r="I547">
        <v>-3.5792345715399301</v>
      </c>
      <c r="J547">
        <v>-12.79</v>
      </c>
      <c r="L547">
        <v>0.37682781777982466</v>
      </c>
      <c r="M547">
        <v>0.3536784464420013</v>
      </c>
      <c r="N547">
        <v>0.38840250344873639</v>
      </c>
      <c r="O547">
        <v>0.34210376077308957</v>
      </c>
    </row>
    <row r="548" spans="1:15">
      <c r="A548" s="19">
        <v>43047</v>
      </c>
      <c r="B548">
        <v>1344</v>
      </c>
      <c r="C548">
        <v>1343</v>
      </c>
      <c r="D548">
        <v>3822</v>
      </c>
      <c r="E548">
        <v>3836</v>
      </c>
      <c r="F548">
        <v>0.35010427528675703</v>
      </c>
      <c r="G548">
        <v>0.36611102321657901</v>
      </c>
      <c r="H548">
        <v>1.08329750355802E-2</v>
      </c>
      <c r="I548">
        <v>-1.4775948321905501</v>
      </c>
      <c r="J548">
        <v>-4.57</v>
      </c>
      <c r="L548">
        <v>0.37694399825215918</v>
      </c>
      <c r="M548">
        <v>0.35527804818099884</v>
      </c>
      <c r="N548">
        <v>0.38777697328773941</v>
      </c>
      <c r="O548">
        <v>0.34444507314541861</v>
      </c>
    </row>
    <row r="549" spans="1:15">
      <c r="A549" s="19">
        <v>43046</v>
      </c>
      <c r="B549">
        <v>1326</v>
      </c>
      <c r="C549">
        <v>1351</v>
      </c>
      <c r="D549">
        <v>3841</v>
      </c>
      <c r="E549">
        <v>3837</v>
      </c>
      <c r="F549">
        <v>0.35209799322387197</v>
      </c>
      <c r="G549">
        <v>0.36662313185758699</v>
      </c>
      <c r="H549">
        <v>1.09711371114097E-2</v>
      </c>
      <c r="I549">
        <v>-1.32394103603073</v>
      </c>
      <c r="J549">
        <v>-4.13</v>
      </c>
      <c r="L549">
        <v>0.37759426896899667</v>
      </c>
      <c r="M549">
        <v>0.35565199474617731</v>
      </c>
      <c r="N549">
        <v>0.38856540608040641</v>
      </c>
      <c r="O549">
        <v>0.34468085763476758</v>
      </c>
    </row>
    <row r="550" spans="1:15">
      <c r="A550" s="19">
        <v>43045</v>
      </c>
      <c r="B550">
        <v>1323</v>
      </c>
      <c r="C550">
        <v>1327</v>
      </c>
      <c r="D550">
        <v>3770</v>
      </c>
      <c r="E550">
        <v>3829</v>
      </c>
      <c r="F550">
        <v>0.34656568294593798</v>
      </c>
      <c r="G550">
        <v>0.36712206468599301</v>
      </c>
      <c r="H550">
        <v>1.11486692520508E-2</v>
      </c>
      <c r="I550">
        <v>-1.8438417424817499</v>
      </c>
      <c r="J550">
        <v>-5.93</v>
      </c>
      <c r="L550">
        <v>0.37827073393804383</v>
      </c>
      <c r="M550">
        <v>0.35597339543394219</v>
      </c>
      <c r="N550">
        <v>0.3894194031900946</v>
      </c>
      <c r="O550">
        <v>0.34482472618189142</v>
      </c>
    </row>
    <row r="551" spans="1:15">
      <c r="A551" s="19">
        <v>43041</v>
      </c>
      <c r="B551">
        <v>1330</v>
      </c>
      <c r="C551">
        <v>1324</v>
      </c>
      <c r="D551">
        <v>3700</v>
      </c>
      <c r="E551">
        <v>3762</v>
      </c>
      <c r="F551">
        <v>0.351940457203615</v>
      </c>
      <c r="G551">
        <v>0.367712213891847</v>
      </c>
      <c r="H551">
        <v>1.12161754478065E-2</v>
      </c>
      <c r="I551">
        <v>-1.40616173147654</v>
      </c>
      <c r="J551">
        <v>-4.4800000000000004</v>
      </c>
      <c r="L551">
        <v>0.3789283893396535</v>
      </c>
      <c r="M551">
        <v>0.35649603844404049</v>
      </c>
      <c r="N551">
        <v>0.39014456478746001</v>
      </c>
      <c r="O551">
        <v>0.34527986299623398</v>
      </c>
    </row>
    <row r="552" spans="1:15">
      <c r="A552" s="19">
        <v>43040</v>
      </c>
      <c r="B552">
        <v>1304</v>
      </c>
      <c r="C552">
        <v>1314</v>
      </c>
      <c r="D552">
        <v>3542</v>
      </c>
      <c r="E552">
        <v>3576</v>
      </c>
      <c r="F552">
        <v>0.36744966442952998</v>
      </c>
      <c r="G552">
        <v>0.36823984038461</v>
      </c>
      <c r="H552">
        <v>1.13912351094056E-2</v>
      </c>
      <c r="I552">
        <v>-6.9367013101802599E-2</v>
      </c>
      <c r="J552">
        <v>-0.22</v>
      </c>
      <c r="L552">
        <v>0.37963107549401559</v>
      </c>
      <c r="M552">
        <v>0.3568486052752044</v>
      </c>
      <c r="N552">
        <v>0.39102231060342119</v>
      </c>
      <c r="O552">
        <v>0.3454573701657988</v>
      </c>
    </row>
    <row r="553" spans="1:15">
      <c r="A553" s="19">
        <v>43039</v>
      </c>
      <c r="B553">
        <v>1282</v>
      </c>
      <c r="C553">
        <v>1288</v>
      </c>
      <c r="D553">
        <v>3526</v>
      </c>
      <c r="E553">
        <v>3523</v>
      </c>
      <c r="F553">
        <v>0.36559750212886699</v>
      </c>
      <c r="G553">
        <v>0.36865486502495598</v>
      </c>
      <c r="H553">
        <v>1.19101014181084E-2</v>
      </c>
      <c r="I553">
        <v>-0.25670334691194502</v>
      </c>
      <c r="J553">
        <v>-0.84</v>
      </c>
      <c r="L553">
        <v>0.38056496644306437</v>
      </c>
      <c r="M553">
        <v>0.35674476360684759</v>
      </c>
      <c r="N553">
        <v>0.39247506786117276</v>
      </c>
      <c r="O553">
        <v>0.3448346621887392</v>
      </c>
    </row>
    <row r="554" spans="1:15">
      <c r="A554" s="19">
        <v>43038</v>
      </c>
      <c r="B554">
        <v>1282</v>
      </c>
      <c r="C554">
        <v>1292</v>
      </c>
      <c r="D554">
        <v>3521</v>
      </c>
      <c r="E554">
        <v>3542</v>
      </c>
      <c r="F554">
        <v>0.36476566911349501</v>
      </c>
      <c r="G554">
        <v>0.36907833027748199</v>
      </c>
      <c r="H554">
        <v>1.2350345362583601E-2</v>
      </c>
      <c r="I554">
        <v>-0.34919356806433699</v>
      </c>
      <c r="J554">
        <v>-1.18</v>
      </c>
      <c r="L554">
        <v>0.38142867564006561</v>
      </c>
      <c r="M554">
        <v>0.35672798491489838</v>
      </c>
      <c r="N554">
        <v>0.39377902100264917</v>
      </c>
      <c r="O554">
        <v>0.34437763955231482</v>
      </c>
    </row>
    <row r="555" spans="1:15">
      <c r="A555" s="19">
        <v>43035</v>
      </c>
      <c r="B555">
        <v>1273</v>
      </c>
      <c r="C555">
        <v>1280</v>
      </c>
      <c r="D555">
        <v>3517</v>
      </c>
      <c r="E555">
        <v>3536</v>
      </c>
      <c r="F555">
        <v>0.361990950226244</v>
      </c>
      <c r="G555">
        <v>0.36954554403638101</v>
      </c>
      <c r="H555">
        <v>1.28317779301959E-2</v>
      </c>
      <c r="I555">
        <v>-0.58874100309667698</v>
      </c>
      <c r="J555">
        <v>-2.09</v>
      </c>
      <c r="L555">
        <v>0.38237732196657692</v>
      </c>
      <c r="M555">
        <v>0.3567137661061851</v>
      </c>
      <c r="N555">
        <v>0.39520909989677283</v>
      </c>
      <c r="O555">
        <v>0.34388198817598919</v>
      </c>
    </row>
    <row r="556" spans="1:15">
      <c r="A556" s="19">
        <v>43034</v>
      </c>
      <c r="B556">
        <v>1271</v>
      </c>
      <c r="C556">
        <v>1271</v>
      </c>
      <c r="D556">
        <v>3475</v>
      </c>
      <c r="E556">
        <v>3508</v>
      </c>
      <c r="F556">
        <v>0.36231470923603099</v>
      </c>
      <c r="G556">
        <v>0.37000250318800398</v>
      </c>
      <c r="H556">
        <v>1.3160634733774001E-2</v>
      </c>
      <c r="I556">
        <v>-0.58415069694498301</v>
      </c>
      <c r="J556">
        <v>-2.12</v>
      </c>
      <c r="L556">
        <v>0.38316313792177797</v>
      </c>
      <c r="M556">
        <v>0.35684186845422999</v>
      </c>
      <c r="N556">
        <v>0.39632377265555196</v>
      </c>
      <c r="O556">
        <v>0.343681233720456</v>
      </c>
    </row>
    <row r="557" spans="1:15">
      <c r="A557" s="19">
        <v>43033</v>
      </c>
      <c r="B557">
        <v>1285</v>
      </c>
      <c r="C557">
        <v>1287</v>
      </c>
      <c r="D557">
        <v>3500</v>
      </c>
      <c r="E557">
        <v>3488</v>
      </c>
      <c r="F557">
        <v>0.36897935779816499</v>
      </c>
      <c r="G557">
        <v>0.37042377299726198</v>
      </c>
      <c r="H557">
        <v>1.34111030968561E-2</v>
      </c>
      <c r="I557">
        <v>-0.107702937533559</v>
      </c>
      <c r="J557">
        <v>-0.39</v>
      </c>
      <c r="L557">
        <v>0.38383487609411809</v>
      </c>
      <c r="M557">
        <v>0.35701266990040587</v>
      </c>
      <c r="N557">
        <v>0.39724597919097415</v>
      </c>
      <c r="O557">
        <v>0.34360156680354981</v>
      </c>
    </row>
    <row r="558" spans="1:15">
      <c r="A558" s="19">
        <v>43032</v>
      </c>
      <c r="B558">
        <v>1276</v>
      </c>
      <c r="C558">
        <v>1290</v>
      </c>
      <c r="D558">
        <v>3454</v>
      </c>
      <c r="E558">
        <v>3493</v>
      </c>
      <c r="F558">
        <v>0.36931004866876599</v>
      </c>
      <c r="G558">
        <v>0.370700695550926</v>
      </c>
      <c r="H558">
        <v>1.35916325523248E-2</v>
      </c>
      <c r="I558">
        <v>-0.10231639774006999</v>
      </c>
      <c r="J558">
        <v>-0.38</v>
      </c>
      <c r="L558">
        <v>0.38429232810325081</v>
      </c>
      <c r="M558">
        <v>0.35710906299860118</v>
      </c>
      <c r="N558">
        <v>0.39788396065557557</v>
      </c>
      <c r="O558">
        <v>0.34351743044627642</v>
      </c>
    </row>
    <row r="559" spans="1:15">
      <c r="A559" s="19">
        <v>43031</v>
      </c>
      <c r="B559">
        <v>1292</v>
      </c>
      <c r="C559">
        <v>1279</v>
      </c>
      <c r="D559">
        <v>3455</v>
      </c>
      <c r="E559">
        <v>3471</v>
      </c>
      <c r="F559">
        <v>0.36848170556035698</v>
      </c>
      <c r="G559">
        <v>0.370881323473438</v>
      </c>
      <c r="H559">
        <v>1.36617880658352E-2</v>
      </c>
      <c r="I559">
        <v>-0.17564449847395699</v>
      </c>
      <c r="J559">
        <v>-0.65</v>
      </c>
      <c r="L559">
        <v>0.38454311153927317</v>
      </c>
      <c r="M559">
        <v>0.35721953540760282</v>
      </c>
      <c r="N559">
        <v>0.39820489960510841</v>
      </c>
      <c r="O559">
        <v>0.34355774734176758</v>
      </c>
    </row>
    <row r="560" spans="1:15">
      <c r="A560" s="19">
        <v>43028</v>
      </c>
      <c r="B560">
        <v>1254</v>
      </c>
      <c r="C560">
        <v>1277</v>
      </c>
      <c r="D560">
        <v>3420</v>
      </c>
      <c r="E560">
        <v>3428</v>
      </c>
      <c r="F560">
        <v>0.37252042007001102</v>
      </c>
      <c r="G560">
        <v>0.37105348555786799</v>
      </c>
      <c r="H560">
        <v>1.37117304042057E-2</v>
      </c>
      <c r="I560">
        <v>0.106983908587761</v>
      </c>
      <c r="J560">
        <v>0.39</v>
      </c>
      <c r="L560">
        <v>0.38476521596207369</v>
      </c>
      <c r="M560">
        <v>0.35734175515366229</v>
      </c>
      <c r="N560">
        <v>0.39847694636627939</v>
      </c>
      <c r="O560">
        <v>0.34363002474945659</v>
      </c>
    </row>
    <row r="561" spans="1:15">
      <c r="A561" s="19">
        <v>43027</v>
      </c>
      <c r="B561">
        <v>1256</v>
      </c>
      <c r="C561">
        <v>1265</v>
      </c>
      <c r="D561">
        <v>3447</v>
      </c>
      <c r="E561">
        <v>3455</v>
      </c>
      <c r="F561">
        <v>0.36613603473227202</v>
      </c>
      <c r="G561">
        <v>0.37124250793215402</v>
      </c>
      <c r="H561">
        <v>1.3827873931195099E-2</v>
      </c>
      <c r="I561">
        <v>-0.36928838267483699</v>
      </c>
      <c r="J561">
        <v>-1.39</v>
      </c>
      <c r="L561">
        <v>0.38507038186334913</v>
      </c>
      <c r="M561">
        <v>0.35741463400095891</v>
      </c>
      <c r="N561">
        <v>0.39889825579454424</v>
      </c>
      <c r="O561">
        <v>0.3435867600697638</v>
      </c>
    </row>
    <row r="562" spans="1:15">
      <c r="A562" s="19">
        <v>43026</v>
      </c>
      <c r="B562">
        <v>1250</v>
      </c>
      <c r="C562">
        <v>1253</v>
      </c>
      <c r="D562">
        <v>3425</v>
      </c>
      <c r="E562">
        <v>3432</v>
      </c>
      <c r="F562">
        <v>0.36509324009324001</v>
      </c>
      <c r="G562">
        <v>0.37149994565878702</v>
      </c>
      <c r="H562">
        <v>1.3909895373532001E-2</v>
      </c>
      <c r="I562">
        <v>-0.46058617937117502</v>
      </c>
      <c r="J562">
        <v>-1.75</v>
      </c>
      <c r="L562">
        <v>0.38540984103231901</v>
      </c>
      <c r="M562">
        <v>0.35759005028525503</v>
      </c>
      <c r="N562">
        <v>0.399319736405851</v>
      </c>
      <c r="O562">
        <v>0.34368015491172305</v>
      </c>
    </row>
    <row r="563" spans="1:15">
      <c r="A563" s="19">
        <v>43025</v>
      </c>
      <c r="B563">
        <v>1248</v>
      </c>
      <c r="C563">
        <v>1243</v>
      </c>
      <c r="D563">
        <v>3415</v>
      </c>
      <c r="E563">
        <v>3427</v>
      </c>
      <c r="F563">
        <v>0.36270790779106998</v>
      </c>
      <c r="G563">
        <v>0.37178551611945498</v>
      </c>
      <c r="H563">
        <v>1.39950274631962E-2</v>
      </c>
      <c r="I563">
        <v>-0.64863097641335399</v>
      </c>
      <c r="J563">
        <v>-2.5</v>
      </c>
      <c r="L563">
        <v>0.38578054358265118</v>
      </c>
      <c r="M563">
        <v>0.35779048865625879</v>
      </c>
      <c r="N563">
        <v>0.39977557104584738</v>
      </c>
      <c r="O563">
        <v>0.34379546119306259</v>
      </c>
    </row>
    <row r="564" spans="1:15">
      <c r="A564" s="19">
        <v>43024</v>
      </c>
      <c r="B564">
        <v>1246</v>
      </c>
      <c r="C564">
        <v>1241</v>
      </c>
      <c r="D564">
        <v>3363</v>
      </c>
      <c r="E564">
        <v>3400</v>
      </c>
      <c r="F564">
        <v>0.36499999999999999</v>
      </c>
      <c r="G564">
        <v>0.372034560915455</v>
      </c>
      <c r="H564">
        <v>1.39974660720317E-2</v>
      </c>
      <c r="I564">
        <v>-0.50255959751966695</v>
      </c>
      <c r="J564">
        <v>-1.93</v>
      </c>
      <c r="L564">
        <v>0.38603202698748673</v>
      </c>
      <c r="M564">
        <v>0.35803709484342328</v>
      </c>
      <c r="N564">
        <v>0.4000294930595184</v>
      </c>
      <c r="O564">
        <v>0.3440396287713916</v>
      </c>
    </row>
    <row r="565" spans="1:15">
      <c r="A565" s="19">
        <v>43021</v>
      </c>
      <c r="B565">
        <v>1243</v>
      </c>
      <c r="C565">
        <v>1246</v>
      </c>
      <c r="D565">
        <v>3413</v>
      </c>
      <c r="E565">
        <v>3387</v>
      </c>
      <c r="F565">
        <v>0.367877177443165</v>
      </c>
      <c r="G565">
        <v>0.37223837787489999</v>
      </c>
      <c r="H565">
        <v>1.40048416957453E-2</v>
      </c>
      <c r="I565">
        <v>-0.311406621115906</v>
      </c>
      <c r="J565">
        <v>-1.19</v>
      </c>
      <c r="L565">
        <v>0.38624321957064528</v>
      </c>
      <c r="M565">
        <v>0.35823353617915471</v>
      </c>
      <c r="N565">
        <v>0.40024806126639062</v>
      </c>
      <c r="O565">
        <v>0.34422869448340937</v>
      </c>
    </row>
    <row r="566" spans="1:15">
      <c r="A566" s="19">
        <v>43020</v>
      </c>
      <c r="B566">
        <v>1251</v>
      </c>
      <c r="C566">
        <v>1245</v>
      </c>
      <c r="D566">
        <v>3413</v>
      </c>
      <c r="E566">
        <v>3407</v>
      </c>
      <c r="F566">
        <v>0.36542412679776898</v>
      </c>
      <c r="G566">
        <v>0.37237956961448299</v>
      </c>
      <c r="H566">
        <v>1.4013538379502701E-2</v>
      </c>
      <c r="I566">
        <v>-0.49633737235756198</v>
      </c>
      <c r="J566">
        <v>-1.9</v>
      </c>
      <c r="L566">
        <v>0.38639310799398568</v>
      </c>
      <c r="M566">
        <v>0.35836603123498029</v>
      </c>
      <c r="N566">
        <v>0.40040664637348838</v>
      </c>
      <c r="O566">
        <v>0.34435249285547759</v>
      </c>
    </row>
    <row r="567" spans="1:15">
      <c r="A567" s="19">
        <v>43019</v>
      </c>
      <c r="B567">
        <v>1254</v>
      </c>
      <c r="C567">
        <v>1250</v>
      </c>
      <c r="D567">
        <v>3396</v>
      </c>
      <c r="E567">
        <v>3401</v>
      </c>
      <c r="F567">
        <v>0.367538959129667</v>
      </c>
      <c r="G567">
        <v>0.37260797753290598</v>
      </c>
      <c r="H567">
        <v>1.40378949488705E-2</v>
      </c>
      <c r="I567">
        <v>-0.36109533670836602</v>
      </c>
      <c r="J567">
        <v>-1.38</v>
      </c>
      <c r="L567">
        <v>0.38664587248177645</v>
      </c>
      <c r="M567">
        <v>0.3585700825840355</v>
      </c>
      <c r="N567">
        <v>0.40068376743064699</v>
      </c>
      <c r="O567">
        <v>0.34453218763516497</v>
      </c>
    </row>
    <row r="568" spans="1:15">
      <c r="A568" s="19">
        <v>43018</v>
      </c>
      <c r="B568">
        <v>1237</v>
      </c>
      <c r="C568">
        <v>1260</v>
      </c>
      <c r="D568">
        <v>3392</v>
      </c>
      <c r="E568">
        <v>3405</v>
      </c>
      <c r="F568">
        <v>0.370044052863436</v>
      </c>
      <c r="G568">
        <v>0.372804338209207</v>
      </c>
      <c r="H568">
        <v>1.40685834026188E-2</v>
      </c>
      <c r="I568">
        <v>-0.19620208138777501</v>
      </c>
      <c r="J568">
        <v>-0.75</v>
      </c>
      <c r="L568">
        <v>0.38687292161182579</v>
      </c>
      <c r="M568">
        <v>0.3587357548065882</v>
      </c>
      <c r="N568">
        <v>0.40094150501444459</v>
      </c>
      <c r="O568">
        <v>0.34466717140396941</v>
      </c>
    </row>
    <row r="569" spans="1:15">
      <c r="A569" s="19">
        <v>43014</v>
      </c>
      <c r="B569">
        <v>1233</v>
      </c>
      <c r="C569">
        <v>1240</v>
      </c>
      <c r="D569">
        <v>3390</v>
      </c>
      <c r="E569">
        <v>3395</v>
      </c>
      <c r="F569">
        <v>0.36524300441826202</v>
      </c>
      <c r="G569">
        <v>0.37294377909549298</v>
      </c>
      <c r="H569">
        <v>1.40923413236853E-2</v>
      </c>
      <c r="I569">
        <v>-0.54645104744149597</v>
      </c>
      <c r="J569">
        <v>-2.11</v>
      </c>
      <c r="L569">
        <v>0.38703612041917829</v>
      </c>
      <c r="M569">
        <v>0.35885143777180767</v>
      </c>
      <c r="N569">
        <v>0.4011284617428636</v>
      </c>
      <c r="O569">
        <v>0.34475909644812236</v>
      </c>
    </row>
    <row r="570" spans="1:15">
      <c r="A570" s="19">
        <v>43013</v>
      </c>
      <c r="B570">
        <v>1230</v>
      </c>
      <c r="C570">
        <v>1223</v>
      </c>
      <c r="D570">
        <v>3407</v>
      </c>
      <c r="E570">
        <v>3388</v>
      </c>
      <c r="F570">
        <v>0.36097992916174698</v>
      </c>
      <c r="G570">
        <v>0.37322281779283401</v>
      </c>
      <c r="H570">
        <v>1.4144196255559099E-2</v>
      </c>
      <c r="I570">
        <v>-0.86557683518249195</v>
      </c>
      <c r="J570">
        <v>-3.39</v>
      </c>
      <c r="L570">
        <v>0.38736701404839313</v>
      </c>
      <c r="M570">
        <v>0.35907862153727488</v>
      </c>
      <c r="N570">
        <v>0.4015112103039522</v>
      </c>
      <c r="O570">
        <v>0.34493442528171581</v>
      </c>
    </row>
    <row r="571" spans="1:15">
      <c r="A571" s="19">
        <v>43012</v>
      </c>
      <c r="B571">
        <v>1224</v>
      </c>
      <c r="C571">
        <v>1222</v>
      </c>
      <c r="D571">
        <v>3412</v>
      </c>
      <c r="E571">
        <v>3370</v>
      </c>
      <c r="F571">
        <v>0.36261127596439102</v>
      </c>
      <c r="G571">
        <v>0.37351955855034702</v>
      </c>
      <c r="H571">
        <v>1.4117663947453601E-2</v>
      </c>
      <c r="I571">
        <v>-0.77266909217817004</v>
      </c>
      <c r="J571">
        <v>-3.01</v>
      </c>
      <c r="L571">
        <v>0.38763722249780064</v>
      </c>
      <c r="M571">
        <v>0.3594018946028934</v>
      </c>
      <c r="N571">
        <v>0.4017548864452542</v>
      </c>
      <c r="O571">
        <v>0.34528423065543984</v>
      </c>
    </row>
    <row r="572" spans="1:15">
      <c r="A572" s="19">
        <v>43011</v>
      </c>
      <c r="B572">
        <v>1214</v>
      </c>
      <c r="C572">
        <v>1221</v>
      </c>
      <c r="D572">
        <v>3361</v>
      </c>
      <c r="E572">
        <v>3387</v>
      </c>
      <c r="F572">
        <v>0.36049601417183302</v>
      </c>
      <c r="G572">
        <v>0.373745948340651</v>
      </c>
      <c r="H572">
        <v>1.40770046767132E-2</v>
      </c>
      <c r="I572">
        <v>-0.94124669793830495</v>
      </c>
      <c r="J572">
        <v>-3.68</v>
      </c>
      <c r="L572">
        <v>0.38782295301736419</v>
      </c>
      <c r="M572">
        <v>0.35966894366393781</v>
      </c>
      <c r="N572">
        <v>0.40189995769407738</v>
      </c>
      <c r="O572">
        <v>0.34559193898722462</v>
      </c>
    </row>
    <row r="573" spans="1:15">
      <c r="A573" s="19">
        <v>43010</v>
      </c>
      <c r="B573">
        <v>1216</v>
      </c>
      <c r="C573">
        <v>1212</v>
      </c>
      <c r="D573">
        <v>3341</v>
      </c>
      <c r="E573">
        <v>3350</v>
      </c>
      <c r="F573">
        <v>0.36179104477611901</v>
      </c>
      <c r="G573">
        <v>0.37404673859112197</v>
      </c>
      <c r="H573">
        <v>1.40316175819853E-2</v>
      </c>
      <c r="I573">
        <v>-0.87343413853709795</v>
      </c>
      <c r="J573">
        <v>-3.39</v>
      </c>
      <c r="L573">
        <v>0.38807835617310726</v>
      </c>
      <c r="M573">
        <v>0.36001512100913668</v>
      </c>
      <c r="N573">
        <v>0.40210997375509255</v>
      </c>
      <c r="O573">
        <v>0.3459835034271514</v>
      </c>
    </row>
    <row r="574" spans="1:15">
      <c r="A574" s="19">
        <v>43007</v>
      </c>
      <c r="B574">
        <v>1220</v>
      </c>
      <c r="C574">
        <v>1213</v>
      </c>
      <c r="D574">
        <v>3335</v>
      </c>
      <c r="E574">
        <v>3332</v>
      </c>
      <c r="F574">
        <v>0.36404561824729798</v>
      </c>
      <c r="G574">
        <v>0.37438821917774501</v>
      </c>
      <c r="H574">
        <v>1.4040840226896299E-2</v>
      </c>
      <c r="I574">
        <v>-0.73660840543108796</v>
      </c>
      <c r="J574">
        <v>-2.84</v>
      </c>
      <c r="L574">
        <v>0.38842905940464129</v>
      </c>
      <c r="M574">
        <v>0.36034737895084873</v>
      </c>
      <c r="N574">
        <v>0.40246989963153762</v>
      </c>
      <c r="O574">
        <v>0.3463065387239524</v>
      </c>
    </row>
    <row r="575" spans="1:15">
      <c r="A575" s="19">
        <v>43006</v>
      </c>
      <c r="B575">
        <v>1199</v>
      </c>
      <c r="C575">
        <v>1218</v>
      </c>
      <c r="D575">
        <v>3360</v>
      </c>
      <c r="E575">
        <v>3362</v>
      </c>
      <c r="F575">
        <v>0.362284354550862</v>
      </c>
      <c r="G575">
        <v>0.37473327443897297</v>
      </c>
      <c r="H575">
        <v>1.4100295330589501E-2</v>
      </c>
      <c r="I575">
        <v>-0.88288362734530801</v>
      </c>
      <c r="J575">
        <v>-3.44</v>
      </c>
      <c r="L575">
        <v>0.38883356976956246</v>
      </c>
      <c r="M575">
        <v>0.36063297910838349</v>
      </c>
      <c r="N575">
        <v>0.402933865100152</v>
      </c>
      <c r="O575">
        <v>0.34653268377779395</v>
      </c>
    </row>
    <row r="576" spans="1:15">
      <c r="A576" s="19">
        <v>43005</v>
      </c>
      <c r="B576">
        <v>1186</v>
      </c>
      <c r="C576">
        <v>1191</v>
      </c>
      <c r="D576">
        <v>3325</v>
      </c>
      <c r="E576">
        <v>3354</v>
      </c>
      <c r="F576">
        <v>0.35509838998211002</v>
      </c>
      <c r="G576">
        <v>0.375043064258269</v>
      </c>
      <c r="H576">
        <v>1.4078600473875999E-2</v>
      </c>
      <c r="I576">
        <v>-1.4166659756534199</v>
      </c>
      <c r="J576">
        <v>-5.62</v>
      </c>
      <c r="L576">
        <v>0.38912166473214499</v>
      </c>
      <c r="M576">
        <v>0.36096446378439301</v>
      </c>
      <c r="N576">
        <v>0.40320026520602098</v>
      </c>
      <c r="O576">
        <v>0.34688586331051702</v>
      </c>
    </row>
    <row r="577" spans="1:15">
      <c r="A577" s="19">
        <v>43004</v>
      </c>
      <c r="B577">
        <v>1189</v>
      </c>
      <c r="C577">
        <v>1202</v>
      </c>
      <c r="D577">
        <v>3351</v>
      </c>
      <c r="E577">
        <v>3360</v>
      </c>
      <c r="F577">
        <v>0.35773809523809502</v>
      </c>
      <c r="G577">
        <v>0.37547698274414398</v>
      </c>
      <c r="H577">
        <v>1.3958200967642199E-2</v>
      </c>
      <c r="I577">
        <v>-1.27085772351117</v>
      </c>
      <c r="J577">
        <v>-4.96</v>
      </c>
      <c r="L577">
        <v>0.3894351837117862</v>
      </c>
      <c r="M577">
        <v>0.36151878177650176</v>
      </c>
      <c r="N577">
        <v>0.40339338467942837</v>
      </c>
      <c r="O577">
        <v>0.3475605808088596</v>
      </c>
    </row>
    <row r="578" spans="1:15">
      <c r="A578" s="19">
        <v>43003</v>
      </c>
      <c r="B578">
        <v>1200</v>
      </c>
      <c r="C578">
        <v>1199</v>
      </c>
      <c r="D578">
        <v>3361</v>
      </c>
      <c r="E578">
        <v>3362</v>
      </c>
      <c r="F578">
        <v>0.356632956573468</v>
      </c>
      <c r="G578">
        <v>0.37582230879285999</v>
      </c>
      <c r="H578">
        <v>1.3834900805757E-2</v>
      </c>
      <c r="I578">
        <v>-1.3870249226078399</v>
      </c>
      <c r="J578">
        <v>-5.38</v>
      </c>
      <c r="L578">
        <v>0.38965720959861699</v>
      </c>
      <c r="M578">
        <v>0.36198740798710299</v>
      </c>
      <c r="N578">
        <v>0.40349211040437399</v>
      </c>
      <c r="O578">
        <v>0.34815250718134599</v>
      </c>
    </row>
    <row r="579" spans="1:15">
      <c r="A579" s="19">
        <v>43000</v>
      </c>
      <c r="B579">
        <v>1186</v>
      </c>
      <c r="C579">
        <v>1190</v>
      </c>
      <c r="D579">
        <v>3345</v>
      </c>
      <c r="E579">
        <v>3352</v>
      </c>
      <c r="F579">
        <v>0.35501193317422403</v>
      </c>
      <c r="G579">
        <v>0.37613714029936102</v>
      </c>
      <c r="H579">
        <v>1.36622271940945E-2</v>
      </c>
      <c r="I579">
        <v>-1.5462491455469201</v>
      </c>
      <c r="J579">
        <v>-5.95</v>
      </c>
      <c r="L579">
        <v>0.38979936749345551</v>
      </c>
      <c r="M579">
        <v>0.36247491310526653</v>
      </c>
      <c r="N579">
        <v>0.40346159468755</v>
      </c>
      <c r="O579">
        <v>0.34881268591117204</v>
      </c>
    </row>
    <row r="580" spans="1:15">
      <c r="A580" s="19">
        <v>42999</v>
      </c>
      <c r="B580">
        <v>1198</v>
      </c>
      <c r="C580">
        <v>1189</v>
      </c>
      <c r="D580">
        <v>3341</v>
      </c>
      <c r="E580">
        <v>3331</v>
      </c>
      <c r="F580">
        <v>0.35694986490543301</v>
      </c>
      <c r="G580">
        <v>0.37649790664024202</v>
      </c>
      <c r="H580">
        <v>1.34553037369665E-2</v>
      </c>
      <c r="I580">
        <v>-1.4528131149580501</v>
      </c>
      <c r="J580">
        <v>-5.48</v>
      </c>
      <c r="L580">
        <v>0.38995321037720854</v>
      </c>
      <c r="M580">
        <v>0.3630426029032755</v>
      </c>
      <c r="N580">
        <v>0.403408514114175</v>
      </c>
      <c r="O580">
        <v>0.34958729916630904</v>
      </c>
    </row>
    <row r="581" spans="1:15">
      <c r="A581" s="19">
        <v>42998</v>
      </c>
      <c r="B581">
        <v>1174</v>
      </c>
      <c r="C581">
        <v>1195</v>
      </c>
      <c r="D581">
        <v>3290</v>
      </c>
      <c r="E581">
        <v>3310</v>
      </c>
      <c r="F581">
        <v>0.361027190332326</v>
      </c>
      <c r="G581">
        <v>0.37685888309662002</v>
      </c>
      <c r="H581">
        <v>1.32881499516406E-2</v>
      </c>
      <c r="I581">
        <v>-1.1914143670797399</v>
      </c>
      <c r="J581">
        <v>-4.3899999999999997</v>
      </c>
      <c r="L581">
        <v>0.39014703304826065</v>
      </c>
      <c r="M581">
        <v>0.3635707331449794</v>
      </c>
      <c r="N581">
        <v>0.40343518299990122</v>
      </c>
      <c r="O581">
        <v>0.35028258319333883</v>
      </c>
    </row>
    <row r="582" spans="1:15">
      <c r="A582" s="19">
        <v>42997</v>
      </c>
      <c r="B582">
        <v>1175</v>
      </c>
      <c r="C582">
        <v>1185</v>
      </c>
      <c r="D582">
        <v>3300</v>
      </c>
      <c r="E582">
        <v>3294</v>
      </c>
      <c r="F582">
        <v>0.35974499089253098</v>
      </c>
      <c r="G582">
        <v>0.37712137173815102</v>
      </c>
      <c r="H582">
        <v>1.3166710725030501E-2</v>
      </c>
      <c r="I582">
        <v>-1.31972071145952</v>
      </c>
      <c r="J582">
        <v>-4.83</v>
      </c>
      <c r="L582">
        <v>0.39028808246318153</v>
      </c>
      <c r="M582">
        <v>0.36395466101312052</v>
      </c>
      <c r="N582">
        <v>0.40345479318821204</v>
      </c>
      <c r="O582">
        <v>0.35078795028809001</v>
      </c>
    </row>
    <row r="583" spans="1:15">
      <c r="A583" s="19">
        <v>42993</v>
      </c>
      <c r="B583">
        <v>1158</v>
      </c>
      <c r="C583">
        <v>1168</v>
      </c>
      <c r="D583">
        <v>3210</v>
      </c>
      <c r="E583">
        <v>3245</v>
      </c>
      <c r="F583">
        <v>0.35993836671802698</v>
      </c>
      <c r="G583">
        <v>0.37750900493584699</v>
      </c>
      <c r="H583">
        <v>1.3077084915005199E-2</v>
      </c>
      <c r="I583">
        <v>-1.34362041173707</v>
      </c>
      <c r="J583">
        <v>-4.88</v>
      </c>
      <c r="L583">
        <v>0.39058608985085219</v>
      </c>
      <c r="M583">
        <v>0.36443192002084179</v>
      </c>
      <c r="N583">
        <v>0.40366317476585739</v>
      </c>
      <c r="O583">
        <v>0.35135483510583659</v>
      </c>
    </row>
    <row r="584" spans="1:15">
      <c r="A584" s="19">
        <v>42992</v>
      </c>
      <c r="B584">
        <v>1170</v>
      </c>
      <c r="C584">
        <v>1159</v>
      </c>
      <c r="D584">
        <v>3220</v>
      </c>
      <c r="E584">
        <v>3216</v>
      </c>
      <c r="F584">
        <v>0.360385572139303</v>
      </c>
      <c r="G584">
        <v>0.37769325094564299</v>
      </c>
      <c r="H584">
        <v>1.29246879161225E-2</v>
      </c>
      <c r="I584">
        <v>-1.3391177348854699</v>
      </c>
      <c r="J584">
        <v>-4.8</v>
      </c>
      <c r="L584">
        <v>0.39061793886176549</v>
      </c>
      <c r="M584">
        <v>0.36476856302952049</v>
      </c>
      <c r="N584">
        <v>0.40354262677788799</v>
      </c>
      <c r="O584">
        <v>0.35184387511339799</v>
      </c>
    </row>
    <row r="585" spans="1:15">
      <c r="A585" s="19">
        <v>42991</v>
      </c>
      <c r="B585">
        <v>1161</v>
      </c>
      <c r="C585">
        <v>1167</v>
      </c>
      <c r="D585">
        <v>3210</v>
      </c>
      <c r="E585">
        <v>3218</v>
      </c>
      <c r="F585">
        <v>0.362647607209446</v>
      </c>
      <c r="G585">
        <v>0.37799929340931998</v>
      </c>
      <c r="H585">
        <v>1.27822054291407E-2</v>
      </c>
      <c r="I585">
        <v>-1.20102014358762</v>
      </c>
      <c r="J585">
        <v>-4.2300000000000004</v>
      </c>
      <c r="L585">
        <v>0.39078149883846069</v>
      </c>
      <c r="M585">
        <v>0.36521708798017927</v>
      </c>
      <c r="N585">
        <v>0.40356370426760135</v>
      </c>
      <c r="O585">
        <v>0.35243488255103861</v>
      </c>
    </row>
    <row r="586" spans="1:15">
      <c r="A586" s="19">
        <v>42990</v>
      </c>
      <c r="B586">
        <v>1154</v>
      </c>
      <c r="C586">
        <v>1154</v>
      </c>
      <c r="D586">
        <v>3150</v>
      </c>
      <c r="E586">
        <v>3188</v>
      </c>
      <c r="F586">
        <v>0.36198243412797898</v>
      </c>
      <c r="G586">
        <v>0.37825537579187102</v>
      </c>
      <c r="H586">
        <v>1.266392390567E-2</v>
      </c>
      <c r="I586">
        <v>-1.2849841632896499</v>
      </c>
      <c r="J586">
        <v>-4.5</v>
      </c>
      <c r="L586">
        <v>0.39091929969754102</v>
      </c>
      <c r="M586">
        <v>0.36559145188620101</v>
      </c>
      <c r="N586">
        <v>0.40358322360321103</v>
      </c>
      <c r="O586">
        <v>0.35292752798053101</v>
      </c>
    </row>
    <row r="587" spans="1:15">
      <c r="A587" s="19">
        <v>42989</v>
      </c>
      <c r="B587">
        <v>1141</v>
      </c>
      <c r="C587">
        <v>1139</v>
      </c>
      <c r="D587">
        <v>3095</v>
      </c>
      <c r="E587">
        <v>3119</v>
      </c>
      <c r="F587">
        <v>0.36518114780378302</v>
      </c>
      <c r="G587">
        <v>0.37849543559756799</v>
      </c>
      <c r="H587">
        <v>1.2523040158992201E-2</v>
      </c>
      <c r="I587">
        <v>-1.06318335042826</v>
      </c>
      <c r="J587">
        <v>-3.65</v>
      </c>
      <c r="L587">
        <v>0.39101847575656018</v>
      </c>
      <c r="M587">
        <v>0.36597239543857579</v>
      </c>
      <c r="N587">
        <v>0.40354151591555237</v>
      </c>
      <c r="O587">
        <v>0.3534493552795836</v>
      </c>
    </row>
    <row r="588" spans="1:15">
      <c r="A588" s="19">
        <v>42986</v>
      </c>
      <c r="B588">
        <v>1127</v>
      </c>
      <c r="C588">
        <v>1127</v>
      </c>
      <c r="D588">
        <v>3065</v>
      </c>
      <c r="E588">
        <v>3070</v>
      </c>
      <c r="F588">
        <v>0.367100977198697</v>
      </c>
      <c r="G588">
        <v>0.37868828146745398</v>
      </c>
      <c r="H588">
        <v>1.2427523855784601E-2</v>
      </c>
      <c r="I588">
        <v>-0.93239042654210402</v>
      </c>
      <c r="J588">
        <v>-3.16</v>
      </c>
      <c r="L588">
        <v>0.39111580532323859</v>
      </c>
      <c r="M588">
        <v>0.36626075761166937</v>
      </c>
      <c r="N588">
        <v>0.40354332917902319</v>
      </c>
      <c r="O588">
        <v>0.35383323375588477</v>
      </c>
    </row>
    <row r="589" spans="1:15">
      <c r="A589" s="19">
        <v>42985</v>
      </c>
      <c r="B589">
        <v>1131</v>
      </c>
      <c r="C589">
        <v>1129</v>
      </c>
      <c r="D589">
        <v>3047</v>
      </c>
      <c r="E589">
        <v>3079</v>
      </c>
      <c r="F589">
        <v>0.36667749269243199</v>
      </c>
      <c r="G589">
        <v>0.37879944972468799</v>
      </c>
      <c r="H589">
        <v>1.2360484964908099E-2</v>
      </c>
      <c r="I589">
        <v>-0.98070238074559002</v>
      </c>
      <c r="J589">
        <v>-3.31</v>
      </c>
      <c r="L589">
        <v>0.39115993468959609</v>
      </c>
      <c r="M589">
        <v>0.36643896475977988</v>
      </c>
      <c r="N589">
        <v>0.40352041965450419</v>
      </c>
      <c r="O589">
        <v>0.35407847979487178</v>
      </c>
    </row>
    <row r="590" spans="1:15">
      <c r="A590" s="19">
        <v>42984</v>
      </c>
      <c r="B590">
        <v>1119</v>
      </c>
      <c r="C590">
        <v>1128</v>
      </c>
      <c r="D590">
        <v>3046</v>
      </c>
      <c r="E590">
        <v>3036</v>
      </c>
      <c r="F590">
        <v>0.37154150197628399</v>
      </c>
      <c r="G590">
        <v>0.37901957256568702</v>
      </c>
      <c r="H590">
        <v>1.2289448732408E-2</v>
      </c>
      <c r="I590">
        <v>-0.60849520204126795</v>
      </c>
      <c r="J590">
        <v>-2.0099999999999998</v>
      </c>
      <c r="L590">
        <v>0.39130902129809503</v>
      </c>
      <c r="M590">
        <v>0.36673012383327902</v>
      </c>
      <c r="N590">
        <v>0.40359847003050303</v>
      </c>
      <c r="O590">
        <v>0.35444067510087102</v>
      </c>
    </row>
    <row r="591" spans="1:15">
      <c r="A591" s="19">
        <v>42983</v>
      </c>
      <c r="B591">
        <v>1123</v>
      </c>
      <c r="C591">
        <v>1125</v>
      </c>
      <c r="D591">
        <v>3060</v>
      </c>
      <c r="E591">
        <v>3057</v>
      </c>
      <c r="F591">
        <v>0.368007850834151</v>
      </c>
      <c r="G591">
        <v>0.37916995383593299</v>
      </c>
      <c r="H591">
        <v>1.22660059348859E-2</v>
      </c>
      <c r="I591">
        <v>-0.91000306546693999</v>
      </c>
      <c r="J591">
        <v>-3.03</v>
      </c>
      <c r="L591">
        <v>0.39143595977081891</v>
      </c>
      <c r="M591">
        <v>0.36690394790104708</v>
      </c>
      <c r="N591">
        <v>0.40370196570570477</v>
      </c>
      <c r="O591">
        <v>0.35463794196616122</v>
      </c>
    </row>
    <row r="592" spans="1:15">
      <c r="A592" s="19">
        <v>42982</v>
      </c>
      <c r="B592">
        <v>1110</v>
      </c>
      <c r="C592">
        <v>1121</v>
      </c>
      <c r="D592">
        <v>3065</v>
      </c>
      <c r="E592">
        <v>3050</v>
      </c>
      <c r="F592">
        <v>0.36754098360655701</v>
      </c>
      <c r="G592">
        <v>0.37939105134393603</v>
      </c>
      <c r="H592">
        <v>1.2212145563924E-2</v>
      </c>
      <c r="I592">
        <v>-0.97035100632812099</v>
      </c>
      <c r="J592">
        <v>-3.22</v>
      </c>
      <c r="L592">
        <v>0.39160319690786005</v>
      </c>
      <c r="M592">
        <v>0.367178905780012</v>
      </c>
      <c r="N592">
        <v>0.40381534247178402</v>
      </c>
      <c r="O592">
        <v>0.35496676021608803</v>
      </c>
    </row>
    <row r="593" spans="1:15">
      <c r="A593" s="19">
        <v>42979</v>
      </c>
      <c r="B593">
        <v>1107</v>
      </c>
      <c r="C593">
        <v>1101</v>
      </c>
      <c r="D593">
        <v>3100</v>
      </c>
      <c r="E593">
        <v>3096</v>
      </c>
      <c r="F593">
        <v>0.35562015503875899</v>
      </c>
      <c r="G593">
        <v>0.37957587738089499</v>
      </c>
      <c r="H593">
        <v>1.21360613994281E-2</v>
      </c>
      <c r="I593">
        <v>-1.97392890112311</v>
      </c>
      <c r="J593">
        <v>-6.74</v>
      </c>
      <c r="L593">
        <v>0.39171193878032307</v>
      </c>
      <c r="M593">
        <v>0.36743981598146691</v>
      </c>
      <c r="N593">
        <v>0.4038480001797512</v>
      </c>
      <c r="O593">
        <v>0.35530375458203878</v>
      </c>
    </row>
    <row r="594" spans="1:15">
      <c r="A594" s="19">
        <v>42978</v>
      </c>
      <c r="B594">
        <v>1106</v>
      </c>
      <c r="C594">
        <v>1099</v>
      </c>
      <c r="D594">
        <v>3048</v>
      </c>
      <c r="E594">
        <v>3081</v>
      </c>
      <c r="F594">
        <v>0.35670236936059702</v>
      </c>
      <c r="G594">
        <v>0.37985288243758197</v>
      </c>
      <c r="H594">
        <v>1.18190704856938E-2</v>
      </c>
      <c r="I594">
        <v>-1.9587422805378001</v>
      </c>
      <c r="J594">
        <v>-6.49</v>
      </c>
      <c r="L594">
        <v>0.39167195292327578</v>
      </c>
      <c r="M594">
        <v>0.36803381195188817</v>
      </c>
      <c r="N594">
        <v>0.40349102340896958</v>
      </c>
      <c r="O594">
        <v>0.35621474146619436</v>
      </c>
    </row>
    <row r="595" spans="1:15">
      <c r="A595" s="19">
        <v>42977</v>
      </c>
      <c r="B595">
        <v>1093</v>
      </c>
      <c r="C595">
        <v>1103</v>
      </c>
      <c r="D595">
        <v>3045</v>
      </c>
      <c r="E595">
        <v>3040</v>
      </c>
      <c r="F595">
        <v>0.36282894736842097</v>
      </c>
      <c r="G595">
        <v>0.38014895062507797</v>
      </c>
      <c r="H595">
        <v>1.1509506407969E-2</v>
      </c>
      <c r="I595">
        <v>-1.50484326979175</v>
      </c>
      <c r="J595">
        <v>-4.7699999999999996</v>
      </c>
      <c r="L595">
        <v>0.39165845703304697</v>
      </c>
      <c r="M595">
        <v>0.36863944421710898</v>
      </c>
      <c r="N595">
        <v>0.40316796344101596</v>
      </c>
      <c r="O595">
        <v>0.35712993780913999</v>
      </c>
    </row>
    <row r="596" spans="1:15">
      <c r="A596" s="19">
        <v>42976</v>
      </c>
      <c r="B596">
        <v>1083</v>
      </c>
      <c r="C596">
        <v>1093</v>
      </c>
      <c r="D596">
        <v>3030</v>
      </c>
      <c r="E596">
        <v>3040</v>
      </c>
      <c r="F596">
        <v>0.35953947368421002</v>
      </c>
      <c r="G596">
        <v>0.38035401988871897</v>
      </c>
      <c r="H596">
        <v>1.13347734402039E-2</v>
      </c>
      <c r="I596">
        <v>-1.8363442652219799</v>
      </c>
      <c r="J596">
        <v>-5.79</v>
      </c>
      <c r="L596">
        <v>0.39168879332892287</v>
      </c>
      <c r="M596">
        <v>0.36901924644851508</v>
      </c>
      <c r="N596">
        <v>0.40302356676912676</v>
      </c>
      <c r="O596">
        <v>0.35768447300831119</v>
      </c>
    </row>
    <row r="597" spans="1:15">
      <c r="A597" s="19">
        <v>42975</v>
      </c>
      <c r="B597">
        <v>1081</v>
      </c>
      <c r="C597">
        <v>1086</v>
      </c>
      <c r="D597">
        <v>3063</v>
      </c>
      <c r="E597">
        <v>3045</v>
      </c>
      <c r="F597">
        <v>0.35665024630541797</v>
      </c>
      <c r="G597">
        <v>0.38064508261117103</v>
      </c>
      <c r="H597">
        <v>1.10738208217699E-2</v>
      </c>
      <c r="I597">
        <v>-2.1668073460770798</v>
      </c>
      <c r="J597">
        <v>-6.73</v>
      </c>
      <c r="L597">
        <v>0.39171890343294091</v>
      </c>
      <c r="M597">
        <v>0.36957126178940114</v>
      </c>
      <c r="N597">
        <v>0.4027927242547108</v>
      </c>
      <c r="O597">
        <v>0.35849744096763125</v>
      </c>
    </row>
    <row r="598" spans="1:15">
      <c r="A598" s="19">
        <v>42972</v>
      </c>
      <c r="B598">
        <v>1083</v>
      </c>
      <c r="C598">
        <v>1086</v>
      </c>
      <c r="D598">
        <v>3035</v>
      </c>
      <c r="E598">
        <v>3053</v>
      </c>
      <c r="F598">
        <v>0.355715689485751</v>
      </c>
      <c r="G598">
        <v>0.38101795112197001</v>
      </c>
      <c r="H598">
        <v>1.07249223019027E-2</v>
      </c>
      <c r="I598">
        <v>-2.3592023255711698</v>
      </c>
      <c r="J598">
        <v>-7.11</v>
      </c>
      <c r="L598">
        <v>0.39174287342387271</v>
      </c>
      <c r="M598">
        <v>0.37029302882006732</v>
      </c>
      <c r="N598">
        <v>0.4024677957257754</v>
      </c>
      <c r="O598">
        <v>0.35956810651816462</v>
      </c>
    </row>
    <row r="599" spans="1:15">
      <c r="A599" s="19">
        <v>42971</v>
      </c>
      <c r="B599">
        <v>1080</v>
      </c>
      <c r="C599">
        <v>1078</v>
      </c>
      <c r="D599">
        <v>3028</v>
      </c>
      <c r="E599">
        <v>3034</v>
      </c>
      <c r="F599">
        <v>0.35530652603823298</v>
      </c>
      <c r="G599">
        <v>0.38148869755318199</v>
      </c>
      <c r="H599">
        <v>1.03730719959457E-2</v>
      </c>
      <c r="I599">
        <v>-2.5240518455075001</v>
      </c>
      <c r="J599">
        <v>-7.37</v>
      </c>
      <c r="L599">
        <v>0.39186176954912771</v>
      </c>
      <c r="M599">
        <v>0.37111562555723626</v>
      </c>
      <c r="N599">
        <v>0.40223484154507338</v>
      </c>
      <c r="O599">
        <v>0.36074255356129059</v>
      </c>
    </row>
    <row r="600" spans="1:15">
      <c r="A600" s="19">
        <v>42970</v>
      </c>
      <c r="B600">
        <v>1094</v>
      </c>
      <c r="C600">
        <v>1088</v>
      </c>
      <c r="D600">
        <v>3054</v>
      </c>
      <c r="E600">
        <v>3027</v>
      </c>
      <c r="F600">
        <v>0.35943178064089798</v>
      </c>
      <c r="G600">
        <v>0.38211789187059197</v>
      </c>
      <c r="H600">
        <v>1.0195528517652999E-2</v>
      </c>
      <c r="I600">
        <v>-2.2251039944044102</v>
      </c>
      <c r="J600">
        <v>-6.31</v>
      </c>
      <c r="L600">
        <v>0.39231342038824496</v>
      </c>
      <c r="M600">
        <v>0.37192236335293899</v>
      </c>
      <c r="N600">
        <v>0.40250894890589795</v>
      </c>
      <c r="O600">
        <v>0.361726834835286</v>
      </c>
    </row>
    <row r="601" spans="1:15">
      <c r="A601" s="19">
        <v>42969</v>
      </c>
      <c r="B601">
        <v>1071</v>
      </c>
      <c r="C601">
        <v>1085</v>
      </c>
      <c r="D601">
        <v>3007</v>
      </c>
      <c r="E601">
        <v>3022</v>
      </c>
      <c r="F601">
        <v>0.35903375248179997</v>
      </c>
      <c r="G601">
        <v>0.382616278718512</v>
      </c>
      <c r="H601">
        <v>9.9858250601995695E-3</v>
      </c>
      <c r="I601">
        <v>-2.3616001777063902</v>
      </c>
      <c r="J601">
        <v>-6.57</v>
      </c>
      <c r="L601">
        <v>0.39260210377871158</v>
      </c>
      <c r="M601">
        <v>0.37263045365831243</v>
      </c>
      <c r="N601">
        <v>0.40258792883891115</v>
      </c>
      <c r="O601">
        <v>0.36264462859811286</v>
      </c>
    </row>
    <row r="602" spans="1:15">
      <c r="A602" s="19">
        <v>42968</v>
      </c>
      <c r="B602">
        <v>1083</v>
      </c>
      <c r="C602">
        <v>1071</v>
      </c>
      <c r="D602">
        <v>3031</v>
      </c>
      <c r="E602">
        <v>3009</v>
      </c>
      <c r="F602">
        <v>0.35593220338983</v>
      </c>
      <c r="G602">
        <v>0.38304296933457099</v>
      </c>
      <c r="H602">
        <v>9.6470004712450094E-3</v>
      </c>
      <c r="I602">
        <v>-2.8102793221116502</v>
      </c>
      <c r="J602">
        <v>-7.62</v>
      </c>
      <c r="L602">
        <v>0.392689969805816</v>
      </c>
      <c r="M602">
        <v>0.37339596886332599</v>
      </c>
      <c r="N602">
        <v>0.402336970277061</v>
      </c>
      <c r="O602">
        <v>0.36374896839208098</v>
      </c>
    </row>
    <row r="603" spans="1:15">
      <c r="A603" s="19">
        <v>42965</v>
      </c>
      <c r="B603">
        <v>1072</v>
      </c>
      <c r="C603">
        <v>1078</v>
      </c>
      <c r="D603">
        <v>3012</v>
      </c>
      <c r="E603">
        <v>3020</v>
      </c>
      <c r="F603">
        <v>0.35695364238410598</v>
      </c>
      <c r="G603">
        <v>0.38342509568279898</v>
      </c>
      <c r="H603">
        <v>9.1186985102420601E-3</v>
      </c>
      <c r="I603">
        <v>-2.9029859106495501</v>
      </c>
      <c r="J603">
        <v>-7.42</v>
      </c>
      <c r="L603">
        <v>0.39254379419304103</v>
      </c>
      <c r="M603">
        <v>0.37430639717255693</v>
      </c>
      <c r="N603">
        <v>0.40166249270328308</v>
      </c>
      <c r="O603">
        <v>0.36518769866231487</v>
      </c>
    </row>
    <row r="604" spans="1:15">
      <c r="A604" s="19">
        <v>42964</v>
      </c>
      <c r="B604">
        <v>1095</v>
      </c>
      <c r="C604">
        <v>1095</v>
      </c>
      <c r="D604">
        <v>3054</v>
      </c>
      <c r="E604">
        <v>3043</v>
      </c>
      <c r="F604">
        <v>0.35984226092671701</v>
      </c>
      <c r="G604">
        <v>0.38379360157312298</v>
      </c>
      <c r="H604">
        <v>8.5842784983793802E-3</v>
      </c>
      <c r="I604">
        <v>-2.7901402139886899</v>
      </c>
      <c r="J604">
        <v>-6.66</v>
      </c>
      <c r="L604">
        <v>0.39237788007150237</v>
      </c>
      <c r="M604">
        <v>0.37520932307474358</v>
      </c>
      <c r="N604">
        <v>0.40096215856988171</v>
      </c>
      <c r="O604">
        <v>0.36662504457636425</v>
      </c>
    </row>
    <row r="605" spans="1:15">
      <c r="A605" s="19">
        <v>42963</v>
      </c>
      <c r="B605">
        <v>1092</v>
      </c>
      <c r="C605">
        <v>1102</v>
      </c>
      <c r="D605">
        <v>3049</v>
      </c>
      <c r="E605">
        <v>3062</v>
      </c>
      <c r="F605">
        <v>0.35989549314173702</v>
      </c>
      <c r="G605">
        <v>0.38410715827899999</v>
      </c>
      <c r="H605">
        <v>8.1206618059195598E-3</v>
      </c>
      <c r="I605">
        <v>-2.9814891588779502</v>
      </c>
      <c r="J605">
        <v>-6.73</v>
      </c>
      <c r="L605">
        <v>0.39222782008491958</v>
      </c>
      <c r="M605">
        <v>0.37598649647308041</v>
      </c>
      <c r="N605">
        <v>0.4003484818908391</v>
      </c>
      <c r="O605">
        <v>0.36786583466716088</v>
      </c>
    </row>
    <row r="606" spans="1:15">
      <c r="A606" s="19">
        <v>42962</v>
      </c>
      <c r="B606">
        <v>1120</v>
      </c>
      <c r="C606">
        <v>1107</v>
      </c>
      <c r="D606">
        <v>3052</v>
      </c>
      <c r="E606">
        <v>3056</v>
      </c>
      <c r="F606">
        <v>0.36223821989528798</v>
      </c>
      <c r="G606">
        <v>0.38443549683072198</v>
      </c>
      <c r="H606">
        <v>7.6173198154401598E-3</v>
      </c>
      <c r="I606">
        <v>-2.9140534299795702</v>
      </c>
      <c r="J606">
        <v>-6.13</v>
      </c>
      <c r="L606">
        <v>0.39205281664616215</v>
      </c>
      <c r="M606">
        <v>0.37681817701528181</v>
      </c>
      <c r="N606">
        <v>0.39967013646160232</v>
      </c>
      <c r="O606">
        <v>0.36920085719984164</v>
      </c>
    </row>
    <row r="607" spans="1:15">
      <c r="A607" s="19">
        <v>42961</v>
      </c>
      <c r="B607">
        <v>1100</v>
      </c>
      <c r="C607">
        <v>1107</v>
      </c>
      <c r="D607">
        <v>3050</v>
      </c>
      <c r="E607">
        <v>3031</v>
      </c>
      <c r="F607">
        <v>0.36522599802045502</v>
      </c>
      <c r="G607">
        <v>0.38472742665931597</v>
      </c>
      <c r="H607">
        <v>7.1672847373021199E-3</v>
      </c>
      <c r="I607">
        <v>-2.72089492096862</v>
      </c>
      <c r="J607">
        <v>-5.34</v>
      </c>
      <c r="L607">
        <v>0.39189471139661808</v>
      </c>
      <c r="M607">
        <v>0.37756014192201387</v>
      </c>
      <c r="N607">
        <v>0.39906199613392024</v>
      </c>
      <c r="O607">
        <v>0.37039285718471171</v>
      </c>
    </row>
    <row r="608" spans="1:15">
      <c r="A608" s="19">
        <v>42957</v>
      </c>
      <c r="B608">
        <v>1126</v>
      </c>
      <c r="C608">
        <v>1110</v>
      </c>
      <c r="D608">
        <v>3082</v>
      </c>
      <c r="E608">
        <v>3078</v>
      </c>
      <c r="F608">
        <v>0.36062378167641301</v>
      </c>
      <c r="G608">
        <v>0.38494674089318798</v>
      </c>
      <c r="H608">
        <v>6.8099482375507297E-3</v>
      </c>
      <c r="I608">
        <v>-3.5716804839507601</v>
      </c>
      <c r="J608">
        <v>-6.74</v>
      </c>
      <c r="L608">
        <v>0.39175668913073869</v>
      </c>
      <c r="M608">
        <v>0.37813679265563727</v>
      </c>
      <c r="N608">
        <v>0.39856663736828946</v>
      </c>
      <c r="O608">
        <v>0.3713268444180865</v>
      </c>
    </row>
    <row r="609" spans="1:15">
      <c r="A609" s="19">
        <v>42956</v>
      </c>
      <c r="B609">
        <v>1181</v>
      </c>
      <c r="C609">
        <v>1130</v>
      </c>
      <c r="D609">
        <v>3093</v>
      </c>
      <c r="E609">
        <v>3072</v>
      </c>
      <c r="F609">
        <v>0.36783854166666602</v>
      </c>
      <c r="G609">
        <v>0.38526629967361797</v>
      </c>
      <c r="H609">
        <v>6.1957148802774401E-3</v>
      </c>
      <c r="I609">
        <v>-2.8128728231876101</v>
      </c>
      <c r="J609">
        <v>-4.74</v>
      </c>
      <c r="L609">
        <v>0.3914620145538954</v>
      </c>
      <c r="M609">
        <v>0.37907058479334055</v>
      </c>
      <c r="N609">
        <v>0.39765772943417288</v>
      </c>
      <c r="O609">
        <v>0.37287486991306307</v>
      </c>
    </row>
    <row r="610" spans="1:15">
      <c r="A610" s="19">
        <v>42955</v>
      </c>
      <c r="B610">
        <v>1203</v>
      </c>
      <c r="C610">
        <v>1211</v>
      </c>
      <c r="D610">
        <v>3130</v>
      </c>
      <c r="E610">
        <v>3109</v>
      </c>
      <c r="F610">
        <v>0.38951431328401398</v>
      </c>
      <c r="G610">
        <v>0.38544032548790302</v>
      </c>
      <c r="H610">
        <v>5.8789635259818996E-3</v>
      </c>
      <c r="I610">
        <v>0.69297721921660504</v>
      </c>
      <c r="J610">
        <v>1.05</v>
      </c>
      <c r="L610">
        <v>0.39131928901388491</v>
      </c>
      <c r="M610">
        <v>0.37956136196192114</v>
      </c>
      <c r="N610">
        <v>0.39719825253986685</v>
      </c>
      <c r="O610">
        <v>0.3736823984359392</v>
      </c>
    </row>
    <row r="611" spans="1:15">
      <c r="A611" s="19">
        <v>42954</v>
      </c>
      <c r="B611">
        <v>1198</v>
      </c>
      <c r="C611">
        <v>1197</v>
      </c>
      <c r="D611">
        <v>3146</v>
      </c>
      <c r="E611">
        <v>3127</v>
      </c>
      <c r="F611">
        <v>0.38279501119283599</v>
      </c>
      <c r="G611">
        <v>0.38532139566992502</v>
      </c>
      <c r="H611">
        <v>5.8855631170239599E-3</v>
      </c>
      <c r="I611">
        <v>-0.42925110594446098</v>
      </c>
      <c r="J611">
        <v>-0.66</v>
      </c>
      <c r="L611">
        <v>0.391206958786949</v>
      </c>
      <c r="M611">
        <v>0.37943583255290103</v>
      </c>
      <c r="N611">
        <v>0.39709252190397293</v>
      </c>
      <c r="O611">
        <v>0.3735502694358771</v>
      </c>
    </row>
    <row r="612" spans="1:15">
      <c r="A612" s="19">
        <v>42951</v>
      </c>
      <c r="B612">
        <v>1204</v>
      </c>
      <c r="C612">
        <v>1198</v>
      </c>
      <c r="D612">
        <v>3151</v>
      </c>
      <c r="E612">
        <v>3125</v>
      </c>
      <c r="F612">
        <v>0.38335999999999998</v>
      </c>
      <c r="G612">
        <v>0.38525727281786798</v>
      </c>
      <c r="H612">
        <v>5.9386968210320204E-3</v>
      </c>
      <c r="I612">
        <v>-0.31947628832457697</v>
      </c>
      <c r="J612">
        <v>-0.49</v>
      </c>
      <c r="L612">
        <v>0.39119596963890002</v>
      </c>
      <c r="M612">
        <v>0.37931857599683594</v>
      </c>
      <c r="N612">
        <v>0.39713466645993201</v>
      </c>
      <c r="O612">
        <v>0.37337987917580395</v>
      </c>
    </row>
    <row r="613" spans="1:15">
      <c r="A613" s="19">
        <v>42950</v>
      </c>
      <c r="B613">
        <v>1203</v>
      </c>
      <c r="C613">
        <v>1202</v>
      </c>
      <c r="D613">
        <v>3194</v>
      </c>
      <c r="E613">
        <v>3185</v>
      </c>
      <c r="F613">
        <v>0.37739403453689102</v>
      </c>
      <c r="G613">
        <v>0.38513236095382603</v>
      </c>
      <c r="H613">
        <v>6.0742673434988599E-3</v>
      </c>
      <c r="I613">
        <v>-1.27395222820025</v>
      </c>
      <c r="J613">
        <v>-2.0499999999999998</v>
      </c>
      <c r="L613">
        <v>0.39120662829732489</v>
      </c>
      <c r="M613">
        <v>0.37905809361032716</v>
      </c>
      <c r="N613">
        <v>0.39728089564082375</v>
      </c>
      <c r="O613">
        <v>0.3729838262668283</v>
      </c>
    </row>
    <row r="614" spans="1:15">
      <c r="A614" s="19">
        <v>42949</v>
      </c>
      <c r="B614">
        <v>1224</v>
      </c>
      <c r="C614">
        <v>1208</v>
      </c>
      <c r="D614">
        <v>3250</v>
      </c>
      <c r="E614">
        <v>3214</v>
      </c>
      <c r="F614">
        <v>0.37585563161169799</v>
      </c>
      <c r="G614">
        <v>0.38508814234340299</v>
      </c>
      <c r="H614">
        <v>6.1421308167580301E-3</v>
      </c>
      <c r="I614">
        <v>-1.50314459381345</v>
      </c>
      <c r="J614">
        <v>-2.46</v>
      </c>
      <c r="L614">
        <v>0.39123027316016101</v>
      </c>
      <c r="M614">
        <v>0.37894601152664498</v>
      </c>
      <c r="N614">
        <v>0.39737240397691903</v>
      </c>
      <c r="O614">
        <v>0.37280388070988696</v>
      </c>
    </row>
    <row r="615" spans="1:15">
      <c r="A615" s="19">
        <v>42948</v>
      </c>
      <c r="B615">
        <v>1205</v>
      </c>
      <c r="C615">
        <v>1220</v>
      </c>
      <c r="D615">
        <v>3103</v>
      </c>
      <c r="E615">
        <v>3127</v>
      </c>
      <c r="F615">
        <v>0.39015030380556398</v>
      </c>
      <c r="G615">
        <v>0.38506556964759198</v>
      </c>
      <c r="H615">
        <v>6.1790194408929801E-3</v>
      </c>
      <c r="I615">
        <v>0.82290308464175699</v>
      </c>
      <c r="J615">
        <v>1.3</v>
      </c>
      <c r="L615">
        <v>0.39124458908848497</v>
      </c>
      <c r="M615">
        <v>0.37888655020669898</v>
      </c>
      <c r="N615">
        <v>0.39742360852937791</v>
      </c>
      <c r="O615">
        <v>0.37270753076580604</v>
      </c>
    </row>
    <row r="616" spans="1:15">
      <c r="A616" s="19">
        <v>42947</v>
      </c>
      <c r="B616">
        <v>1186</v>
      </c>
      <c r="C616">
        <v>1193</v>
      </c>
      <c r="D616">
        <v>3066</v>
      </c>
      <c r="E616">
        <v>3108</v>
      </c>
      <c r="F616">
        <v>0.38384813384813299</v>
      </c>
      <c r="G616">
        <v>0.384871550266286</v>
      </c>
      <c r="H616">
        <v>6.2444237367367096E-3</v>
      </c>
      <c r="I616">
        <v>-0.163892852455119</v>
      </c>
      <c r="J616">
        <v>-0.27</v>
      </c>
      <c r="L616">
        <v>0.39111597400302273</v>
      </c>
      <c r="M616">
        <v>0.37862712652954927</v>
      </c>
      <c r="N616">
        <v>0.3973603977397594</v>
      </c>
      <c r="O616">
        <v>0.3723827027928126</v>
      </c>
    </row>
    <row r="617" spans="1:15">
      <c r="A617" s="19">
        <v>42944</v>
      </c>
      <c r="B617">
        <v>1201</v>
      </c>
      <c r="C617">
        <v>1193</v>
      </c>
      <c r="D617">
        <v>3073</v>
      </c>
      <c r="E617">
        <v>3077</v>
      </c>
      <c r="F617">
        <v>0.38771530711732199</v>
      </c>
      <c r="G617">
        <v>0.38474414711562699</v>
      </c>
      <c r="H617">
        <v>6.3604037924630003E-3</v>
      </c>
      <c r="I617">
        <v>0.467133864239207</v>
      </c>
      <c r="J617">
        <v>0.77</v>
      </c>
      <c r="L617">
        <v>0.39110455090808999</v>
      </c>
      <c r="M617">
        <v>0.37838374332316399</v>
      </c>
      <c r="N617">
        <v>0.39746495470055299</v>
      </c>
      <c r="O617">
        <v>0.37202333953070099</v>
      </c>
    </row>
    <row r="618" spans="1:15">
      <c r="A618" s="19">
        <v>42943</v>
      </c>
      <c r="B618">
        <v>1202</v>
      </c>
      <c r="C618">
        <v>1206</v>
      </c>
      <c r="D618">
        <v>3076</v>
      </c>
      <c r="E618">
        <v>3080</v>
      </c>
      <c r="F618">
        <v>0.39155844155844099</v>
      </c>
      <c r="G618">
        <v>0.38459451331194999</v>
      </c>
      <c r="H618">
        <v>6.4204707633787796E-3</v>
      </c>
      <c r="I618">
        <v>1.08464449152414</v>
      </c>
      <c r="J618">
        <v>1.78</v>
      </c>
      <c r="L618">
        <v>0.39101498407532875</v>
      </c>
      <c r="M618">
        <v>0.37817404254857123</v>
      </c>
      <c r="N618">
        <v>0.39743545483870757</v>
      </c>
      <c r="O618">
        <v>0.37175357178519242</v>
      </c>
    </row>
    <row r="619" spans="1:15">
      <c r="A619" s="19">
        <v>42942</v>
      </c>
      <c r="B619">
        <v>1211</v>
      </c>
      <c r="C619">
        <v>1204</v>
      </c>
      <c r="D619">
        <v>3088</v>
      </c>
      <c r="E619">
        <v>3081</v>
      </c>
      <c r="F619">
        <v>0.39078221356702297</v>
      </c>
      <c r="G619">
        <v>0.38439960253167399</v>
      </c>
      <c r="H619">
        <v>6.42798811095735E-3</v>
      </c>
      <c r="I619">
        <v>0.992940703245759</v>
      </c>
      <c r="J619">
        <v>1.63</v>
      </c>
      <c r="L619">
        <v>0.39082759064263134</v>
      </c>
      <c r="M619">
        <v>0.37797161442071664</v>
      </c>
      <c r="N619">
        <v>0.39725557875358869</v>
      </c>
      <c r="O619">
        <v>0.37154362630975929</v>
      </c>
    </row>
    <row r="620" spans="1:15">
      <c r="A620" s="19">
        <v>42941</v>
      </c>
      <c r="B620">
        <v>1200</v>
      </c>
      <c r="C620">
        <v>1200</v>
      </c>
      <c r="D620">
        <v>3054</v>
      </c>
      <c r="E620">
        <v>3066</v>
      </c>
      <c r="F620">
        <v>0.39138943248532199</v>
      </c>
      <c r="G620">
        <v>0.38420399724446902</v>
      </c>
      <c r="H620">
        <v>6.4539470036199904E-3</v>
      </c>
      <c r="I620">
        <v>1.1133396721142601</v>
      </c>
      <c r="J620">
        <v>1.84</v>
      </c>
      <c r="L620">
        <v>0.39065794424808903</v>
      </c>
      <c r="M620">
        <v>0.37775005024084901</v>
      </c>
      <c r="N620">
        <v>0.39711189125170898</v>
      </c>
      <c r="O620">
        <v>0.37129610323722906</v>
      </c>
    </row>
    <row r="621" spans="1:15">
      <c r="A621" s="19">
        <v>42940</v>
      </c>
      <c r="B621">
        <v>1186</v>
      </c>
      <c r="C621">
        <v>1198</v>
      </c>
      <c r="D621">
        <v>3051</v>
      </c>
      <c r="E621">
        <v>3042</v>
      </c>
      <c r="F621">
        <v>0.39381985535831598</v>
      </c>
      <c r="G621">
        <v>0.38400727833158099</v>
      </c>
      <c r="H621">
        <v>6.4567860718801797E-3</v>
      </c>
      <c r="I621">
        <v>1.5197308564194301</v>
      </c>
      <c r="J621">
        <v>2.4900000000000002</v>
      </c>
      <c r="L621">
        <v>0.39046406440346115</v>
      </c>
      <c r="M621">
        <v>0.37755049225970083</v>
      </c>
      <c r="N621">
        <v>0.39692085047534137</v>
      </c>
      <c r="O621">
        <v>0.37109370618782062</v>
      </c>
    </row>
    <row r="622" spans="1:15">
      <c r="A622" s="19">
        <v>42937</v>
      </c>
      <c r="B622">
        <v>1198</v>
      </c>
      <c r="C622">
        <v>1194</v>
      </c>
      <c r="D622">
        <v>3083</v>
      </c>
      <c r="E622">
        <v>3076</v>
      </c>
      <c r="F622">
        <v>0.38816644993498001</v>
      </c>
      <c r="G622">
        <v>0.38368992550845099</v>
      </c>
      <c r="H622">
        <v>6.5509340247478301E-3</v>
      </c>
      <c r="I622">
        <v>0.68334139980928499</v>
      </c>
      <c r="J622">
        <v>1.1499999999999999</v>
      </c>
      <c r="L622">
        <v>0.39024085953319881</v>
      </c>
      <c r="M622">
        <v>0.37713899148370317</v>
      </c>
      <c r="N622">
        <v>0.39679179355794664</v>
      </c>
      <c r="O622">
        <v>0.37058805745895534</v>
      </c>
    </row>
    <row r="623" spans="1:15">
      <c r="A623" s="19">
        <v>42936</v>
      </c>
      <c r="B623">
        <v>1204</v>
      </c>
      <c r="C623">
        <v>1204</v>
      </c>
      <c r="D623">
        <v>3084</v>
      </c>
      <c r="E623">
        <v>3099</v>
      </c>
      <c r="F623">
        <v>0.38851242336237402</v>
      </c>
      <c r="G623">
        <v>0.38336466628739402</v>
      </c>
      <c r="H623">
        <v>6.9160247545736403E-3</v>
      </c>
      <c r="I623">
        <v>0.74432311301034004</v>
      </c>
      <c r="J623">
        <v>1.32</v>
      </c>
      <c r="L623">
        <v>0.39028069104196766</v>
      </c>
      <c r="M623">
        <v>0.37644864153282037</v>
      </c>
      <c r="N623">
        <v>0.39719671579654131</v>
      </c>
      <c r="O623">
        <v>0.36953261677824673</v>
      </c>
    </row>
    <row r="624" spans="1:15">
      <c r="A624" s="19">
        <v>42935</v>
      </c>
      <c r="B624">
        <v>1211</v>
      </c>
      <c r="C624">
        <v>1204</v>
      </c>
      <c r="D624">
        <v>3088</v>
      </c>
      <c r="E624">
        <v>3091</v>
      </c>
      <c r="F624">
        <v>0.38951795535425399</v>
      </c>
      <c r="G624">
        <v>0.383074583204981</v>
      </c>
      <c r="H624">
        <v>7.1464543890082796E-3</v>
      </c>
      <c r="I624">
        <v>0.90161803301830001</v>
      </c>
      <c r="J624">
        <v>1.65</v>
      </c>
      <c r="L624">
        <v>0.3902210375939893</v>
      </c>
      <c r="M624">
        <v>0.37592812881597271</v>
      </c>
      <c r="N624">
        <v>0.39736749198299753</v>
      </c>
      <c r="O624">
        <v>0.36878167442696447</v>
      </c>
    </row>
    <row r="625" spans="1:15">
      <c r="A625" s="19">
        <v>42934</v>
      </c>
      <c r="B625">
        <v>1219</v>
      </c>
      <c r="C625">
        <v>1210</v>
      </c>
      <c r="D625">
        <v>3118</v>
      </c>
      <c r="E625">
        <v>3096</v>
      </c>
      <c r="F625">
        <v>0.39082687338501199</v>
      </c>
      <c r="G625">
        <v>0.38272735312770001</v>
      </c>
      <c r="H625">
        <v>7.4511227933492102E-3</v>
      </c>
      <c r="I625">
        <v>1.08702010179485</v>
      </c>
      <c r="J625">
        <v>2.0699999999999998</v>
      </c>
      <c r="L625">
        <v>0.39017847592104921</v>
      </c>
      <c r="M625">
        <v>0.37527623033435081</v>
      </c>
      <c r="N625">
        <v>0.3976295987143984</v>
      </c>
      <c r="O625">
        <v>0.36782510754100162</v>
      </c>
    </row>
    <row r="626" spans="1:15">
      <c r="A626" s="19">
        <v>42930</v>
      </c>
      <c r="B626">
        <v>1236</v>
      </c>
      <c r="C626">
        <v>1227</v>
      </c>
      <c r="D626">
        <v>3110</v>
      </c>
      <c r="E626">
        <v>3134</v>
      </c>
      <c r="F626">
        <v>0.39151244416081599</v>
      </c>
      <c r="G626">
        <v>0.38234752721791798</v>
      </c>
      <c r="H626">
        <v>7.7486919534464401E-3</v>
      </c>
      <c r="I626">
        <v>1.1827695561987399</v>
      </c>
      <c r="J626">
        <v>2.34</v>
      </c>
      <c r="L626">
        <v>0.39009621917136444</v>
      </c>
      <c r="M626">
        <v>0.37459883526447152</v>
      </c>
      <c r="N626">
        <v>0.39784491112481085</v>
      </c>
      <c r="O626">
        <v>0.36685014331102511</v>
      </c>
    </row>
    <row r="627" spans="1:15">
      <c r="A627" s="19">
        <v>42929</v>
      </c>
      <c r="B627">
        <v>1235</v>
      </c>
      <c r="C627">
        <v>1232</v>
      </c>
      <c r="D627">
        <v>3100</v>
      </c>
      <c r="E627">
        <v>3091</v>
      </c>
      <c r="F627">
        <v>0.39857651245551601</v>
      </c>
      <c r="G627">
        <v>0.38207985419419599</v>
      </c>
      <c r="H627">
        <v>7.7741777477340901E-3</v>
      </c>
      <c r="I627">
        <v>2.1219811016190402</v>
      </c>
      <c r="J627">
        <v>4.1399999999999997</v>
      </c>
      <c r="L627">
        <v>0.38985403194193008</v>
      </c>
      <c r="M627">
        <v>0.3743056764464619</v>
      </c>
      <c r="N627">
        <v>0.39762820968966417</v>
      </c>
      <c r="O627">
        <v>0.36653149869872781</v>
      </c>
    </row>
    <row r="628" spans="1:15">
      <c r="A628" s="19">
        <v>42928</v>
      </c>
      <c r="B628">
        <v>1233</v>
      </c>
      <c r="C628">
        <v>1233</v>
      </c>
      <c r="D628">
        <v>3103</v>
      </c>
      <c r="E628">
        <v>3103</v>
      </c>
      <c r="F628">
        <v>0.39735739606832099</v>
      </c>
      <c r="G628">
        <v>0.38164259017364899</v>
      </c>
      <c r="H628">
        <v>7.7562772236889101E-3</v>
      </c>
      <c r="I628">
        <v>2.0260758404400501</v>
      </c>
      <c r="J628">
        <v>3.95</v>
      </c>
      <c r="L628">
        <v>0.38939886739733792</v>
      </c>
      <c r="M628">
        <v>0.37388631294996005</v>
      </c>
      <c r="N628">
        <v>0.3971551446210268</v>
      </c>
      <c r="O628">
        <v>0.36613003572627117</v>
      </c>
    </row>
    <row r="629" spans="1:15">
      <c r="A629" s="19">
        <v>42927</v>
      </c>
      <c r="B629">
        <v>1226</v>
      </c>
      <c r="C629">
        <v>1241</v>
      </c>
      <c r="D629">
        <v>3102</v>
      </c>
      <c r="E629">
        <v>3104</v>
      </c>
      <c r="F629">
        <v>0.39980670103092703</v>
      </c>
      <c r="G629">
        <v>0.38126697217956002</v>
      </c>
      <c r="H629">
        <v>7.6677823110197097E-3</v>
      </c>
      <c r="I629">
        <v>2.4178736562099998</v>
      </c>
      <c r="J629">
        <v>4.6399999999999997</v>
      </c>
      <c r="L629">
        <v>0.38893475449057974</v>
      </c>
      <c r="M629">
        <v>0.37359918986854029</v>
      </c>
      <c r="N629">
        <v>0.39660253680159946</v>
      </c>
      <c r="O629">
        <v>0.36593140755752057</v>
      </c>
    </row>
    <row r="630" spans="1:15">
      <c r="A630" s="19">
        <v>42926</v>
      </c>
      <c r="B630">
        <v>1232</v>
      </c>
      <c r="C630">
        <v>1230</v>
      </c>
      <c r="D630">
        <v>3114</v>
      </c>
      <c r="E630">
        <v>3104</v>
      </c>
      <c r="F630">
        <v>0.39626288659793801</v>
      </c>
      <c r="G630">
        <v>0.380801290908582</v>
      </c>
      <c r="H630">
        <v>7.5878353957710898E-3</v>
      </c>
      <c r="I630">
        <v>2.03768201112696</v>
      </c>
      <c r="J630">
        <v>3.9</v>
      </c>
      <c r="L630">
        <v>0.38838912630435307</v>
      </c>
      <c r="M630">
        <v>0.37321345551281093</v>
      </c>
      <c r="N630">
        <v>0.3959769617001242</v>
      </c>
      <c r="O630">
        <v>0.36562562011703981</v>
      </c>
    </row>
    <row r="631" spans="1:15">
      <c r="A631" s="19">
        <v>42923</v>
      </c>
      <c r="B631">
        <v>1198</v>
      </c>
      <c r="C631">
        <v>1216</v>
      </c>
      <c r="D631">
        <v>3090</v>
      </c>
      <c r="E631">
        <v>3087</v>
      </c>
      <c r="F631">
        <v>0.39390994493035297</v>
      </c>
      <c r="G631">
        <v>0.38047920776781202</v>
      </c>
      <c r="H631">
        <v>7.4358581252934102E-3</v>
      </c>
      <c r="I631">
        <v>1.8062121326462</v>
      </c>
      <c r="J631">
        <v>3.41</v>
      </c>
      <c r="L631">
        <v>0.38791506589310543</v>
      </c>
      <c r="M631">
        <v>0.37304334964251862</v>
      </c>
      <c r="N631">
        <v>0.39535092401839883</v>
      </c>
      <c r="O631">
        <v>0.36560749151722521</v>
      </c>
    </row>
    <row r="632" spans="1:15">
      <c r="A632" s="19">
        <v>42922</v>
      </c>
      <c r="B632">
        <v>1204</v>
      </c>
      <c r="C632">
        <v>1209</v>
      </c>
      <c r="D632">
        <v>3137</v>
      </c>
      <c r="E632">
        <v>3102</v>
      </c>
      <c r="F632">
        <v>0.389748549323017</v>
      </c>
      <c r="G632">
        <v>0.38013202529108198</v>
      </c>
      <c r="H632">
        <v>7.40849462533849E-3</v>
      </c>
      <c r="I632">
        <v>1.2980402252091301</v>
      </c>
      <c r="J632">
        <v>2.4700000000000002</v>
      </c>
      <c r="L632">
        <v>0.38754051991642047</v>
      </c>
      <c r="M632">
        <v>0.37272353066574349</v>
      </c>
      <c r="N632">
        <v>0.39494901454175896</v>
      </c>
      <c r="O632">
        <v>0.36531503604040499</v>
      </c>
    </row>
    <row r="633" spans="1:15">
      <c r="A633" s="19">
        <v>42921</v>
      </c>
      <c r="B633">
        <v>1191</v>
      </c>
      <c r="C633">
        <v>1206</v>
      </c>
      <c r="D633">
        <v>3130</v>
      </c>
      <c r="E633">
        <v>3150</v>
      </c>
      <c r="F633">
        <v>0.38285714285714201</v>
      </c>
      <c r="G633">
        <v>0.37988916027199998</v>
      </c>
      <c r="H633">
        <v>7.3877960802364697E-3</v>
      </c>
      <c r="I633">
        <v>0.40174127072643401</v>
      </c>
      <c r="J633">
        <v>0.78</v>
      </c>
      <c r="L633">
        <v>0.38727695635223647</v>
      </c>
      <c r="M633">
        <v>0.3725013641917635</v>
      </c>
      <c r="N633">
        <v>0.3946647524324729</v>
      </c>
      <c r="O633">
        <v>0.36511356811152706</v>
      </c>
    </row>
    <row r="634" spans="1:15">
      <c r="A634" s="19">
        <v>42920</v>
      </c>
      <c r="B634">
        <v>1195</v>
      </c>
      <c r="C634">
        <v>1193</v>
      </c>
      <c r="D634">
        <v>3100</v>
      </c>
      <c r="E634">
        <v>3128</v>
      </c>
      <c r="F634">
        <v>0.38139386189258301</v>
      </c>
      <c r="G634">
        <v>0.379733779694573</v>
      </c>
      <c r="H634">
        <v>7.4460585810011198E-3</v>
      </c>
      <c r="I634">
        <v>0.22294777565219101</v>
      </c>
      <c r="J634">
        <v>0.44</v>
      </c>
      <c r="L634">
        <v>0.38717983827557412</v>
      </c>
      <c r="M634">
        <v>0.37228772111357189</v>
      </c>
      <c r="N634">
        <v>0.39462589685657523</v>
      </c>
      <c r="O634">
        <v>0.36484166253257078</v>
      </c>
    </row>
    <row r="635" spans="1:15">
      <c r="A635" s="19">
        <v>42919</v>
      </c>
      <c r="B635">
        <v>1184</v>
      </c>
      <c r="C635">
        <v>1186</v>
      </c>
      <c r="D635">
        <v>3068</v>
      </c>
      <c r="E635">
        <v>3067</v>
      </c>
      <c r="F635">
        <v>0.38669709814150599</v>
      </c>
      <c r="G635">
        <v>0.37957298259550898</v>
      </c>
      <c r="H635">
        <v>7.5381189902648301E-3</v>
      </c>
      <c r="I635">
        <v>0.94507868013198504</v>
      </c>
      <c r="J635">
        <v>1.84</v>
      </c>
      <c r="L635">
        <v>0.38711110158577383</v>
      </c>
      <c r="M635">
        <v>0.37203486360524413</v>
      </c>
      <c r="N635">
        <v>0.39464922057603863</v>
      </c>
      <c r="O635">
        <v>0.36449674461497933</v>
      </c>
    </row>
    <row r="636" spans="1:15">
      <c r="A636" s="19">
        <v>42916</v>
      </c>
      <c r="B636">
        <v>1178</v>
      </c>
      <c r="C636">
        <v>1181</v>
      </c>
      <c r="D636">
        <v>3060</v>
      </c>
      <c r="E636">
        <v>3064</v>
      </c>
      <c r="F636">
        <v>0.38544386422976501</v>
      </c>
      <c r="G636">
        <v>0.37941325054788999</v>
      </c>
      <c r="H636">
        <v>7.5123497645421602E-3</v>
      </c>
      <c r="I636">
        <v>0.80275997136586597</v>
      </c>
      <c r="J636">
        <v>1.56</v>
      </c>
      <c r="L636">
        <v>0.38692560031243217</v>
      </c>
      <c r="M636">
        <v>0.37190090078334781</v>
      </c>
      <c r="N636">
        <v>0.3944379500769743</v>
      </c>
      <c r="O636">
        <v>0.36438855101880568</v>
      </c>
    </row>
    <row r="637" spans="1:15">
      <c r="A637" s="19">
        <v>42915</v>
      </c>
      <c r="B637">
        <v>1182</v>
      </c>
      <c r="C637">
        <v>1192</v>
      </c>
      <c r="D637">
        <v>3087</v>
      </c>
      <c r="E637">
        <v>3084</v>
      </c>
      <c r="F637">
        <v>0.38651102464331999</v>
      </c>
      <c r="G637">
        <v>0.379226165597702</v>
      </c>
      <c r="H637">
        <v>7.5345193927475297E-3</v>
      </c>
      <c r="I637">
        <v>0.96686446286536698</v>
      </c>
      <c r="J637">
        <v>1.88</v>
      </c>
      <c r="L637">
        <v>0.38676068499044952</v>
      </c>
      <c r="M637">
        <v>0.37169164620495448</v>
      </c>
      <c r="N637">
        <v>0.39429520438319704</v>
      </c>
      <c r="O637">
        <v>0.36415712681220697</v>
      </c>
    </row>
    <row r="638" spans="1:15">
      <c r="A638" s="19">
        <v>42914</v>
      </c>
      <c r="B638">
        <v>1173</v>
      </c>
      <c r="C638">
        <v>1172</v>
      </c>
      <c r="D638">
        <v>3057</v>
      </c>
      <c r="E638">
        <v>3073</v>
      </c>
      <c r="F638">
        <v>0.38138626749105098</v>
      </c>
      <c r="G638">
        <v>0.37897208258020498</v>
      </c>
      <c r="H638">
        <v>7.60554862233779E-3</v>
      </c>
      <c r="I638">
        <v>0.31742416368952597</v>
      </c>
      <c r="J638">
        <v>0.63</v>
      </c>
      <c r="L638">
        <v>0.38657763120254279</v>
      </c>
      <c r="M638">
        <v>0.37136653395786717</v>
      </c>
      <c r="N638">
        <v>0.39418317982488055</v>
      </c>
      <c r="O638">
        <v>0.36376098533552942</v>
      </c>
    </row>
    <row r="639" spans="1:15">
      <c r="A639" s="19">
        <v>42913</v>
      </c>
      <c r="B639">
        <v>1169</v>
      </c>
      <c r="C639">
        <v>1169</v>
      </c>
      <c r="D639">
        <v>3089</v>
      </c>
      <c r="E639">
        <v>3074</v>
      </c>
      <c r="F639">
        <v>0.38028627195836001</v>
      </c>
      <c r="G639">
        <v>0.37882576163364601</v>
      </c>
      <c r="H639">
        <v>7.6630414875448498E-3</v>
      </c>
      <c r="I639">
        <v>0.19059146777262101</v>
      </c>
      <c r="J639">
        <v>0.38</v>
      </c>
      <c r="L639">
        <v>0.38648880312119088</v>
      </c>
      <c r="M639">
        <v>0.37116272014610113</v>
      </c>
      <c r="N639">
        <v>0.3941518446087357</v>
      </c>
      <c r="O639">
        <v>0.36349967865855631</v>
      </c>
    </row>
    <row r="640" spans="1:15">
      <c r="A640" s="19">
        <v>42912</v>
      </c>
      <c r="B640">
        <v>1173</v>
      </c>
      <c r="C640">
        <v>1160</v>
      </c>
      <c r="D640">
        <v>3070</v>
      </c>
      <c r="E640">
        <v>3065</v>
      </c>
      <c r="F640">
        <v>0.37846655791190797</v>
      </c>
      <c r="G640">
        <v>0.37866339222862599</v>
      </c>
      <c r="H640">
        <v>7.7587913625604601E-3</v>
      </c>
      <c r="I640">
        <v>-2.53691983093953E-2</v>
      </c>
      <c r="J640">
        <v>-0.05</v>
      </c>
      <c r="L640">
        <v>0.38642218359118646</v>
      </c>
      <c r="M640">
        <v>0.37090460086606553</v>
      </c>
      <c r="N640">
        <v>0.39418097495374693</v>
      </c>
      <c r="O640">
        <v>0.36314580950350506</v>
      </c>
    </row>
    <row r="641" spans="1:15">
      <c r="A641" s="19">
        <v>42909</v>
      </c>
      <c r="B641">
        <v>1169</v>
      </c>
      <c r="C641">
        <v>1171</v>
      </c>
      <c r="D641">
        <v>3059</v>
      </c>
      <c r="E641">
        <v>3061</v>
      </c>
      <c r="F641">
        <v>0.38255472067951601</v>
      </c>
      <c r="G641">
        <v>0.37852392808658603</v>
      </c>
      <c r="H641">
        <v>7.8544932578527692E-3</v>
      </c>
      <c r="I641">
        <v>0.51318302283852602</v>
      </c>
      <c r="J641">
        <v>1.05</v>
      </c>
      <c r="L641">
        <v>0.38637842134443878</v>
      </c>
      <c r="M641">
        <v>0.37066943482873327</v>
      </c>
      <c r="N641">
        <v>0.39423291460229154</v>
      </c>
      <c r="O641">
        <v>0.36281494157088051</v>
      </c>
    </row>
    <row r="642" spans="1:15">
      <c r="A642" s="19">
        <v>42908</v>
      </c>
      <c r="B642">
        <v>1165</v>
      </c>
      <c r="C642">
        <v>1164</v>
      </c>
      <c r="D642">
        <v>3060</v>
      </c>
      <c r="E642">
        <v>3045</v>
      </c>
      <c r="F642">
        <v>0.38226600985221598</v>
      </c>
      <c r="G642">
        <v>0.37838926182594201</v>
      </c>
      <c r="H642">
        <v>7.8707960801778498E-3</v>
      </c>
      <c r="I642">
        <v>0.492548401303042</v>
      </c>
      <c r="J642">
        <v>1.01</v>
      </c>
      <c r="L642">
        <v>0.38626005790611984</v>
      </c>
      <c r="M642">
        <v>0.37051846574576419</v>
      </c>
      <c r="N642">
        <v>0.39413085398629771</v>
      </c>
      <c r="O642">
        <v>0.36264766966558631</v>
      </c>
    </row>
    <row r="643" spans="1:15">
      <c r="A643" s="19">
        <v>42907</v>
      </c>
      <c r="B643">
        <v>1180</v>
      </c>
      <c r="C643">
        <v>1167</v>
      </c>
      <c r="D643">
        <v>3070</v>
      </c>
      <c r="E643">
        <v>3067</v>
      </c>
      <c r="F643">
        <v>0.38050211933485401</v>
      </c>
      <c r="G643">
        <v>0.37818039593879299</v>
      </c>
      <c r="H643">
        <v>7.9723420057415395E-3</v>
      </c>
      <c r="I643">
        <v>0.29122225243090399</v>
      </c>
      <c r="J643">
        <v>0.61</v>
      </c>
      <c r="L643">
        <v>0.38615273794453453</v>
      </c>
      <c r="M643">
        <v>0.37020805393305145</v>
      </c>
      <c r="N643">
        <v>0.39412507995027607</v>
      </c>
      <c r="O643">
        <v>0.36223571192730991</v>
      </c>
    </row>
    <row r="644" spans="1:15">
      <c r="A644" s="19">
        <v>42906</v>
      </c>
      <c r="B644">
        <v>1180</v>
      </c>
      <c r="C644">
        <v>1184</v>
      </c>
      <c r="D644">
        <v>3102</v>
      </c>
      <c r="E644">
        <v>3066</v>
      </c>
      <c r="F644">
        <v>0.38617090671885101</v>
      </c>
      <c r="G644">
        <v>0.37801812664232698</v>
      </c>
      <c r="H644">
        <v>8.0469414208732392E-3</v>
      </c>
      <c r="I644">
        <v>1.01315265640888</v>
      </c>
      <c r="J644">
        <v>2.11</v>
      </c>
      <c r="L644">
        <v>0.38606506806320023</v>
      </c>
      <c r="M644">
        <v>0.36997118522145372</v>
      </c>
      <c r="N644">
        <v>0.39411200948407343</v>
      </c>
      <c r="O644">
        <v>0.36192424380058053</v>
      </c>
    </row>
    <row r="645" spans="1:15">
      <c r="A645" s="19">
        <v>42905</v>
      </c>
      <c r="B645">
        <v>1168</v>
      </c>
      <c r="C645">
        <v>1175</v>
      </c>
      <c r="D645">
        <v>3063</v>
      </c>
      <c r="E645">
        <v>3066</v>
      </c>
      <c r="F645">
        <v>0.38323548597521201</v>
      </c>
      <c r="G645">
        <v>0.37777687789648901</v>
      </c>
      <c r="H645">
        <v>8.07009548512975E-3</v>
      </c>
      <c r="I645">
        <v>0.67639944146639297</v>
      </c>
      <c r="J645">
        <v>1.42</v>
      </c>
      <c r="L645">
        <v>0.38584697338161877</v>
      </c>
      <c r="M645">
        <v>0.36970678241135924</v>
      </c>
      <c r="N645">
        <v>0.39391706886674849</v>
      </c>
      <c r="O645">
        <v>0.36163668692622952</v>
      </c>
    </row>
    <row r="646" spans="1:15">
      <c r="A646" s="19">
        <v>42902</v>
      </c>
      <c r="B646">
        <v>1178</v>
      </c>
      <c r="C646">
        <v>1168</v>
      </c>
      <c r="D646">
        <v>3092</v>
      </c>
      <c r="E646">
        <v>3077</v>
      </c>
      <c r="F646">
        <v>0.37959051023724399</v>
      </c>
      <c r="G646">
        <v>0.37757392151713498</v>
      </c>
      <c r="H646">
        <v>8.1215071309019803E-3</v>
      </c>
      <c r="I646">
        <v>0.24830227784144601</v>
      </c>
      <c r="J646">
        <v>0.53</v>
      </c>
      <c r="L646">
        <v>0.38569542864803696</v>
      </c>
      <c r="M646">
        <v>0.369452414386233</v>
      </c>
      <c r="N646">
        <v>0.39381693577893895</v>
      </c>
      <c r="O646">
        <v>0.36133090725533101</v>
      </c>
    </row>
    <row r="647" spans="1:15">
      <c r="A647" s="19">
        <v>42901</v>
      </c>
      <c r="B647">
        <v>1188</v>
      </c>
      <c r="C647">
        <v>1171</v>
      </c>
      <c r="D647">
        <v>3057</v>
      </c>
      <c r="E647">
        <v>3057</v>
      </c>
      <c r="F647">
        <v>0.38305528295714703</v>
      </c>
      <c r="G647">
        <v>0.37737644637015599</v>
      </c>
      <c r="H647">
        <v>8.2491309761326109E-3</v>
      </c>
      <c r="I647">
        <v>0.68841634390596995</v>
      </c>
      <c r="J647">
        <v>1.48</v>
      </c>
      <c r="L647">
        <v>0.38562557734628861</v>
      </c>
      <c r="M647">
        <v>0.36912731539402338</v>
      </c>
      <c r="N647">
        <v>0.39387470832242122</v>
      </c>
      <c r="O647">
        <v>0.36087818441789077</v>
      </c>
    </row>
    <row r="648" spans="1:15">
      <c r="A648" s="19">
        <v>42900</v>
      </c>
      <c r="B648">
        <v>1200</v>
      </c>
      <c r="C648">
        <v>1187</v>
      </c>
      <c r="D648">
        <v>3092</v>
      </c>
      <c r="E648">
        <v>3064</v>
      </c>
      <c r="F648">
        <v>0.38740208877284499</v>
      </c>
      <c r="G648">
        <v>0.377102516656875</v>
      </c>
      <c r="H648">
        <v>8.3958163274258698E-3</v>
      </c>
      <c r="I648">
        <v>1.2267505283942499</v>
      </c>
      <c r="J648">
        <v>2.66</v>
      </c>
      <c r="L648">
        <v>0.38549833298430086</v>
      </c>
      <c r="M648">
        <v>0.36870670032944913</v>
      </c>
      <c r="N648">
        <v>0.39389414931172673</v>
      </c>
      <c r="O648">
        <v>0.36031088400202327</v>
      </c>
    </row>
    <row r="649" spans="1:15">
      <c r="A649" s="19">
        <v>42899</v>
      </c>
      <c r="B649">
        <v>1190</v>
      </c>
      <c r="C649">
        <v>1192</v>
      </c>
      <c r="D649">
        <v>3080</v>
      </c>
      <c r="E649">
        <v>3057</v>
      </c>
      <c r="F649">
        <v>0.38992476283938499</v>
      </c>
      <c r="G649">
        <v>0.37683351401665399</v>
      </c>
      <c r="H649">
        <v>8.3847079097707101E-3</v>
      </c>
      <c r="I649">
        <v>1.56132437332435</v>
      </c>
      <c r="J649">
        <v>3.36</v>
      </c>
      <c r="L649">
        <v>0.38521822192642469</v>
      </c>
      <c r="M649">
        <v>0.3684488061068833</v>
      </c>
      <c r="N649">
        <v>0.39360292983619544</v>
      </c>
      <c r="O649">
        <v>0.36006409819711255</v>
      </c>
    </row>
    <row r="650" spans="1:15">
      <c r="A650" s="19">
        <v>42898</v>
      </c>
      <c r="B650">
        <v>1186</v>
      </c>
      <c r="C650">
        <v>1182</v>
      </c>
      <c r="D650">
        <v>3077</v>
      </c>
      <c r="E650">
        <v>3066</v>
      </c>
      <c r="F650">
        <v>0.38551859099804298</v>
      </c>
      <c r="G650">
        <v>0.37645721221425699</v>
      </c>
      <c r="H650">
        <v>8.4219612393431498E-3</v>
      </c>
      <c r="I650">
        <v>1.07592264156427</v>
      </c>
      <c r="J650">
        <v>2.35</v>
      </c>
      <c r="L650">
        <v>0.38487917345360012</v>
      </c>
      <c r="M650">
        <v>0.36803525097491385</v>
      </c>
      <c r="N650">
        <v>0.39330113469294331</v>
      </c>
      <c r="O650">
        <v>0.35961328973557066</v>
      </c>
    </row>
    <row r="651" spans="1:15">
      <c r="A651" s="19">
        <v>42895</v>
      </c>
      <c r="B651">
        <v>1178</v>
      </c>
      <c r="C651">
        <v>1192</v>
      </c>
      <c r="D651">
        <v>3050</v>
      </c>
      <c r="E651">
        <v>3075</v>
      </c>
      <c r="F651">
        <v>0.387642276422764</v>
      </c>
      <c r="G651">
        <v>0.37616679748222498</v>
      </c>
      <c r="H651">
        <v>8.4798306799920807E-3</v>
      </c>
      <c r="I651">
        <v>1.3532674617684299</v>
      </c>
      <c r="J651">
        <v>2.96</v>
      </c>
      <c r="L651">
        <v>0.38464662816221706</v>
      </c>
      <c r="M651">
        <v>0.3676869668022329</v>
      </c>
      <c r="N651">
        <v>0.39312645884220915</v>
      </c>
      <c r="O651">
        <v>0.35920713612224081</v>
      </c>
    </row>
    <row r="652" spans="1:15">
      <c r="A652" s="19">
        <v>42894</v>
      </c>
      <c r="B652">
        <v>1186</v>
      </c>
      <c r="C652">
        <v>1177</v>
      </c>
      <c r="D652">
        <v>3103</v>
      </c>
      <c r="E652">
        <v>3068</v>
      </c>
      <c r="F652">
        <v>0.38363754889178597</v>
      </c>
      <c r="G652">
        <v>0.37581076877140601</v>
      </c>
      <c r="H652">
        <v>8.5508072830286497E-3</v>
      </c>
      <c r="I652">
        <v>0.91532645530603196</v>
      </c>
      <c r="J652">
        <v>2.04</v>
      </c>
      <c r="L652">
        <v>0.38436157605443466</v>
      </c>
      <c r="M652">
        <v>0.36725996148837736</v>
      </c>
      <c r="N652">
        <v>0.39291238333746331</v>
      </c>
      <c r="O652">
        <v>0.35870915420534871</v>
      </c>
    </row>
    <row r="653" spans="1:15">
      <c r="A653" s="19">
        <v>42893</v>
      </c>
      <c r="B653">
        <v>1180</v>
      </c>
      <c r="C653">
        <v>1178</v>
      </c>
      <c r="D653">
        <v>3100</v>
      </c>
      <c r="E653">
        <v>3098</v>
      </c>
      <c r="F653">
        <v>0.38024531956100699</v>
      </c>
      <c r="G653">
        <v>0.37551434099551501</v>
      </c>
      <c r="H653">
        <v>8.6590122238171495E-3</v>
      </c>
      <c r="I653">
        <v>0.54636469417134004</v>
      </c>
      <c r="J653">
        <v>1.24</v>
      </c>
      <c r="L653">
        <v>0.38417335321933216</v>
      </c>
      <c r="M653">
        <v>0.36685532877169785</v>
      </c>
      <c r="N653">
        <v>0.39283236544314931</v>
      </c>
      <c r="O653">
        <v>0.3581963165478807</v>
      </c>
    </row>
    <row r="654" spans="1:15">
      <c r="A654" s="19">
        <v>42892</v>
      </c>
      <c r="B654">
        <v>1186</v>
      </c>
      <c r="C654">
        <v>1189</v>
      </c>
      <c r="D654">
        <v>3100</v>
      </c>
      <c r="E654">
        <v>3112</v>
      </c>
      <c r="F654">
        <v>0.382069408740359</v>
      </c>
      <c r="G654">
        <v>0.37524351672916001</v>
      </c>
      <c r="H654">
        <v>8.8228993564584707E-3</v>
      </c>
      <c r="I654">
        <v>0.77365633851450499</v>
      </c>
      <c r="J654">
        <v>1.79</v>
      </c>
      <c r="L654">
        <v>0.38406641608561848</v>
      </c>
      <c r="M654">
        <v>0.36642061737270154</v>
      </c>
      <c r="N654">
        <v>0.39288931544207695</v>
      </c>
      <c r="O654">
        <v>0.35759771801624307</v>
      </c>
    </row>
    <row r="655" spans="1:15">
      <c r="A655" s="19">
        <v>42891</v>
      </c>
      <c r="B655">
        <v>1213</v>
      </c>
      <c r="C655">
        <v>1197</v>
      </c>
      <c r="D655">
        <v>3148</v>
      </c>
      <c r="E655">
        <v>3117</v>
      </c>
      <c r="F655">
        <v>0.38402309913378202</v>
      </c>
      <c r="G655">
        <v>0.37488991708485198</v>
      </c>
      <c r="H655">
        <v>9.0702098931262996E-3</v>
      </c>
      <c r="I655">
        <v>1.00694274515652</v>
      </c>
      <c r="J655">
        <v>2.38</v>
      </c>
      <c r="L655">
        <v>0.38396012697797827</v>
      </c>
      <c r="M655">
        <v>0.36581970719172568</v>
      </c>
      <c r="N655">
        <v>0.39303033687110456</v>
      </c>
      <c r="O655">
        <v>0.35674949729859939</v>
      </c>
    </row>
    <row r="656" spans="1:15">
      <c r="A656" s="19">
        <v>42888</v>
      </c>
      <c r="B656">
        <v>1206</v>
      </c>
      <c r="C656">
        <v>1216</v>
      </c>
      <c r="D656">
        <v>3145</v>
      </c>
      <c r="E656">
        <v>3194</v>
      </c>
      <c r="F656">
        <v>0.380713838447088</v>
      </c>
      <c r="G656">
        <v>0.37451405354084599</v>
      </c>
      <c r="H656">
        <v>9.26592030152339E-3</v>
      </c>
      <c r="I656">
        <v>0.66909542759859397</v>
      </c>
      <c r="J656">
        <v>1.63</v>
      </c>
      <c r="L656">
        <v>0.38377997384236939</v>
      </c>
      <c r="M656">
        <v>0.36524813323932259</v>
      </c>
      <c r="N656">
        <v>0.39304589414389279</v>
      </c>
      <c r="O656">
        <v>0.35598221293779919</v>
      </c>
    </row>
    <row r="657" spans="1:15">
      <c r="A657" s="19">
        <v>42887</v>
      </c>
      <c r="B657">
        <v>1169</v>
      </c>
      <c r="C657">
        <v>1210</v>
      </c>
      <c r="D657">
        <v>3100</v>
      </c>
      <c r="E657">
        <v>3112</v>
      </c>
      <c r="F657">
        <v>0.388817480719794</v>
      </c>
      <c r="G657">
        <v>0.37412097405104899</v>
      </c>
      <c r="H657">
        <v>9.6133819424129401E-3</v>
      </c>
      <c r="I657">
        <v>1.52875509958739</v>
      </c>
      <c r="J657">
        <v>3.78</v>
      </c>
      <c r="L657">
        <v>0.38373435599346195</v>
      </c>
      <c r="M657">
        <v>0.36450759210863604</v>
      </c>
      <c r="N657">
        <v>0.39334773793587485</v>
      </c>
      <c r="O657">
        <v>0.35489421016622313</v>
      </c>
    </row>
    <row r="658" spans="1:15">
      <c r="A658" s="19">
        <v>42886</v>
      </c>
      <c r="B658">
        <v>1169</v>
      </c>
      <c r="C658">
        <v>1165</v>
      </c>
      <c r="D658">
        <v>3070</v>
      </c>
      <c r="E658">
        <v>3117</v>
      </c>
      <c r="F658">
        <v>0.37375681745267803</v>
      </c>
      <c r="G658">
        <v>0.37364501651801202</v>
      </c>
      <c r="H658">
        <v>9.7565833504828E-3</v>
      </c>
      <c r="I658">
        <v>1.14590252192213E-2</v>
      </c>
      <c r="J658">
        <v>0.03</v>
      </c>
      <c r="L658">
        <v>0.38340159986849481</v>
      </c>
      <c r="M658">
        <v>0.36388843316752922</v>
      </c>
      <c r="N658">
        <v>0.39315818321897761</v>
      </c>
      <c r="O658">
        <v>0.35413184981704643</v>
      </c>
    </row>
    <row r="659" spans="1:15">
      <c r="A659" s="19">
        <v>42885</v>
      </c>
      <c r="B659">
        <v>1175</v>
      </c>
      <c r="C659">
        <v>1178</v>
      </c>
      <c r="D659">
        <v>3065</v>
      </c>
      <c r="E659">
        <v>3073</v>
      </c>
      <c r="F659">
        <v>0.38333875691506603</v>
      </c>
      <c r="G659">
        <v>0.37336098345730301</v>
      </c>
      <c r="H659">
        <v>1.00547174023028E-2</v>
      </c>
      <c r="I659">
        <v>0.99234747815762903</v>
      </c>
      <c r="J659">
        <v>2.6</v>
      </c>
      <c r="L659">
        <v>0.3834157008596058</v>
      </c>
      <c r="M659">
        <v>0.36330626605500022</v>
      </c>
      <c r="N659">
        <v>0.39347041826190859</v>
      </c>
      <c r="O659">
        <v>0.35325154865269742</v>
      </c>
    </row>
    <row r="660" spans="1:15">
      <c r="A660" s="19">
        <v>42884</v>
      </c>
      <c r="B660">
        <v>1167</v>
      </c>
      <c r="C660">
        <v>1170</v>
      </c>
      <c r="D660">
        <v>3059</v>
      </c>
      <c r="E660">
        <v>3064</v>
      </c>
      <c r="F660">
        <v>0.381853785900783</v>
      </c>
      <c r="G660">
        <v>0.37290191717409299</v>
      </c>
      <c r="H660">
        <v>1.0369730968756E-2</v>
      </c>
      <c r="I660">
        <v>0.86326913915717096</v>
      </c>
      <c r="J660">
        <v>2.34</v>
      </c>
      <c r="L660">
        <v>0.38327164814284898</v>
      </c>
      <c r="M660">
        <v>0.362532186205337</v>
      </c>
      <c r="N660">
        <v>0.39364137911160502</v>
      </c>
      <c r="O660">
        <v>0.35216245523658096</v>
      </c>
    </row>
    <row r="661" spans="1:15">
      <c r="A661" s="19">
        <v>42881</v>
      </c>
      <c r="B661">
        <v>1174</v>
      </c>
      <c r="C661">
        <v>1162</v>
      </c>
      <c r="D661">
        <v>3095</v>
      </c>
      <c r="E661">
        <v>3058</v>
      </c>
      <c r="F661">
        <v>0.37998691955526398</v>
      </c>
      <c r="G661">
        <v>0.372362919693628</v>
      </c>
      <c r="H661">
        <v>1.09260973818773E-2</v>
      </c>
      <c r="I661">
        <v>0.69777886789499299</v>
      </c>
      <c r="J661">
        <v>2.0099999999999998</v>
      </c>
      <c r="L661">
        <v>0.38328901707550528</v>
      </c>
      <c r="M661">
        <v>0.36143682231175073</v>
      </c>
      <c r="N661">
        <v>0.39421511445738261</v>
      </c>
      <c r="O661">
        <v>0.3505107249298734</v>
      </c>
    </row>
    <row r="662" spans="1:15">
      <c r="A662" s="19">
        <v>42880</v>
      </c>
      <c r="B662">
        <v>1171</v>
      </c>
      <c r="C662">
        <v>1175</v>
      </c>
      <c r="D662">
        <v>3104</v>
      </c>
      <c r="E662">
        <v>3095</v>
      </c>
      <c r="F662">
        <v>0.37964458804523399</v>
      </c>
      <c r="G662">
        <v>0.37193427455570799</v>
      </c>
      <c r="H662">
        <v>1.12445602612682E-2</v>
      </c>
      <c r="I662">
        <v>0.68569275368500704</v>
      </c>
      <c r="J662">
        <v>2.0299999999999998</v>
      </c>
      <c r="L662">
        <v>0.38317883481697618</v>
      </c>
      <c r="M662">
        <v>0.3606897142944398</v>
      </c>
      <c r="N662">
        <v>0.39442339507824437</v>
      </c>
      <c r="O662">
        <v>0.34944515403317161</v>
      </c>
    </row>
    <row r="663" spans="1:15">
      <c r="A663" s="19">
        <v>42879</v>
      </c>
      <c r="B663">
        <v>1186</v>
      </c>
      <c r="C663">
        <v>1177</v>
      </c>
      <c r="D663">
        <v>3110</v>
      </c>
      <c r="E663">
        <v>3135</v>
      </c>
      <c r="F663">
        <v>0.37543859649122802</v>
      </c>
      <c r="G663">
        <v>0.37138300987607498</v>
      </c>
      <c r="H663">
        <v>1.1850204713706999E-2</v>
      </c>
      <c r="I663">
        <v>0.342237683916294</v>
      </c>
      <c r="J663">
        <v>1.08</v>
      </c>
      <c r="L663">
        <v>0.38323321458978199</v>
      </c>
      <c r="M663">
        <v>0.35953280516236796</v>
      </c>
      <c r="N663">
        <v>0.395083419303489</v>
      </c>
      <c r="O663">
        <v>0.34768260044866095</v>
      </c>
    </row>
    <row r="664" spans="1:15">
      <c r="A664" s="19">
        <v>42878</v>
      </c>
      <c r="B664">
        <v>1181</v>
      </c>
      <c r="C664">
        <v>1176</v>
      </c>
      <c r="D664">
        <v>3081</v>
      </c>
      <c r="E664">
        <v>3069</v>
      </c>
      <c r="F664">
        <v>0.38318670576734998</v>
      </c>
      <c r="G664">
        <v>0.37080599813395998</v>
      </c>
      <c r="H664">
        <v>1.26643143636126E-2</v>
      </c>
      <c r="I664">
        <v>0.97760583620408104</v>
      </c>
      <c r="J664">
        <v>3.23</v>
      </c>
      <c r="L664">
        <v>0.38347031249757257</v>
      </c>
      <c r="M664">
        <v>0.35814168377034739</v>
      </c>
      <c r="N664">
        <v>0.39613462686118517</v>
      </c>
      <c r="O664">
        <v>0.34547736940673479</v>
      </c>
    </row>
    <row r="665" spans="1:15">
      <c r="A665" s="19">
        <v>42877</v>
      </c>
      <c r="B665">
        <v>1177</v>
      </c>
      <c r="C665">
        <v>1181</v>
      </c>
      <c r="D665">
        <v>3068</v>
      </c>
      <c r="E665">
        <v>3085</v>
      </c>
      <c r="F665">
        <v>0.38282009724473198</v>
      </c>
      <c r="G665">
        <v>0.37018293283304998</v>
      </c>
      <c r="H665">
        <v>1.31789395236069E-2</v>
      </c>
      <c r="I665">
        <v>0.95889084163758798</v>
      </c>
      <c r="J665">
        <v>3.3</v>
      </c>
      <c r="L665">
        <v>0.38336187235665686</v>
      </c>
      <c r="M665">
        <v>0.3570039933094431</v>
      </c>
      <c r="N665">
        <v>0.3965408118802638</v>
      </c>
      <c r="O665">
        <v>0.34382505378583617</v>
      </c>
    </row>
    <row r="666" spans="1:15">
      <c r="A666" s="19">
        <v>42874</v>
      </c>
      <c r="B666">
        <v>1172</v>
      </c>
      <c r="C666">
        <v>1173</v>
      </c>
      <c r="D666">
        <v>3051</v>
      </c>
      <c r="E666">
        <v>3050</v>
      </c>
      <c r="F666">
        <v>0.38459016393442602</v>
      </c>
      <c r="G666">
        <v>0.369558538897934</v>
      </c>
      <c r="H666">
        <v>1.36657793599554E-2</v>
      </c>
      <c r="I666">
        <v>1.0999464165607</v>
      </c>
      <c r="J666">
        <v>3.91</v>
      </c>
      <c r="L666">
        <v>0.38322431825788938</v>
      </c>
      <c r="M666">
        <v>0.35589275953797861</v>
      </c>
      <c r="N666">
        <v>0.39689009761784477</v>
      </c>
      <c r="O666">
        <v>0.34222698017802322</v>
      </c>
    </row>
    <row r="667" spans="1:15">
      <c r="A667" s="19">
        <v>42873</v>
      </c>
      <c r="B667">
        <v>1164</v>
      </c>
      <c r="C667">
        <v>1169</v>
      </c>
      <c r="D667">
        <v>3090</v>
      </c>
      <c r="E667">
        <v>3065</v>
      </c>
      <c r="F667">
        <v>0.38140293637846601</v>
      </c>
      <c r="G667">
        <v>0.36877691586087402</v>
      </c>
      <c r="H667">
        <v>1.44383016668052E-2</v>
      </c>
      <c r="I667">
        <v>0.87448100261130002</v>
      </c>
      <c r="J667">
        <v>3.31</v>
      </c>
      <c r="L667">
        <v>0.38321521752767923</v>
      </c>
      <c r="M667">
        <v>0.35433861419406881</v>
      </c>
      <c r="N667">
        <v>0.39765351919448444</v>
      </c>
      <c r="O667">
        <v>0.3399003125272636</v>
      </c>
    </row>
    <row r="668" spans="1:15">
      <c r="A668" s="19">
        <v>42872</v>
      </c>
      <c r="B668">
        <v>1193</v>
      </c>
      <c r="C668">
        <v>1180</v>
      </c>
      <c r="D668">
        <v>3130</v>
      </c>
      <c r="E668">
        <v>3135</v>
      </c>
      <c r="F668">
        <v>0.37639553429027101</v>
      </c>
      <c r="G668">
        <v>0.36803138264104002</v>
      </c>
      <c r="H668">
        <v>1.51910823649976E-2</v>
      </c>
      <c r="I668">
        <v>0.55059616216042295</v>
      </c>
      <c r="J668">
        <v>2.2200000000000002</v>
      </c>
      <c r="L668">
        <v>0.38322246500603763</v>
      </c>
      <c r="M668">
        <v>0.35284030027604241</v>
      </c>
      <c r="N668">
        <v>0.39841354737103524</v>
      </c>
      <c r="O668">
        <v>0.3376492179110448</v>
      </c>
    </row>
    <row r="669" spans="1:15">
      <c r="A669" s="19">
        <v>42871</v>
      </c>
      <c r="B669">
        <v>1220</v>
      </c>
      <c r="C669">
        <v>1200</v>
      </c>
      <c r="D669">
        <v>3210</v>
      </c>
      <c r="E669">
        <v>3167</v>
      </c>
      <c r="F669">
        <v>0.37890748342279701</v>
      </c>
      <c r="G669">
        <v>0.36730365691827399</v>
      </c>
      <c r="H669">
        <v>1.6055673036413198E-2</v>
      </c>
      <c r="I669">
        <v>0.72272439020192802</v>
      </c>
      <c r="J669">
        <v>3.06</v>
      </c>
      <c r="L669">
        <v>0.38335932995468719</v>
      </c>
      <c r="M669">
        <v>0.35124798388186079</v>
      </c>
      <c r="N669">
        <v>0.39941500299110039</v>
      </c>
      <c r="O669">
        <v>0.33519231084544759</v>
      </c>
    </row>
    <row r="670" spans="1:15">
      <c r="A670" s="19">
        <v>42870</v>
      </c>
      <c r="B670">
        <v>1209</v>
      </c>
      <c r="C670">
        <v>1208</v>
      </c>
      <c r="D670">
        <v>3165</v>
      </c>
      <c r="E670">
        <v>3194</v>
      </c>
      <c r="F670">
        <v>0.37820914214151502</v>
      </c>
      <c r="G670">
        <v>0.36649503540017297</v>
      </c>
      <c r="H670">
        <v>1.6953014989969699E-2</v>
      </c>
      <c r="I670">
        <v>0.69097483534773596</v>
      </c>
      <c r="J670">
        <v>3.1</v>
      </c>
      <c r="L670">
        <v>0.38344805039014268</v>
      </c>
      <c r="M670">
        <v>0.34954202041020327</v>
      </c>
      <c r="N670">
        <v>0.40040106538011239</v>
      </c>
      <c r="O670">
        <v>0.33258900542023356</v>
      </c>
    </row>
    <row r="671" spans="1:15">
      <c r="A671" s="19">
        <v>42867</v>
      </c>
      <c r="B671">
        <v>1220</v>
      </c>
      <c r="C671">
        <v>1220</v>
      </c>
      <c r="D671">
        <v>3247</v>
      </c>
      <c r="E671">
        <v>3199</v>
      </c>
      <c r="F671">
        <v>0.381369177868083</v>
      </c>
      <c r="G671">
        <v>0.36565570362840899</v>
      </c>
      <c r="H671">
        <v>1.7884966654350701E-2</v>
      </c>
      <c r="I671">
        <v>0.87858560451111301</v>
      </c>
      <c r="J671">
        <v>4.12</v>
      </c>
      <c r="L671">
        <v>0.38354067028275968</v>
      </c>
      <c r="M671">
        <v>0.3477707369740583</v>
      </c>
      <c r="N671">
        <v>0.40142563693711042</v>
      </c>
      <c r="O671">
        <v>0.32988577031970756</v>
      </c>
    </row>
    <row r="672" spans="1:15">
      <c r="A672" s="19">
        <v>42866</v>
      </c>
      <c r="B672">
        <v>1263</v>
      </c>
      <c r="C672">
        <v>1250</v>
      </c>
      <c r="D672">
        <v>3241</v>
      </c>
      <c r="E672">
        <v>3250</v>
      </c>
      <c r="F672">
        <v>0.38461538461538403</v>
      </c>
      <c r="G672">
        <v>0.36475104543709902</v>
      </c>
      <c r="H672">
        <v>1.87617553189263E-2</v>
      </c>
      <c r="I672">
        <v>1.05876762811453</v>
      </c>
      <c r="J672">
        <v>5.16</v>
      </c>
      <c r="L672">
        <v>0.38351280075602534</v>
      </c>
      <c r="M672">
        <v>0.3459892901181727</v>
      </c>
      <c r="N672">
        <v>0.40227455607495161</v>
      </c>
      <c r="O672">
        <v>0.32722753479924643</v>
      </c>
    </row>
    <row r="673" spans="1:15">
      <c r="A673" s="19">
        <v>42865</v>
      </c>
      <c r="B673">
        <v>1264</v>
      </c>
      <c r="C673">
        <v>1263</v>
      </c>
      <c r="D673">
        <v>3232</v>
      </c>
      <c r="E673">
        <v>3230</v>
      </c>
      <c r="F673">
        <v>0.39102167182662501</v>
      </c>
      <c r="G673">
        <v>0.36378473416151003</v>
      </c>
      <c r="H673">
        <v>1.9563007090055901E-2</v>
      </c>
      <c r="I673">
        <v>1.39226743310644</v>
      </c>
      <c r="J673">
        <v>6.97</v>
      </c>
      <c r="L673">
        <v>0.3833477412515659</v>
      </c>
      <c r="M673">
        <v>0.34422172707145415</v>
      </c>
      <c r="N673">
        <v>0.40291074834162183</v>
      </c>
      <c r="O673">
        <v>0.32465871998139822</v>
      </c>
    </row>
    <row r="674" spans="1:15">
      <c r="A674" s="19">
        <v>42864</v>
      </c>
      <c r="B674">
        <v>1290</v>
      </c>
      <c r="C674">
        <v>1290</v>
      </c>
      <c r="D674">
        <v>3261</v>
      </c>
      <c r="E674">
        <v>3205</v>
      </c>
      <c r="F674">
        <v>0.40249609984399298</v>
      </c>
      <c r="G674">
        <v>0.36272631064724598</v>
      </c>
      <c r="H674">
        <v>2.0197873172029101E-2</v>
      </c>
      <c r="I674">
        <v>1.96900875938867</v>
      </c>
      <c r="J674">
        <v>9.8800000000000008</v>
      </c>
      <c r="L674">
        <v>0.38292418381927507</v>
      </c>
      <c r="M674">
        <v>0.34252843747521688</v>
      </c>
      <c r="N674">
        <v>0.40312205699130416</v>
      </c>
      <c r="O674">
        <v>0.32233056430318779</v>
      </c>
    </row>
    <row r="675" spans="1:15">
      <c r="A675" s="19">
        <v>42863</v>
      </c>
      <c r="B675">
        <v>1272</v>
      </c>
      <c r="C675">
        <v>1294</v>
      </c>
      <c r="D675">
        <v>3247</v>
      </c>
      <c r="E675">
        <v>3261</v>
      </c>
      <c r="F675">
        <v>0.39681079423489701</v>
      </c>
      <c r="G675">
        <v>0.36157558392467198</v>
      </c>
      <c r="H675">
        <v>2.0357172926935702E-2</v>
      </c>
      <c r="I675">
        <v>1.7308498796315299</v>
      </c>
      <c r="J675">
        <v>8.8800000000000008</v>
      </c>
      <c r="L675">
        <v>0.38193275685160766</v>
      </c>
      <c r="M675">
        <v>0.34121841099773631</v>
      </c>
      <c r="N675">
        <v>0.40228992977854339</v>
      </c>
      <c r="O675">
        <v>0.32086123807080058</v>
      </c>
    </row>
    <row r="676" spans="1:15">
      <c r="A676" s="19">
        <v>42857</v>
      </c>
      <c r="B676">
        <v>1258</v>
      </c>
      <c r="C676">
        <v>1265</v>
      </c>
      <c r="D676">
        <v>3223</v>
      </c>
      <c r="E676">
        <v>3235</v>
      </c>
      <c r="F676">
        <v>0.39103554868624402</v>
      </c>
      <c r="G676">
        <v>0.36055159906307699</v>
      </c>
      <c r="H676">
        <v>2.0490148253075099E-2</v>
      </c>
      <c r="I676">
        <v>1.48773689905303</v>
      </c>
      <c r="J676">
        <v>7.8</v>
      </c>
      <c r="L676">
        <v>0.38104174731615209</v>
      </c>
      <c r="M676">
        <v>0.34006145081000189</v>
      </c>
      <c r="N676">
        <v>0.40153189556922719</v>
      </c>
      <c r="O676">
        <v>0.31957130255692678</v>
      </c>
    </row>
    <row r="677" spans="1:15">
      <c r="A677" s="19">
        <v>42856</v>
      </c>
      <c r="B677">
        <v>1240</v>
      </c>
      <c r="C677">
        <v>1248</v>
      </c>
      <c r="D677">
        <v>3232</v>
      </c>
      <c r="E677">
        <v>3245</v>
      </c>
      <c r="F677">
        <v>0.38459167950693302</v>
      </c>
      <c r="G677">
        <v>0.35956420684160001</v>
      </c>
      <c r="H677">
        <v>2.0779623612708499E-2</v>
      </c>
      <c r="I677">
        <v>1.2044237726244</v>
      </c>
      <c r="J677">
        <v>6.51</v>
      </c>
      <c r="L677">
        <v>0.38034383045430853</v>
      </c>
      <c r="M677">
        <v>0.33878458322889149</v>
      </c>
      <c r="N677">
        <v>0.40112345406701699</v>
      </c>
      <c r="O677">
        <v>0.31800495961618302</v>
      </c>
    </row>
    <row r="678" spans="1:15">
      <c r="A678" s="19">
        <v>42853</v>
      </c>
      <c r="B678">
        <v>1239</v>
      </c>
      <c r="C678">
        <v>1243</v>
      </c>
      <c r="D678">
        <v>3230</v>
      </c>
      <c r="E678">
        <v>3232</v>
      </c>
      <c r="F678">
        <v>0.38459158415841499</v>
      </c>
      <c r="G678">
        <v>0.35871954471128098</v>
      </c>
      <c r="H678">
        <v>2.1031139892907599E-2</v>
      </c>
      <c r="I678">
        <v>1.23017770690876</v>
      </c>
      <c r="J678">
        <v>6.73</v>
      </c>
      <c r="L678">
        <v>0.37975068460418859</v>
      </c>
      <c r="M678">
        <v>0.33768840481837337</v>
      </c>
      <c r="N678">
        <v>0.40078182449709621</v>
      </c>
      <c r="O678">
        <v>0.31665726492546575</v>
      </c>
    </row>
    <row r="679" spans="1:15">
      <c r="A679" s="19">
        <v>42852</v>
      </c>
      <c r="B679">
        <v>1244</v>
      </c>
      <c r="C679">
        <v>1244</v>
      </c>
      <c r="D679">
        <v>3238</v>
      </c>
      <c r="E679">
        <v>3245</v>
      </c>
      <c r="F679">
        <v>0.383359013867488</v>
      </c>
      <c r="G679">
        <v>0.357834256478957</v>
      </c>
      <c r="H679">
        <v>2.1318931255459701E-2</v>
      </c>
      <c r="I679">
        <v>1.19728128406969</v>
      </c>
      <c r="J679">
        <v>6.66</v>
      </c>
      <c r="L679">
        <v>0.3791531877344167</v>
      </c>
      <c r="M679">
        <v>0.33651532522349731</v>
      </c>
      <c r="N679">
        <v>0.40047211898987639</v>
      </c>
      <c r="O679">
        <v>0.31519639396803761</v>
      </c>
    </row>
    <row r="680" spans="1:15">
      <c r="A680" s="19">
        <v>42851</v>
      </c>
      <c r="B680">
        <v>1230</v>
      </c>
      <c r="C680">
        <v>1252</v>
      </c>
      <c r="D680">
        <v>3223</v>
      </c>
      <c r="E680">
        <v>3256</v>
      </c>
      <c r="F680">
        <v>0.38452088452088401</v>
      </c>
      <c r="G680">
        <v>0.35700591061461801</v>
      </c>
      <c r="H680">
        <v>2.15171044493567E-2</v>
      </c>
      <c r="I680">
        <v>1.2787489121050399</v>
      </c>
      <c r="J680">
        <v>7.16</v>
      </c>
      <c r="L680">
        <v>0.37852301506397468</v>
      </c>
      <c r="M680">
        <v>0.33548880616526133</v>
      </c>
      <c r="N680">
        <v>0.4000401195133314</v>
      </c>
      <c r="O680">
        <v>0.31397170171590461</v>
      </c>
    </row>
    <row r="681" spans="1:15">
      <c r="A681" s="19">
        <v>42850</v>
      </c>
      <c r="B681">
        <v>1203</v>
      </c>
      <c r="C681">
        <v>1225</v>
      </c>
      <c r="D681">
        <v>3145</v>
      </c>
      <c r="E681">
        <v>3189</v>
      </c>
      <c r="F681">
        <v>0.38413295703982397</v>
      </c>
      <c r="G681">
        <v>0.35619246442855501</v>
      </c>
      <c r="H681">
        <v>2.1614515732282701E-2</v>
      </c>
      <c r="I681">
        <v>1.2926726167423399</v>
      </c>
      <c r="J681">
        <v>7.27</v>
      </c>
      <c r="L681">
        <v>0.37780698016083769</v>
      </c>
      <c r="M681">
        <v>0.33457794869627233</v>
      </c>
      <c r="N681">
        <v>0.39942149589312043</v>
      </c>
      <c r="O681">
        <v>0.3129634329639896</v>
      </c>
    </row>
    <row r="682" spans="1:15">
      <c r="A682" s="19">
        <v>42849</v>
      </c>
      <c r="B682">
        <v>1219</v>
      </c>
      <c r="C682">
        <v>1208</v>
      </c>
      <c r="D682">
        <v>3188</v>
      </c>
      <c r="E682">
        <v>3165</v>
      </c>
      <c r="F682">
        <v>0.38167456556082102</v>
      </c>
      <c r="G682">
        <v>0.35536279868506698</v>
      </c>
      <c r="H682">
        <v>2.17200897647204E-2</v>
      </c>
      <c r="I682">
        <v>1.21140230822119</v>
      </c>
      <c r="J682">
        <v>6.89</v>
      </c>
      <c r="L682">
        <v>0.37708288844978738</v>
      </c>
      <c r="M682">
        <v>0.33364270892034659</v>
      </c>
      <c r="N682">
        <v>0.39880297821450778</v>
      </c>
      <c r="O682">
        <v>0.31192261915562619</v>
      </c>
    </row>
    <row r="683" spans="1:15">
      <c r="A683" s="19">
        <v>42846</v>
      </c>
      <c r="B683">
        <v>1185</v>
      </c>
      <c r="C683">
        <v>1198</v>
      </c>
      <c r="D683">
        <v>3103</v>
      </c>
      <c r="E683">
        <v>3115</v>
      </c>
      <c r="F683">
        <v>0.38459069020866699</v>
      </c>
      <c r="G683">
        <v>0.35454017227435802</v>
      </c>
      <c r="H683">
        <v>2.1875777525765701E-2</v>
      </c>
      <c r="I683">
        <v>1.37368913625654</v>
      </c>
      <c r="J683">
        <v>7.81</v>
      </c>
      <c r="L683">
        <v>0.37641594980012372</v>
      </c>
      <c r="M683">
        <v>0.33266439474859233</v>
      </c>
      <c r="N683">
        <v>0.39829172732588941</v>
      </c>
      <c r="O683">
        <v>0.31078861722282664</v>
      </c>
    </row>
    <row r="684" spans="1:15">
      <c r="A684" s="19">
        <v>42845</v>
      </c>
      <c r="B684">
        <v>1167</v>
      </c>
      <c r="C684">
        <v>1172</v>
      </c>
      <c r="D684">
        <v>3079</v>
      </c>
      <c r="E684">
        <v>3077</v>
      </c>
      <c r="F684">
        <v>0.38089047773805601</v>
      </c>
      <c r="G684">
        <v>0.35370241121868701</v>
      </c>
      <c r="H684">
        <v>2.19120003763719E-2</v>
      </c>
      <c r="I684">
        <v>1.2407843214847101</v>
      </c>
      <c r="J684">
        <v>7.14</v>
      </c>
      <c r="L684">
        <v>0.37561441159505893</v>
      </c>
      <c r="M684">
        <v>0.33179041084231509</v>
      </c>
      <c r="N684">
        <v>0.39752641197143079</v>
      </c>
      <c r="O684">
        <v>0.30987841046594322</v>
      </c>
    </row>
    <row r="685" spans="1:15">
      <c r="A685" s="19">
        <v>42844</v>
      </c>
      <c r="B685">
        <v>1158</v>
      </c>
      <c r="C685">
        <v>1165</v>
      </c>
      <c r="D685">
        <v>3089</v>
      </c>
      <c r="E685">
        <v>3061</v>
      </c>
      <c r="F685">
        <v>0.38059457693564103</v>
      </c>
      <c r="G685">
        <v>0.352973310266123</v>
      </c>
      <c r="H685">
        <v>2.1904967400729801E-2</v>
      </c>
      <c r="I685">
        <v>1.2609590402128901</v>
      </c>
      <c r="J685">
        <v>7.26</v>
      </c>
      <c r="L685">
        <v>0.37487827766685278</v>
      </c>
      <c r="M685">
        <v>0.33106834286539322</v>
      </c>
      <c r="N685">
        <v>0.39678324506758261</v>
      </c>
      <c r="O685">
        <v>0.30916337546466338</v>
      </c>
    </row>
    <row r="686" spans="1:15">
      <c r="A686" s="19">
        <v>42843</v>
      </c>
      <c r="B686">
        <v>1171</v>
      </c>
      <c r="C686">
        <v>1171</v>
      </c>
      <c r="D686">
        <v>3134</v>
      </c>
      <c r="E686">
        <v>3098</v>
      </c>
      <c r="F686">
        <v>0.37798579728857301</v>
      </c>
      <c r="G686">
        <v>0.35223601864683901</v>
      </c>
      <c r="H686">
        <v>2.18934707373276E-2</v>
      </c>
      <c r="I686">
        <v>1.17613963316611</v>
      </c>
      <c r="J686">
        <v>6.81</v>
      </c>
      <c r="L686">
        <v>0.37412948938416662</v>
      </c>
      <c r="M686">
        <v>0.3303425479095114</v>
      </c>
      <c r="N686">
        <v>0.39602296012149418</v>
      </c>
      <c r="O686">
        <v>0.30844907717218384</v>
      </c>
    </row>
    <row r="687" spans="1:15">
      <c r="A687" s="19">
        <v>42842</v>
      </c>
      <c r="B687">
        <v>1155</v>
      </c>
      <c r="C687">
        <v>1159</v>
      </c>
      <c r="D687">
        <v>3085</v>
      </c>
      <c r="E687">
        <v>3099</v>
      </c>
      <c r="F687">
        <v>0.37399161019683702</v>
      </c>
      <c r="G687">
        <v>0.351555329315274</v>
      </c>
      <c r="H687">
        <v>2.18759198936848E-2</v>
      </c>
      <c r="I687">
        <v>1.02561542511589</v>
      </c>
      <c r="J687">
        <v>6</v>
      </c>
      <c r="L687">
        <v>0.37343124920895882</v>
      </c>
      <c r="M687">
        <v>0.32967940942158919</v>
      </c>
      <c r="N687">
        <v>0.39530716910264363</v>
      </c>
      <c r="O687">
        <v>0.30780348952790437</v>
      </c>
    </row>
    <row r="688" spans="1:15">
      <c r="A688" s="19">
        <v>42839</v>
      </c>
      <c r="B688">
        <v>1172</v>
      </c>
      <c r="C688">
        <v>1166</v>
      </c>
      <c r="D688">
        <v>3139</v>
      </c>
      <c r="E688">
        <v>3117</v>
      </c>
      <c r="F688">
        <v>0.37407763875521299</v>
      </c>
      <c r="G688">
        <v>0.35090010613022699</v>
      </c>
      <c r="H688">
        <v>2.1929975321458999E-2</v>
      </c>
      <c r="I688">
        <v>1.0568882219537299</v>
      </c>
      <c r="J688">
        <v>6.2</v>
      </c>
      <c r="L688">
        <v>0.372830081451686</v>
      </c>
      <c r="M688">
        <v>0.32897013080876797</v>
      </c>
      <c r="N688">
        <v>0.39476005677314496</v>
      </c>
      <c r="O688">
        <v>0.30704015548730901</v>
      </c>
    </row>
    <row r="689" spans="1:15">
      <c r="A689" s="19">
        <v>42838</v>
      </c>
      <c r="B689">
        <v>1163</v>
      </c>
      <c r="C689">
        <v>1173</v>
      </c>
      <c r="D689">
        <v>3106</v>
      </c>
      <c r="E689">
        <v>3135</v>
      </c>
      <c r="F689">
        <v>0.37416267942583697</v>
      </c>
      <c r="G689">
        <v>0.35018517490485901</v>
      </c>
      <c r="H689">
        <v>2.20364812666872E-2</v>
      </c>
      <c r="I689">
        <v>1.08808226825326</v>
      </c>
      <c r="J689">
        <v>6.41</v>
      </c>
      <c r="L689">
        <v>0.37222165617154623</v>
      </c>
      <c r="M689">
        <v>0.32814869363817178</v>
      </c>
      <c r="N689">
        <v>0.3942581374382334</v>
      </c>
      <c r="O689">
        <v>0.30611221237148462</v>
      </c>
    </row>
    <row r="690" spans="1:15">
      <c r="A690" s="19">
        <v>42837</v>
      </c>
      <c r="B690">
        <v>1178</v>
      </c>
      <c r="C690">
        <v>1176</v>
      </c>
      <c r="D690">
        <v>3142</v>
      </c>
      <c r="E690">
        <v>3131</v>
      </c>
      <c r="F690">
        <v>0.37559885020760098</v>
      </c>
      <c r="G690">
        <v>0.34946151191494201</v>
      </c>
      <c r="H690">
        <v>2.2128175760609901E-2</v>
      </c>
      <c r="I690">
        <v>1.1811790802559099</v>
      </c>
      <c r="J690">
        <v>6.96</v>
      </c>
      <c r="L690">
        <v>0.37158968767555189</v>
      </c>
      <c r="M690">
        <v>0.32733333615433213</v>
      </c>
      <c r="N690">
        <v>0.39371786343616183</v>
      </c>
      <c r="O690">
        <v>0.3052051603937222</v>
      </c>
    </row>
    <row r="691" spans="1:15">
      <c r="A691" s="19">
        <v>42836</v>
      </c>
      <c r="B691">
        <v>1189</v>
      </c>
      <c r="C691">
        <v>1191</v>
      </c>
      <c r="D691">
        <v>3156</v>
      </c>
      <c r="E691">
        <v>3182</v>
      </c>
      <c r="F691">
        <v>0.37429289754871098</v>
      </c>
      <c r="G691">
        <v>0.34855899931809098</v>
      </c>
      <c r="H691">
        <v>2.2422148725112698E-2</v>
      </c>
      <c r="I691">
        <v>1.1476999169931601</v>
      </c>
      <c r="J691">
        <v>6.88</v>
      </c>
      <c r="L691">
        <v>0.3709811480432037</v>
      </c>
      <c r="M691">
        <v>0.32613685059297826</v>
      </c>
      <c r="N691">
        <v>0.39340329676831637</v>
      </c>
      <c r="O691">
        <v>0.30371470186786559</v>
      </c>
    </row>
    <row r="692" spans="1:15">
      <c r="A692" s="19">
        <v>42835</v>
      </c>
      <c r="B692">
        <v>1196</v>
      </c>
      <c r="C692">
        <v>1198</v>
      </c>
      <c r="D692">
        <v>3191</v>
      </c>
      <c r="E692">
        <v>3182</v>
      </c>
      <c r="F692">
        <v>0.37649277184160901</v>
      </c>
      <c r="G692">
        <v>0.347676228769214</v>
      </c>
      <c r="H692">
        <v>2.26932920226403E-2</v>
      </c>
      <c r="I692">
        <v>1.26982647751789</v>
      </c>
      <c r="J692">
        <v>7.65</v>
      </c>
      <c r="L692">
        <v>0.37036952079185431</v>
      </c>
      <c r="M692">
        <v>0.32498293674657369</v>
      </c>
      <c r="N692">
        <v>0.39306281281449462</v>
      </c>
      <c r="O692">
        <v>0.30228964472393338</v>
      </c>
    </row>
    <row r="693" spans="1:15">
      <c r="A693" s="19">
        <v>42832</v>
      </c>
      <c r="B693">
        <v>1190</v>
      </c>
      <c r="C693">
        <v>1190</v>
      </c>
      <c r="D693">
        <v>3185</v>
      </c>
      <c r="E693">
        <v>3157</v>
      </c>
      <c r="F693">
        <v>0.37694013303769403</v>
      </c>
      <c r="G693">
        <v>0.346751051062199</v>
      </c>
      <c r="H693">
        <v>2.2912992750064001E-2</v>
      </c>
      <c r="I693">
        <v>1.31755298423032</v>
      </c>
      <c r="J693">
        <v>8.01</v>
      </c>
      <c r="L693">
        <v>0.36966404381226298</v>
      </c>
      <c r="M693">
        <v>0.32383805831213502</v>
      </c>
      <c r="N693">
        <v>0.39257703656232701</v>
      </c>
      <c r="O693">
        <v>0.30092506556207099</v>
      </c>
    </row>
    <row r="694" spans="1:15">
      <c r="A694" s="19">
        <v>42831</v>
      </c>
      <c r="B694">
        <v>1198</v>
      </c>
      <c r="C694">
        <v>1184</v>
      </c>
      <c r="D694">
        <v>3140</v>
      </c>
      <c r="E694">
        <v>3148</v>
      </c>
      <c r="F694">
        <v>0.376111817026683</v>
      </c>
      <c r="G694">
        <v>0.34582256089885</v>
      </c>
      <c r="H694">
        <v>2.3081153788950301E-2</v>
      </c>
      <c r="I694">
        <v>1.31229384825353</v>
      </c>
      <c r="J694">
        <v>8.0500000000000007</v>
      </c>
      <c r="L694">
        <v>0.36890371468780031</v>
      </c>
      <c r="M694">
        <v>0.32274140710989968</v>
      </c>
      <c r="N694">
        <v>0.39198486847675063</v>
      </c>
      <c r="O694">
        <v>0.29966025332094937</v>
      </c>
    </row>
    <row r="695" spans="1:15">
      <c r="A695" s="19">
        <v>42830</v>
      </c>
      <c r="B695">
        <v>1219</v>
      </c>
      <c r="C695">
        <v>1209</v>
      </c>
      <c r="D695">
        <v>3248</v>
      </c>
      <c r="E695">
        <v>3210</v>
      </c>
      <c r="F695">
        <v>0.376635514018691</v>
      </c>
      <c r="G695">
        <v>0.34486521445590801</v>
      </c>
      <c r="H695">
        <v>2.3293066364837699E-2</v>
      </c>
      <c r="I695">
        <v>1.3639380520008599</v>
      </c>
      <c r="J695">
        <v>8.44</v>
      </c>
      <c r="L695">
        <v>0.3681582808207457</v>
      </c>
      <c r="M695">
        <v>0.32157214809107032</v>
      </c>
      <c r="N695">
        <v>0.39145134718558339</v>
      </c>
      <c r="O695">
        <v>0.29827908172623263</v>
      </c>
    </row>
    <row r="696" spans="1:15">
      <c r="A696" s="19">
        <v>42829</v>
      </c>
      <c r="B696">
        <v>1218</v>
      </c>
      <c r="C696">
        <v>1207</v>
      </c>
      <c r="D696">
        <v>3299</v>
      </c>
      <c r="E696">
        <v>3262</v>
      </c>
      <c r="F696">
        <v>0.370018393623543</v>
      </c>
      <c r="G696">
        <v>0.34391971859839399</v>
      </c>
      <c r="H696">
        <v>2.3423125031603299E-2</v>
      </c>
      <c r="I696">
        <v>1.1142268587105899</v>
      </c>
      <c r="J696">
        <v>7.05</v>
      </c>
      <c r="L696">
        <v>0.36734284362999731</v>
      </c>
      <c r="M696">
        <v>0.32049659356679067</v>
      </c>
      <c r="N696">
        <v>0.39076596866160057</v>
      </c>
      <c r="O696">
        <v>0.2970734685351874</v>
      </c>
    </row>
    <row r="697" spans="1:15">
      <c r="A697" s="19">
        <v>42828</v>
      </c>
      <c r="B697">
        <v>1239</v>
      </c>
      <c r="C697">
        <v>1219</v>
      </c>
      <c r="D697">
        <v>3378</v>
      </c>
      <c r="E697">
        <v>3351</v>
      </c>
      <c r="F697">
        <v>0.36377200835571399</v>
      </c>
      <c r="G697">
        <v>0.34307328094599299</v>
      </c>
      <c r="H697">
        <v>2.36109885342345E-2</v>
      </c>
      <c r="I697">
        <v>0.87665653556643297</v>
      </c>
      <c r="J697">
        <v>5.69</v>
      </c>
      <c r="L697">
        <v>0.36668426948022748</v>
      </c>
      <c r="M697">
        <v>0.3194622924117585</v>
      </c>
      <c r="N697">
        <v>0.39029525801446197</v>
      </c>
      <c r="O697">
        <v>0.29585130387752401</v>
      </c>
    </row>
    <row r="698" spans="1:15">
      <c r="A698" s="19">
        <v>42825</v>
      </c>
      <c r="B698">
        <v>1239</v>
      </c>
      <c r="C698">
        <v>1229</v>
      </c>
      <c r="D698">
        <v>3396</v>
      </c>
      <c r="E698">
        <v>3351</v>
      </c>
      <c r="F698">
        <v>0.36675619218143801</v>
      </c>
      <c r="G698">
        <v>0.342312235433545</v>
      </c>
      <c r="H698">
        <v>2.3850230868399099E-2</v>
      </c>
      <c r="I698">
        <v>1.02489392588145</v>
      </c>
      <c r="J698">
        <v>6.66</v>
      </c>
      <c r="L698">
        <v>0.3661624663019441</v>
      </c>
      <c r="M698">
        <v>0.3184620045651459</v>
      </c>
      <c r="N698">
        <v>0.3900126971703432</v>
      </c>
      <c r="O698">
        <v>0.29461177369674679</v>
      </c>
    </row>
    <row r="699" spans="1:15">
      <c r="A699" s="19">
        <v>42824</v>
      </c>
      <c r="B699">
        <v>1231</v>
      </c>
      <c r="C699">
        <v>1234</v>
      </c>
      <c r="D699">
        <v>3411</v>
      </c>
      <c r="E699">
        <v>3395</v>
      </c>
      <c r="F699">
        <v>0.36347569955817299</v>
      </c>
      <c r="G699">
        <v>0.34150699786584698</v>
      </c>
      <c r="H699">
        <v>2.40301744878131E-2</v>
      </c>
      <c r="I699">
        <v>0.91421315743951004</v>
      </c>
      <c r="J699">
        <v>6.04</v>
      </c>
      <c r="L699">
        <v>0.36553717235366007</v>
      </c>
      <c r="M699">
        <v>0.3174768233780339</v>
      </c>
      <c r="N699">
        <v>0.38956734684147321</v>
      </c>
      <c r="O699">
        <v>0.29344664889022076</v>
      </c>
    </row>
    <row r="700" spans="1:15">
      <c r="A700" s="19">
        <v>42823</v>
      </c>
      <c r="B700">
        <v>1265</v>
      </c>
      <c r="C700">
        <v>1245</v>
      </c>
      <c r="D700">
        <v>3413</v>
      </c>
      <c r="E700">
        <v>3436</v>
      </c>
      <c r="F700">
        <v>0.36233993015133797</v>
      </c>
      <c r="G700">
        <v>0.34080380329934001</v>
      </c>
      <c r="H700">
        <v>2.4148384104682001E-2</v>
      </c>
      <c r="I700">
        <v>0.89182475972885999</v>
      </c>
      <c r="J700">
        <v>5.94</v>
      </c>
      <c r="L700">
        <v>0.36495218740402202</v>
      </c>
      <c r="M700">
        <v>0.31665541919465801</v>
      </c>
      <c r="N700">
        <v>0.38910057150870403</v>
      </c>
      <c r="O700">
        <v>0.292507035089976</v>
      </c>
    </row>
    <row r="701" spans="1:15">
      <c r="A701" s="19">
        <v>42822</v>
      </c>
      <c r="B701">
        <v>1255</v>
      </c>
      <c r="C701">
        <v>1264</v>
      </c>
      <c r="D701">
        <v>3414</v>
      </c>
      <c r="E701">
        <v>3403</v>
      </c>
      <c r="F701">
        <v>0.37143696738172199</v>
      </c>
      <c r="G701">
        <v>0.340160258551643</v>
      </c>
      <c r="H701">
        <v>2.4208936791067798E-2</v>
      </c>
      <c r="I701">
        <v>1.2919488823490299</v>
      </c>
      <c r="J701">
        <v>8.42</v>
      </c>
      <c r="L701">
        <v>0.36436919534271078</v>
      </c>
      <c r="M701">
        <v>0.31595132176057522</v>
      </c>
      <c r="N701">
        <v>0.38857813213377862</v>
      </c>
      <c r="O701">
        <v>0.29174238496950738</v>
      </c>
    </row>
    <row r="702" spans="1:15">
      <c r="A702" s="19">
        <v>42821</v>
      </c>
      <c r="B702">
        <v>1245</v>
      </c>
      <c r="C702">
        <v>1240</v>
      </c>
      <c r="D702">
        <v>3393</v>
      </c>
      <c r="E702">
        <v>3390</v>
      </c>
      <c r="F702">
        <v>0.36578171091445399</v>
      </c>
      <c r="G702">
        <v>0.33942398186943601</v>
      </c>
      <c r="H702">
        <v>2.4085922150557999E-2</v>
      </c>
      <c r="I702">
        <v>1.0943209431741301</v>
      </c>
      <c r="J702">
        <v>7.21</v>
      </c>
      <c r="L702">
        <v>0.363509904019994</v>
      </c>
      <c r="M702">
        <v>0.31533805971887802</v>
      </c>
      <c r="N702">
        <v>0.38759582617055199</v>
      </c>
      <c r="O702">
        <v>0.29125213756832002</v>
      </c>
    </row>
    <row r="703" spans="1:15">
      <c r="A703" s="19">
        <v>42818</v>
      </c>
      <c r="B703">
        <v>1256</v>
      </c>
      <c r="C703">
        <v>1270</v>
      </c>
      <c r="D703">
        <v>3423</v>
      </c>
      <c r="E703">
        <v>3440</v>
      </c>
      <c r="F703">
        <v>0.36918604651162701</v>
      </c>
      <c r="G703">
        <v>0.33879078498092602</v>
      </c>
      <c r="H703">
        <v>2.4008786224537601E-2</v>
      </c>
      <c r="I703">
        <v>1.2660057549946599</v>
      </c>
      <c r="J703">
        <v>8.23</v>
      </c>
      <c r="L703">
        <v>0.36279957120546363</v>
      </c>
      <c r="M703">
        <v>0.3147819987563884</v>
      </c>
      <c r="N703">
        <v>0.38680835743000119</v>
      </c>
      <c r="O703">
        <v>0.29077321253185084</v>
      </c>
    </row>
    <row r="704" spans="1:15">
      <c r="A704" s="19">
        <v>42817</v>
      </c>
      <c r="B704">
        <v>1254</v>
      </c>
      <c r="C704">
        <v>1253</v>
      </c>
      <c r="D704">
        <v>3417</v>
      </c>
      <c r="E704">
        <v>3434</v>
      </c>
      <c r="F704">
        <v>0.36488060570762898</v>
      </c>
      <c r="L704">
        <v>0</v>
      </c>
      <c r="M704">
        <v>0</v>
      </c>
      <c r="N704">
        <v>0</v>
      </c>
      <c r="O704">
        <v>0</v>
      </c>
    </row>
    <row r="705" spans="1:15">
      <c r="A705" s="19">
        <v>42816</v>
      </c>
      <c r="B705">
        <v>1274</v>
      </c>
      <c r="C705">
        <v>1270</v>
      </c>
      <c r="D705">
        <v>3454</v>
      </c>
      <c r="E705">
        <v>3413</v>
      </c>
      <c r="F705">
        <v>0.37210665104014001</v>
      </c>
      <c r="L705">
        <v>0</v>
      </c>
      <c r="M705">
        <v>0</v>
      </c>
      <c r="N705">
        <v>0</v>
      </c>
      <c r="O705">
        <v>0</v>
      </c>
    </row>
    <row r="706" spans="1:15">
      <c r="A706" s="19">
        <v>42815</v>
      </c>
      <c r="B706">
        <v>1305</v>
      </c>
      <c r="C706">
        <v>1303</v>
      </c>
      <c r="D706">
        <v>3568</v>
      </c>
      <c r="E706">
        <v>3542</v>
      </c>
      <c r="F706">
        <v>0.36787125917560698</v>
      </c>
      <c r="L706">
        <v>0</v>
      </c>
      <c r="M706">
        <v>0</v>
      </c>
      <c r="N706">
        <v>0</v>
      </c>
      <c r="O706">
        <v>0</v>
      </c>
    </row>
    <row r="707" spans="1:15">
      <c r="A707" s="19">
        <v>42811</v>
      </c>
      <c r="B707">
        <v>1307</v>
      </c>
      <c r="C707">
        <v>1313</v>
      </c>
      <c r="D707">
        <v>3537</v>
      </c>
      <c r="E707">
        <v>3534</v>
      </c>
      <c r="F707">
        <v>0.37153367289190697</v>
      </c>
      <c r="L707">
        <v>0</v>
      </c>
      <c r="M707">
        <v>0</v>
      </c>
      <c r="N707">
        <v>0</v>
      </c>
      <c r="O707">
        <v>0</v>
      </c>
    </row>
    <row r="708" spans="1:15">
      <c r="A708" s="19">
        <v>42810</v>
      </c>
      <c r="B708">
        <v>1306</v>
      </c>
      <c r="C708">
        <v>1320</v>
      </c>
      <c r="D708">
        <v>3504</v>
      </c>
      <c r="E708">
        <v>3556</v>
      </c>
      <c r="F708">
        <v>0.371203599550056</v>
      </c>
      <c r="L708">
        <v>0</v>
      </c>
      <c r="M708">
        <v>0</v>
      </c>
      <c r="N708">
        <v>0</v>
      </c>
      <c r="O708">
        <v>0</v>
      </c>
    </row>
    <row r="709" spans="1:15">
      <c r="A709" s="19">
        <v>42809</v>
      </c>
      <c r="B709">
        <v>1311</v>
      </c>
      <c r="C709">
        <v>1320</v>
      </c>
      <c r="D709">
        <v>3511</v>
      </c>
      <c r="E709">
        <v>3574</v>
      </c>
      <c r="F709">
        <v>0.36933407946278601</v>
      </c>
      <c r="L709">
        <v>0</v>
      </c>
      <c r="M709">
        <v>0</v>
      </c>
      <c r="N709">
        <v>0</v>
      </c>
      <c r="O709">
        <v>0</v>
      </c>
    </row>
    <row r="710" spans="1:15">
      <c r="A710" s="19">
        <v>42808</v>
      </c>
      <c r="B710">
        <v>1319</v>
      </c>
      <c r="C710">
        <v>1325</v>
      </c>
      <c r="D710">
        <v>3554</v>
      </c>
      <c r="E710">
        <v>3536</v>
      </c>
      <c r="F710">
        <v>0.37471719457013503</v>
      </c>
      <c r="L710">
        <v>0</v>
      </c>
      <c r="M710">
        <v>0</v>
      </c>
      <c r="N710">
        <v>0</v>
      </c>
      <c r="O710">
        <v>0</v>
      </c>
    </row>
    <row r="711" spans="1:15">
      <c r="A711" s="19">
        <v>42807</v>
      </c>
      <c r="B711">
        <v>1316</v>
      </c>
      <c r="C711">
        <v>1320</v>
      </c>
      <c r="D711">
        <v>3552</v>
      </c>
      <c r="E711">
        <v>3554</v>
      </c>
      <c r="F711">
        <v>0.37141249296567203</v>
      </c>
      <c r="L711">
        <v>0</v>
      </c>
      <c r="M711">
        <v>0</v>
      </c>
      <c r="N711">
        <v>0</v>
      </c>
      <c r="O711">
        <v>0</v>
      </c>
    </row>
    <row r="712" spans="1:15">
      <c r="A712" s="19">
        <v>42804</v>
      </c>
      <c r="B712">
        <v>1331</v>
      </c>
      <c r="C712">
        <v>1321</v>
      </c>
      <c r="D712">
        <v>3584</v>
      </c>
      <c r="E712">
        <v>3595</v>
      </c>
      <c r="F712">
        <v>0.36745479833101502</v>
      </c>
      <c r="L712">
        <v>0</v>
      </c>
      <c r="M712">
        <v>0</v>
      </c>
      <c r="N712">
        <v>0</v>
      </c>
      <c r="O712">
        <v>0</v>
      </c>
    </row>
    <row r="713" spans="1:15">
      <c r="A713" s="19">
        <v>42803</v>
      </c>
      <c r="B713">
        <v>1306</v>
      </c>
      <c r="C713">
        <v>1312</v>
      </c>
      <c r="D713">
        <v>3557</v>
      </c>
      <c r="E713">
        <v>3542</v>
      </c>
      <c r="F713">
        <v>0.37041219649915302</v>
      </c>
      <c r="L713">
        <v>0</v>
      </c>
      <c r="M713">
        <v>0</v>
      </c>
      <c r="N713">
        <v>0</v>
      </c>
      <c r="O713">
        <v>0</v>
      </c>
    </row>
    <row r="714" spans="1:15">
      <c r="A714" s="19">
        <v>42802</v>
      </c>
      <c r="B714">
        <v>1304</v>
      </c>
      <c r="C714">
        <v>1302</v>
      </c>
      <c r="D714">
        <v>3530</v>
      </c>
      <c r="E714">
        <v>3537</v>
      </c>
      <c r="F714">
        <v>0.36810856658184898</v>
      </c>
      <c r="L714">
        <v>0</v>
      </c>
      <c r="M714">
        <v>0</v>
      </c>
      <c r="N714">
        <v>0</v>
      </c>
      <c r="O714">
        <v>0</v>
      </c>
    </row>
    <row r="715" spans="1:15">
      <c r="A715" s="19">
        <v>42801</v>
      </c>
      <c r="B715">
        <v>1313</v>
      </c>
      <c r="C715">
        <v>1309</v>
      </c>
      <c r="D715">
        <v>3536</v>
      </c>
      <c r="E715">
        <v>3557</v>
      </c>
      <c r="F715">
        <v>0.36800674725892601</v>
      </c>
      <c r="L715">
        <v>0</v>
      </c>
      <c r="M715">
        <v>0</v>
      </c>
      <c r="N715">
        <v>0</v>
      </c>
      <c r="O715">
        <v>0</v>
      </c>
    </row>
    <row r="716" spans="1:15">
      <c r="A716" s="19">
        <v>42800</v>
      </c>
      <c r="B716">
        <v>1298</v>
      </c>
      <c r="C716">
        <v>1317</v>
      </c>
      <c r="D716">
        <v>3527</v>
      </c>
      <c r="E716">
        <v>3536</v>
      </c>
      <c r="F716">
        <v>0.37245475113122101</v>
      </c>
      <c r="L716">
        <v>0</v>
      </c>
      <c r="M716">
        <v>0</v>
      </c>
      <c r="N716">
        <v>0</v>
      </c>
      <c r="O716">
        <v>0</v>
      </c>
    </row>
    <row r="717" spans="1:15">
      <c r="A717" s="19">
        <v>42797</v>
      </c>
      <c r="B717">
        <v>1304</v>
      </c>
      <c r="C717">
        <v>1304</v>
      </c>
      <c r="D717">
        <v>3550</v>
      </c>
      <c r="E717">
        <v>3557</v>
      </c>
      <c r="F717">
        <v>0.36660106831599598</v>
      </c>
      <c r="L717">
        <v>0</v>
      </c>
      <c r="M717">
        <v>0</v>
      </c>
      <c r="N717">
        <v>0</v>
      </c>
      <c r="O717">
        <v>0</v>
      </c>
    </row>
    <row r="718" spans="1:15">
      <c r="A718" s="19">
        <v>42796</v>
      </c>
      <c r="B718">
        <v>1310</v>
      </c>
      <c r="C718">
        <v>1305</v>
      </c>
      <c r="D718">
        <v>3600</v>
      </c>
      <c r="E718">
        <v>3543</v>
      </c>
      <c r="F718">
        <v>0.368331922099915</v>
      </c>
      <c r="L718">
        <v>0</v>
      </c>
      <c r="M718">
        <v>0</v>
      </c>
      <c r="N718">
        <v>0</v>
      </c>
      <c r="O718">
        <v>0</v>
      </c>
    </row>
    <row r="719" spans="1:15">
      <c r="A719" s="19">
        <v>42795</v>
      </c>
      <c r="B719">
        <v>1286</v>
      </c>
      <c r="C719">
        <v>1296</v>
      </c>
      <c r="D719">
        <v>3500</v>
      </c>
      <c r="E719">
        <v>3521</v>
      </c>
      <c r="F719">
        <v>0.36807725078102799</v>
      </c>
      <c r="L719">
        <v>0</v>
      </c>
      <c r="M719">
        <v>0</v>
      </c>
      <c r="N719">
        <v>0</v>
      </c>
      <c r="O719">
        <v>0</v>
      </c>
    </row>
    <row r="720" spans="1:15">
      <c r="A720" s="19">
        <v>42794</v>
      </c>
      <c r="B720">
        <v>1287</v>
      </c>
      <c r="C720">
        <v>1284</v>
      </c>
      <c r="D720">
        <v>3527</v>
      </c>
      <c r="E720">
        <v>3489</v>
      </c>
      <c r="F720">
        <v>0.36801375752364501</v>
      </c>
      <c r="L720">
        <v>0</v>
      </c>
      <c r="M720">
        <v>0</v>
      </c>
      <c r="N720">
        <v>0</v>
      </c>
      <c r="O720">
        <v>0</v>
      </c>
    </row>
    <row r="721" spans="1:15">
      <c r="A721" s="19">
        <v>42793</v>
      </c>
      <c r="B721">
        <v>1276</v>
      </c>
      <c r="C721">
        <v>1276</v>
      </c>
      <c r="D721">
        <v>3520</v>
      </c>
      <c r="E721">
        <v>3498</v>
      </c>
      <c r="F721">
        <v>0.36477987421383601</v>
      </c>
      <c r="L721">
        <v>0</v>
      </c>
      <c r="M721">
        <v>0</v>
      </c>
      <c r="N721">
        <v>0</v>
      </c>
      <c r="O721">
        <v>0</v>
      </c>
    </row>
    <row r="722" spans="1:15">
      <c r="A722" s="19">
        <v>42790</v>
      </c>
      <c r="B722">
        <v>1295</v>
      </c>
      <c r="C722">
        <v>1288</v>
      </c>
      <c r="D722">
        <v>3555</v>
      </c>
      <c r="E722">
        <v>3553</v>
      </c>
      <c r="F722">
        <v>0.36251055446101799</v>
      </c>
      <c r="L722">
        <v>0</v>
      </c>
      <c r="M722">
        <v>0</v>
      </c>
      <c r="N722">
        <v>0</v>
      </c>
      <c r="O722">
        <v>0</v>
      </c>
    </row>
    <row r="723" spans="1:15">
      <c r="A723" s="19">
        <v>42789</v>
      </c>
      <c r="B723">
        <v>1314</v>
      </c>
      <c r="C723">
        <v>1311</v>
      </c>
      <c r="D723">
        <v>3608</v>
      </c>
      <c r="E723">
        <v>3570</v>
      </c>
      <c r="F723">
        <v>0.36722689075630199</v>
      </c>
      <c r="L723">
        <v>0</v>
      </c>
      <c r="M723">
        <v>0</v>
      </c>
      <c r="N723">
        <v>0</v>
      </c>
      <c r="O723">
        <v>0</v>
      </c>
    </row>
    <row r="724" spans="1:15">
      <c r="A724" s="19">
        <v>42788</v>
      </c>
      <c r="B724">
        <v>1300</v>
      </c>
      <c r="C724">
        <v>1309</v>
      </c>
      <c r="D724">
        <v>3616</v>
      </c>
      <c r="E724">
        <v>3619</v>
      </c>
      <c r="F724">
        <v>0.36170212765957399</v>
      </c>
      <c r="L724">
        <v>0</v>
      </c>
      <c r="M724">
        <v>0</v>
      </c>
      <c r="N724">
        <v>0</v>
      </c>
      <c r="O724">
        <v>0</v>
      </c>
    </row>
    <row r="725" spans="1:15">
      <c r="A725" s="19">
        <v>42787</v>
      </c>
      <c r="B725">
        <v>1291</v>
      </c>
      <c r="C725">
        <v>1308</v>
      </c>
      <c r="D725">
        <v>3590</v>
      </c>
      <c r="E725">
        <v>3596</v>
      </c>
      <c r="F725">
        <v>0.36373748609566098</v>
      </c>
      <c r="L725">
        <v>0</v>
      </c>
      <c r="M725">
        <v>0</v>
      </c>
      <c r="N725">
        <v>0</v>
      </c>
      <c r="O725">
        <v>0</v>
      </c>
    </row>
    <row r="726" spans="1:15">
      <c r="A726" s="19">
        <v>42786</v>
      </c>
      <c r="B726">
        <v>1288</v>
      </c>
      <c r="C726">
        <v>1290</v>
      </c>
      <c r="D726">
        <v>3587</v>
      </c>
      <c r="E726">
        <v>3574</v>
      </c>
      <c r="F726">
        <v>0.36094012311135898</v>
      </c>
      <c r="L726">
        <v>0</v>
      </c>
      <c r="M726">
        <v>0</v>
      </c>
      <c r="N726">
        <v>0</v>
      </c>
      <c r="O726">
        <v>0</v>
      </c>
    </row>
    <row r="727" spans="1:15">
      <c r="A727" s="19">
        <v>42783</v>
      </c>
      <c r="B727">
        <v>1293</v>
      </c>
      <c r="C727">
        <v>1296</v>
      </c>
      <c r="D727">
        <v>3569</v>
      </c>
      <c r="E727">
        <v>3586</v>
      </c>
      <c r="F727">
        <v>0.36140546569994397</v>
      </c>
      <c r="L727">
        <v>0</v>
      </c>
      <c r="M727">
        <v>0</v>
      </c>
      <c r="N727">
        <v>0</v>
      </c>
      <c r="O727">
        <v>0</v>
      </c>
    </row>
    <row r="728" spans="1:15">
      <c r="A728" s="19">
        <v>42782</v>
      </c>
      <c r="B728">
        <v>1298</v>
      </c>
      <c r="C728">
        <v>1299</v>
      </c>
      <c r="D728">
        <v>3625</v>
      </c>
      <c r="E728">
        <v>3609</v>
      </c>
      <c r="F728">
        <v>0.35993349958437199</v>
      </c>
      <c r="L728">
        <v>0</v>
      </c>
      <c r="M728">
        <v>0</v>
      </c>
      <c r="N728">
        <v>0</v>
      </c>
      <c r="O728">
        <v>0</v>
      </c>
    </row>
    <row r="729" spans="1:15">
      <c r="A729" s="19">
        <v>42781</v>
      </c>
      <c r="B729">
        <v>1294</v>
      </c>
      <c r="C729">
        <v>1291</v>
      </c>
      <c r="D729">
        <v>3650</v>
      </c>
      <c r="E729">
        <v>3631</v>
      </c>
      <c r="F729">
        <v>0.35554943541723999</v>
      </c>
      <c r="L729">
        <v>0</v>
      </c>
      <c r="M729">
        <v>0</v>
      </c>
      <c r="N729">
        <v>0</v>
      </c>
      <c r="O729">
        <v>0</v>
      </c>
    </row>
    <row r="730" spans="1:15">
      <c r="A730" s="19">
        <v>42780</v>
      </c>
      <c r="B730">
        <v>1288</v>
      </c>
      <c r="C730">
        <v>1281</v>
      </c>
      <c r="D730">
        <v>3667</v>
      </c>
      <c r="E730">
        <v>3600</v>
      </c>
      <c r="F730">
        <v>0.355833333333333</v>
      </c>
      <c r="L730">
        <v>0</v>
      </c>
      <c r="M730">
        <v>0</v>
      </c>
      <c r="N730">
        <v>0</v>
      </c>
      <c r="O730">
        <v>0</v>
      </c>
    </row>
    <row r="731" spans="1:15">
      <c r="A731" s="19">
        <v>42779</v>
      </c>
      <c r="B731">
        <v>1289</v>
      </c>
      <c r="C731">
        <v>1282</v>
      </c>
      <c r="D731">
        <v>3638</v>
      </c>
      <c r="E731">
        <v>3650</v>
      </c>
      <c r="F731">
        <v>0.351232876712328</v>
      </c>
      <c r="L731">
        <v>0</v>
      </c>
      <c r="M731">
        <v>0</v>
      </c>
      <c r="N731">
        <v>0</v>
      </c>
      <c r="O731">
        <v>0</v>
      </c>
    </row>
    <row r="732" spans="1:15">
      <c r="A732" s="19">
        <v>42776</v>
      </c>
      <c r="B732">
        <v>1262</v>
      </c>
      <c r="C732">
        <v>1273</v>
      </c>
      <c r="D732">
        <v>3574</v>
      </c>
      <c r="E732">
        <v>3605</v>
      </c>
      <c r="F732">
        <v>0.353120665742024</v>
      </c>
      <c r="L732">
        <v>0</v>
      </c>
      <c r="M732">
        <v>0</v>
      </c>
      <c r="N732">
        <v>0</v>
      </c>
      <c r="O732">
        <v>0</v>
      </c>
    </row>
    <row r="733" spans="1:15">
      <c r="A733" s="19">
        <v>42775</v>
      </c>
      <c r="B733">
        <v>1239</v>
      </c>
      <c r="C733">
        <v>1235</v>
      </c>
      <c r="D733">
        <v>3529</v>
      </c>
      <c r="E733">
        <v>3504</v>
      </c>
      <c r="F733">
        <v>0.352454337899543</v>
      </c>
      <c r="L733">
        <v>0</v>
      </c>
      <c r="M733">
        <v>0</v>
      </c>
      <c r="N733">
        <v>0</v>
      </c>
      <c r="O733">
        <v>0</v>
      </c>
    </row>
    <row r="734" spans="1:15">
      <c r="A734" s="19">
        <v>42774</v>
      </c>
      <c r="B734">
        <v>1213</v>
      </c>
      <c r="C734">
        <v>1247</v>
      </c>
      <c r="D734">
        <v>3533</v>
      </c>
      <c r="E734">
        <v>3574</v>
      </c>
      <c r="F734">
        <v>0.34890878567431399</v>
      </c>
      <c r="L734">
        <v>0</v>
      </c>
      <c r="M734">
        <v>0</v>
      </c>
      <c r="N734">
        <v>0</v>
      </c>
      <c r="O734">
        <v>0</v>
      </c>
    </row>
    <row r="735" spans="1:15">
      <c r="A735" s="19">
        <v>42773</v>
      </c>
      <c r="B735">
        <v>1202</v>
      </c>
      <c r="C735">
        <v>1209</v>
      </c>
      <c r="D735">
        <v>3508</v>
      </c>
      <c r="E735">
        <v>3541</v>
      </c>
      <c r="F735">
        <v>0.34142897486585699</v>
      </c>
      <c r="L735">
        <v>0</v>
      </c>
      <c r="M735">
        <v>0</v>
      </c>
      <c r="N735">
        <v>0</v>
      </c>
      <c r="O735">
        <v>0</v>
      </c>
    </row>
    <row r="736" spans="1:15">
      <c r="A736" s="19">
        <v>42772</v>
      </c>
      <c r="B736">
        <v>1216</v>
      </c>
      <c r="C736">
        <v>1215</v>
      </c>
      <c r="D736">
        <v>3551</v>
      </c>
      <c r="E736">
        <v>3493</v>
      </c>
      <c r="F736">
        <v>0.34783853421127903</v>
      </c>
      <c r="L736">
        <v>0</v>
      </c>
      <c r="M736">
        <v>0</v>
      </c>
      <c r="N736">
        <v>0</v>
      </c>
      <c r="O736">
        <v>0</v>
      </c>
    </row>
    <row r="737" spans="1:15">
      <c r="A737" s="19">
        <v>42769</v>
      </c>
      <c r="B737">
        <v>1124</v>
      </c>
      <c r="C737">
        <v>1158</v>
      </c>
      <c r="D737">
        <v>3401</v>
      </c>
      <c r="E737">
        <v>3423</v>
      </c>
      <c r="F737">
        <v>0.33829973707274302</v>
      </c>
      <c r="L737">
        <v>0</v>
      </c>
      <c r="M737">
        <v>0</v>
      </c>
      <c r="N737">
        <v>0</v>
      </c>
      <c r="O737">
        <v>0</v>
      </c>
    </row>
    <row r="738" spans="1:15">
      <c r="A738" s="19">
        <v>42768</v>
      </c>
      <c r="B738">
        <v>1166</v>
      </c>
      <c r="C738">
        <v>1135</v>
      </c>
      <c r="D738">
        <v>3423</v>
      </c>
      <c r="E738">
        <v>3417</v>
      </c>
      <c r="F738">
        <v>0.33216271583260099</v>
      </c>
      <c r="L738">
        <v>0</v>
      </c>
      <c r="M738">
        <v>0</v>
      </c>
      <c r="N738">
        <v>0</v>
      </c>
      <c r="O738">
        <v>0</v>
      </c>
    </row>
    <row r="739" spans="1:15">
      <c r="A739" s="19">
        <v>42767</v>
      </c>
      <c r="B739">
        <v>1138</v>
      </c>
      <c r="C739">
        <v>1149</v>
      </c>
      <c r="D739">
        <v>3305</v>
      </c>
      <c r="E739">
        <v>3415</v>
      </c>
      <c r="F739">
        <v>0.33645680819912099</v>
      </c>
      <c r="L739">
        <v>0</v>
      </c>
      <c r="M739">
        <v>0</v>
      </c>
      <c r="N739">
        <v>0</v>
      </c>
      <c r="O739">
        <v>0</v>
      </c>
    </row>
    <row r="740" spans="1:15">
      <c r="A740" s="19">
        <v>42766</v>
      </c>
      <c r="B740">
        <v>1133</v>
      </c>
      <c r="C740">
        <v>1138</v>
      </c>
      <c r="D740">
        <v>3380</v>
      </c>
      <c r="E740">
        <v>3387</v>
      </c>
      <c r="F740">
        <v>0.33599055211101198</v>
      </c>
      <c r="L740">
        <v>0</v>
      </c>
      <c r="M740">
        <v>0</v>
      </c>
      <c r="N740">
        <v>0</v>
      </c>
      <c r="O740">
        <v>0</v>
      </c>
    </row>
    <row r="741" spans="1:15">
      <c r="A741" s="19">
        <v>42765</v>
      </c>
      <c r="B741">
        <v>1132</v>
      </c>
      <c r="C741">
        <v>1136</v>
      </c>
      <c r="D741">
        <v>3451</v>
      </c>
      <c r="E741">
        <v>3485</v>
      </c>
      <c r="F741">
        <v>0.32596843615494903</v>
      </c>
      <c r="L741">
        <v>0</v>
      </c>
      <c r="M741">
        <v>0</v>
      </c>
      <c r="N741">
        <v>0</v>
      </c>
      <c r="O741">
        <v>0</v>
      </c>
    </row>
    <row r="742" spans="1:15">
      <c r="A742" s="19">
        <v>42762</v>
      </c>
      <c r="B742">
        <v>1139</v>
      </c>
      <c r="C742">
        <v>1134</v>
      </c>
      <c r="D742">
        <v>3487</v>
      </c>
      <c r="E742">
        <v>3484</v>
      </c>
      <c r="F742">
        <v>0.32548794489092903</v>
      </c>
      <c r="L742">
        <v>0</v>
      </c>
      <c r="M742">
        <v>0</v>
      </c>
      <c r="N742">
        <v>0</v>
      </c>
      <c r="O742">
        <v>0</v>
      </c>
    </row>
    <row r="743" spans="1:15">
      <c r="A743" s="19">
        <v>42761</v>
      </c>
      <c r="B743">
        <v>1123</v>
      </c>
      <c r="C743">
        <v>1127</v>
      </c>
      <c r="D743">
        <v>3545</v>
      </c>
      <c r="E743">
        <v>3502</v>
      </c>
      <c r="F743">
        <v>0.321816105082809</v>
      </c>
      <c r="L743">
        <v>0</v>
      </c>
      <c r="M743">
        <v>0</v>
      </c>
      <c r="N743">
        <v>0</v>
      </c>
      <c r="O743">
        <v>0</v>
      </c>
    </row>
    <row r="744" spans="1:15">
      <c r="A744" s="19">
        <v>42760</v>
      </c>
      <c r="B744">
        <v>1090</v>
      </c>
      <c r="C744">
        <v>1098</v>
      </c>
      <c r="D744">
        <v>3459</v>
      </c>
      <c r="E744">
        <v>3450</v>
      </c>
      <c r="F744">
        <v>0.31826086956521699</v>
      </c>
      <c r="L744">
        <v>0</v>
      </c>
      <c r="M744">
        <v>0</v>
      </c>
      <c r="N744">
        <v>0</v>
      </c>
      <c r="O744">
        <v>0</v>
      </c>
    </row>
    <row r="745" spans="1:15">
      <c r="A745" s="19">
        <v>42759</v>
      </c>
      <c r="B745">
        <v>1068</v>
      </c>
      <c r="C745">
        <v>1064</v>
      </c>
      <c r="D745">
        <v>3364</v>
      </c>
      <c r="E745">
        <v>3375</v>
      </c>
      <c r="F745">
        <v>0.31525925925925902</v>
      </c>
      <c r="L745">
        <v>0</v>
      </c>
      <c r="M745">
        <v>0</v>
      </c>
      <c r="N745">
        <v>0</v>
      </c>
      <c r="O745">
        <v>0</v>
      </c>
    </row>
    <row r="746" spans="1:15">
      <c r="A746" s="19">
        <v>42758</v>
      </c>
      <c r="B746">
        <v>1070</v>
      </c>
      <c r="C746">
        <v>1076</v>
      </c>
      <c r="D746">
        <v>3425</v>
      </c>
      <c r="E746">
        <v>3432</v>
      </c>
      <c r="F746">
        <v>0.31351981351981301</v>
      </c>
      <c r="L746">
        <v>0</v>
      </c>
      <c r="M746">
        <v>0</v>
      </c>
      <c r="N746">
        <v>0</v>
      </c>
      <c r="O746">
        <v>0</v>
      </c>
    </row>
    <row r="747" spans="1:15">
      <c r="A747" s="19">
        <v>42755</v>
      </c>
      <c r="B747">
        <v>1084</v>
      </c>
      <c r="C747">
        <v>1090</v>
      </c>
      <c r="D747">
        <v>3475</v>
      </c>
      <c r="E747">
        <v>3492</v>
      </c>
      <c r="F747">
        <v>0.31214203894616199</v>
      </c>
      <c r="L747">
        <v>0</v>
      </c>
      <c r="M747">
        <v>0</v>
      </c>
      <c r="N747">
        <v>0</v>
      </c>
      <c r="O747">
        <v>0</v>
      </c>
    </row>
    <row r="748" spans="1:15">
      <c r="A748" s="19">
        <v>42754</v>
      </c>
      <c r="B748">
        <v>1090</v>
      </c>
      <c r="C748">
        <v>1087</v>
      </c>
      <c r="D748">
        <v>3472</v>
      </c>
      <c r="E748">
        <v>3488</v>
      </c>
      <c r="F748">
        <v>0.31163990825687998</v>
      </c>
      <c r="L748">
        <v>0</v>
      </c>
      <c r="M748">
        <v>0</v>
      </c>
      <c r="N748">
        <v>0</v>
      </c>
      <c r="O748">
        <v>0</v>
      </c>
    </row>
    <row r="749" spans="1:15">
      <c r="A749" s="19">
        <v>42753</v>
      </c>
      <c r="B749">
        <v>1055</v>
      </c>
      <c r="C749">
        <v>1076</v>
      </c>
      <c r="D749">
        <v>3330</v>
      </c>
      <c r="E749">
        <v>3403</v>
      </c>
      <c r="F749">
        <v>0.316191595650896</v>
      </c>
      <c r="L749">
        <v>0</v>
      </c>
      <c r="M749">
        <v>0</v>
      </c>
      <c r="N749">
        <v>0</v>
      </c>
      <c r="O749">
        <v>0</v>
      </c>
    </row>
    <row r="750" spans="1:15">
      <c r="A750" s="19">
        <v>42752</v>
      </c>
      <c r="B750">
        <v>1085</v>
      </c>
      <c r="C750">
        <v>1073</v>
      </c>
      <c r="D750">
        <v>3431</v>
      </c>
      <c r="E750">
        <v>3353</v>
      </c>
      <c r="F750">
        <v>0.32001192961526898</v>
      </c>
      <c r="L750">
        <v>0</v>
      </c>
      <c r="M750">
        <v>0</v>
      </c>
      <c r="N750">
        <v>0</v>
      </c>
      <c r="O750">
        <v>0</v>
      </c>
    </row>
    <row r="751" spans="1:15">
      <c r="A751" s="19">
        <v>42751</v>
      </c>
      <c r="B751">
        <v>1100</v>
      </c>
      <c r="C751">
        <v>1092</v>
      </c>
      <c r="D751">
        <v>3456</v>
      </c>
      <c r="E751">
        <v>3445</v>
      </c>
      <c r="F751">
        <v>0.31698113207547102</v>
      </c>
      <c r="L751">
        <v>0</v>
      </c>
      <c r="M751">
        <v>0</v>
      </c>
      <c r="N751">
        <v>0</v>
      </c>
      <c r="O751">
        <v>0</v>
      </c>
    </row>
    <row r="752" spans="1:15">
      <c r="A752" s="19">
        <v>42748</v>
      </c>
      <c r="B752">
        <v>1100</v>
      </c>
      <c r="C752">
        <v>1107</v>
      </c>
      <c r="D752">
        <v>3438</v>
      </c>
      <c r="E752">
        <v>3446</v>
      </c>
      <c r="F752">
        <v>0.32124201973302302</v>
      </c>
      <c r="L752">
        <v>0</v>
      </c>
      <c r="M752">
        <v>0</v>
      </c>
      <c r="N752">
        <v>0</v>
      </c>
      <c r="O752">
        <v>0</v>
      </c>
    </row>
    <row r="753" spans="1:15">
      <c r="A753" s="19">
        <v>42747</v>
      </c>
      <c r="B753">
        <v>1108</v>
      </c>
      <c r="C753">
        <v>1100</v>
      </c>
      <c r="D753">
        <v>3450</v>
      </c>
      <c r="E753">
        <v>3457</v>
      </c>
      <c r="F753">
        <v>0.31819496673416198</v>
      </c>
      <c r="L753">
        <v>0</v>
      </c>
      <c r="M753">
        <v>0</v>
      </c>
      <c r="N753">
        <v>0</v>
      </c>
      <c r="O753">
        <v>0</v>
      </c>
    </row>
    <row r="754" spans="1:15">
      <c r="A754" s="19">
        <v>42746</v>
      </c>
      <c r="B754">
        <v>1121</v>
      </c>
      <c r="C754">
        <v>1115</v>
      </c>
      <c r="D754">
        <v>3479</v>
      </c>
      <c r="E754">
        <v>3471</v>
      </c>
      <c r="F754">
        <v>0.32123307404206197</v>
      </c>
      <c r="L754">
        <v>0</v>
      </c>
      <c r="M754">
        <v>0</v>
      </c>
      <c r="N754">
        <v>0</v>
      </c>
      <c r="O754">
        <v>0</v>
      </c>
    </row>
    <row r="755" spans="1:15">
      <c r="A755" s="19">
        <v>42745</v>
      </c>
      <c r="B755">
        <v>1120</v>
      </c>
      <c r="C755">
        <v>1120</v>
      </c>
      <c r="D755">
        <v>3500</v>
      </c>
      <c r="E755">
        <v>3462</v>
      </c>
      <c r="F755">
        <v>0.32351242056614599</v>
      </c>
      <c r="L755">
        <v>0</v>
      </c>
      <c r="M755">
        <v>0</v>
      </c>
      <c r="N755">
        <v>0</v>
      </c>
      <c r="O755">
        <v>0</v>
      </c>
    </row>
    <row r="756" spans="1:15">
      <c r="A756" s="19">
        <v>42741</v>
      </c>
      <c r="B756">
        <v>1126</v>
      </c>
      <c r="C756">
        <v>1127</v>
      </c>
      <c r="D756">
        <v>3458</v>
      </c>
      <c r="E756">
        <v>3501</v>
      </c>
      <c r="F756">
        <v>0.32190802627820603</v>
      </c>
      <c r="L756">
        <v>0</v>
      </c>
      <c r="M756">
        <v>0</v>
      </c>
      <c r="N756">
        <v>0</v>
      </c>
      <c r="O756">
        <v>0</v>
      </c>
    </row>
    <row r="757" spans="1:15">
      <c r="A757" s="19">
        <v>42740</v>
      </c>
      <c r="B757">
        <v>1156</v>
      </c>
      <c r="C757">
        <v>1142</v>
      </c>
      <c r="D757">
        <v>3600</v>
      </c>
      <c r="E757">
        <v>3569</v>
      </c>
      <c r="F757">
        <v>0.31997758475763499</v>
      </c>
      <c r="L757">
        <v>0</v>
      </c>
      <c r="M757">
        <v>0</v>
      </c>
      <c r="N757">
        <v>0</v>
      </c>
      <c r="O757">
        <v>0</v>
      </c>
    </row>
    <row r="758" spans="1:15">
      <c r="A758" s="19">
        <v>42739</v>
      </c>
      <c r="B758">
        <v>1128</v>
      </c>
      <c r="C758">
        <v>1149</v>
      </c>
      <c r="D758">
        <v>3504</v>
      </c>
      <c r="E758">
        <v>3571</v>
      </c>
      <c r="F758">
        <v>0.32175861103332398</v>
      </c>
      <c r="L758">
        <v>0</v>
      </c>
      <c r="M758">
        <v>0</v>
      </c>
      <c r="N758">
        <v>0</v>
      </c>
      <c r="O758">
        <v>0</v>
      </c>
    </row>
    <row r="759" spans="1:15">
      <c r="A759" s="19">
        <v>42734</v>
      </c>
      <c r="B759">
        <v>1109</v>
      </c>
      <c r="C759">
        <v>1114</v>
      </c>
      <c r="D759">
        <v>3402</v>
      </c>
      <c r="E759">
        <v>3415</v>
      </c>
      <c r="F759">
        <v>0.32620790629575402</v>
      </c>
      <c r="L759">
        <v>0</v>
      </c>
      <c r="M759">
        <v>0</v>
      </c>
      <c r="N759">
        <v>0</v>
      </c>
      <c r="O759">
        <v>0</v>
      </c>
    </row>
    <row r="760" spans="1:15">
      <c r="A760" s="19">
        <v>42733</v>
      </c>
      <c r="B760">
        <v>1137</v>
      </c>
      <c r="C760">
        <v>1120</v>
      </c>
      <c r="D760">
        <v>3472</v>
      </c>
      <c r="E760">
        <v>3443</v>
      </c>
      <c r="F760">
        <v>0.32529770548939801</v>
      </c>
      <c r="L760">
        <v>0</v>
      </c>
      <c r="M760">
        <v>0</v>
      </c>
      <c r="N760">
        <v>0</v>
      </c>
      <c r="O760">
        <v>0</v>
      </c>
    </row>
    <row r="761" spans="1:15">
      <c r="A761" s="19">
        <v>42732</v>
      </c>
      <c r="B761">
        <v>1141</v>
      </c>
      <c r="C761">
        <v>1141</v>
      </c>
      <c r="D761">
        <v>3497</v>
      </c>
      <c r="E761">
        <v>3490</v>
      </c>
      <c r="F761">
        <v>0.326934097421203</v>
      </c>
      <c r="L761">
        <v>0</v>
      </c>
      <c r="M761">
        <v>0</v>
      </c>
      <c r="N761">
        <v>0</v>
      </c>
      <c r="O761">
        <v>0</v>
      </c>
    </row>
    <row r="762" spans="1:15">
      <c r="A762" s="19">
        <v>42731</v>
      </c>
      <c r="B762">
        <v>1124</v>
      </c>
      <c r="C762">
        <v>1136</v>
      </c>
      <c r="D762">
        <v>3480</v>
      </c>
      <c r="E762">
        <v>3497</v>
      </c>
      <c r="F762">
        <v>0.32484987131827198</v>
      </c>
      <c r="L762">
        <v>0</v>
      </c>
      <c r="M762">
        <v>0</v>
      </c>
      <c r="N762">
        <v>0</v>
      </c>
      <c r="O762">
        <v>0</v>
      </c>
    </row>
    <row r="763" spans="1:15">
      <c r="A763" s="19">
        <v>42730</v>
      </c>
      <c r="B763">
        <v>1142</v>
      </c>
      <c r="C763">
        <v>1120</v>
      </c>
      <c r="D763">
        <v>3550</v>
      </c>
      <c r="E763">
        <v>3495</v>
      </c>
      <c r="F763">
        <v>0.32045779685264603</v>
      </c>
      <c r="L763">
        <v>0</v>
      </c>
      <c r="M763">
        <v>0</v>
      </c>
      <c r="N763">
        <v>0</v>
      </c>
      <c r="O763">
        <v>0</v>
      </c>
    </row>
    <row r="764" spans="1:15">
      <c r="A764" s="19">
        <v>42726</v>
      </c>
      <c r="B764">
        <v>1116</v>
      </c>
      <c r="C764">
        <v>1142</v>
      </c>
      <c r="D764">
        <v>3533</v>
      </c>
      <c r="E764">
        <v>3570</v>
      </c>
      <c r="F764">
        <v>0.31988795518207203</v>
      </c>
      <c r="L764">
        <v>0</v>
      </c>
      <c r="M764">
        <v>0</v>
      </c>
      <c r="N764">
        <v>0</v>
      </c>
      <c r="O764">
        <v>0</v>
      </c>
    </row>
    <row r="765" spans="1:15">
      <c r="A765" s="19">
        <v>42725</v>
      </c>
      <c r="B765">
        <v>1090</v>
      </c>
      <c r="C765">
        <v>1086</v>
      </c>
      <c r="D765">
        <v>3533</v>
      </c>
      <c r="E765">
        <v>3527</v>
      </c>
      <c r="F765">
        <v>0.307910405443719</v>
      </c>
      <c r="L765">
        <v>0</v>
      </c>
      <c r="M765">
        <v>0</v>
      </c>
      <c r="N765">
        <v>0</v>
      </c>
      <c r="O765">
        <v>0</v>
      </c>
    </row>
    <row r="766" spans="1:15">
      <c r="A766" s="19">
        <v>42724</v>
      </c>
      <c r="B766">
        <v>1088</v>
      </c>
      <c r="C766">
        <v>1086</v>
      </c>
      <c r="D766">
        <v>3533</v>
      </c>
      <c r="E766">
        <v>3525</v>
      </c>
      <c r="F766">
        <v>0.30808510638297798</v>
      </c>
      <c r="L766">
        <v>0</v>
      </c>
      <c r="M766">
        <v>0</v>
      </c>
      <c r="N766">
        <v>0</v>
      </c>
      <c r="O766">
        <v>0</v>
      </c>
    </row>
    <row r="767" spans="1:15">
      <c r="A767" s="19">
        <v>42723</v>
      </c>
      <c r="B767">
        <v>1092</v>
      </c>
      <c r="C767">
        <v>1085</v>
      </c>
      <c r="D767">
        <v>3560</v>
      </c>
      <c r="E767">
        <v>3533</v>
      </c>
      <c r="F767">
        <v>0.30710444381545399</v>
      </c>
      <c r="L767">
        <v>0</v>
      </c>
      <c r="M767">
        <v>0</v>
      </c>
      <c r="N767">
        <v>0</v>
      </c>
      <c r="O767">
        <v>0</v>
      </c>
    </row>
    <row r="768" spans="1:15">
      <c r="A768" s="19">
        <v>42720</v>
      </c>
      <c r="B768">
        <v>1087</v>
      </c>
      <c r="C768">
        <v>1094</v>
      </c>
      <c r="D768">
        <v>3575</v>
      </c>
      <c r="E768">
        <v>3560</v>
      </c>
      <c r="F768">
        <v>0.30730337078651598</v>
      </c>
      <c r="L768">
        <v>0</v>
      </c>
      <c r="M768">
        <v>0</v>
      </c>
      <c r="N768">
        <v>0</v>
      </c>
      <c r="O768">
        <v>0</v>
      </c>
    </row>
    <row r="769" spans="1:15">
      <c r="A769" s="19">
        <v>42719</v>
      </c>
      <c r="B769">
        <v>1071</v>
      </c>
      <c r="C769">
        <v>1073</v>
      </c>
      <c r="D769">
        <v>3536</v>
      </c>
      <c r="E769">
        <v>3526</v>
      </c>
      <c r="F769">
        <v>0.30431083380601198</v>
      </c>
      <c r="L769">
        <v>0</v>
      </c>
      <c r="M769">
        <v>0</v>
      </c>
      <c r="N769">
        <v>0</v>
      </c>
      <c r="O769">
        <v>0</v>
      </c>
    </row>
    <row r="770" spans="1:15">
      <c r="A770" s="19">
        <v>42718</v>
      </c>
      <c r="B770">
        <v>1063</v>
      </c>
      <c r="C770">
        <v>1063</v>
      </c>
      <c r="D770">
        <v>3492</v>
      </c>
      <c r="E770">
        <v>3477</v>
      </c>
      <c r="F770">
        <v>0.30572332470520502</v>
      </c>
      <c r="L770">
        <v>0</v>
      </c>
      <c r="M770">
        <v>0</v>
      </c>
      <c r="N770">
        <v>0</v>
      </c>
      <c r="O770">
        <v>0</v>
      </c>
    </row>
    <row r="771" spans="1:15">
      <c r="A771" s="19">
        <v>42717</v>
      </c>
      <c r="B771">
        <v>1056</v>
      </c>
      <c r="C771">
        <v>1060</v>
      </c>
      <c r="D771">
        <v>3465</v>
      </c>
      <c r="E771">
        <v>3458</v>
      </c>
      <c r="F771">
        <v>0.30653556969346402</v>
      </c>
      <c r="L771">
        <v>0</v>
      </c>
      <c r="M771">
        <v>0</v>
      </c>
      <c r="N771">
        <v>0</v>
      </c>
      <c r="O771">
        <v>0</v>
      </c>
    </row>
    <row r="772" spans="1:15">
      <c r="A772" s="19">
        <v>42716</v>
      </c>
      <c r="B772">
        <v>1063</v>
      </c>
      <c r="C772">
        <v>1063</v>
      </c>
      <c r="D772">
        <v>3519</v>
      </c>
      <c r="E772">
        <v>3466</v>
      </c>
      <c r="F772">
        <v>0.30669359492210002</v>
      </c>
      <c r="L772">
        <v>0</v>
      </c>
      <c r="M772">
        <v>0</v>
      </c>
      <c r="N772">
        <v>0</v>
      </c>
      <c r="O772">
        <v>0</v>
      </c>
    </row>
    <row r="773" spans="1:15">
      <c r="A773" s="19">
        <v>42713</v>
      </c>
      <c r="B773">
        <v>1067</v>
      </c>
      <c r="C773">
        <v>1064</v>
      </c>
      <c r="D773">
        <v>3450</v>
      </c>
      <c r="E773">
        <v>3473</v>
      </c>
      <c r="F773">
        <v>0.30636337460408802</v>
      </c>
      <c r="L773">
        <v>0</v>
      </c>
      <c r="M773">
        <v>0</v>
      </c>
      <c r="N773">
        <v>0</v>
      </c>
      <c r="O773">
        <v>0</v>
      </c>
    </row>
    <row r="774" spans="1:15">
      <c r="A774" s="19">
        <v>42712</v>
      </c>
      <c r="B774">
        <v>1075</v>
      </c>
      <c r="C774">
        <v>1068</v>
      </c>
      <c r="D774">
        <v>3400</v>
      </c>
      <c r="E774">
        <v>3437</v>
      </c>
      <c r="F774">
        <v>0.31073610707011901</v>
      </c>
      <c r="L774">
        <v>0</v>
      </c>
      <c r="M774">
        <v>0</v>
      </c>
      <c r="N774">
        <v>0</v>
      </c>
      <c r="O774">
        <v>0</v>
      </c>
    </row>
    <row r="775" spans="1:15">
      <c r="A775" s="19">
        <v>42711</v>
      </c>
      <c r="B775">
        <v>1061</v>
      </c>
      <c r="C775">
        <v>1060</v>
      </c>
      <c r="D775">
        <v>3373</v>
      </c>
      <c r="E775">
        <v>3375</v>
      </c>
      <c r="F775">
        <v>0.31407407407407401</v>
      </c>
      <c r="L775">
        <v>0</v>
      </c>
      <c r="M775">
        <v>0</v>
      </c>
      <c r="N775">
        <v>0</v>
      </c>
      <c r="O775">
        <v>0</v>
      </c>
    </row>
    <row r="776" spans="1:15">
      <c r="A776" s="19">
        <v>42710</v>
      </c>
      <c r="B776">
        <v>1063</v>
      </c>
      <c r="C776">
        <v>1053</v>
      </c>
      <c r="D776">
        <v>3364</v>
      </c>
      <c r="E776">
        <v>3330</v>
      </c>
      <c r="F776">
        <v>0.31621621621621598</v>
      </c>
      <c r="L776">
        <v>0</v>
      </c>
      <c r="M776">
        <v>0</v>
      </c>
      <c r="N776">
        <v>0</v>
      </c>
      <c r="O776">
        <v>0</v>
      </c>
    </row>
    <row r="777" spans="1:15">
      <c r="A777" s="19">
        <v>42709</v>
      </c>
      <c r="B777">
        <v>1052</v>
      </c>
      <c r="C777">
        <v>1051</v>
      </c>
      <c r="D777">
        <v>3321</v>
      </c>
      <c r="E777">
        <v>3302</v>
      </c>
      <c r="F777">
        <v>0.318291944276196</v>
      </c>
      <c r="L777">
        <v>0</v>
      </c>
      <c r="M777">
        <v>0</v>
      </c>
      <c r="N777">
        <v>0</v>
      </c>
      <c r="O777">
        <v>0</v>
      </c>
    </row>
  </sheetData>
  <phoneticPr fontId="1" type="noConversion"/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J26" sqref="J26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0"/>
  <dimension ref="A1:AH431"/>
  <sheetViews>
    <sheetView topLeftCell="F1" workbookViewId="0">
      <selection activeCell="F27" sqref="A27:XFD27"/>
    </sheetView>
  </sheetViews>
  <sheetFormatPr defaultRowHeight="14.25"/>
  <cols>
    <col min="1" max="1" width="9" style="109"/>
    <col min="4" max="4" width="9.875" customWidth="1"/>
    <col min="22" max="22" width="11.25" customWidth="1"/>
  </cols>
  <sheetData>
    <row r="1" spans="1:34">
      <c r="B1" s="113" t="s">
        <v>340</v>
      </c>
      <c r="C1" s="113" t="s">
        <v>58</v>
      </c>
      <c r="D1" s="113" t="s">
        <v>59</v>
      </c>
      <c r="E1" s="113" t="s">
        <v>60</v>
      </c>
      <c r="F1" s="113" t="s">
        <v>61</v>
      </c>
      <c r="G1" s="113" t="s">
        <v>62</v>
      </c>
      <c r="H1" s="113" t="s">
        <v>63</v>
      </c>
      <c r="I1" s="113" t="s">
        <v>64</v>
      </c>
      <c r="J1" s="113" t="s">
        <v>49</v>
      </c>
      <c r="K1" s="113" t="s">
        <v>65</v>
      </c>
      <c r="L1" s="113" t="s">
        <v>66</v>
      </c>
      <c r="M1" s="113" t="s">
        <v>67</v>
      </c>
      <c r="N1" s="113" t="s">
        <v>68</v>
      </c>
      <c r="O1" s="113" t="s">
        <v>69</v>
      </c>
      <c r="P1" s="113" t="s">
        <v>70</v>
      </c>
      <c r="Q1" s="113" t="s">
        <v>71</v>
      </c>
      <c r="R1" s="113" t="s">
        <v>72</v>
      </c>
      <c r="S1" s="113" t="s">
        <v>73</v>
      </c>
      <c r="T1" s="113" t="s">
        <v>99</v>
      </c>
      <c r="U1" s="113" t="s">
        <v>74</v>
      </c>
      <c r="V1" s="113" t="s">
        <v>75</v>
      </c>
      <c r="W1" s="113" t="s">
        <v>76</v>
      </c>
      <c r="X1" s="113" t="s">
        <v>77</v>
      </c>
      <c r="Y1" s="113" t="s">
        <v>78</v>
      </c>
      <c r="Z1" s="113" t="s">
        <v>79</v>
      </c>
      <c r="AA1" s="113" t="s">
        <v>80</v>
      </c>
      <c r="AB1" s="113" t="s">
        <v>81</v>
      </c>
      <c r="AC1" s="113" t="s">
        <v>82</v>
      </c>
      <c r="AD1" s="113" t="s">
        <v>83</v>
      </c>
      <c r="AE1" s="113" t="s">
        <v>84</v>
      </c>
      <c r="AF1" s="113" t="s">
        <v>100</v>
      </c>
      <c r="AG1" s="113" t="s">
        <v>101</v>
      </c>
      <c r="AH1" s="113" t="s">
        <v>102</v>
      </c>
    </row>
    <row r="2" spans="1:34">
      <c r="A2" s="109">
        <v>202</v>
      </c>
      <c r="B2">
        <v>3105</v>
      </c>
      <c r="C2" s="113" t="s">
        <v>116</v>
      </c>
      <c r="D2" s="113" t="s">
        <v>112</v>
      </c>
      <c r="E2">
        <v>1039</v>
      </c>
      <c r="F2">
        <v>1040</v>
      </c>
      <c r="G2">
        <v>1000</v>
      </c>
      <c r="H2" s="113" t="s">
        <v>87</v>
      </c>
      <c r="I2">
        <v>6995</v>
      </c>
      <c r="J2" s="113" t="s">
        <v>117</v>
      </c>
      <c r="K2" s="113" t="s">
        <v>109</v>
      </c>
      <c r="L2">
        <v>2178</v>
      </c>
      <c r="M2">
        <v>2150</v>
      </c>
      <c r="N2">
        <v>500</v>
      </c>
      <c r="O2" s="113" t="s">
        <v>85</v>
      </c>
      <c r="P2">
        <v>0.92359092668142695</v>
      </c>
      <c r="Q2">
        <v>0.90174792562254202</v>
      </c>
      <c r="R2" s="20">
        <v>0.158377899268769</v>
      </c>
      <c r="S2">
        <v>0.102202519460031</v>
      </c>
      <c r="T2">
        <v>1.4916522950912301</v>
      </c>
      <c r="U2">
        <v>1.4916522950912301</v>
      </c>
      <c r="V2">
        <v>4.22</v>
      </c>
      <c r="W2">
        <v>3.26</v>
      </c>
      <c r="X2">
        <v>612244</v>
      </c>
      <c r="Y2">
        <v>32223</v>
      </c>
      <c r="Z2">
        <v>1.55</v>
      </c>
      <c r="AA2">
        <v>19</v>
      </c>
      <c r="AB2">
        <v>12</v>
      </c>
      <c r="AC2">
        <v>7</v>
      </c>
      <c r="AD2">
        <v>63.16</v>
      </c>
      <c r="AE2">
        <v>12</v>
      </c>
      <c r="AF2">
        <v>10</v>
      </c>
      <c r="AG2">
        <v>1</v>
      </c>
      <c r="AH2">
        <v>8</v>
      </c>
    </row>
    <row r="3" spans="1:34">
      <c r="A3" s="109">
        <v>121</v>
      </c>
      <c r="B3">
        <v>4626</v>
      </c>
      <c r="C3" s="113" t="s">
        <v>988</v>
      </c>
      <c r="D3" s="113" t="s">
        <v>86</v>
      </c>
      <c r="E3">
        <v>4210</v>
      </c>
      <c r="F3">
        <v>4185</v>
      </c>
      <c r="G3">
        <v>200</v>
      </c>
      <c r="H3" s="113" t="s">
        <v>85</v>
      </c>
      <c r="I3">
        <v>6134</v>
      </c>
      <c r="J3" s="113" t="s">
        <v>989</v>
      </c>
      <c r="K3" s="113" t="s">
        <v>125</v>
      </c>
      <c r="L3">
        <v>1961</v>
      </c>
      <c r="M3">
        <v>1966</v>
      </c>
      <c r="N3">
        <v>400</v>
      </c>
      <c r="O3" s="113" t="s">
        <v>87</v>
      </c>
      <c r="P3">
        <v>0.94040791287462799</v>
      </c>
      <c r="Q3">
        <v>0.91608367175095196</v>
      </c>
      <c r="R3" s="20">
        <v>3.6675962409676202E-2</v>
      </c>
      <c r="S3" s="113">
        <v>0.121007853065962</v>
      </c>
      <c r="T3">
        <v>-1.4911896320875799</v>
      </c>
      <c r="U3">
        <v>1.4911896320875799</v>
      </c>
      <c r="V3">
        <v>-5.05</v>
      </c>
      <c r="W3">
        <v>6.05</v>
      </c>
      <c r="X3">
        <v>550688</v>
      </c>
      <c r="Y3">
        <v>32393</v>
      </c>
      <c r="Z3">
        <v>1.85</v>
      </c>
      <c r="AA3">
        <v>17</v>
      </c>
      <c r="AB3">
        <v>13</v>
      </c>
      <c r="AC3">
        <v>4</v>
      </c>
      <c r="AD3">
        <v>76.47</v>
      </c>
      <c r="AE3">
        <v>12</v>
      </c>
      <c r="AF3">
        <v>9</v>
      </c>
      <c r="AG3">
        <v>2</v>
      </c>
      <c r="AH3">
        <v>6</v>
      </c>
    </row>
    <row r="4" spans="1:34">
      <c r="A4" s="109">
        <v>28</v>
      </c>
      <c r="B4">
        <v>4202</v>
      </c>
      <c r="C4" s="113" t="s">
        <v>115</v>
      </c>
      <c r="D4" s="113" t="s">
        <v>86</v>
      </c>
      <c r="E4">
        <v>1086</v>
      </c>
      <c r="F4">
        <v>1075</v>
      </c>
      <c r="G4">
        <v>1000</v>
      </c>
      <c r="H4" s="113" t="s">
        <v>85</v>
      </c>
      <c r="I4">
        <v>5991</v>
      </c>
      <c r="J4" s="113" t="s">
        <v>141</v>
      </c>
      <c r="K4" s="113" t="s">
        <v>142</v>
      </c>
      <c r="L4">
        <v>1003</v>
      </c>
      <c r="M4">
        <v>1004</v>
      </c>
      <c r="N4">
        <v>1100</v>
      </c>
      <c r="O4" s="113" t="s">
        <v>87</v>
      </c>
      <c r="P4">
        <v>0.94527529421092205</v>
      </c>
      <c r="Q4">
        <v>0.94460878162342998</v>
      </c>
      <c r="R4">
        <v>0.17972936122845101</v>
      </c>
      <c r="S4">
        <v>4.35809615773902E-2</v>
      </c>
      <c r="T4">
        <v>-1.2162253971453301</v>
      </c>
      <c r="U4">
        <v>1.2162253971453301</v>
      </c>
      <c r="V4">
        <v>-3.77</v>
      </c>
      <c r="W4">
        <v>2.73</v>
      </c>
      <c r="X4">
        <v>542623</v>
      </c>
      <c r="Y4">
        <v>27131</v>
      </c>
      <c r="Z4">
        <v>1.27</v>
      </c>
      <c r="AA4">
        <v>20</v>
      </c>
      <c r="AB4">
        <v>14</v>
      </c>
      <c r="AC4">
        <v>6</v>
      </c>
      <c r="AD4">
        <v>70</v>
      </c>
      <c r="AE4">
        <v>13</v>
      </c>
      <c r="AF4">
        <v>7</v>
      </c>
      <c r="AG4">
        <v>1</v>
      </c>
      <c r="AH4">
        <v>12</v>
      </c>
    </row>
    <row r="5" spans="1:34">
      <c r="A5" s="109">
        <v>44</v>
      </c>
      <c r="B5">
        <v>3635</v>
      </c>
      <c r="C5" s="113" t="s">
        <v>110</v>
      </c>
      <c r="D5" s="113" t="s">
        <v>104</v>
      </c>
      <c r="E5">
        <v>2646</v>
      </c>
      <c r="F5">
        <v>2631</v>
      </c>
      <c r="G5">
        <v>400</v>
      </c>
      <c r="H5" s="113" t="s">
        <v>87</v>
      </c>
      <c r="I5">
        <v>6845</v>
      </c>
      <c r="J5" s="113" t="s">
        <v>341</v>
      </c>
      <c r="K5" s="113" t="s">
        <v>112</v>
      </c>
      <c r="L5">
        <v>3135</v>
      </c>
      <c r="M5">
        <v>3170</v>
      </c>
      <c r="N5">
        <v>300</v>
      </c>
      <c r="O5" s="113" t="s">
        <v>85</v>
      </c>
      <c r="P5">
        <v>0.91104924175077795</v>
      </c>
      <c r="Q5">
        <v>0.93880458010919099</v>
      </c>
      <c r="R5">
        <v>1.8356058301390699E-2</v>
      </c>
      <c r="S5">
        <v>3.7666606061458899E-2</v>
      </c>
      <c r="T5">
        <v>1.32222041067248</v>
      </c>
      <c r="U5">
        <v>1.32222041067248</v>
      </c>
      <c r="V5">
        <v>2.82</v>
      </c>
      <c r="W5">
        <v>10.66</v>
      </c>
      <c r="X5">
        <v>542091</v>
      </c>
      <c r="Y5">
        <v>31888</v>
      </c>
      <c r="Z5">
        <v>1.61</v>
      </c>
      <c r="AA5">
        <v>17</v>
      </c>
      <c r="AB5">
        <v>14</v>
      </c>
      <c r="AC5">
        <v>3</v>
      </c>
      <c r="AD5">
        <v>82.35</v>
      </c>
      <c r="AE5">
        <v>12</v>
      </c>
      <c r="AF5">
        <v>8</v>
      </c>
      <c r="AG5">
        <v>2</v>
      </c>
      <c r="AH5">
        <v>7</v>
      </c>
    </row>
    <row r="6" spans="1:34">
      <c r="A6" s="109">
        <v>36</v>
      </c>
      <c r="B6">
        <v>2914</v>
      </c>
      <c r="C6" s="113" t="s">
        <v>122</v>
      </c>
      <c r="D6" s="113" t="s">
        <v>123</v>
      </c>
      <c r="E6">
        <v>2503</v>
      </c>
      <c r="F6">
        <v>2500.5</v>
      </c>
      <c r="G6">
        <v>400</v>
      </c>
      <c r="H6" s="113" t="s">
        <v>85</v>
      </c>
      <c r="I6">
        <v>7189</v>
      </c>
      <c r="J6" s="113" t="s">
        <v>106</v>
      </c>
      <c r="K6" s="113" t="s">
        <v>107</v>
      </c>
      <c r="L6">
        <v>869</v>
      </c>
      <c r="M6">
        <v>874</v>
      </c>
      <c r="N6">
        <v>1100</v>
      </c>
      <c r="O6" s="113" t="s">
        <v>87</v>
      </c>
      <c r="P6">
        <v>0.92394289404710395</v>
      </c>
      <c r="Q6">
        <v>0.94256476281287305</v>
      </c>
      <c r="R6">
        <v>0.150797436883127</v>
      </c>
      <c r="S6">
        <v>3.4264862142835799E-2</v>
      </c>
      <c r="T6">
        <v>-1.2606796261812001</v>
      </c>
      <c r="U6">
        <v>1.2606796261812001</v>
      </c>
      <c r="V6">
        <v>-8.86</v>
      </c>
      <c r="W6">
        <v>3.88</v>
      </c>
      <c r="X6">
        <v>526842</v>
      </c>
      <c r="Y6">
        <v>23947</v>
      </c>
      <c r="Z6">
        <v>1.21</v>
      </c>
      <c r="AA6">
        <v>22</v>
      </c>
      <c r="AB6">
        <v>16</v>
      </c>
      <c r="AC6">
        <v>6</v>
      </c>
      <c r="AD6">
        <v>72.73</v>
      </c>
      <c r="AE6">
        <v>14</v>
      </c>
      <c r="AF6">
        <v>12</v>
      </c>
      <c r="AG6">
        <v>3</v>
      </c>
      <c r="AH6">
        <v>7</v>
      </c>
    </row>
    <row r="7" spans="1:34">
      <c r="A7" s="109">
        <v>3</v>
      </c>
      <c r="B7">
        <v>3635</v>
      </c>
      <c r="C7" s="113" t="s">
        <v>110</v>
      </c>
      <c r="D7" s="113" t="s">
        <v>104</v>
      </c>
      <c r="E7">
        <v>2646</v>
      </c>
      <c r="F7">
        <v>2631</v>
      </c>
      <c r="G7">
        <v>400</v>
      </c>
      <c r="H7" s="113" t="s">
        <v>85</v>
      </c>
      <c r="I7">
        <v>6920</v>
      </c>
      <c r="J7" s="113" t="s">
        <v>111</v>
      </c>
      <c r="K7" s="113" t="s">
        <v>112</v>
      </c>
      <c r="L7">
        <v>9870</v>
      </c>
      <c r="M7">
        <v>9870</v>
      </c>
      <c r="N7">
        <v>100</v>
      </c>
      <c r="O7" s="113" t="s">
        <v>87</v>
      </c>
      <c r="P7">
        <v>0.93253549912517497</v>
      </c>
      <c r="Q7">
        <v>0.96452863167119396</v>
      </c>
      <c r="R7">
        <v>5.1224495267401499E-2</v>
      </c>
      <c r="S7">
        <v>7.4430338534404799E-4</v>
      </c>
      <c r="T7">
        <v>-1.93665357956638</v>
      </c>
      <c r="U7">
        <v>1.93665357956638</v>
      </c>
      <c r="V7">
        <v>-20.56</v>
      </c>
      <c r="W7">
        <v>6.63</v>
      </c>
      <c r="X7">
        <v>518439</v>
      </c>
      <c r="Y7">
        <v>25922</v>
      </c>
      <c r="Z7">
        <v>1.37</v>
      </c>
      <c r="AA7">
        <v>20</v>
      </c>
      <c r="AB7">
        <v>13</v>
      </c>
      <c r="AC7">
        <v>7</v>
      </c>
      <c r="AD7">
        <v>65</v>
      </c>
      <c r="AE7">
        <v>10</v>
      </c>
      <c r="AF7">
        <v>10</v>
      </c>
      <c r="AG7">
        <v>6</v>
      </c>
      <c r="AH7">
        <v>4</v>
      </c>
    </row>
    <row r="8" spans="1:34">
      <c r="A8" s="109">
        <v>58</v>
      </c>
      <c r="B8">
        <v>6134</v>
      </c>
      <c r="C8" s="113" t="s">
        <v>989</v>
      </c>
      <c r="D8" s="113" t="s">
        <v>125</v>
      </c>
      <c r="E8">
        <v>1961</v>
      </c>
      <c r="F8">
        <v>1966</v>
      </c>
      <c r="G8">
        <v>600</v>
      </c>
      <c r="H8" s="113" t="s">
        <v>87</v>
      </c>
      <c r="I8">
        <v>6135</v>
      </c>
      <c r="J8" s="113" t="s">
        <v>342</v>
      </c>
      <c r="K8" s="113" t="s">
        <v>125</v>
      </c>
      <c r="L8">
        <v>5410</v>
      </c>
      <c r="M8">
        <v>5410</v>
      </c>
      <c r="N8">
        <v>200</v>
      </c>
      <c r="O8" s="113" t="s">
        <v>85</v>
      </c>
      <c r="P8">
        <v>0.90007622019562195</v>
      </c>
      <c r="Q8">
        <v>0.93338917629791096</v>
      </c>
      <c r="R8">
        <v>0.26271769560047697</v>
      </c>
      <c r="S8" s="20">
        <v>1.6068872969312899E-2</v>
      </c>
      <c r="T8">
        <v>1.2494441543989001</v>
      </c>
      <c r="U8">
        <v>1.2494441543989001</v>
      </c>
      <c r="V8">
        <v>5.48</v>
      </c>
      <c r="W8">
        <v>9.02</v>
      </c>
      <c r="X8">
        <v>455662</v>
      </c>
      <c r="Y8">
        <v>21698</v>
      </c>
      <c r="Z8">
        <v>1.28</v>
      </c>
      <c r="AA8">
        <v>21</v>
      </c>
      <c r="AB8">
        <v>13</v>
      </c>
      <c r="AC8">
        <v>8</v>
      </c>
      <c r="AD8">
        <v>61.9</v>
      </c>
      <c r="AE8">
        <v>11</v>
      </c>
      <c r="AF8">
        <v>12</v>
      </c>
      <c r="AG8">
        <v>5</v>
      </c>
      <c r="AH8">
        <v>4</v>
      </c>
    </row>
    <row r="9" spans="1:34">
      <c r="A9" s="109">
        <v>19</v>
      </c>
      <c r="B9">
        <v>1928</v>
      </c>
      <c r="C9" s="113" t="s">
        <v>336</v>
      </c>
      <c r="D9" s="113" t="s">
        <v>103</v>
      </c>
      <c r="E9">
        <v>2390.5</v>
      </c>
      <c r="F9">
        <v>2407</v>
      </c>
      <c r="G9">
        <v>400</v>
      </c>
      <c r="H9" s="113" t="s">
        <v>87</v>
      </c>
      <c r="I9">
        <v>4062</v>
      </c>
      <c r="J9" s="113" t="s">
        <v>363</v>
      </c>
      <c r="K9" s="113" t="s">
        <v>112</v>
      </c>
      <c r="L9">
        <v>2548</v>
      </c>
      <c r="M9">
        <v>2533</v>
      </c>
      <c r="N9">
        <v>400</v>
      </c>
      <c r="O9" s="113" t="s">
        <v>85</v>
      </c>
      <c r="P9">
        <v>0.93812603972025499</v>
      </c>
      <c r="Q9">
        <v>0.94900572578530096</v>
      </c>
      <c r="R9">
        <v>0.15414601724062801</v>
      </c>
      <c r="S9" s="20">
        <v>5.4745684795832097E-2</v>
      </c>
      <c r="T9">
        <v>0.17276636230738901</v>
      </c>
      <c r="U9">
        <v>0.17276636230738901</v>
      </c>
      <c r="V9">
        <v>0.51</v>
      </c>
      <c r="W9">
        <v>4.97</v>
      </c>
      <c r="X9">
        <v>454397</v>
      </c>
      <c r="Y9">
        <v>28400</v>
      </c>
      <c r="Z9">
        <v>1.52</v>
      </c>
      <c r="AA9">
        <v>16</v>
      </c>
      <c r="AB9">
        <v>13</v>
      </c>
      <c r="AC9">
        <v>3</v>
      </c>
      <c r="AD9">
        <v>81.25</v>
      </c>
      <c r="AE9">
        <v>11</v>
      </c>
      <c r="AF9">
        <v>9</v>
      </c>
      <c r="AG9">
        <v>2</v>
      </c>
      <c r="AH9">
        <v>5</v>
      </c>
    </row>
    <row r="10" spans="1:34">
      <c r="A10" s="109">
        <v>145</v>
      </c>
      <c r="B10">
        <v>4204</v>
      </c>
      <c r="C10" s="113" t="s">
        <v>361</v>
      </c>
      <c r="D10" s="113" t="s">
        <v>86</v>
      </c>
      <c r="E10">
        <v>1920</v>
      </c>
      <c r="F10">
        <v>1905</v>
      </c>
      <c r="G10">
        <v>400</v>
      </c>
      <c r="H10" s="113" t="s">
        <v>85</v>
      </c>
      <c r="I10">
        <v>4626</v>
      </c>
      <c r="J10" s="113" t="s">
        <v>988</v>
      </c>
      <c r="K10" s="113" t="s">
        <v>86</v>
      </c>
      <c r="L10">
        <v>4210</v>
      </c>
      <c r="M10">
        <v>4185</v>
      </c>
      <c r="N10">
        <v>200</v>
      </c>
      <c r="O10" s="113" t="s">
        <v>87</v>
      </c>
      <c r="P10">
        <v>0.93149437900998799</v>
      </c>
      <c r="Q10">
        <v>0.91159360553844904</v>
      </c>
      <c r="R10">
        <v>0.27182207485017101</v>
      </c>
      <c r="S10">
        <v>9.6976980721089498E-2</v>
      </c>
      <c r="T10">
        <v>-0.65344895703175898</v>
      </c>
      <c r="U10">
        <v>0.65344895703175898</v>
      </c>
      <c r="V10">
        <v>-2.4300000000000002</v>
      </c>
      <c r="W10">
        <v>8.9600000000000009</v>
      </c>
      <c r="X10">
        <v>440364</v>
      </c>
      <c r="Y10">
        <v>23177</v>
      </c>
      <c r="Z10">
        <v>1.21</v>
      </c>
      <c r="AA10">
        <v>19</v>
      </c>
      <c r="AB10">
        <v>13</v>
      </c>
      <c r="AC10">
        <v>6</v>
      </c>
      <c r="AD10">
        <v>68.42</v>
      </c>
      <c r="AE10">
        <v>15</v>
      </c>
      <c r="AF10">
        <v>9</v>
      </c>
      <c r="AG10">
        <v>1</v>
      </c>
      <c r="AH10">
        <v>9</v>
      </c>
    </row>
    <row r="11" spans="1:34">
      <c r="A11" s="109">
        <v>20</v>
      </c>
      <c r="B11">
        <v>5991</v>
      </c>
      <c r="C11" s="113" t="s">
        <v>141</v>
      </c>
      <c r="D11" s="113" t="s">
        <v>142</v>
      </c>
      <c r="E11">
        <v>1003</v>
      </c>
      <c r="F11">
        <v>1004</v>
      </c>
      <c r="G11">
        <v>900</v>
      </c>
      <c r="H11" s="113" t="s">
        <v>87</v>
      </c>
      <c r="I11">
        <v>7272</v>
      </c>
      <c r="J11" s="113" t="s">
        <v>333</v>
      </c>
      <c r="K11" s="113" t="s">
        <v>109</v>
      </c>
      <c r="L11">
        <v>2300</v>
      </c>
      <c r="M11">
        <v>2292</v>
      </c>
      <c r="N11">
        <v>400</v>
      </c>
      <c r="O11" s="113" t="s">
        <v>85</v>
      </c>
      <c r="P11">
        <v>0.92653524224726702</v>
      </c>
      <c r="Q11">
        <v>0.94878030253744206</v>
      </c>
      <c r="R11">
        <v>0.30992652870245402</v>
      </c>
      <c r="S11">
        <v>7.3105210244632901E-2</v>
      </c>
      <c r="T11">
        <v>1.22681341312794</v>
      </c>
      <c r="U11">
        <v>1.22681341312794</v>
      </c>
      <c r="V11">
        <v>3.4</v>
      </c>
      <c r="W11">
        <v>1.44</v>
      </c>
      <c r="X11">
        <v>439510</v>
      </c>
      <c r="Y11">
        <v>25854</v>
      </c>
      <c r="Z11">
        <v>1.27</v>
      </c>
      <c r="AA11">
        <v>17</v>
      </c>
      <c r="AB11">
        <v>13</v>
      </c>
      <c r="AC11">
        <v>4</v>
      </c>
      <c r="AD11">
        <v>76.47</v>
      </c>
      <c r="AE11">
        <v>13</v>
      </c>
      <c r="AF11">
        <v>9</v>
      </c>
      <c r="AG11">
        <v>1</v>
      </c>
      <c r="AH11">
        <v>7</v>
      </c>
    </row>
    <row r="12" spans="1:34">
      <c r="A12" s="109">
        <v>15</v>
      </c>
      <c r="B12">
        <v>5991</v>
      </c>
      <c r="C12" s="113" t="s">
        <v>141</v>
      </c>
      <c r="D12" s="113" t="s">
        <v>142</v>
      </c>
      <c r="E12">
        <v>1003</v>
      </c>
      <c r="F12">
        <v>1004</v>
      </c>
      <c r="G12">
        <v>1000</v>
      </c>
      <c r="H12" s="113" t="s">
        <v>87</v>
      </c>
      <c r="I12">
        <v>7278</v>
      </c>
      <c r="J12" s="113" t="s">
        <v>108</v>
      </c>
      <c r="K12" s="113" t="s">
        <v>109</v>
      </c>
      <c r="L12">
        <v>2545</v>
      </c>
      <c r="M12">
        <v>2548</v>
      </c>
      <c r="N12">
        <v>400</v>
      </c>
      <c r="O12" s="113" t="s">
        <v>85</v>
      </c>
      <c r="P12">
        <v>0.93269651723324098</v>
      </c>
      <c r="Q12">
        <v>0.95135482521876902</v>
      </c>
      <c r="R12">
        <v>0.23054524581612401</v>
      </c>
      <c r="S12" s="20">
        <v>1.8157761190027901E-2</v>
      </c>
      <c r="T12">
        <v>0.69825568915993197</v>
      </c>
      <c r="U12">
        <v>0.69825568915993197</v>
      </c>
      <c r="V12">
        <v>1.82</v>
      </c>
      <c r="W12">
        <v>1.49</v>
      </c>
      <c r="X12">
        <v>437615</v>
      </c>
      <c r="Y12">
        <v>24312</v>
      </c>
      <c r="Z12">
        <v>1.1399999999999999</v>
      </c>
      <c r="AA12">
        <v>18</v>
      </c>
      <c r="AB12">
        <v>13</v>
      </c>
      <c r="AC12">
        <v>5</v>
      </c>
      <c r="AD12">
        <v>72.22</v>
      </c>
      <c r="AE12">
        <v>13</v>
      </c>
      <c r="AF12">
        <v>8</v>
      </c>
      <c r="AG12">
        <v>1</v>
      </c>
      <c r="AH12">
        <v>9</v>
      </c>
    </row>
    <row r="13" spans="1:34">
      <c r="A13" s="109">
        <v>49</v>
      </c>
      <c r="B13">
        <v>1973</v>
      </c>
      <c r="C13" s="113" t="s">
        <v>344</v>
      </c>
      <c r="D13" s="113" t="s">
        <v>104</v>
      </c>
      <c r="E13">
        <v>3550</v>
      </c>
      <c r="F13">
        <v>3585</v>
      </c>
      <c r="G13">
        <v>300</v>
      </c>
      <c r="H13" s="113" t="s">
        <v>87</v>
      </c>
      <c r="I13">
        <v>3635</v>
      </c>
      <c r="J13" s="113" t="s">
        <v>110</v>
      </c>
      <c r="K13" s="113" t="s">
        <v>104</v>
      </c>
      <c r="L13">
        <v>2646</v>
      </c>
      <c r="M13">
        <v>2631</v>
      </c>
      <c r="N13">
        <v>400</v>
      </c>
      <c r="O13" s="113" t="s">
        <v>85</v>
      </c>
      <c r="P13">
        <v>0.950169996100098</v>
      </c>
      <c r="Q13">
        <v>0.93629049330931202</v>
      </c>
      <c r="R13">
        <v>3.4907063471015298E-2</v>
      </c>
      <c r="S13">
        <v>1.44948110057346E-2</v>
      </c>
      <c r="T13">
        <v>1.5866887259679701</v>
      </c>
      <c r="U13">
        <v>1.5866887259679701</v>
      </c>
      <c r="V13">
        <v>4.3899999999999997</v>
      </c>
      <c r="W13">
        <v>2.15</v>
      </c>
      <c r="X13">
        <v>416117</v>
      </c>
      <c r="Y13">
        <v>26007</v>
      </c>
      <c r="Z13">
        <v>1.37</v>
      </c>
      <c r="AA13">
        <v>16</v>
      </c>
      <c r="AB13">
        <v>12</v>
      </c>
      <c r="AC13">
        <v>4</v>
      </c>
      <c r="AD13">
        <v>75</v>
      </c>
      <c r="AE13">
        <v>13</v>
      </c>
      <c r="AF13">
        <v>8</v>
      </c>
      <c r="AG13">
        <v>1</v>
      </c>
      <c r="AH13">
        <v>7</v>
      </c>
    </row>
    <row r="14" spans="1:34">
      <c r="A14" s="109">
        <v>207</v>
      </c>
      <c r="B14">
        <v>6371</v>
      </c>
      <c r="C14" s="113" t="s">
        <v>134</v>
      </c>
      <c r="D14" s="113" t="s">
        <v>125</v>
      </c>
      <c r="E14">
        <v>3875</v>
      </c>
      <c r="F14">
        <v>3865</v>
      </c>
      <c r="G14">
        <v>200</v>
      </c>
      <c r="H14" s="113" t="s">
        <v>85</v>
      </c>
      <c r="I14">
        <v>7278</v>
      </c>
      <c r="J14" s="113" t="s">
        <v>108</v>
      </c>
      <c r="K14" s="113" t="s">
        <v>109</v>
      </c>
      <c r="L14">
        <v>2545</v>
      </c>
      <c r="M14">
        <v>2548</v>
      </c>
      <c r="N14">
        <v>300</v>
      </c>
      <c r="O14" s="113" t="s">
        <v>87</v>
      </c>
      <c r="P14">
        <v>0.95171219420517295</v>
      </c>
      <c r="Q14">
        <v>0.90083489979101194</v>
      </c>
      <c r="R14">
        <v>4.87571578752007E-4</v>
      </c>
      <c r="S14">
        <v>1.8020566760196699E-2</v>
      </c>
      <c r="T14">
        <v>-1.7955443117855701</v>
      </c>
      <c r="U14">
        <v>1.7955443117855701</v>
      </c>
      <c r="V14">
        <v>-5.25</v>
      </c>
      <c r="W14">
        <v>1.1100000000000001</v>
      </c>
      <c r="X14">
        <v>415459</v>
      </c>
      <c r="Y14">
        <v>41546</v>
      </c>
      <c r="Z14">
        <v>2.39</v>
      </c>
      <c r="AA14">
        <v>10</v>
      </c>
      <c r="AB14">
        <v>8</v>
      </c>
      <c r="AC14">
        <v>2</v>
      </c>
      <c r="AD14">
        <v>80</v>
      </c>
      <c r="AE14">
        <v>10</v>
      </c>
      <c r="AF14">
        <v>6</v>
      </c>
      <c r="AG14">
        <v>0</v>
      </c>
      <c r="AH14">
        <v>4</v>
      </c>
    </row>
    <row r="15" spans="1:34">
      <c r="A15" s="109">
        <v>97</v>
      </c>
      <c r="B15">
        <v>6301</v>
      </c>
      <c r="C15" s="113" t="s">
        <v>135</v>
      </c>
      <c r="D15" s="113" t="s">
        <v>125</v>
      </c>
      <c r="E15">
        <v>2650</v>
      </c>
      <c r="F15">
        <v>2677</v>
      </c>
      <c r="G15">
        <v>400</v>
      </c>
      <c r="H15" s="113" t="s">
        <v>87</v>
      </c>
      <c r="I15">
        <v>6473</v>
      </c>
      <c r="J15" s="113" t="s">
        <v>161</v>
      </c>
      <c r="K15" s="113" t="s">
        <v>125</v>
      </c>
      <c r="L15">
        <v>1379</v>
      </c>
      <c r="M15">
        <v>1362</v>
      </c>
      <c r="N15">
        <v>800</v>
      </c>
      <c r="O15" s="113" t="s">
        <v>85</v>
      </c>
      <c r="P15">
        <v>0.92488570562531502</v>
      </c>
      <c r="Q15">
        <v>0.92180576988818996</v>
      </c>
      <c r="R15" s="113">
        <v>0.18729039453125201</v>
      </c>
      <c r="S15">
        <v>1.0933579370055299E-2</v>
      </c>
      <c r="T15">
        <v>0.85818266701298096</v>
      </c>
      <c r="U15">
        <v>0.85818266701298096</v>
      </c>
      <c r="V15">
        <v>2.21</v>
      </c>
      <c r="W15">
        <v>1.76</v>
      </c>
      <c r="X15">
        <v>411932</v>
      </c>
      <c r="Y15">
        <v>27462</v>
      </c>
      <c r="Z15">
        <v>1.32</v>
      </c>
      <c r="AA15">
        <v>15</v>
      </c>
      <c r="AB15">
        <v>10</v>
      </c>
      <c r="AC15">
        <v>5</v>
      </c>
      <c r="AD15">
        <v>66.67</v>
      </c>
      <c r="AE15">
        <v>14</v>
      </c>
      <c r="AF15">
        <v>7</v>
      </c>
      <c r="AG15">
        <v>1</v>
      </c>
      <c r="AH15">
        <v>7</v>
      </c>
    </row>
    <row r="16" spans="1:34">
      <c r="A16" s="109">
        <v>50</v>
      </c>
      <c r="B16">
        <v>4062</v>
      </c>
      <c r="C16" s="113" t="s">
        <v>363</v>
      </c>
      <c r="D16" s="113" t="s">
        <v>112</v>
      </c>
      <c r="E16">
        <v>2548</v>
      </c>
      <c r="F16">
        <v>2533</v>
      </c>
      <c r="G16">
        <v>300</v>
      </c>
      <c r="H16" s="113" t="s">
        <v>85</v>
      </c>
      <c r="I16">
        <v>8036</v>
      </c>
      <c r="J16" s="113" t="s">
        <v>355</v>
      </c>
      <c r="K16" s="113" t="s">
        <v>127</v>
      </c>
      <c r="L16">
        <v>7240</v>
      </c>
      <c r="M16">
        <v>7340</v>
      </c>
      <c r="N16">
        <v>100</v>
      </c>
      <c r="O16" s="113" t="s">
        <v>87</v>
      </c>
      <c r="P16">
        <v>0.92390930295533502</v>
      </c>
      <c r="Q16">
        <v>0.93609806307064003</v>
      </c>
      <c r="R16">
        <v>5.2533853136314097E-2</v>
      </c>
      <c r="S16">
        <v>0.18242352944429099</v>
      </c>
      <c r="T16">
        <v>-1.55122432305639</v>
      </c>
      <c r="U16">
        <v>1.55122432305639</v>
      </c>
      <c r="V16">
        <v>-4.18</v>
      </c>
      <c r="W16">
        <v>3.53</v>
      </c>
      <c r="X16">
        <v>409387</v>
      </c>
      <c r="Y16">
        <v>29242</v>
      </c>
      <c r="Z16">
        <v>1.62</v>
      </c>
      <c r="AA16">
        <v>14</v>
      </c>
      <c r="AB16">
        <v>10</v>
      </c>
      <c r="AC16">
        <v>4</v>
      </c>
      <c r="AD16">
        <v>71.430000000000007</v>
      </c>
      <c r="AE16">
        <v>11</v>
      </c>
      <c r="AF16">
        <v>7</v>
      </c>
      <c r="AG16">
        <v>2</v>
      </c>
      <c r="AH16">
        <v>5</v>
      </c>
    </row>
    <row r="17" spans="1:34">
      <c r="A17" s="109">
        <v>183</v>
      </c>
      <c r="B17">
        <v>3861</v>
      </c>
      <c r="C17" s="113" t="s">
        <v>89</v>
      </c>
      <c r="D17" s="113" t="s">
        <v>105</v>
      </c>
      <c r="E17">
        <v>627</v>
      </c>
      <c r="F17">
        <v>618</v>
      </c>
      <c r="G17">
        <v>1700</v>
      </c>
      <c r="H17" s="113" t="s">
        <v>87</v>
      </c>
      <c r="I17">
        <v>4183</v>
      </c>
      <c r="J17" s="113" t="s">
        <v>334</v>
      </c>
      <c r="K17" s="113" t="s">
        <v>86</v>
      </c>
      <c r="L17">
        <v>2625</v>
      </c>
      <c r="M17">
        <v>2619</v>
      </c>
      <c r="N17">
        <v>400</v>
      </c>
      <c r="O17" s="113" t="s">
        <v>85</v>
      </c>
      <c r="P17">
        <v>0.91162858337713504</v>
      </c>
      <c r="Q17">
        <v>0.90549682305047097</v>
      </c>
      <c r="R17">
        <v>0.14077224739184399</v>
      </c>
      <c r="S17" s="20">
        <v>0.12865701341756799</v>
      </c>
      <c r="T17">
        <v>1.691719460371</v>
      </c>
      <c r="U17">
        <v>1.691719460371</v>
      </c>
      <c r="V17">
        <v>6.9</v>
      </c>
      <c r="W17">
        <v>0.28999999999999998</v>
      </c>
      <c r="X17">
        <v>408613</v>
      </c>
      <c r="Y17">
        <v>17766</v>
      </c>
      <c r="Z17">
        <v>0.95</v>
      </c>
      <c r="AA17">
        <v>23</v>
      </c>
      <c r="AB17">
        <v>15</v>
      </c>
      <c r="AC17">
        <v>8</v>
      </c>
      <c r="AD17">
        <v>65.22</v>
      </c>
      <c r="AE17">
        <v>13</v>
      </c>
      <c r="AF17">
        <v>10</v>
      </c>
      <c r="AG17">
        <v>4</v>
      </c>
      <c r="AH17">
        <v>9</v>
      </c>
    </row>
    <row r="18" spans="1:34">
      <c r="A18" s="109">
        <v>172</v>
      </c>
      <c r="B18">
        <v>3105</v>
      </c>
      <c r="C18" s="113" t="s">
        <v>116</v>
      </c>
      <c r="D18" s="113" t="s">
        <v>112</v>
      </c>
      <c r="E18">
        <v>1039</v>
      </c>
      <c r="F18">
        <v>1040</v>
      </c>
      <c r="G18">
        <v>1000</v>
      </c>
      <c r="H18" s="113" t="s">
        <v>87</v>
      </c>
      <c r="I18">
        <v>6471</v>
      </c>
      <c r="J18" s="113" t="s">
        <v>166</v>
      </c>
      <c r="K18" s="113" t="s">
        <v>125</v>
      </c>
      <c r="L18">
        <v>1077</v>
      </c>
      <c r="M18">
        <v>1063</v>
      </c>
      <c r="N18">
        <v>1000</v>
      </c>
      <c r="O18" s="113" t="s">
        <v>85</v>
      </c>
      <c r="P18">
        <v>0.90033402742723301</v>
      </c>
      <c r="Q18">
        <v>0.90724873879270596</v>
      </c>
      <c r="R18" s="113">
        <v>7.4468469175234198E-2</v>
      </c>
      <c r="S18">
        <v>6.8399291762287998E-2</v>
      </c>
      <c r="T18">
        <v>2.4140455336146398</v>
      </c>
      <c r="U18">
        <v>2.4140455336146398</v>
      </c>
      <c r="V18">
        <v>6.81</v>
      </c>
      <c r="W18">
        <v>2.16</v>
      </c>
      <c r="X18">
        <v>378866</v>
      </c>
      <c r="Y18">
        <v>25258</v>
      </c>
      <c r="Z18">
        <v>1.1299999999999999</v>
      </c>
      <c r="AA18">
        <v>15</v>
      </c>
      <c r="AB18">
        <v>8</v>
      </c>
      <c r="AC18">
        <v>7</v>
      </c>
      <c r="AD18">
        <v>53.33</v>
      </c>
      <c r="AE18">
        <v>13</v>
      </c>
      <c r="AF18">
        <v>6</v>
      </c>
      <c r="AG18">
        <v>1</v>
      </c>
      <c r="AH18">
        <v>8</v>
      </c>
    </row>
    <row r="19" spans="1:34">
      <c r="A19" s="109">
        <v>123</v>
      </c>
      <c r="B19">
        <v>8593</v>
      </c>
      <c r="C19" s="113" t="s">
        <v>345</v>
      </c>
      <c r="D19" s="113" t="s">
        <v>332</v>
      </c>
      <c r="E19">
        <v>709</v>
      </c>
      <c r="F19">
        <v>709</v>
      </c>
      <c r="G19">
        <v>1500</v>
      </c>
      <c r="H19" s="113" t="s">
        <v>85</v>
      </c>
      <c r="I19">
        <v>9934</v>
      </c>
      <c r="J19" s="113" t="s">
        <v>990</v>
      </c>
      <c r="K19" s="113" t="s">
        <v>127</v>
      </c>
      <c r="L19">
        <v>2711</v>
      </c>
      <c r="M19">
        <v>2731</v>
      </c>
      <c r="N19">
        <v>400</v>
      </c>
      <c r="O19" s="113" t="s">
        <v>87</v>
      </c>
      <c r="P19">
        <v>0.90511789302409196</v>
      </c>
      <c r="Q19">
        <v>0.91544716321850395</v>
      </c>
      <c r="R19" s="20">
        <v>0.23857776808730199</v>
      </c>
      <c r="S19">
        <v>8.9817297335090703E-3</v>
      </c>
      <c r="T19">
        <v>-0.32166095255480398</v>
      </c>
      <c r="U19">
        <v>0.32166095255480398</v>
      </c>
      <c r="V19">
        <v>-1.1399999999999999</v>
      </c>
      <c r="W19">
        <v>2.65</v>
      </c>
      <c r="X19">
        <v>371048</v>
      </c>
      <c r="Y19">
        <v>23190</v>
      </c>
      <c r="Z19">
        <v>1.22</v>
      </c>
      <c r="AA19">
        <v>16</v>
      </c>
      <c r="AB19">
        <v>14</v>
      </c>
      <c r="AC19">
        <v>2</v>
      </c>
      <c r="AD19">
        <v>87.5</v>
      </c>
      <c r="AE19">
        <v>14</v>
      </c>
      <c r="AF19">
        <v>7</v>
      </c>
      <c r="AG19">
        <v>1</v>
      </c>
      <c r="AH19">
        <v>8</v>
      </c>
    </row>
    <row r="20" spans="1:34">
      <c r="A20" s="109">
        <v>69</v>
      </c>
      <c r="B20">
        <v>1820</v>
      </c>
      <c r="C20" s="113" t="s">
        <v>148</v>
      </c>
      <c r="D20" s="113" t="s">
        <v>103</v>
      </c>
      <c r="E20">
        <v>2488</v>
      </c>
      <c r="F20">
        <v>2516</v>
      </c>
      <c r="G20">
        <v>400</v>
      </c>
      <c r="H20" s="113" t="s">
        <v>87</v>
      </c>
      <c r="I20">
        <v>5463</v>
      </c>
      <c r="J20" s="113" t="s">
        <v>170</v>
      </c>
      <c r="K20" s="113" t="s">
        <v>118</v>
      </c>
      <c r="L20">
        <v>3175</v>
      </c>
      <c r="M20">
        <v>3140</v>
      </c>
      <c r="N20">
        <v>300</v>
      </c>
      <c r="O20" s="113" t="s">
        <v>85</v>
      </c>
      <c r="P20">
        <v>0.92084578665930505</v>
      </c>
      <c r="Q20">
        <v>0.93108138086385595</v>
      </c>
      <c r="R20">
        <v>0.17526702705884101</v>
      </c>
      <c r="S20">
        <v>9.0719550194590395E-2</v>
      </c>
      <c r="T20">
        <v>2.35475693340863</v>
      </c>
      <c r="U20">
        <v>2.35475693340863</v>
      </c>
      <c r="V20">
        <v>8.23</v>
      </c>
      <c r="W20">
        <v>6.84</v>
      </c>
      <c r="X20">
        <v>352998</v>
      </c>
      <c r="Y20">
        <v>19611</v>
      </c>
      <c r="Z20">
        <v>0.96</v>
      </c>
      <c r="AA20">
        <v>18</v>
      </c>
      <c r="AB20">
        <v>12</v>
      </c>
      <c r="AC20">
        <v>6</v>
      </c>
      <c r="AD20">
        <v>66.67</v>
      </c>
      <c r="AE20">
        <v>11</v>
      </c>
      <c r="AF20">
        <v>10</v>
      </c>
      <c r="AG20">
        <v>3</v>
      </c>
      <c r="AH20">
        <v>5</v>
      </c>
    </row>
    <row r="21" spans="1:34">
      <c r="A21" s="109">
        <v>81</v>
      </c>
      <c r="B21">
        <v>1820</v>
      </c>
      <c r="C21" s="113" t="s">
        <v>148</v>
      </c>
      <c r="D21" s="113" t="s">
        <v>103</v>
      </c>
      <c r="E21">
        <v>2488</v>
      </c>
      <c r="F21">
        <v>2516</v>
      </c>
      <c r="G21">
        <v>400</v>
      </c>
      <c r="H21" s="113" t="s">
        <v>87</v>
      </c>
      <c r="I21">
        <v>7278</v>
      </c>
      <c r="J21" s="113" t="s">
        <v>108</v>
      </c>
      <c r="K21" s="113" t="s">
        <v>109</v>
      </c>
      <c r="L21">
        <v>2545</v>
      </c>
      <c r="M21">
        <v>2548</v>
      </c>
      <c r="N21">
        <v>400</v>
      </c>
      <c r="O21" s="113" t="s">
        <v>85</v>
      </c>
      <c r="P21">
        <v>0.93444918552304002</v>
      </c>
      <c r="Q21">
        <v>0.92696572636975305</v>
      </c>
      <c r="R21">
        <v>0.116536219924993</v>
      </c>
      <c r="S21" s="113">
        <v>2.4072245757179599E-2</v>
      </c>
      <c r="T21">
        <v>1.1825364799879301</v>
      </c>
      <c r="U21">
        <v>1.1825364799879301</v>
      </c>
      <c r="V21">
        <v>3.16</v>
      </c>
      <c r="W21">
        <v>1.26</v>
      </c>
      <c r="X21">
        <v>350930</v>
      </c>
      <c r="Y21">
        <v>25066</v>
      </c>
      <c r="Z21">
        <v>1.22</v>
      </c>
      <c r="AA21">
        <v>14</v>
      </c>
      <c r="AB21">
        <v>9</v>
      </c>
      <c r="AC21">
        <v>5</v>
      </c>
      <c r="AD21">
        <v>64.290000000000006</v>
      </c>
      <c r="AE21">
        <v>12</v>
      </c>
      <c r="AF21">
        <v>8</v>
      </c>
      <c r="AG21">
        <v>2</v>
      </c>
      <c r="AH21">
        <v>4</v>
      </c>
    </row>
    <row r="22" spans="1:34">
      <c r="A22" s="109">
        <v>84</v>
      </c>
      <c r="B22">
        <v>1963</v>
      </c>
      <c r="C22" s="113" t="s">
        <v>158</v>
      </c>
      <c r="D22" s="113" t="s">
        <v>103</v>
      </c>
      <c r="E22">
        <v>1670</v>
      </c>
      <c r="F22">
        <v>1690</v>
      </c>
      <c r="G22">
        <v>500</v>
      </c>
      <c r="H22" s="113" t="s">
        <v>87</v>
      </c>
      <c r="I22">
        <v>7272</v>
      </c>
      <c r="J22" s="113" t="s">
        <v>333</v>
      </c>
      <c r="K22" s="113" t="s">
        <v>109</v>
      </c>
      <c r="L22">
        <v>2300</v>
      </c>
      <c r="M22">
        <v>2292</v>
      </c>
      <c r="N22">
        <v>400</v>
      </c>
      <c r="O22" s="113" t="s">
        <v>85</v>
      </c>
      <c r="P22">
        <v>0.94460115207946005</v>
      </c>
      <c r="Q22">
        <v>0.92635127366791203</v>
      </c>
      <c r="R22" s="20">
        <v>5.4339730525892603E-2</v>
      </c>
      <c r="S22" s="20">
        <v>2.1762328133076499E-5</v>
      </c>
      <c r="T22">
        <v>0.78756777471042405</v>
      </c>
      <c r="U22">
        <v>0.78756777471042405</v>
      </c>
      <c r="V22">
        <v>1.88</v>
      </c>
      <c r="W22">
        <v>7.83</v>
      </c>
      <c r="X22">
        <v>347406</v>
      </c>
      <c r="Y22">
        <v>16543</v>
      </c>
      <c r="Z22">
        <v>0.82</v>
      </c>
      <c r="AA22">
        <v>21</v>
      </c>
      <c r="AB22">
        <v>14</v>
      </c>
      <c r="AC22">
        <v>7</v>
      </c>
      <c r="AD22">
        <v>66.67</v>
      </c>
      <c r="AE22">
        <v>10</v>
      </c>
      <c r="AF22">
        <v>12</v>
      </c>
      <c r="AG22">
        <v>5</v>
      </c>
      <c r="AH22">
        <v>4</v>
      </c>
    </row>
    <row r="23" spans="1:34">
      <c r="A23" s="109">
        <v>47</v>
      </c>
      <c r="B23">
        <v>4182</v>
      </c>
      <c r="C23" s="113" t="s">
        <v>113</v>
      </c>
      <c r="D23" s="113" t="s">
        <v>86</v>
      </c>
      <c r="E23">
        <v>1681</v>
      </c>
      <c r="F23">
        <v>1679</v>
      </c>
      <c r="G23">
        <v>600</v>
      </c>
      <c r="H23" s="113" t="s">
        <v>85</v>
      </c>
      <c r="I23">
        <v>7278</v>
      </c>
      <c r="J23" s="113" t="s">
        <v>108</v>
      </c>
      <c r="K23" s="113" t="s">
        <v>109</v>
      </c>
      <c r="L23">
        <v>2545</v>
      </c>
      <c r="M23">
        <v>2548</v>
      </c>
      <c r="N23">
        <v>400</v>
      </c>
      <c r="O23" s="113" t="s">
        <v>87</v>
      </c>
      <c r="P23">
        <v>0.92713799305522704</v>
      </c>
      <c r="Q23">
        <v>0.936978351449269</v>
      </c>
      <c r="R23" s="113">
        <v>3.8026839415192699E-2</v>
      </c>
      <c r="S23">
        <v>3.4772852142417703E-2</v>
      </c>
      <c r="T23">
        <v>-0.31902843094859901</v>
      </c>
      <c r="U23">
        <v>0.31902843094859901</v>
      </c>
      <c r="V23">
        <v>-1.04</v>
      </c>
      <c r="W23">
        <v>1.1599999999999999</v>
      </c>
      <c r="X23">
        <v>344277</v>
      </c>
      <c r="Y23">
        <v>26483</v>
      </c>
      <c r="Z23">
        <v>1.33</v>
      </c>
      <c r="AA23">
        <v>13</v>
      </c>
      <c r="AB23">
        <v>8</v>
      </c>
      <c r="AC23">
        <v>5</v>
      </c>
      <c r="AD23">
        <v>61.54</v>
      </c>
      <c r="AE23">
        <v>10</v>
      </c>
      <c r="AF23">
        <v>7</v>
      </c>
      <c r="AG23">
        <v>3</v>
      </c>
      <c r="AH23">
        <v>3</v>
      </c>
    </row>
    <row r="24" spans="1:34">
      <c r="A24" s="109">
        <v>151</v>
      </c>
      <c r="B24">
        <v>5110</v>
      </c>
      <c r="C24" s="113" t="s">
        <v>156</v>
      </c>
      <c r="D24" s="113" t="s">
        <v>157</v>
      </c>
      <c r="E24">
        <v>1420</v>
      </c>
      <c r="F24">
        <v>1404</v>
      </c>
      <c r="G24">
        <v>700</v>
      </c>
      <c r="H24" s="113" t="s">
        <v>85</v>
      </c>
      <c r="I24">
        <v>6923</v>
      </c>
      <c r="J24" s="113" t="s">
        <v>138</v>
      </c>
      <c r="K24" s="113" t="s">
        <v>112</v>
      </c>
      <c r="L24">
        <v>3155</v>
      </c>
      <c r="M24">
        <v>3115</v>
      </c>
      <c r="N24">
        <v>300</v>
      </c>
      <c r="O24" s="113" t="s">
        <v>87</v>
      </c>
      <c r="P24">
        <v>0.91421137297108002</v>
      </c>
      <c r="Q24">
        <v>0.90985684755843799</v>
      </c>
      <c r="R24" s="113">
        <v>0.26423616937087702</v>
      </c>
      <c r="S24">
        <v>9.8199890316451696E-2</v>
      </c>
      <c r="T24">
        <v>-0.88846205199747796</v>
      </c>
      <c r="U24">
        <v>0.88846205199747796</v>
      </c>
      <c r="V24">
        <v>-1.65</v>
      </c>
      <c r="W24">
        <v>5.17</v>
      </c>
      <c r="X24">
        <v>336458</v>
      </c>
      <c r="Y24">
        <v>16823</v>
      </c>
      <c r="Z24">
        <v>1.01</v>
      </c>
      <c r="AA24">
        <v>20</v>
      </c>
      <c r="AB24">
        <v>12</v>
      </c>
      <c r="AC24">
        <v>8</v>
      </c>
      <c r="AD24">
        <v>60</v>
      </c>
      <c r="AE24">
        <v>14</v>
      </c>
      <c r="AF24">
        <v>8</v>
      </c>
      <c r="AG24">
        <v>0</v>
      </c>
      <c r="AH24">
        <v>12</v>
      </c>
    </row>
    <row r="25" spans="1:34">
      <c r="A25" s="109">
        <v>198</v>
      </c>
      <c r="B25">
        <v>6588</v>
      </c>
      <c r="C25" s="113" t="s">
        <v>995</v>
      </c>
      <c r="D25" s="113" t="s">
        <v>112</v>
      </c>
      <c r="E25">
        <v>4625</v>
      </c>
      <c r="F25">
        <v>4680</v>
      </c>
      <c r="G25">
        <v>200</v>
      </c>
      <c r="H25" s="113" t="s">
        <v>87</v>
      </c>
      <c r="I25">
        <v>8593</v>
      </c>
      <c r="J25" s="113" t="s">
        <v>345</v>
      </c>
      <c r="K25" s="113" t="s">
        <v>332</v>
      </c>
      <c r="L25">
        <v>709</v>
      </c>
      <c r="M25">
        <v>709</v>
      </c>
      <c r="N25">
        <v>1300</v>
      </c>
      <c r="O25" s="113" t="s">
        <v>85</v>
      </c>
      <c r="P25">
        <v>0.91584825428018402</v>
      </c>
      <c r="Q25">
        <v>0.90307431693208295</v>
      </c>
      <c r="R25">
        <v>0.130239380255181</v>
      </c>
      <c r="S25" s="113">
        <v>0.10646832779927699</v>
      </c>
      <c r="T25">
        <v>2.24136240105326</v>
      </c>
      <c r="U25">
        <v>2.24136240105326</v>
      </c>
      <c r="V25">
        <v>14.99</v>
      </c>
      <c r="W25">
        <v>1.53</v>
      </c>
      <c r="X25">
        <v>335416</v>
      </c>
      <c r="Y25">
        <v>22361</v>
      </c>
      <c r="Z25">
        <v>1.1000000000000001</v>
      </c>
      <c r="AA25">
        <v>15</v>
      </c>
      <c r="AB25">
        <v>11</v>
      </c>
      <c r="AC25">
        <v>4</v>
      </c>
      <c r="AD25">
        <v>73.33</v>
      </c>
      <c r="AE25">
        <v>14</v>
      </c>
      <c r="AF25">
        <v>6</v>
      </c>
      <c r="AG25">
        <v>3</v>
      </c>
      <c r="AH25">
        <v>6</v>
      </c>
    </row>
    <row r="26" spans="1:34">
      <c r="A26" s="109">
        <v>160</v>
      </c>
      <c r="B26">
        <v>6371</v>
      </c>
      <c r="C26" s="113" t="s">
        <v>134</v>
      </c>
      <c r="D26" s="113" t="s">
        <v>125</v>
      </c>
      <c r="E26">
        <v>3875</v>
      </c>
      <c r="F26">
        <v>3865</v>
      </c>
      <c r="G26">
        <v>200</v>
      </c>
      <c r="H26" s="113" t="s">
        <v>85</v>
      </c>
      <c r="I26">
        <v>7259</v>
      </c>
      <c r="J26" s="113" t="s">
        <v>53</v>
      </c>
      <c r="K26" s="113" t="s">
        <v>109</v>
      </c>
      <c r="L26">
        <v>4240</v>
      </c>
      <c r="M26">
        <v>4200</v>
      </c>
      <c r="N26">
        <v>200</v>
      </c>
      <c r="O26" s="113" t="s">
        <v>87</v>
      </c>
      <c r="P26">
        <v>0.96292120407023596</v>
      </c>
      <c r="Q26">
        <v>0.90863258662801605</v>
      </c>
      <c r="R26" s="20">
        <v>1.8644830050686401E-3</v>
      </c>
      <c r="S26">
        <v>1.2052728204337001E-2</v>
      </c>
      <c r="T26">
        <v>-0.86770139219723597</v>
      </c>
      <c r="U26">
        <v>0.86770139219723597</v>
      </c>
      <c r="V26">
        <v>-4.95</v>
      </c>
      <c r="W26">
        <v>7.98</v>
      </c>
      <c r="X26">
        <v>326064</v>
      </c>
      <c r="Y26">
        <v>36229</v>
      </c>
      <c r="Z26">
        <v>2.0699999999999998</v>
      </c>
      <c r="AA26">
        <v>9</v>
      </c>
      <c r="AB26">
        <v>7</v>
      </c>
      <c r="AC26">
        <v>2</v>
      </c>
      <c r="AD26">
        <v>77.78</v>
      </c>
      <c r="AE26">
        <v>11</v>
      </c>
      <c r="AF26">
        <v>6</v>
      </c>
      <c r="AG26">
        <v>0</v>
      </c>
      <c r="AH26">
        <v>3</v>
      </c>
    </row>
    <row r="27" spans="1:34">
      <c r="A27" s="109">
        <v>168</v>
      </c>
      <c r="B27">
        <v>4208</v>
      </c>
      <c r="C27" s="113" t="s">
        <v>124</v>
      </c>
      <c r="D27" s="113" t="s">
        <v>86</v>
      </c>
      <c r="E27">
        <v>2376</v>
      </c>
      <c r="F27">
        <v>2358</v>
      </c>
      <c r="G27">
        <v>400</v>
      </c>
      <c r="H27" s="113" t="s">
        <v>85</v>
      </c>
      <c r="I27">
        <v>7762</v>
      </c>
      <c r="J27" s="113" t="s">
        <v>133</v>
      </c>
      <c r="K27" s="113" t="s">
        <v>119</v>
      </c>
      <c r="L27">
        <v>607</v>
      </c>
      <c r="M27">
        <v>606</v>
      </c>
      <c r="N27">
        <v>1600</v>
      </c>
      <c r="O27" s="113" t="s">
        <v>87</v>
      </c>
      <c r="P27">
        <v>0.92724531218041295</v>
      </c>
      <c r="Q27">
        <v>0.90796662282748297</v>
      </c>
      <c r="R27" s="113">
        <v>4.0589622237566403E-2</v>
      </c>
      <c r="S27" s="113">
        <v>5.47611626134411E-3</v>
      </c>
      <c r="T27">
        <v>-1.4170439977292699</v>
      </c>
      <c r="U27">
        <v>1.4170439977292699</v>
      </c>
      <c r="V27">
        <v>-3.62</v>
      </c>
      <c r="W27">
        <v>2.8</v>
      </c>
      <c r="X27">
        <v>318939</v>
      </c>
      <c r="Y27">
        <v>22781</v>
      </c>
      <c r="Z27">
        <v>1.17</v>
      </c>
      <c r="AA27">
        <v>14</v>
      </c>
      <c r="AB27">
        <v>10</v>
      </c>
      <c r="AC27">
        <v>4</v>
      </c>
      <c r="AD27">
        <v>71.430000000000007</v>
      </c>
      <c r="AE27">
        <v>13</v>
      </c>
      <c r="AF27">
        <v>5</v>
      </c>
      <c r="AG27">
        <v>1</v>
      </c>
      <c r="AH27">
        <v>8</v>
      </c>
    </row>
    <row r="28" spans="1:34">
      <c r="A28" s="109">
        <v>105</v>
      </c>
      <c r="B28">
        <v>5802</v>
      </c>
      <c r="C28" s="113" t="s">
        <v>159</v>
      </c>
      <c r="D28" s="113" t="s">
        <v>160</v>
      </c>
      <c r="E28">
        <v>1665</v>
      </c>
      <c r="F28">
        <v>1657</v>
      </c>
      <c r="G28">
        <v>600</v>
      </c>
      <c r="H28" s="113" t="s">
        <v>87</v>
      </c>
      <c r="I28">
        <v>6995</v>
      </c>
      <c r="J28" s="113" t="s">
        <v>117</v>
      </c>
      <c r="K28" s="113" t="s">
        <v>109</v>
      </c>
      <c r="L28">
        <v>2178</v>
      </c>
      <c r="M28">
        <v>2150</v>
      </c>
      <c r="N28">
        <v>500</v>
      </c>
      <c r="O28" s="113" t="s">
        <v>85</v>
      </c>
      <c r="P28">
        <v>0.95719282726237698</v>
      </c>
      <c r="Q28">
        <v>0.91973548967472696</v>
      </c>
      <c r="R28">
        <v>0.11173441576106501</v>
      </c>
      <c r="S28">
        <v>0.17357985205509899</v>
      </c>
      <c r="T28">
        <v>1.9719708356599099</v>
      </c>
      <c r="U28">
        <v>1.9719708356599099</v>
      </c>
      <c r="V28">
        <v>3.32</v>
      </c>
      <c r="W28">
        <v>7.52</v>
      </c>
      <c r="X28">
        <v>306631</v>
      </c>
      <c r="Y28">
        <v>18037</v>
      </c>
      <c r="Z28">
        <v>0.89</v>
      </c>
      <c r="AA28">
        <v>17</v>
      </c>
      <c r="AB28">
        <v>11</v>
      </c>
      <c r="AC28">
        <v>6</v>
      </c>
      <c r="AD28">
        <v>64.709999999999994</v>
      </c>
      <c r="AE28">
        <v>15</v>
      </c>
      <c r="AF28">
        <v>6</v>
      </c>
      <c r="AG28">
        <v>0</v>
      </c>
      <c r="AH28">
        <v>11</v>
      </c>
    </row>
    <row r="29" spans="1:34">
      <c r="A29" s="109">
        <v>39</v>
      </c>
      <c r="B29">
        <v>4182</v>
      </c>
      <c r="C29" s="113" t="s">
        <v>113</v>
      </c>
      <c r="D29" s="113" t="s">
        <v>86</v>
      </c>
      <c r="E29">
        <v>1681</v>
      </c>
      <c r="F29">
        <v>1679</v>
      </c>
      <c r="G29">
        <v>500</v>
      </c>
      <c r="H29" s="113" t="s">
        <v>87</v>
      </c>
      <c r="I29">
        <v>7272</v>
      </c>
      <c r="J29" s="113" t="s">
        <v>333</v>
      </c>
      <c r="K29" s="113" t="s">
        <v>109</v>
      </c>
      <c r="L29">
        <v>2300</v>
      </c>
      <c r="M29">
        <v>2292</v>
      </c>
      <c r="N29">
        <v>400</v>
      </c>
      <c r="O29" s="113" t="s">
        <v>85</v>
      </c>
      <c r="P29">
        <v>0.92853717431369098</v>
      </c>
      <c r="Q29">
        <v>0.94193196111447597</v>
      </c>
      <c r="R29" s="20">
        <v>1.31073368720114E-2</v>
      </c>
      <c r="S29" s="20">
        <v>2.0590322577072901E-3</v>
      </c>
      <c r="T29">
        <v>0.21011996899260599</v>
      </c>
      <c r="U29">
        <v>0.21011996899260599</v>
      </c>
      <c r="V29">
        <v>0.59</v>
      </c>
      <c r="W29">
        <v>8.43</v>
      </c>
      <c r="X29">
        <v>303536</v>
      </c>
      <c r="Y29">
        <v>23349</v>
      </c>
      <c r="Z29">
        <v>1.1599999999999999</v>
      </c>
      <c r="AA29">
        <v>13</v>
      </c>
      <c r="AB29">
        <v>9</v>
      </c>
      <c r="AC29">
        <v>4</v>
      </c>
      <c r="AD29">
        <v>69.23</v>
      </c>
      <c r="AE29">
        <v>12</v>
      </c>
      <c r="AF29">
        <v>6</v>
      </c>
      <c r="AG29">
        <v>1</v>
      </c>
      <c r="AH29">
        <v>6</v>
      </c>
    </row>
    <row r="30" spans="1:34">
      <c r="A30" s="109">
        <v>32</v>
      </c>
      <c r="B30">
        <v>6457</v>
      </c>
      <c r="C30" s="113" t="s">
        <v>348</v>
      </c>
      <c r="D30" s="113" t="s">
        <v>125</v>
      </c>
      <c r="E30">
        <v>3320</v>
      </c>
      <c r="F30">
        <v>3335</v>
      </c>
      <c r="G30">
        <v>300</v>
      </c>
      <c r="H30" s="113" t="s">
        <v>85</v>
      </c>
      <c r="I30">
        <v>8593</v>
      </c>
      <c r="J30" s="113" t="s">
        <v>345</v>
      </c>
      <c r="K30" s="113" t="s">
        <v>332</v>
      </c>
      <c r="L30">
        <v>709</v>
      </c>
      <c r="M30">
        <v>709</v>
      </c>
      <c r="N30">
        <v>1400</v>
      </c>
      <c r="O30" s="113" t="s">
        <v>87</v>
      </c>
      <c r="P30">
        <v>0.933348363942757</v>
      </c>
      <c r="Q30">
        <v>0.94315126109413705</v>
      </c>
      <c r="R30">
        <v>7.4024644554288501E-3</v>
      </c>
      <c r="S30" s="20">
        <v>4.2422733363062402E-3</v>
      </c>
      <c r="T30">
        <v>-1.04227069831671</v>
      </c>
      <c r="U30">
        <v>1.04227069831671</v>
      </c>
      <c r="V30">
        <v>-2.4300000000000002</v>
      </c>
      <c r="W30">
        <v>0.79</v>
      </c>
      <c r="X30">
        <v>302420</v>
      </c>
      <c r="Y30">
        <v>15917</v>
      </c>
      <c r="Z30">
        <v>0.96</v>
      </c>
      <c r="AA30">
        <v>19</v>
      </c>
      <c r="AB30">
        <v>12</v>
      </c>
      <c r="AC30">
        <v>7</v>
      </c>
      <c r="AD30">
        <v>63.16</v>
      </c>
      <c r="AE30">
        <v>12</v>
      </c>
      <c r="AF30">
        <v>9</v>
      </c>
      <c r="AG30">
        <v>3</v>
      </c>
      <c r="AH30">
        <v>7</v>
      </c>
    </row>
    <row r="31" spans="1:34">
      <c r="A31" s="109">
        <v>132</v>
      </c>
      <c r="B31">
        <v>6988</v>
      </c>
      <c r="C31" s="113" t="s">
        <v>167</v>
      </c>
      <c r="D31" s="113" t="s">
        <v>86</v>
      </c>
      <c r="E31">
        <v>6170</v>
      </c>
      <c r="F31">
        <v>6210</v>
      </c>
      <c r="G31">
        <v>100</v>
      </c>
      <c r="H31" s="113" t="s">
        <v>85</v>
      </c>
      <c r="I31">
        <v>7272</v>
      </c>
      <c r="J31" s="113" t="s">
        <v>333</v>
      </c>
      <c r="K31" s="113" t="s">
        <v>109</v>
      </c>
      <c r="L31">
        <v>2300</v>
      </c>
      <c r="M31">
        <v>2292</v>
      </c>
      <c r="N31">
        <v>300</v>
      </c>
      <c r="O31" s="113" t="s">
        <v>87</v>
      </c>
      <c r="P31">
        <v>0.93424358937662999</v>
      </c>
      <c r="Q31">
        <v>0.91507516449551096</v>
      </c>
      <c r="R31">
        <v>0.30477863164797597</v>
      </c>
      <c r="S31">
        <v>0.126049021897921</v>
      </c>
      <c r="T31">
        <v>-0.44131997119808603</v>
      </c>
      <c r="U31">
        <v>0.44131997119808603</v>
      </c>
      <c r="V31">
        <v>-1.36</v>
      </c>
      <c r="W31">
        <v>10.72</v>
      </c>
      <c r="X31">
        <v>300982</v>
      </c>
      <c r="Y31">
        <v>25082</v>
      </c>
      <c r="Z31">
        <v>1.21</v>
      </c>
      <c r="AA31">
        <v>12</v>
      </c>
      <c r="AB31">
        <v>7</v>
      </c>
      <c r="AC31">
        <v>5</v>
      </c>
      <c r="AD31">
        <v>58.33</v>
      </c>
      <c r="AE31">
        <v>12</v>
      </c>
      <c r="AF31">
        <v>6</v>
      </c>
      <c r="AG31">
        <v>3</v>
      </c>
      <c r="AH31">
        <v>3</v>
      </c>
    </row>
    <row r="32" spans="1:34">
      <c r="A32" s="109">
        <v>167</v>
      </c>
      <c r="B32">
        <v>4182</v>
      </c>
      <c r="C32" s="113" t="s">
        <v>113</v>
      </c>
      <c r="D32" s="113" t="s">
        <v>86</v>
      </c>
      <c r="E32">
        <v>1681</v>
      </c>
      <c r="F32">
        <v>1679</v>
      </c>
      <c r="G32">
        <v>600</v>
      </c>
      <c r="H32" s="113" t="s">
        <v>87</v>
      </c>
      <c r="I32">
        <v>4208</v>
      </c>
      <c r="J32" s="113" t="s">
        <v>124</v>
      </c>
      <c r="K32" s="113" t="s">
        <v>86</v>
      </c>
      <c r="L32">
        <v>2376</v>
      </c>
      <c r="M32">
        <v>2358</v>
      </c>
      <c r="N32">
        <v>400</v>
      </c>
      <c r="O32" s="113" t="s">
        <v>85</v>
      </c>
      <c r="P32">
        <v>0.91828986744478702</v>
      </c>
      <c r="Q32">
        <v>0.90798148748678797</v>
      </c>
      <c r="R32">
        <v>2.96776094012705E-2</v>
      </c>
      <c r="S32" s="113">
        <v>0.13256869178386699</v>
      </c>
      <c r="T32">
        <v>1.37957325636531</v>
      </c>
      <c r="U32">
        <v>1.37957325636531</v>
      </c>
      <c r="V32">
        <v>6.62</v>
      </c>
      <c r="W32">
        <v>6.81</v>
      </c>
      <c r="X32">
        <v>299666</v>
      </c>
      <c r="Y32">
        <v>15772</v>
      </c>
      <c r="Z32">
        <v>0.82</v>
      </c>
      <c r="AA32">
        <v>19</v>
      </c>
      <c r="AB32">
        <v>13</v>
      </c>
      <c r="AC32">
        <v>6</v>
      </c>
      <c r="AD32">
        <v>68.42</v>
      </c>
      <c r="AE32">
        <v>13</v>
      </c>
      <c r="AF32">
        <v>8</v>
      </c>
      <c r="AG32">
        <v>2</v>
      </c>
      <c r="AH32">
        <v>9</v>
      </c>
    </row>
    <row r="33" spans="1:34">
      <c r="A33" s="109">
        <v>9</v>
      </c>
      <c r="B33">
        <v>5991</v>
      </c>
      <c r="C33" s="113" t="s">
        <v>141</v>
      </c>
      <c r="D33" s="113" t="s">
        <v>142</v>
      </c>
      <c r="E33">
        <v>1003</v>
      </c>
      <c r="F33">
        <v>1004</v>
      </c>
      <c r="G33">
        <v>800</v>
      </c>
      <c r="H33" s="113" t="s">
        <v>87</v>
      </c>
      <c r="I33">
        <v>6371</v>
      </c>
      <c r="J33" s="113" t="s">
        <v>134</v>
      </c>
      <c r="K33" s="113" t="s">
        <v>125</v>
      </c>
      <c r="L33">
        <v>3875</v>
      </c>
      <c r="M33">
        <v>3865</v>
      </c>
      <c r="N33">
        <v>200</v>
      </c>
      <c r="O33" s="113" t="s">
        <v>85</v>
      </c>
      <c r="P33">
        <v>0.95035542816793595</v>
      </c>
      <c r="Q33">
        <v>0.95583051837792599</v>
      </c>
      <c r="R33">
        <v>0.31176125374171398</v>
      </c>
      <c r="S33" s="113">
        <v>1.1201830169135E-3</v>
      </c>
      <c r="T33">
        <v>1.94989651341103</v>
      </c>
      <c r="U33">
        <v>1.94989651341103</v>
      </c>
      <c r="V33">
        <v>6.66</v>
      </c>
      <c r="W33">
        <v>3.91</v>
      </c>
      <c r="X33">
        <v>286657</v>
      </c>
      <c r="Y33">
        <v>16862</v>
      </c>
      <c r="Z33">
        <v>0.8</v>
      </c>
      <c r="AA33">
        <v>17</v>
      </c>
      <c r="AB33">
        <v>10</v>
      </c>
      <c r="AC33">
        <v>7</v>
      </c>
      <c r="AD33">
        <v>58.82</v>
      </c>
      <c r="AE33">
        <v>13</v>
      </c>
      <c r="AF33">
        <v>7</v>
      </c>
      <c r="AG33">
        <v>1</v>
      </c>
      <c r="AH33">
        <v>9</v>
      </c>
    </row>
    <row r="34" spans="1:34">
      <c r="A34" s="109">
        <v>7</v>
      </c>
      <c r="B34">
        <v>2413</v>
      </c>
      <c r="C34" s="113" t="s">
        <v>1323</v>
      </c>
      <c r="D34" s="113" t="s">
        <v>146</v>
      </c>
      <c r="E34">
        <v>3060</v>
      </c>
      <c r="F34">
        <v>3070</v>
      </c>
      <c r="G34">
        <v>200</v>
      </c>
      <c r="H34" s="113" t="s">
        <v>85</v>
      </c>
      <c r="I34">
        <v>4686</v>
      </c>
      <c r="J34" s="113" t="s">
        <v>1324</v>
      </c>
      <c r="K34" s="113" t="s">
        <v>104</v>
      </c>
      <c r="L34">
        <v>6000</v>
      </c>
      <c r="M34">
        <v>6040</v>
      </c>
      <c r="N34">
        <v>100</v>
      </c>
      <c r="O34" s="113" t="s">
        <v>87</v>
      </c>
      <c r="P34">
        <v>0.93770266029251803</v>
      </c>
      <c r="Q34">
        <v>0.95848926929377698</v>
      </c>
      <c r="R34" s="20">
        <v>0.110458093854685</v>
      </c>
      <c r="S34">
        <v>2.6874327995756699E-2</v>
      </c>
      <c r="T34">
        <v>-1.5878980636605</v>
      </c>
      <c r="U34">
        <v>1.5878980636605</v>
      </c>
      <c r="V34">
        <v>-15.79</v>
      </c>
      <c r="W34">
        <v>1.66</v>
      </c>
      <c r="X34">
        <v>286514</v>
      </c>
      <c r="Y34">
        <v>15917</v>
      </c>
      <c r="Z34">
        <v>0.84</v>
      </c>
      <c r="AA34">
        <v>18</v>
      </c>
      <c r="AB34">
        <v>11</v>
      </c>
      <c r="AC34">
        <v>7</v>
      </c>
      <c r="AD34">
        <v>61.11</v>
      </c>
      <c r="AE34">
        <v>10</v>
      </c>
      <c r="AF34">
        <v>10</v>
      </c>
      <c r="AG34">
        <v>5</v>
      </c>
      <c r="AH34">
        <v>3</v>
      </c>
    </row>
    <row r="35" spans="1:34">
      <c r="A35" s="109">
        <v>80</v>
      </c>
      <c r="B35">
        <v>5393</v>
      </c>
      <c r="C35" s="113" t="s">
        <v>370</v>
      </c>
      <c r="D35" s="113" t="s">
        <v>132</v>
      </c>
      <c r="E35">
        <v>2639</v>
      </c>
      <c r="F35">
        <v>2645</v>
      </c>
      <c r="G35">
        <v>300</v>
      </c>
      <c r="H35" s="113" t="s">
        <v>87</v>
      </c>
      <c r="I35">
        <v>5947</v>
      </c>
      <c r="J35" s="113" t="s">
        <v>362</v>
      </c>
      <c r="K35" s="113" t="s">
        <v>142</v>
      </c>
      <c r="L35">
        <v>8390</v>
      </c>
      <c r="M35">
        <v>8380</v>
      </c>
      <c r="N35">
        <v>100</v>
      </c>
      <c r="O35" s="113" t="s">
        <v>85</v>
      </c>
      <c r="P35">
        <v>0.96237325743458002</v>
      </c>
      <c r="Q35">
        <v>0.92770053259211804</v>
      </c>
      <c r="R35" s="113">
        <v>3.0353040118269399E-2</v>
      </c>
      <c r="S35">
        <v>3.9854758589590103E-2</v>
      </c>
      <c r="T35">
        <v>2.0287820678189199</v>
      </c>
      <c r="U35">
        <v>2.0287820678189199</v>
      </c>
      <c r="V35">
        <v>12.6</v>
      </c>
      <c r="W35">
        <v>5.31</v>
      </c>
      <c r="X35">
        <v>284943</v>
      </c>
      <c r="Y35">
        <v>23745</v>
      </c>
      <c r="Z35">
        <v>1.3</v>
      </c>
      <c r="AA35">
        <v>12</v>
      </c>
      <c r="AB35">
        <v>8</v>
      </c>
      <c r="AC35">
        <v>4</v>
      </c>
      <c r="AD35">
        <v>66.67</v>
      </c>
      <c r="AE35">
        <v>11</v>
      </c>
      <c r="AF35">
        <v>6</v>
      </c>
      <c r="AG35">
        <v>3</v>
      </c>
      <c r="AH35">
        <v>3</v>
      </c>
    </row>
    <row r="36" spans="1:34">
      <c r="A36" s="109">
        <v>21</v>
      </c>
      <c r="B36">
        <v>6752</v>
      </c>
      <c r="C36" s="113" t="s">
        <v>131</v>
      </c>
      <c r="D36" s="113" t="s">
        <v>112</v>
      </c>
      <c r="E36">
        <v>1040.5</v>
      </c>
      <c r="F36">
        <v>1034.5</v>
      </c>
      <c r="G36">
        <v>1000</v>
      </c>
      <c r="H36" s="113" t="s">
        <v>85</v>
      </c>
      <c r="I36">
        <v>7278</v>
      </c>
      <c r="J36" s="113" t="s">
        <v>108</v>
      </c>
      <c r="K36" s="113" t="s">
        <v>109</v>
      </c>
      <c r="L36">
        <v>2545</v>
      </c>
      <c r="M36">
        <v>2548</v>
      </c>
      <c r="N36">
        <v>400</v>
      </c>
      <c r="O36" s="113" t="s">
        <v>87</v>
      </c>
      <c r="P36">
        <v>0.92738030007918604</v>
      </c>
      <c r="Q36">
        <v>0.94863916480107302</v>
      </c>
      <c r="R36">
        <v>1.1799964340990701E-2</v>
      </c>
      <c r="S36">
        <v>3.7280177879875099E-4</v>
      </c>
      <c r="T36">
        <v>-0.60545556342844897</v>
      </c>
      <c r="U36">
        <v>0.60545556342844897</v>
      </c>
      <c r="V36">
        <v>-1.56</v>
      </c>
      <c r="W36">
        <v>1.5</v>
      </c>
      <c r="X36">
        <v>283523</v>
      </c>
      <c r="Y36">
        <v>14922</v>
      </c>
      <c r="Z36">
        <v>0.75</v>
      </c>
      <c r="AA36">
        <v>19</v>
      </c>
      <c r="AB36">
        <v>11</v>
      </c>
      <c r="AC36">
        <v>8</v>
      </c>
      <c r="AD36">
        <v>57.89</v>
      </c>
      <c r="AE36">
        <v>11</v>
      </c>
      <c r="AF36">
        <v>8</v>
      </c>
      <c r="AG36">
        <v>2</v>
      </c>
      <c r="AH36">
        <v>9</v>
      </c>
    </row>
    <row r="37" spans="1:34">
      <c r="A37" s="109">
        <v>104</v>
      </c>
      <c r="B37">
        <v>6588</v>
      </c>
      <c r="C37" s="113" t="s">
        <v>995</v>
      </c>
      <c r="D37" s="113" t="s">
        <v>112</v>
      </c>
      <c r="E37">
        <v>4625</v>
      </c>
      <c r="F37">
        <v>4680</v>
      </c>
      <c r="G37">
        <v>200</v>
      </c>
      <c r="H37" s="113" t="s">
        <v>87</v>
      </c>
      <c r="I37">
        <v>8425</v>
      </c>
      <c r="J37" s="113" t="s">
        <v>353</v>
      </c>
      <c r="K37" s="113" t="s">
        <v>332</v>
      </c>
      <c r="L37">
        <v>3275</v>
      </c>
      <c r="M37">
        <v>3295</v>
      </c>
      <c r="N37">
        <v>300</v>
      </c>
      <c r="O37" s="113" t="s">
        <v>85</v>
      </c>
      <c r="P37">
        <v>0.92400028665599698</v>
      </c>
      <c r="Q37">
        <v>0.92006636720949697</v>
      </c>
      <c r="R37">
        <v>5.4236802736176502E-2</v>
      </c>
      <c r="S37">
        <v>6.3258289243011703E-2</v>
      </c>
      <c r="T37">
        <v>2.05850275568437</v>
      </c>
      <c r="U37">
        <v>2.05850275568437</v>
      </c>
      <c r="V37">
        <v>14.16</v>
      </c>
      <c r="W37">
        <v>5.61</v>
      </c>
      <c r="X37">
        <v>276730</v>
      </c>
      <c r="Y37">
        <v>21287</v>
      </c>
      <c r="Z37">
        <v>1.08</v>
      </c>
      <c r="AA37">
        <v>13</v>
      </c>
      <c r="AB37">
        <v>9</v>
      </c>
      <c r="AC37">
        <v>4</v>
      </c>
      <c r="AD37">
        <v>69.23</v>
      </c>
      <c r="AE37">
        <v>13</v>
      </c>
      <c r="AF37">
        <v>5</v>
      </c>
      <c r="AG37">
        <v>1</v>
      </c>
      <c r="AH37">
        <v>7</v>
      </c>
    </row>
    <row r="38" spans="1:34">
      <c r="A38" s="109">
        <v>149</v>
      </c>
      <c r="B38">
        <v>6287</v>
      </c>
      <c r="C38" s="113" t="s">
        <v>991</v>
      </c>
      <c r="D38" s="113" t="s">
        <v>125</v>
      </c>
      <c r="E38">
        <v>3370</v>
      </c>
      <c r="F38">
        <v>3390</v>
      </c>
      <c r="G38">
        <v>300</v>
      </c>
      <c r="H38" s="113" t="s">
        <v>87</v>
      </c>
      <c r="I38">
        <v>6465</v>
      </c>
      <c r="J38" s="113" t="s">
        <v>992</v>
      </c>
      <c r="K38" s="113" t="s">
        <v>125</v>
      </c>
      <c r="L38">
        <v>9630</v>
      </c>
      <c r="M38">
        <v>9620</v>
      </c>
      <c r="N38">
        <v>100</v>
      </c>
      <c r="O38" s="113" t="s">
        <v>85</v>
      </c>
      <c r="P38">
        <v>0.95988746743019604</v>
      </c>
      <c r="Q38">
        <v>0.91008401466316002</v>
      </c>
      <c r="R38">
        <v>2.2485953127016501E-2</v>
      </c>
      <c r="S38" s="20">
        <v>1.78774308652556E-2</v>
      </c>
      <c r="T38">
        <v>1.18223085942215</v>
      </c>
      <c r="U38">
        <v>1.18223085942215</v>
      </c>
      <c r="V38">
        <v>2.19</v>
      </c>
      <c r="W38">
        <v>5.72</v>
      </c>
      <c r="X38">
        <v>272271</v>
      </c>
      <c r="Y38">
        <v>22689</v>
      </c>
      <c r="Z38">
        <v>1.55</v>
      </c>
      <c r="AA38">
        <v>12</v>
      </c>
      <c r="AB38">
        <v>7</v>
      </c>
      <c r="AC38">
        <v>5</v>
      </c>
      <c r="AD38">
        <v>58.33</v>
      </c>
      <c r="AE38">
        <v>12</v>
      </c>
      <c r="AF38">
        <v>5</v>
      </c>
      <c r="AG38">
        <v>3</v>
      </c>
      <c r="AH38">
        <v>4</v>
      </c>
    </row>
    <row r="39" spans="1:34">
      <c r="A39" s="109">
        <v>14</v>
      </c>
      <c r="B39">
        <v>3635</v>
      </c>
      <c r="C39" s="113" t="s">
        <v>110</v>
      </c>
      <c r="D39" s="113" t="s">
        <v>104</v>
      </c>
      <c r="E39">
        <v>2646</v>
      </c>
      <c r="F39">
        <v>2631</v>
      </c>
      <c r="G39">
        <v>400</v>
      </c>
      <c r="H39" s="113" t="s">
        <v>87</v>
      </c>
      <c r="I39">
        <v>4062</v>
      </c>
      <c r="J39" s="113" t="s">
        <v>363</v>
      </c>
      <c r="K39" s="113" t="s">
        <v>112</v>
      </c>
      <c r="L39">
        <v>2548</v>
      </c>
      <c r="M39">
        <v>2533</v>
      </c>
      <c r="N39">
        <v>400</v>
      </c>
      <c r="O39" s="113" t="s">
        <v>85</v>
      </c>
      <c r="P39">
        <v>0.92842605176336901</v>
      </c>
      <c r="Q39">
        <v>0.95253828172427402</v>
      </c>
      <c r="R39">
        <v>2.12411248744587E-2</v>
      </c>
      <c r="S39" s="20">
        <v>0.14538604573185501</v>
      </c>
      <c r="T39">
        <v>0.144051339627807</v>
      </c>
      <c r="U39">
        <v>0.144051339627807</v>
      </c>
      <c r="V39">
        <v>0.41</v>
      </c>
      <c r="W39">
        <v>3.72</v>
      </c>
      <c r="X39">
        <v>272145</v>
      </c>
      <c r="Y39">
        <v>20934</v>
      </c>
      <c r="Z39">
        <v>1.08</v>
      </c>
      <c r="AA39">
        <v>13</v>
      </c>
      <c r="AB39">
        <v>8</v>
      </c>
      <c r="AC39">
        <v>5</v>
      </c>
      <c r="AD39">
        <v>61.54</v>
      </c>
      <c r="AE39">
        <v>12</v>
      </c>
      <c r="AF39">
        <v>6</v>
      </c>
      <c r="AG39">
        <v>2</v>
      </c>
      <c r="AH39">
        <v>5</v>
      </c>
    </row>
    <row r="40" spans="1:34">
      <c r="A40" s="109">
        <v>30</v>
      </c>
      <c r="B40">
        <v>3105</v>
      </c>
      <c r="C40" s="113" t="s">
        <v>116</v>
      </c>
      <c r="D40" s="113" t="s">
        <v>112</v>
      </c>
      <c r="E40">
        <v>1039</v>
      </c>
      <c r="F40">
        <v>1040</v>
      </c>
      <c r="G40">
        <v>1000</v>
      </c>
      <c r="H40" s="113" t="s">
        <v>87</v>
      </c>
      <c r="I40">
        <v>7282</v>
      </c>
      <c r="J40" s="113" t="s">
        <v>993</v>
      </c>
      <c r="K40" s="113" t="s">
        <v>109</v>
      </c>
      <c r="L40">
        <v>2641</v>
      </c>
      <c r="M40">
        <v>2650</v>
      </c>
      <c r="N40">
        <v>400</v>
      </c>
      <c r="O40" s="113" t="s">
        <v>85</v>
      </c>
      <c r="P40">
        <v>0.94238461668281703</v>
      </c>
      <c r="Q40">
        <v>0.94421076579326502</v>
      </c>
      <c r="R40">
        <v>0.14304995202646101</v>
      </c>
      <c r="S40" s="113">
        <v>8.2488574764692096E-2</v>
      </c>
      <c r="T40">
        <v>0.24224537676712801</v>
      </c>
      <c r="U40">
        <v>0.24224537676712801</v>
      </c>
      <c r="V40">
        <v>0.74</v>
      </c>
      <c r="W40">
        <v>1.89</v>
      </c>
      <c r="X40">
        <v>268452</v>
      </c>
      <c r="Y40">
        <v>11672</v>
      </c>
      <c r="Z40">
        <v>0.57999999999999996</v>
      </c>
      <c r="AA40">
        <v>23</v>
      </c>
      <c r="AB40">
        <v>14</v>
      </c>
      <c r="AC40">
        <v>9</v>
      </c>
      <c r="AD40">
        <v>60.87</v>
      </c>
      <c r="AE40">
        <v>11</v>
      </c>
      <c r="AF40">
        <v>10</v>
      </c>
      <c r="AG40">
        <v>7</v>
      </c>
      <c r="AH40">
        <v>6</v>
      </c>
    </row>
    <row r="41" spans="1:34">
      <c r="A41" s="109">
        <v>107</v>
      </c>
      <c r="B41">
        <v>6474</v>
      </c>
      <c r="C41" s="113" t="s">
        <v>349</v>
      </c>
      <c r="D41" s="113" t="s">
        <v>125</v>
      </c>
      <c r="E41">
        <v>4975</v>
      </c>
      <c r="F41">
        <v>4990</v>
      </c>
      <c r="G41">
        <v>200</v>
      </c>
      <c r="H41" s="113" t="s">
        <v>85</v>
      </c>
      <c r="I41">
        <v>6503</v>
      </c>
      <c r="J41" s="113" t="s">
        <v>350</v>
      </c>
      <c r="K41" s="113" t="s">
        <v>112</v>
      </c>
      <c r="L41">
        <v>1532.5</v>
      </c>
      <c r="M41">
        <v>1526</v>
      </c>
      <c r="N41">
        <v>700</v>
      </c>
      <c r="O41" s="113" t="s">
        <v>87</v>
      </c>
      <c r="P41">
        <v>0.92884587542466701</v>
      </c>
      <c r="Q41">
        <v>0.91929366098323795</v>
      </c>
      <c r="R41">
        <v>1.9039680983451698E-2</v>
      </c>
      <c r="S41">
        <v>2.1929405695715401E-2</v>
      </c>
      <c r="T41">
        <v>-0.713511421781721</v>
      </c>
      <c r="U41">
        <v>0.713511421781721</v>
      </c>
      <c r="V41">
        <v>-1.37</v>
      </c>
      <c r="W41">
        <v>7.03</v>
      </c>
      <c r="X41">
        <v>266206</v>
      </c>
      <c r="Y41">
        <v>20477</v>
      </c>
      <c r="Z41">
        <v>1.38</v>
      </c>
      <c r="AA41">
        <v>13</v>
      </c>
      <c r="AB41">
        <v>10</v>
      </c>
      <c r="AC41">
        <v>3</v>
      </c>
      <c r="AD41">
        <v>76.92</v>
      </c>
      <c r="AE41">
        <v>11</v>
      </c>
      <c r="AF41">
        <v>8</v>
      </c>
      <c r="AG41">
        <v>1</v>
      </c>
      <c r="AH41">
        <v>4</v>
      </c>
    </row>
    <row r="42" spans="1:34">
      <c r="A42" s="109">
        <v>110</v>
      </c>
      <c r="B42">
        <v>7259</v>
      </c>
      <c r="C42" s="113" t="s">
        <v>53</v>
      </c>
      <c r="D42" s="113" t="s">
        <v>109</v>
      </c>
      <c r="E42">
        <v>4240</v>
      </c>
      <c r="F42">
        <v>4200</v>
      </c>
      <c r="G42">
        <v>200</v>
      </c>
      <c r="H42" s="113" t="s">
        <v>85</v>
      </c>
      <c r="I42">
        <v>7278</v>
      </c>
      <c r="J42" s="113" t="s">
        <v>108</v>
      </c>
      <c r="K42" s="113" t="s">
        <v>109</v>
      </c>
      <c r="L42">
        <v>2545</v>
      </c>
      <c r="M42">
        <v>2548</v>
      </c>
      <c r="N42">
        <v>300</v>
      </c>
      <c r="O42" s="113" t="s">
        <v>87</v>
      </c>
      <c r="P42">
        <v>0.97442436925263698</v>
      </c>
      <c r="Q42">
        <v>0.91872959790089004</v>
      </c>
      <c r="R42">
        <v>7.8109714906311897E-2</v>
      </c>
      <c r="S42" s="113">
        <v>0.32862327275611802</v>
      </c>
      <c r="T42">
        <v>-0.13111928317837701</v>
      </c>
      <c r="U42">
        <v>0.13111928317837701</v>
      </c>
      <c r="V42">
        <v>-0.45</v>
      </c>
      <c r="W42">
        <v>9</v>
      </c>
      <c r="X42">
        <v>265669</v>
      </c>
      <c r="Y42">
        <v>24152</v>
      </c>
      <c r="Z42">
        <v>1.6</v>
      </c>
      <c r="AA42">
        <v>11</v>
      </c>
      <c r="AB42">
        <v>9</v>
      </c>
      <c r="AC42">
        <v>2</v>
      </c>
      <c r="AD42">
        <v>81.819999999999993</v>
      </c>
      <c r="AE42">
        <v>14</v>
      </c>
      <c r="AF42">
        <v>3</v>
      </c>
      <c r="AG42">
        <v>1</v>
      </c>
      <c r="AH42">
        <v>7</v>
      </c>
    </row>
    <row r="43" spans="1:34">
      <c r="A43" s="109">
        <v>79</v>
      </c>
      <c r="B43">
        <v>6134</v>
      </c>
      <c r="C43" s="113" t="s">
        <v>989</v>
      </c>
      <c r="D43" s="113" t="s">
        <v>125</v>
      </c>
      <c r="E43">
        <v>1961</v>
      </c>
      <c r="F43">
        <v>1966</v>
      </c>
      <c r="G43">
        <v>400</v>
      </c>
      <c r="H43" s="113" t="s">
        <v>85</v>
      </c>
      <c r="I43">
        <v>7729</v>
      </c>
      <c r="J43" s="113" t="s">
        <v>1325</v>
      </c>
      <c r="K43" s="113" t="s">
        <v>119</v>
      </c>
      <c r="L43">
        <v>4060</v>
      </c>
      <c r="M43">
        <v>4105</v>
      </c>
      <c r="N43">
        <v>200</v>
      </c>
      <c r="O43" s="113" t="s">
        <v>87</v>
      </c>
      <c r="P43">
        <v>0.94933294194426898</v>
      </c>
      <c r="Q43">
        <v>0.92822658246341605</v>
      </c>
      <c r="R43">
        <v>0.12861404135632301</v>
      </c>
      <c r="S43">
        <v>0.23583975262721901</v>
      </c>
      <c r="T43">
        <v>-1.4675543179248001</v>
      </c>
      <c r="U43">
        <v>1.4675543179248001</v>
      </c>
      <c r="V43">
        <v>-4.47</v>
      </c>
      <c r="W43">
        <v>4.21</v>
      </c>
      <c r="X43">
        <v>265624</v>
      </c>
      <c r="Y43">
        <v>14757</v>
      </c>
      <c r="Z43">
        <v>0.83</v>
      </c>
      <c r="AA43">
        <v>18</v>
      </c>
      <c r="AB43">
        <v>11</v>
      </c>
      <c r="AC43">
        <v>7</v>
      </c>
      <c r="AD43">
        <v>61.11</v>
      </c>
      <c r="AE43">
        <v>12</v>
      </c>
      <c r="AF43">
        <v>7</v>
      </c>
      <c r="AG43">
        <v>4</v>
      </c>
      <c r="AH43">
        <v>7</v>
      </c>
    </row>
    <row r="44" spans="1:34">
      <c r="A44" s="109">
        <v>59</v>
      </c>
      <c r="B44">
        <v>6807</v>
      </c>
      <c r="C44" s="113" t="s">
        <v>372</v>
      </c>
      <c r="D44" s="113" t="s">
        <v>112</v>
      </c>
      <c r="E44">
        <v>2227</v>
      </c>
      <c r="F44">
        <v>2275</v>
      </c>
      <c r="G44">
        <v>400</v>
      </c>
      <c r="H44" s="113" t="s">
        <v>87</v>
      </c>
      <c r="I44">
        <v>7274</v>
      </c>
      <c r="J44" s="113" t="s">
        <v>373</v>
      </c>
      <c r="K44" s="113" t="s">
        <v>109</v>
      </c>
      <c r="L44">
        <v>2273</v>
      </c>
      <c r="M44">
        <v>2276</v>
      </c>
      <c r="N44">
        <v>400</v>
      </c>
      <c r="O44" s="113" t="s">
        <v>85</v>
      </c>
      <c r="P44">
        <v>0.97977532346950302</v>
      </c>
      <c r="Q44">
        <v>0.93274063611986502</v>
      </c>
      <c r="R44" s="20">
        <v>4.6075524339370901E-5</v>
      </c>
      <c r="S44">
        <v>0.119463815009118</v>
      </c>
      <c r="T44">
        <v>4.7088741656876397E-2</v>
      </c>
      <c r="U44">
        <v>4.7088741656876397E-2</v>
      </c>
      <c r="V44">
        <v>0.28000000000000003</v>
      </c>
      <c r="W44">
        <v>0.04</v>
      </c>
      <c r="X44">
        <v>261307</v>
      </c>
      <c r="Y44">
        <v>13753</v>
      </c>
      <c r="Z44">
        <v>0.61</v>
      </c>
      <c r="AA44">
        <v>19</v>
      </c>
      <c r="AB44">
        <v>12</v>
      </c>
      <c r="AC44">
        <v>7</v>
      </c>
      <c r="AD44">
        <v>63.16</v>
      </c>
      <c r="AE44">
        <v>11</v>
      </c>
      <c r="AF44">
        <v>10</v>
      </c>
      <c r="AG44">
        <v>4</v>
      </c>
      <c r="AH44">
        <v>5</v>
      </c>
    </row>
    <row r="45" spans="1:34">
      <c r="A45" s="109">
        <v>115</v>
      </c>
      <c r="B45">
        <v>1963</v>
      </c>
      <c r="C45" s="113" t="s">
        <v>158</v>
      </c>
      <c r="D45" s="113" t="s">
        <v>103</v>
      </c>
      <c r="E45">
        <v>1670</v>
      </c>
      <c r="F45">
        <v>1690</v>
      </c>
      <c r="G45">
        <v>600</v>
      </c>
      <c r="H45" s="113" t="s">
        <v>87</v>
      </c>
      <c r="I45">
        <v>7267</v>
      </c>
      <c r="J45" s="113" t="s">
        <v>144</v>
      </c>
      <c r="K45" s="113" t="s">
        <v>109</v>
      </c>
      <c r="L45">
        <v>3127</v>
      </c>
      <c r="M45">
        <v>3144</v>
      </c>
      <c r="N45">
        <v>300</v>
      </c>
      <c r="O45" s="113" t="s">
        <v>85</v>
      </c>
      <c r="P45">
        <v>0.91660504501703899</v>
      </c>
      <c r="Q45">
        <v>0.91790243972395902</v>
      </c>
      <c r="R45" s="113">
        <v>8.4322910854073896E-2</v>
      </c>
      <c r="S45">
        <v>1.5405131624055199E-4</v>
      </c>
      <c r="T45">
        <v>1.36608973968225</v>
      </c>
      <c r="U45">
        <v>1.36608973968225</v>
      </c>
      <c r="V45">
        <v>4.84</v>
      </c>
      <c r="W45">
        <v>7.51</v>
      </c>
      <c r="X45">
        <v>259201</v>
      </c>
      <c r="Y45">
        <v>12960</v>
      </c>
      <c r="Z45">
        <v>0.65</v>
      </c>
      <c r="AA45">
        <v>20</v>
      </c>
      <c r="AB45">
        <v>13</v>
      </c>
      <c r="AC45">
        <v>7</v>
      </c>
      <c r="AD45">
        <v>65</v>
      </c>
      <c r="AE45">
        <v>10</v>
      </c>
      <c r="AF45">
        <v>10</v>
      </c>
      <c r="AG45">
        <v>5</v>
      </c>
      <c r="AH45">
        <v>5</v>
      </c>
    </row>
    <row r="46" spans="1:34">
      <c r="A46" s="109">
        <v>73</v>
      </c>
      <c r="B46">
        <v>6457</v>
      </c>
      <c r="C46" s="113" t="s">
        <v>348</v>
      </c>
      <c r="D46" s="113" t="s">
        <v>125</v>
      </c>
      <c r="E46">
        <v>3320</v>
      </c>
      <c r="F46">
        <v>3335</v>
      </c>
      <c r="G46">
        <v>300</v>
      </c>
      <c r="H46" s="113" t="s">
        <v>85</v>
      </c>
      <c r="I46">
        <v>6925</v>
      </c>
      <c r="J46" s="113" t="s">
        <v>347</v>
      </c>
      <c r="K46" s="113" t="s">
        <v>112</v>
      </c>
      <c r="L46">
        <v>1661</v>
      </c>
      <c r="M46">
        <v>1659</v>
      </c>
      <c r="N46">
        <v>600</v>
      </c>
      <c r="O46" s="113" t="s">
        <v>87</v>
      </c>
      <c r="P46">
        <v>0.924081551166823</v>
      </c>
      <c r="Q46">
        <v>0.93032644963631295</v>
      </c>
      <c r="R46">
        <v>2.1255810307771499E-2</v>
      </c>
      <c r="S46" s="20">
        <v>8.3820919764769804E-3</v>
      </c>
      <c r="T46">
        <v>-0.30175718174237298</v>
      </c>
      <c r="U46">
        <v>0.30175718174237298</v>
      </c>
      <c r="V46">
        <v>-0.81</v>
      </c>
      <c r="W46">
        <v>0.51</v>
      </c>
      <c r="X46">
        <v>257915</v>
      </c>
      <c r="Y46">
        <v>17194</v>
      </c>
      <c r="Z46">
        <v>1.01</v>
      </c>
      <c r="AA46">
        <v>15</v>
      </c>
      <c r="AB46">
        <v>10</v>
      </c>
      <c r="AC46">
        <v>5</v>
      </c>
      <c r="AD46">
        <v>66.67</v>
      </c>
      <c r="AE46">
        <v>11</v>
      </c>
      <c r="AF46">
        <v>7</v>
      </c>
      <c r="AG46">
        <v>4</v>
      </c>
      <c r="AH46">
        <v>4</v>
      </c>
    </row>
    <row r="47" spans="1:34">
      <c r="A47" s="109">
        <v>52</v>
      </c>
      <c r="B47">
        <v>4061</v>
      </c>
      <c r="C47" s="113" t="s">
        <v>149</v>
      </c>
      <c r="D47" s="113" t="s">
        <v>86</v>
      </c>
      <c r="E47">
        <v>3215</v>
      </c>
      <c r="F47">
        <v>3235</v>
      </c>
      <c r="G47">
        <v>300</v>
      </c>
      <c r="H47" s="113" t="s">
        <v>85</v>
      </c>
      <c r="I47">
        <v>4401</v>
      </c>
      <c r="J47" s="113" t="s">
        <v>351</v>
      </c>
      <c r="K47" s="113" t="s">
        <v>86</v>
      </c>
      <c r="L47">
        <v>1646</v>
      </c>
      <c r="M47">
        <v>1654</v>
      </c>
      <c r="N47">
        <v>600</v>
      </c>
      <c r="O47" s="113" t="s">
        <v>87</v>
      </c>
      <c r="P47">
        <v>0.94256357441518401</v>
      </c>
      <c r="Q47">
        <v>0.93606510146543298</v>
      </c>
      <c r="R47" s="20">
        <v>2.5436222232849701E-3</v>
      </c>
      <c r="S47" s="20">
        <v>2.90539829679763E-5</v>
      </c>
      <c r="T47">
        <v>-1.57620810305984</v>
      </c>
      <c r="U47">
        <v>1.57620810305984</v>
      </c>
      <c r="V47">
        <v>-7.11</v>
      </c>
      <c r="W47">
        <v>2.2599999999999998</v>
      </c>
      <c r="X47">
        <v>256424</v>
      </c>
      <c r="Y47">
        <v>17095</v>
      </c>
      <c r="Z47">
        <v>0.97</v>
      </c>
      <c r="AA47">
        <v>15</v>
      </c>
      <c r="AB47">
        <v>9</v>
      </c>
      <c r="AC47">
        <v>6</v>
      </c>
      <c r="AD47">
        <v>60</v>
      </c>
      <c r="AE47">
        <v>12</v>
      </c>
      <c r="AF47">
        <v>7</v>
      </c>
      <c r="AG47">
        <v>1</v>
      </c>
      <c r="AH47">
        <v>7</v>
      </c>
    </row>
    <row r="48" spans="1:34">
      <c r="A48" s="109">
        <v>152</v>
      </c>
      <c r="B48">
        <v>6752</v>
      </c>
      <c r="C48" s="113" t="s">
        <v>131</v>
      </c>
      <c r="D48" s="113" t="s">
        <v>112</v>
      </c>
      <c r="E48">
        <v>1040.5</v>
      </c>
      <c r="F48">
        <v>1034.5</v>
      </c>
      <c r="G48">
        <v>1000</v>
      </c>
      <c r="H48" s="113" t="s">
        <v>85</v>
      </c>
      <c r="I48">
        <v>7205</v>
      </c>
      <c r="J48" s="113" t="s">
        <v>143</v>
      </c>
      <c r="K48" s="113" t="s">
        <v>109</v>
      </c>
      <c r="L48">
        <v>1131</v>
      </c>
      <c r="M48">
        <v>1137</v>
      </c>
      <c r="N48">
        <v>900</v>
      </c>
      <c r="O48" s="113" t="s">
        <v>87</v>
      </c>
      <c r="P48">
        <v>0.94191373180399995</v>
      </c>
      <c r="Q48">
        <v>0.90975291671573</v>
      </c>
      <c r="R48">
        <v>0.14312855731076299</v>
      </c>
      <c r="S48">
        <v>2.49775936030012E-2</v>
      </c>
      <c r="T48">
        <v>-1.8016331087691699</v>
      </c>
      <c r="U48">
        <v>1.8016331087691699</v>
      </c>
      <c r="V48">
        <v>-5.64</v>
      </c>
      <c r="W48">
        <v>1.0900000000000001</v>
      </c>
      <c r="X48">
        <v>255537</v>
      </c>
      <c r="Y48">
        <v>17036</v>
      </c>
      <c r="Z48">
        <v>0.81</v>
      </c>
      <c r="AA48">
        <v>15</v>
      </c>
      <c r="AB48">
        <v>10</v>
      </c>
      <c r="AC48">
        <v>5</v>
      </c>
      <c r="AD48">
        <v>66.67</v>
      </c>
      <c r="AE48">
        <v>13</v>
      </c>
      <c r="AF48">
        <v>6</v>
      </c>
      <c r="AG48">
        <v>1</v>
      </c>
      <c r="AH48">
        <v>8</v>
      </c>
    </row>
    <row r="49" spans="1:34">
      <c r="A49" s="109">
        <v>2</v>
      </c>
      <c r="B49">
        <v>6988</v>
      </c>
      <c r="C49" s="113" t="s">
        <v>167</v>
      </c>
      <c r="D49" s="113" t="s">
        <v>86</v>
      </c>
      <c r="E49">
        <v>6170</v>
      </c>
      <c r="F49">
        <v>6210</v>
      </c>
      <c r="G49">
        <v>100</v>
      </c>
      <c r="H49" s="113" t="s">
        <v>85</v>
      </c>
      <c r="I49">
        <v>7282</v>
      </c>
      <c r="J49" s="113" t="s">
        <v>993</v>
      </c>
      <c r="K49" s="113" t="s">
        <v>109</v>
      </c>
      <c r="L49">
        <v>2641</v>
      </c>
      <c r="M49">
        <v>2650</v>
      </c>
      <c r="N49">
        <v>200</v>
      </c>
      <c r="O49" s="113" t="s">
        <v>87</v>
      </c>
      <c r="P49">
        <v>0.96300855629077198</v>
      </c>
      <c r="Q49">
        <v>0.96540078848599398</v>
      </c>
      <c r="R49">
        <v>9.0228564360451003E-3</v>
      </c>
      <c r="S49" s="20">
        <v>6.4626293355780896E-7</v>
      </c>
      <c r="T49">
        <v>-1.75425548161445</v>
      </c>
      <c r="U49">
        <v>1.75425548161445</v>
      </c>
      <c r="V49">
        <v>-4.7</v>
      </c>
      <c r="W49">
        <v>14.65</v>
      </c>
      <c r="X49">
        <v>241866</v>
      </c>
      <c r="Y49">
        <v>16124</v>
      </c>
      <c r="Z49">
        <v>0.86</v>
      </c>
      <c r="AA49">
        <v>15</v>
      </c>
      <c r="AB49">
        <v>11</v>
      </c>
      <c r="AC49">
        <v>4</v>
      </c>
      <c r="AD49">
        <v>73.33</v>
      </c>
      <c r="AE49">
        <v>11</v>
      </c>
      <c r="AF49">
        <v>9</v>
      </c>
      <c r="AG49">
        <v>3</v>
      </c>
      <c r="AH49">
        <v>3</v>
      </c>
    </row>
    <row r="50" spans="1:34">
      <c r="A50" s="109">
        <v>94</v>
      </c>
      <c r="B50">
        <v>6098</v>
      </c>
      <c r="C50" s="113" t="s">
        <v>376</v>
      </c>
      <c r="D50" s="113" t="s">
        <v>146</v>
      </c>
      <c r="E50">
        <v>3955</v>
      </c>
      <c r="F50">
        <v>3980</v>
      </c>
      <c r="G50">
        <v>200</v>
      </c>
      <c r="H50" s="113" t="s">
        <v>87</v>
      </c>
      <c r="I50">
        <v>9759</v>
      </c>
      <c r="J50" s="113" t="s">
        <v>1075</v>
      </c>
      <c r="K50" s="113" t="s">
        <v>104</v>
      </c>
      <c r="L50">
        <v>3600</v>
      </c>
      <c r="M50">
        <v>3630</v>
      </c>
      <c r="N50">
        <v>200</v>
      </c>
      <c r="O50" s="113" t="s">
        <v>85</v>
      </c>
      <c r="P50">
        <v>0.93088759189528103</v>
      </c>
      <c r="Q50">
        <v>0.92243084154968902</v>
      </c>
      <c r="R50">
        <v>0.25743710124663399</v>
      </c>
      <c r="S50">
        <v>1.7270292617991099E-2</v>
      </c>
      <c r="T50">
        <v>0.37900232265149703</v>
      </c>
      <c r="U50">
        <v>0.37900232265149703</v>
      </c>
      <c r="V50">
        <v>1.27</v>
      </c>
      <c r="W50">
        <v>8.7899999999999991</v>
      </c>
      <c r="X50">
        <v>239165</v>
      </c>
      <c r="Y50">
        <v>18397</v>
      </c>
      <c r="Z50">
        <v>0.85</v>
      </c>
      <c r="AA50">
        <v>13</v>
      </c>
      <c r="AB50">
        <v>8</v>
      </c>
      <c r="AC50">
        <v>5</v>
      </c>
      <c r="AD50">
        <v>61.54</v>
      </c>
      <c r="AE50">
        <v>12</v>
      </c>
      <c r="AF50">
        <v>6</v>
      </c>
      <c r="AG50">
        <v>3</v>
      </c>
      <c r="AH50">
        <v>4</v>
      </c>
    </row>
    <row r="51" spans="1:34">
      <c r="A51" s="109">
        <v>16</v>
      </c>
      <c r="B51">
        <v>5471</v>
      </c>
      <c r="C51" s="113" t="s">
        <v>337</v>
      </c>
      <c r="D51" s="113" t="s">
        <v>118</v>
      </c>
      <c r="E51">
        <v>4960</v>
      </c>
      <c r="F51">
        <v>4890</v>
      </c>
      <c r="G51">
        <v>200</v>
      </c>
      <c r="H51" s="113" t="s">
        <v>85</v>
      </c>
      <c r="I51">
        <v>6995</v>
      </c>
      <c r="J51" s="113" t="s">
        <v>117</v>
      </c>
      <c r="K51" s="113" t="s">
        <v>109</v>
      </c>
      <c r="L51">
        <v>2178</v>
      </c>
      <c r="M51">
        <v>2150</v>
      </c>
      <c r="N51">
        <v>500</v>
      </c>
      <c r="O51" s="113" t="s">
        <v>87</v>
      </c>
      <c r="P51">
        <v>0.91389361943254499</v>
      </c>
      <c r="Q51">
        <v>0.94968197066924398</v>
      </c>
      <c r="R51">
        <v>0.27613807812674601</v>
      </c>
      <c r="S51" s="20">
        <v>2.7083694720312301E-2</v>
      </c>
      <c r="T51">
        <v>-1.34149459416644</v>
      </c>
      <c r="U51">
        <v>1.34149459416644</v>
      </c>
      <c r="V51">
        <v>-3.7</v>
      </c>
      <c r="W51">
        <v>9.92</v>
      </c>
      <c r="X51">
        <v>238619</v>
      </c>
      <c r="Y51">
        <v>15908</v>
      </c>
      <c r="Z51">
        <v>0.93</v>
      </c>
      <c r="AA51">
        <v>15</v>
      </c>
      <c r="AB51">
        <v>8</v>
      </c>
      <c r="AC51">
        <v>7</v>
      </c>
      <c r="AD51">
        <v>53.33</v>
      </c>
      <c r="AE51">
        <v>12</v>
      </c>
      <c r="AF51">
        <v>6</v>
      </c>
      <c r="AG51">
        <v>2</v>
      </c>
      <c r="AH51">
        <v>7</v>
      </c>
    </row>
    <row r="52" spans="1:34">
      <c r="A52" s="109">
        <v>147</v>
      </c>
      <c r="B52">
        <v>4202</v>
      </c>
      <c r="C52" s="113" t="s">
        <v>115</v>
      </c>
      <c r="D52" s="113" t="s">
        <v>86</v>
      </c>
      <c r="E52">
        <v>1086</v>
      </c>
      <c r="F52">
        <v>1075</v>
      </c>
      <c r="G52">
        <v>900</v>
      </c>
      <c r="H52" s="113" t="s">
        <v>85</v>
      </c>
      <c r="I52">
        <v>7278</v>
      </c>
      <c r="J52" s="113" t="s">
        <v>108</v>
      </c>
      <c r="K52" s="113" t="s">
        <v>109</v>
      </c>
      <c r="L52">
        <v>2545</v>
      </c>
      <c r="M52">
        <v>2548</v>
      </c>
      <c r="N52">
        <v>400</v>
      </c>
      <c r="O52" s="113" t="s">
        <v>87</v>
      </c>
      <c r="P52">
        <v>0.92476622480646498</v>
      </c>
      <c r="Q52">
        <v>0.910821668181929</v>
      </c>
      <c r="R52">
        <v>6.6390209300284095E-2</v>
      </c>
      <c r="S52">
        <v>0.32046370897499699</v>
      </c>
      <c r="T52">
        <v>-0.51584665489021098</v>
      </c>
      <c r="U52">
        <v>0.51584665489021098</v>
      </c>
      <c r="V52">
        <v>-1.86</v>
      </c>
      <c r="W52">
        <v>5.07</v>
      </c>
      <c r="X52">
        <v>234049</v>
      </c>
      <c r="Y52">
        <v>11702</v>
      </c>
      <c r="Z52">
        <v>0.56999999999999995</v>
      </c>
      <c r="AA52">
        <v>20</v>
      </c>
      <c r="AB52">
        <v>12</v>
      </c>
      <c r="AC52">
        <v>8</v>
      </c>
      <c r="AD52">
        <v>60</v>
      </c>
      <c r="AE52">
        <v>12</v>
      </c>
      <c r="AF52">
        <v>7</v>
      </c>
      <c r="AG52">
        <v>5</v>
      </c>
      <c r="AH52">
        <v>8</v>
      </c>
    </row>
    <row r="53" spans="1:34">
      <c r="A53" s="109">
        <v>180</v>
      </c>
      <c r="B53">
        <v>5333</v>
      </c>
      <c r="C53" s="113" t="s">
        <v>371</v>
      </c>
      <c r="D53" s="113" t="s">
        <v>132</v>
      </c>
      <c r="E53">
        <v>1901</v>
      </c>
      <c r="F53">
        <v>1890</v>
      </c>
      <c r="G53">
        <v>600</v>
      </c>
      <c r="H53" s="113" t="s">
        <v>85</v>
      </c>
      <c r="I53">
        <v>7282</v>
      </c>
      <c r="J53" s="113" t="s">
        <v>993</v>
      </c>
      <c r="K53" s="113" t="s">
        <v>109</v>
      </c>
      <c r="L53">
        <v>2641</v>
      </c>
      <c r="M53">
        <v>2650</v>
      </c>
      <c r="N53">
        <v>400</v>
      </c>
      <c r="O53" s="113" t="s">
        <v>87</v>
      </c>
      <c r="P53">
        <v>0.97969580325028105</v>
      </c>
      <c r="Q53">
        <v>0.90579526490905704</v>
      </c>
      <c r="R53" s="113">
        <v>1.6805765433583501E-3</v>
      </c>
      <c r="S53">
        <v>5.4291217141828801E-2</v>
      </c>
      <c r="T53">
        <v>-3.9139837276262801E-2</v>
      </c>
      <c r="U53">
        <v>3.9139837276262801E-2</v>
      </c>
      <c r="V53">
        <v>-0.09</v>
      </c>
      <c r="W53">
        <v>6.98</v>
      </c>
      <c r="X53">
        <v>231982</v>
      </c>
      <c r="Y53">
        <v>12888</v>
      </c>
      <c r="Z53">
        <v>0.65</v>
      </c>
      <c r="AA53">
        <v>18</v>
      </c>
      <c r="AB53">
        <v>10</v>
      </c>
      <c r="AC53">
        <v>8</v>
      </c>
      <c r="AD53">
        <v>55.56</v>
      </c>
      <c r="AE53">
        <v>13</v>
      </c>
      <c r="AF53">
        <v>6</v>
      </c>
      <c r="AG53">
        <v>2</v>
      </c>
      <c r="AH53">
        <v>10</v>
      </c>
    </row>
    <row r="54" spans="1:34">
      <c r="A54" s="109">
        <v>193</v>
      </c>
      <c r="B54">
        <v>6588</v>
      </c>
      <c r="C54" s="113" t="s">
        <v>995</v>
      </c>
      <c r="D54" s="113" t="s">
        <v>112</v>
      </c>
      <c r="E54">
        <v>4625</v>
      </c>
      <c r="F54">
        <v>4680</v>
      </c>
      <c r="G54">
        <v>200</v>
      </c>
      <c r="H54" s="113" t="s">
        <v>87</v>
      </c>
      <c r="I54">
        <v>6856</v>
      </c>
      <c r="J54" s="113" t="s">
        <v>368</v>
      </c>
      <c r="K54" s="113" t="s">
        <v>112</v>
      </c>
      <c r="L54">
        <v>7530</v>
      </c>
      <c r="M54">
        <v>7510</v>
      </c>
      <c r="N54">
        <v>100</v>
      </c>
      <c r="O54" s="113" t="s">
        <v>85</v>
      </c>
      <c r="P54">
        <v>0.90045243049549195</v>
      </c>
      <c r="Q54">
        <v>0.90326177509894701</v>
      </c>
      <c r="R54" s="113">
        <v>0.22776193151027699</v>
      </c>
      <c r="S54">
        <v>5.03919062421379E-2</v>
      </c>
      <c r="T54">
        <v>2.09239232291372</v>
      </c>
      <c r="U54">
        <v>2.09239232291372</v>
      </c>
      <c r="V54">
        <v>11.32</v>
      </c>
      <c r="W54">
        <v>24.63</v>
      </c>
      <c r="X54">
        <v>227126</v>
      </c>
      <c r="Y54">
        <v>17471</v>
      </c>
      <c r="Z54">
        <v>0.97</v>
      </c>
      <c r="AA54">
        <v>13</v>
      </c>
      <c r="AB54">
        <v>8</v>
      </c>
      <c r="AC54">
        <v>5</v>
      </c>
      <c r="AD54">
        <v>61.54</v>
      </c>
      <c r="AE54">
        <v>13</v>
      </c>
      <c r="AF54">
        <v>6</v>
      </c>
      <c r="AG54">
        <v>3</v>
      </c>
      <c r="AH54">
        <v>4</v>
      </c>
    </row>
    <row r="55" spans="1:34">
      <c r="A55" s="109">
        <v>67</v>
      </c>
      <c r="B55">
        <v>4519</v>
      </c>
      <c r="C55" s="113" t="s">
        <v>994</v>
      </c>
      <c r="D55" s="113" t="s">
        <v>164</v>
      </c>
      <c r="E55">
        <v>9801</v>
      </c>
      <c r="F55">
        <v>9845</v>
      </c>
      <c r="G55">
        <v>100</v>
      </c>
      <c r="H55" s="113" t="s">
        <v>85</v>
      </c>
      <c r="I55">
        <v>6588</v>
      </c>
      <c r="J55" s="113" t="s">
        <v>995</v>
      </c>
      <c r="K55" s="113" t="s">
        <v>112</v>
      </c>
      <c r="L55">
        <v>4625</v>
      </c>
      <c r="M55">
        <v>4680</v>
      </c>
      <c r="N55">
        <v>200</v>
      </c>
      <c r="O55" s="113" t="s">
        <v>87</v>
      </c>
      <c r="P55">
        <v>0.94741526987683899</v>
      </c>
      <c r="Q55">
        <v>0.93160550397702002</v>
      </c>
      <c r="R55" s="113">
        <v>1.9586091919539399E-2</v>
      </c>
      <c r="S55">
        <v>0.15540910945830799</v>
      </c>
      <c r="T55">
        <v>-1.8425201176391699</v>
      </c>
      <c r="U55">
        <v>1.8425201176391699</v>
      </c>
      <c r="V55">
        <v>-11.32</v>
      </c>
      <c r="W55">
        <v>4.93</v>
      </c>
      <c r="X55">
        <v>222279</v>
      </c>
      <c r="Y55">
        <v>13892</v>
      </c>
      <c r="Z55">
        <v>0.92</v>
      </c>
      <c r="AA55">
        <v>16</v>
      </c>
      <c r="AB55">
        <v>10</v>
      </c>
      <c r="AC55">
        <v>6</v>
      </c>
      <c r="AD55">
        <v>62.5</v>
      </c>
      <c r="AE55">
        <v>11</v>
      </c>
      <c r="AF55">
        <v>7</v>
      </c>
      <c r="AG55">
        <v>4</v>
      </c>
      <c r="AH55">
        <v>5</v>
      </c>
    </row>
    <row r="56" spans="1:34">
      <c r="A56" s="109">
        <v>208</v>
      </c>
      <c r="B56">
        <v>1820</v>
      </c>
      <c r="C56" s="113" t="s">
        <v>148</v>
      </c>
      <c r="D56" s="113" t="s">
        <v>103</v>
      </c>
      <c r="E56">
        <v>2488</v>
      </c>
      <c r="F56">
        <v>2516</v>
      </c>
      <c r="G56">
        <v>400</v>
      </c>
      <c r="H56" s="113" t="s">
        <v>87</v>
      </c>
      <c r="I56">
        <v>6752</v>
      </c>
      <c r="J56" s="113" t="s">
        <v>131</v>
      </c>
      <c r="K56" s="113" t="s">
        <v>112</v>
      </c>
      <c r="L56">
        <v>1040.5</v>
      </c>
      <c r="M56">
        <v>1034.5</v>
      </c>
      <c r="N56">
        <v>1000</v>
      </c>
      <c r="O56" s="113" t="s">
        <v>85</v>
      </c>
      <c r="P56">
        <v>0.92733864667479304</v>
      </c>
      <c r="Q56">
        <v>0.90067675689175697</v>
      </c>
      <c r="R56" s="20">
        <v>0.28422780679303</v>
      </c>
      <c r="S56">
        <v>2.54669305579137E-2</v>
      </c>
      <c r="T56">
        <v>1.4593136758505101</v>
      </c>
      <c r="U56">
        <v>1.4593136758505101</v>
      </c>
      <c r="V56">
        <v>4.6100000000000003</v>
      </c>
      <c r="W56">
        <v>2.79</v>
      </c>
      <c r="X56">
        <v>220880</v>
      </c>
      <c r="Y56">
        <v>13805</v>
      </c>
      <c r="Z56">
        <v>0.65</v>
      </c>
      <c r="AA56">
        <v>16</v>
      </c>
      <c r="AB56">
        <v>10</v>
      </c>
      <c r="AC56">
        <v>6</v>
      </c>
      <c r="AD56">
        <v>62.5</v>
      </c>
      <c r="AE56">
        <v>13</v>
      </c>
      <c r="AF56">
        <v>7</v>
      </c>
      <c r="AG56">
        <v>3</v>
      </c>
      <c r="AH56">
        <v>6</v>
      </c>
    </row>
    <row r="57" spans="1:34">
      <c r="A57" s="109">
        <v>154</v>
      </c>
      <c r="B57">
        <v>2175</v>
      </c>
      <c r="C57" s="113" t="s">
        <v>364</v>
      </c>
      <c r="D57" s="113" t="s">
        <v>146</v>
      </c>
      <c r="E57">
        <v>2993</v>
      </c>
      <c r="F57">
        <v>3015</v>
      </c>
      <c r="G57">
        <v>200</v>
      </c>
      <c r="H57" s="113" t="s">
        <v>85</v>
      </c>
      <c r="I57">
        <v>4686</v>
      </c>
      <c r="J57" s="113" t="s">
        <v>1324</v>
      </c>
      <c r="K57" s="113" t="s">
        <v>104</v>
      </c>
      <c r="L57">
        <v>6000</v>
      </c>
      <c r="M57">
        <v>6040</v>
      </c>
      <c r="N57">
        <v>100</v>
      </c>
      <c r="O57" s="113" t="s">
        <v>87</v>
      </c>
      <c r="P57">
        <v>0.926827439382227</v>
      </c>
      <c r="Q57">
        <v>0.90967142612455798</v>
      </c>
      <c r="R57">
        <v>7.2888200429218405E-4</v>
      </c>
      <c r="S57" s="20">
        <v>0.209552282413318</v>
      </c>
      <c r="T57">
        <v>-1.8256006230357</v>
      </c>
      <c r="U57">
        <v>1.8256006230357</v>
      </c>
      <c r="V57">
        <v>-22.53</v>
      </c>
      <c r="W57">
        <v>0.17</v>
      </c>
      <c r="X57">
        <v>219732</v>
      </c>
      <c r="Y57">
        <v>14649</v>
      </c>
      <c r="Z57">
        <v>0.71</v>
      </c>
      <c r="AA57">
        <v>15</v>
      </c>
      <c r="AB57">
        <v>10</v>
      </c>
      <c r="AC57">
        <v>5</v>
      </c>
      <c r="AD57">
        <v>66.67</v>
      </c>
      <c r="AE57">
        <v>9</v>
      </c>
      <c r="AF57">
        <v>8</v>
      </c>
      <c r="AG57">
        <v>5</v>
      </c>
      <c r="AH57">
        <v>2</v>
      </c>
    </row>
    <row r="58" spans="1:34">
      <c r="A58" s="109">
        <v>76</v>
      </c>
      <c r="B58">
        <v>3635</v>
      </c>
      <c r="C58" s="113" t="s">
        <v>110</v>
      </c>
      <c r="D58" s="113" t="s">
        <v>104</v>
      </c>
      <c r="E58">
        <v>2646</v>
      </c>
      <c r="F58">
        <v>2631</v>
      </c>
      <c r="G58">
        <v>400</v>
      </c>
      <c r="H58" s="113" t="s">
        <v>87</v>
      </c>
      <c r="I58">
        <v>8593</v>
      </c>
      <c r="J58" s="113" t="s">
        <v>345</v>
      </c>
      <c r="K58" s="113" t="s">
        <v>332</v>
      </c>
      <c r="L58">
        <v>709</v>
      </c>
      <c r="M58">
        <v>709</v>
      </c>
      <c r="N58">
        <v>1500</v>
      </c>
      <c r="O58" s="113" t="s">
        <v>85</v>
      </c>
      <c r="P58">
        <v>0.91225595804341897</v>
      </c>
      <c r="Q58">
        <v>0.92908601288916204</v>
      </c>
      <c r="R58">
        <v>9.4098425758590107E-2</v>
      </c>
      <c r="S58" s="20">
        <v>2.6747039082004001E-2</v>
      </c>
      <c r="T58">
        <v>0.34262113988070803</v>
      </c>
      <c r="U58">
        <v>0.34262113988070803</v>
      </c>
      <c r="V58">
        <v>0.87</v>
      </c>
      <c r="W58">
        <v>1.05</v>
      </c>
      <c r="X58">
        <v>218633</v>
      </c>
      <c r="Y58">
        <v>12861</v>
      </c>
      <c r="Z58">
        <v>0.62</v>
      </c>
      <c r="AA58">
        <v>17</v>
      </c>
      <c r="AB58">
        <v>10</v>
      </c>
      <c r="AC58">
        <v>7</v>
      </c>
      <c r="AD58">
        <v>58.82</v>
      </c>
      <c r="AE58">
        <v>12</v>
      </c>
      <c r="AF58">
        <v>7</v>
      </c>
      <c r="AG58">
        <v>4</v>
      </c>
      <c r="AH58">
        <v>6</v>
      </c>
    </row>
    <row r="59" spans="1:34">
      <c r="A59" s="109">
        <v>118</v>
      </c>
      <c r="B59">
        <v>1860</v>
      </c>
      <c r="C59" s="113" t="s">
        <v>137</v>
      </c>
      <c r="D59" s="113" t="s">
        <v>103</v>
      </c>
      <c r="E59">
        <v>708</v>
      </c>
      <c r="F59">
        <v>714</v>
      </c>
      <c r="G59">
        <v>1300</v>
      </c>
      <c r="H59" s="113" t="s">
        <v>85</v>
      </c>
      <c r="I59">
        <v>7272</v>
      </c>
      <c r="J59" s="113" t="s">
        <v>333</v>
      </c>
      <c r="K59" s="113" t="s">
        <v>109</v>
      </c>
      <c r="L59">
        <v>2300</v>
      </c>
      <c r="M59">
        <v>2292</v>
      </c>
      <c r="N59">
        <v>400</v>
      </c>
      <c r="O59" s="113" t="s">
        <v>87</v>
      </c>
      <c r="P59">
        <v>0.90680284461103799</v>
      </c>
      <c r="Q59">
        <v>0.91665282141082605</v>
      </c>
      <c r="R59">
        <v>0.21312529309448</v>
      </c>
      <c r="S59" s="20">
        <v>1.8922496027612E-3</v>
      </c>
      <c r="T59">
        <v>-0.358090006394648</v>
      </c>
      <c r="U59">
        <v>0.358090006394648</v>
      </c>
      <c r="V59">
        <v>-1.34</v>
      </c>
      <c r="W59">
        <v>1.24</v>
      </c>
      <c r="X59">
        <v>215662</v>
      </c>
      <c r="Y59">
        <v>11351</v>
      </c>
      <c r="Z59">
        <v>0.54</v>
      </c>
      <c r="AA59">
        <v>19</v>
      </c>
      <c r="AB59">
        <v>11</v>
      </c>
      <c r="AC59">
        <v>8</v>
      </c>
      <c r="AD59">
        <v>57.89</v>
      </c>
      <c r="AE59">
        <v>11</v>
      </c>
      <c r="AF59">
        <v>10</v>
      </c>
      <c r="AG59">
        <v>5</v>
      </c>
      <c r="AH59">
        <v>4</v>
      </c>
    </row>
    <row r="60" spans="1:34">
      <c r="A60" s="109">
        <v>143</v>
      </c>
      <c r="B60">
        <v>3105</v>
      </c>
      <c r="C60" s="113" t="s">
        <v>116</v>
      </c>
      <c r="D60" s="113" t="s">
        <v>112</v>
      </c>
      <c r="E60">
        <v>1039</v>
      </c>
      <c r="F60">
        <v>1040</v>
      </c>
      <c r="G60">
        <v>1000</v>
      </c>
      <c r="H60" s="113" t="s">
        <v>85</v>
      </c>
      <c r="I60">
        <v>6770</v>
      </c>
      <c r="J60" s="113" t="s">
        <v>50</v>
      </c>
      <c r="K60" s="113" t="s">
        <v>112</v>
      </c>
      <c r="L60">
        <v>2531</v>
      </c>
      <c r="M60">
        <v>2571</v>
      </c>
      <c r="N60">
        <v>400</v>
      </c>
      <c r="O60" s="113" t="s">
        <v>87</v>
      </c>
      <c r="P60">
        <v>0.94492057766688997</v>
      </c>
      <c r="Q60">
        <v>0.91244955965137997</v>
      </c>
      <c r="R60" s="20">
        <v>0.20736838322450399</v>
      </c>
      <c r="S60" s="20">
        <v>5.5409845967305998E-2</v>
      </c>
      <c r="T60">
        <v>-0.67008861741522496</v>
      </c>
      <c r="U60">
        <v>0.67008861741522496</v>
      </c>
      <c r="V60">
        <v>-2.8</v>
      </c>
      <c r="W60">
        <v>1.1299999999999999</v>
      </c>
      <c r="X60">
        <v>211945</v>
      </c>
      <c r="Y60">
        <v>10093</v>
      </c>
      <c r="Z60">
        <v>0.54</v>
      </c>
      <c r="AA60">
        <v>21</v>
      </c>
      <c r="AB60">
        <v>12</v>
      </c>
      <c r="AC60">
        <v>9</v>
      </c>
      <c r="AD60">
        <v>57.14</v>
      </c>
      <c r="AE60">
        <v>9</v>
      </c>
      <c r="AF60">
        <v>11</v>
      </c>
      <c r="AG60">
        <v>7</v>
      </c>
      <c r="AH60">
        <v>3</v>
      </c>
    </row>
    <row r="61" spans="1:34">
      <c r="A61" s="109">
        <v>158</v>
      </c>
      <c r="B61">
        <v>6702</v>
      </c>
      <c r="C61" s="113" t="s">
        <v>369</v>
      </c>
      <c r="D61" s="113" t="s">
        <v>112</v>
      </c>
      <c r="E61">
        <v>10250</v>
      </c>
      <c r="F61">
        <v>10215</v>
      </c>
      <c r="G61">
        <v>100</v>
      </c>
      <c r="H61" s="113" t="s">
        <v>87</v>
      </c>
      <c r="I61">
        <v>8425</v>
      </c>
      <c r="J61" s="113" t="s">
        <v>353</v>
      </c>
      <c r="K61" s="113" t="s">
        <v>332</v>
      </c>
      <c r="L61">
        <v>3275</v>
      </c>
      <c r="M61">
        <v>3295</v>
      </c>
      <c r="N61">
        <v>300</v>
      </c>
      <c r="O61" s="113" t="s">
        <v>85</v>
      </c>
      <c r="P61">
        <v>0.90012995069219603</v>
      </c>
      <c r="Q61">
        <v>0.90878504272525096</v>
      </c>
      <c r="R61">
        <v>6.5998031081390698E-2</v>
      </c>
      <c r="S61">
        <v>2.0419348692830599E-2</v>
      </c>
      <c r="T61">
        <v>0.65396205256460505</v>
      </c>
      <c r="U61">
        <v>0.65396205256460505</v>
      </c>
      <c r="V61">
        <v>2.33</v>
      </c>
      <c r="W61">
        <v>3.23</v>
      </c>
      <c r="X61">
        <v>210665</v>
      </c>
      <c r="Y61">
        <v>15048</v>
      </c>
      <c r="Z61">
        <v>1.01</v>
      </c>
      <c r="AA61">
        <v>14</v>
      </c>
      <c r="AB61">
        <v>10</v>
      </c>
      <c r="AC61">
        <v>4</v>
      </c>
      <c r="AD61">
        <v>71.430000000000007</v>
      </c>
      <c r="AE61">
        <v>14</v>
      </c>
      <c r="AF61">
        <v>7</v>
      </c>
      <c r="AG61">
        <v>2</v>
      </c>
      <c r="AH61">
        <v>5</v>
      </c>
    </row>
    <row r="62" spans="1:34">
      <c r="A62" s="109">
        <v>196</v>
      </c>
      <c r="B62">
        <v>5471</v>
      </c>
      <c r="C62" s="113" t="s">
        <v>337</v>
      </c>
      <c r="D62" s="113" t="s">
        <v>118</v>
      </c>
      <c r="E62">
        <v>4960</v>
      </c>
      <c r="F62">
        <v>4890</v>
      </c>
      <c r="G62">
        <v>200</v>
      </c>
      <c r="H62" s="113" t="s">
        <v>85</v>
      </c>
      <c r="I62">
        <v>8253</v>
      </c>
      <c r="J62" s="113" t="s">
        <v>1326</v>
      </c>
      <c r="K62" s="113" t="s">
        <v>332</v>
      </c>
      <c r="L62">
        <v>1827</v>
      </c>
      <c r="M62">
        <v>1823</v>
      </c>
      <c r="N62">
        <v>500</v>
      </c>
      <c r="O62" s="113" t="s">
        <v>87</v>
      </c>
      <c r="P62">
        <v>0.91209351950749296</v>
      </c>
      <c r="Q62">
        <v>0.90308439817536001</v>
      </c>
      <c r="R62" s="20">
        <v>0.20061900808740701</v>
      </c>
      <c r="S62">
        <v>1.17158505165756E-2</v>
      </c>
      <c r="T62">
        <v>-1.76695821484983</v>
      </c>
      <c r="U62">
        <v>1.76695821484983</v>
      </c>
      <c r="V62">
        <v>-14.02</v>
      </c>
      <c r="W62">
        <v>6.8</v>
      </c>
      <c r="X62">
        <v>209620</v>
      </c>
      <c r="Y62">
        <v>14973</v>
      </c>
      <c r="Z62">
        <v>1.1000000000000001</v>
      </c>
      <c r="AA62">
        <v>14</v>
      </c>
      <c r="AB62">
        <v>11</v>
      </c>
      <c r="AC62">
        <v>3</v>
      </c>
      <c r="AD62">
        <v>78.569999999999993</v>
      </c>
      <c r="AE62">
        <v>13</v>
      </c>
      <c r="AF62">
        <v>7</v>
      </c>
      <c r="AG62">
        <v>2</v>
      </c>
      <c r="AH62">
        <v>5</v>
      </c>
    </row>
    <row r="63" spans="1:34">
      <c r="A63" s="109">
        <v>120</v>
      </c>
      <c r="B63">
        <v>6674</v>
      </c>
      <c r="C63" s="113" t="s">
        <v>367</v>
      </c>
      <c r="D63" s="113" t="s">
        <v>112</v>
      </c>
      <c r="E63">
        <v>2339</v>
      </c>
      <c r="F63">
        <v>2343</v>
      </c>
      <c r="G63">
        <v>400</v>
      </c>
      <c r="H63" s="113" t="s">
        <v>87</v>
      </c>
      <c r="I63">
        <v>6752</v>
      </c>
      <c r="J63" s="113" t="s">
        <v>131</v>
      </c>
      <c r="K63" s="113" t="s">
        <v>112</v>
      </c>
      <c r="L63">
        <v>1040.5</v>
      </c>
      <c r="M63">
        <v>1034.5</v>
      </c>
      <c r="N63">
        <v>900</v>
      </c>
      <c r="O63" s="113" t="s">
        <v>85</v>
      </c>
      <c r="P63">
        <v>0.94993314984302102</v>
      </c>
      <c r="Q63">
        <v>0.91638658222935598</v>
      </c>
      <c r="R63" s="20">
        <v>3.7929306988413701E-2</v>
      </c>
      <c r="S63">
        <v>0.38831470071047902</v>
      </c>
      <c r="T63">
        <v>1.56282704748906</v>
      </c>
      <c r="U63">
        <v>1.56282704748906</v>
      </c>
      <c r="V63">
        <v>4.5599999999999996</v>
      </c>
      <c r="W63">
        <v>0.66</v>
      </c>
      <c r="X63">
        <v>208764</v>
      </c>
      <c r="Y63">
        <v>13048</v>
      </c>
      <c r="Z63">
        <v>0.75</v>
      </c>
      <c r="AA63">
        <v>16</v>
      </c>
      <c r="AB63">
        <v>10</v>
      </c>
      <c r="AC63">
        <v>6</v>
      </c>
      <c r="AD63">
        <v>62.5</v>
      </c>
      <c r="AE63">
        <v>12</v>
      </c>
      <c r="AF63">
        <v>6</v>
      </c>
      <c r="AG63">
        <v>2</v>
      </c>
      <c r="AH63">
        <v>8</v>
      </c>
    </row>
    <row r="64" spans="1:34">
      <c r="A64" s="109">
        <v>134</v>
      </c>
      <c r="B64">
        <v>5333</v>
      </c>
      <c r="C64" s="113" t="s">
        <v>371</v>
      </c>
      <c r="D64" s="113" t="s">
        <v>132</v>
      </c>
      <c r="E64">
        <v>1901</v>
      </c>
      <c r="F64">
        <v>1890</v>
      </c>
      <c r="G64">
        <v>600</v>
      </c>
      <c r="H64" s="113" t="s">
        <v>87</v>
      </c>
      <c r="I64">
        <v>6995</v>
      </c>
      <c r="J64" s="113" t="s">
        <v>117</v>
      </c>
      <c r="K64" s="113" t="s">
        <v>109</v>
      </c>
      <c r="L64">
        <v>2178</v>
      </c>
      <c r="M64">
        <v>2150</v>
      </c>
      <c r="N64">
        <v>500</v>
      </c>
      <c r="O64" s="113" t="s">
        <v>85</v>
      </c>
      <c r="P64">
        <v>0.96991692916220196</v>
      </c>
      <c r="Q64">
        <v>0.91417049029287301</v>
      </c>
      <c r="R64" s="20">
        <v>3.1666762601230303E-2</v>
      </c>
      <c r="S64" s="113">
        <v>2.7753683081354698E-2</v>
      </c>
      <c r="T64">
        <v>1.28420067074773</v>
      </c>
      <c r="U64">
        <v>1.28420067074773</v>
      </c>
      <c r="V64">
        <v>3.41</v>
      </c>
      <c r="W64">
        <v>5.49</v>
      </c>
      <c r="X64">
        <v>207740</v>
      </c>
      <c r="Y64">
        <v>11541</v>
      </c>
      <c r="Z64">
        <v>0.59</v>
      </c>
      <c r="AA64">
        <v>18</v>
      </c>
      <c r="AB64">
        <v>12</v>
      </c>
      <c r="AC64">
        <v>6</v>
      </c>
      <c r="AD64">
        <v>66.67</v>
      </c>
      <c r="AE64">
        <v>15</v>
      </c>
      <c r="AF64">
        <v>4</v>
      </c>
      <c r="AG64">
        <v>2</v>
      </c>
      <c r="AH64">
        <v>12</v>
      </c>
    </row>
    <row r="65" spans="1:34">
      <c r="A65" s="109">
        <v>178</v>
      </c>
      <c r="B65">
        <v>4183</v>
      </c>
      <c r="C65" s="113" t="s">
        <v>334</v>
      </c>
      <c r="D65" s="113" t="s">
        <v>86</v>
      </c>
      <c r="E65">
        <v>2625</v>
      </c>
      <c r="F65">
        <v>2619</v>
      </c>
      <c r="G65">
        <v>400</v>
      </c>
      <c r="H65" s="113" t="s">
        <v>85</v>
      </c>
      <c r="I65">
        <v>4208</v>
      </c>
      <c r="J65" s="113" t="s">
        <v>124</v>
      </c>
      <c r="K65" s="113" t="s">
        <v>86</v>
      </c>
      <c r="L65">
        <v>2376</v>
      </c>
      <c r="M65">
        <v>2358</v>
      </c>
      <c r="N65">
        <v>400</v>
      </c>
      <c r="O65" s="113" t="s">
        <v>87</v>
      </c>
      <c r="P65">
        <v>0.93803121493920105</v>
      </c>
      <c r="Q65">
        <v>0.90630055367284601</v>
      </c>
      <c r="R65">
        <v>5.6951593249943899E-3</v>
      </c>
      <c r="S65">
        <v>4.8842980155377698E-2</v>
      </c>
      <c r="T65">
        <v>-0.895448366274334</v>
      </c>
      <c r="U65">
        <v>0.895448366274334</v>
      </c>
      <c r="V65">
        <v>-1.34</v>
      </c>
      <c r="W65">
        <v>9.9700000000000006</v>
      </c>
      <c r="X65">
        <v>207621</v>
      </c>
      <c r="Y65">
        <v>20762</v>
      </c>
      <c r="Z65">
        <v>1.0900000000000001</v>
      </c>
      <c r="AA65">
        <v>10</v>
      </c>
      <c r="AB65">
        <v>9</v>
      </c>
      <c r="AC65">
        <v>1</v>
      </c>
      <c r="AD65">
        <v>90</v>
      </c>
      <c r="AE65">
        <v>14</v>
      </c>
      <c r="AF65">
        <v>3</v>
      </c>
      <c r="AG65">
        <v>0</v>
      </c>
      <c r="AH65">
        <v>7</v>
      </c>
    </row>
    <row r="66" spans="1:34">
      <c r="A66" s="109">
        <v>148</v>
      </c>
      <c r="B66">
        <v>1860</v>
      </c>
      <c r="C66" s="113" t="s">
        <v>137</v>
      </c>
      <c r="D66" s="113" t="s">
        <v>103</v>
      </c>
      <c r="E66">
        <v>708</v>
      </c>
      <c r="F66">
        <v>714</v>
      </c>
      <c r="G66">
        <v>1100</v>
      </c>
      <c r="H66" s="113" t="s">
        <v>87</v>
      </c>
      <c r="I66">
        <v>9787</v>
      </c>
      <c r="J66" s="113" t="s">
        <v>1327</v>
      </c>
      <c r="K66" s="113" t="s">
        <v>146</v>
      </c>
      <c r="L66">
        <v>3865</v>
      </c>
      <c r="M66">
        <v>3860</v>
      </c>
      <c r="N66">
        <v>200</v>
      </c>
      <c r="O66" s="113" t="s">
        <v>85</v>
      </c>
      <c r="P66">
        <v>0.91359084426725501</v>
      </c>
      <c r="Q66">
        <v>0.910087585399598</v>
      </c>
      <c r="R66">
        <v>0.20623548648630599</v>
      </c>
      <c r="S66">
        <v>1.00116056862263E-3</v>
      </c>
      <c r="T66">
        <v>1.5602522480202701</v>
      </c>
      <c r="U66">
        <v>1.5602522480202701</v>
      </c>
      <c r="V66">
        <v>2.99</v>
      </c>
      <c r="W66">
        <v>1.74</v>
      </c>
      <c r="X66">
        <v>202804</v>
      </c>
      <c r="Y66">
        <v>9657</v>
      </c>
      <c r="Z66">
        <v>0.48</v>
      </c>
      <c r="AA66">
        <v>21</v>
      </c>
      <c r="AB66">
        <v>11</v>
      </c>
      <c r="AC66">
        <v>10</v>
      </c>
      <c r="AD66">
        <v>52.38</v>
      </c>
      <c r="AE66">
        <v>12</v>
      </c>
      <c r="AF66">
        <v>8</v>
      </c>
      <c r="AG66">
        <v>4</v>
      </c>
      <c r="AH66">
        <v>9</v>
      </c>
    </row>
    <row r="67" spans="1:34">
      <c r="A67" s="109">
        <v>53</v>
      </c>
      <c r="B67">
        <v>4182</v>
      </c>
      <c r="C67" s="113" t="s">
        <v>113</v>
      </c>
      <c r="D67" s="113" t="s">
        <v>86</v>
      </c>
      <c r="E67">
        <v>1681</v>
      </c>
      <c r="F67">
        <v>1679</v>
      </c>
      <c r="G67">
        <v>600</v>
      </c>
      <c r="H67" s="113" t="s">
        <v>85</v>
      </c>
      <c r="I67">
        <v>5802</v>
      </c>
      <c r="J67" s="113" t="s">
        <v>159</v>
      </c>
      <c r="K67" s="113" t="s">
        <v>160</v>
      </c>
      <c r="L67">
        <v>1665</v>
      </c>
      <c r="M67">
        <v>1657</v>
      </c>
      <c r="N67">
        <v>600</v>
      </c>
      <c r="O67" s="113" t="s">
        <v>87</v>
      </c>
      <c r="P67">
        <v>0.96397085952479</v>
      </c>
      <c r="Q67">
        <v>0.935368230850949</v>
      </c>
      <c r="R67">
        <v>0.31142944143898599</v>
      </c>
      <c r="S67">
        <v>1.6555527389082E-2</v>
      </c>
      <c r="T67">
        <v>-1.0872188935279701</v>
      </c>
      <c r="U67">
        <v>1.0872188935279701</v>
      </c>
      <c r="V67">
        <v>-2.5099999999999998</v>
      </c>
      <c r="W67">
        <v>1.31</v>
      </c>
      <c r="X67">
        <v>202282</v>
      </c>
      <c r="Y67">
        <v>11238</v>
      </c>
      <c r="Z67">
        <v>0.67</v>
      </c>
      <c r="AA67">
        <v>18</v>
      </c>
      <c r="AB67">
        <v>11</v>
      </c>
      <c r="AC67">
        <v>7</v>
      </c>
      <c r="AD67">
        <v>61.11</v>
      </c>
      <c r="AE67">
        <v>13</v>
      </c>
      <c r="AF67">
        <v>7</v>
      </c>
      <c r="AG67">
        <v>4</v>
      </c>
      <c r="AH67">
        <v>7</v>
      </c>
    </row>
    <row r="68" spans="1:34">
      <c r="A68" s="109">
        <v>54</v>
      </c>
      <c r="B68">
        <v>5463</v>
      </c>
      <c r="C68" s="113" t="s">
        <v>170</v>
      </c>
      <c r="D68" s="113" t="s">
        <v>118</v>
      </c>
      <c r="E68">
        <v>3175</v>
      </c>
      <c r="F68">
        <v>3140</v>
      </c>
      <c r="G68">
        <v>300</v>
      </c>
      <c r="H68" s="113" t="s">
        <v>85</v>
      </c>
      <c r="I68">
        <v>7189</v>
      </c>
      <c r="J68" s="113" t="s">
        <v>106</v>
      </c>
      <c r="K68" s="113" t="s">
        <v>107</v>
      </c>
      <c r="L68">
        <v>869</v>
      </c>
      <c r="M68">
        <v>874</v>
      </c>
      <c r="N68">
        <v>1100</v>
      </c>
      <c r="O68" s="113" t="s">
        <v>87</v>
      </c>
      <c r="P68">
        <v>0.90477275626338705</v>
      </c>
      <c r="Q68">
        <v>0.93536580076998699</v>
      </c>
      <c r="R68">
        <v>0.33624636646323403</v>
      </c>
      <c r="S68">
        <v>3.7304426487344597E-2</v>
      </c>
      <c r="T68">
        <v>-1.2305741737938101</v>
      </c>
      <c r="U68">
        <v>1.2305741737938101</v>
      </c>
      <c r="V68">
        <v>-5.13</v>
      </c>
      <c r="W68">
        <v>2.06</v>
      </c>
      <c r="X68">
        <v>202211</v>
      </c>
      <c r="Y68">
        <v>9191</v>
      </c>
      <c r="Z68">
        <v>0.51</v>
      </c>
      <c r="AA68">
        <v>22</v>
      </c>
      <c r="AB68">
        <v>12</v>
      </c>
      <c r="AC68">
        <v>10</v>
      </c>
      <c r="AD68">
        <v>54.55</v>
      </c>
      <c r="AE68">
        <v>11</v>
      </c>
      <c r="AF68">
        <v>9</v>
      </c>
      <c r="AG68">
        <v>5</v>
      </c>
      <c r="AH68">
        <v>8</v>
      </c>
    </row>
    <row r="69" spans="1:34">
      <c r="A69" s="109">
        <v>212</v>
      </c>
      <c r="B69">
        <v>1820</v>
      </c>
      <c r="C69" s="113" t="s">
        <v>148</v>
      </c>
      <c r="D69" s="113" t="s">
        <v>103</v>
      </c>
      <c r="E69">
        <v>2488</v>
      </c>
      <c r="F69">
        <v>2516</v>
      </c>
      <c r="G69">
        <v>400</v>
      </c>
      <c r="H69" s="113" t="s">
        <v>87</v>
      </c>
      <c r="I69">
        <v>4202</v>
      </c>
      <c r="J69" s="113" t="s">
        <v>115</v>
      </c>
      <c r="K69" s="113" t="s">
        <v>86</v>
      </c>
      <c r="L69">
        <v>1086</v>
      </c>
      <c r="M69">
        <v>1075</v>
      </c>
      <c r="N69">
        <v>900</v>
      </c>
      <c r="O69" s="113" t="s">
        <v>85</v>
      </c>
      <c r="P69">
        <v>0.93795492160567995</v>
      </c>
      <c r="Q69">
        <v>0.90024683220840296</v>
      </c>
      <c r="R69" s="113">
        <v>8.0115919662942195E-2</v>
      </c>
      <c r="S69" s="113">
        <v>7.0016225362448004E-2</v>
      </c>
      <c r="T69">
        <v>1.50399473849176</v>
      </c>
      <c r="U69">
        <v>1.50399473849176</v>
      </c>
      <c r="V69">
        <v>4.8499999999999996</v>
      </c>
      <c r="W69">
        <v>3.87</v>
      </c>
      <c r="X69">
        <v>201090</v>
      </c>
      <c r="Y69">
        <v>10584</v>
      </c>
      <c r="Z69">
        <v>0.56999999999999995</v>
      </c>
      <c r="AA69">
        <v>19</v>
      </c>
      <c r="AB69">
        <v>12</v>
      </c>
      <c r="AC69">
        <v>7</v>
      </c>
      <c r="AD69">
        <v>63.16</v>
      </c>
      <c r="AE69">
        <v>12</v>
      </c>
      <c r="AF69">
        <v>7</v>
      </c>
      <c r="AG69">
        <v>3</v>
      </c>
      <c r="AH69">
        <v>9</v>
      </c>
    </row>
    <row r="70" spans="1:34">
      <c r="A70" s="109">
        <v>189</v>
      </c>
      <c r="B70">
        <v>6471</v>
      </c>
      <c r="C70" s="113" t="s">
        <v>166</v>
      </c>
      <c r="D70" s="113" t="s">
        <v>125</v>
      </c>
      <c r="E70">
        <v>1077</v>
      </c>
      <c r="F70">
        <v>1063</v>
      </c>
      <c r="G70">
        <v>800</v>
      </c>
      <c r="H70" s="113" t="s">
        <v>85</v>
      </c>
      <c r="I70">
        <v>7259</v>
      </c>
      <c r="J70" s="113" t="s">
        <v>53</v>
      </c>
      <c r="K70" s="113" t="s">
        <v>109</v>
      </c>
      <c r="L70">
        <v>4240</v>
      </c>
      <c r="M70">
        <v>4200</v>
      </c>
      <c r="N70">
        <v>200</v>
      </c>
      <c r="O70" s="113" t="s">
        <v>87</v>
      </c>
      <c r="P70">
        <v>0.93645322280565502</v>
      </c>
      <c r="Q70">
        <v>0.90417207639473196</v>
      </c>
      <c r="R70" s="113">
        <v>1.01216990242962E-3</v>
      </c>
      <c r="S70">
        <v>1.53632808144338E-2</v>
      </c>
      <c r="T70">
        <v>-1.05642252332105</v>
      </c>
      <c r="U70">
        <v>1.05642252332105</v>
      </c>
      <c r="V70">
        <v>-4.46</v>
      </c>
      <c r="W70">
        <v>1.24</v>
      </c>
      <c r="X70">
        <v>199833</v>
      </c>
      <c r="Y70">
        <v>9516</v>
      </c>
      <c r="Z70">
        <v>0.62</v>
      </c>
      <c r="AA70">
        <v>21</v>
      </c>
      <c r="AB70">
        <v>14</v>
      </c>
      <c r="AC70">
        <v>7</v>
      </c>
      <c r="AD70">
        <v>66.67</v>
      </c>
      <c r="AE70">
        <v>12</v>
      </c>
      <c r="AF70">
        <v>8</v>
      </c>
      <c r="AG70">
        <v>4</v>
      </c>
      <c r="AH70">
        <v>9</v>
      </c>
    </row>
    <row r="71" spans="1:34">
      <c r="A71" s="109">
        <v>42</v>
      </c>
      <c r="B71">
        <v>7846</v>
      </c>
      <c r="C71" s="113" t="s">
        <v>150</v>
      </c>
      <c r="D71" s="113" t="s">
        <v>114</v>
      </c>
      <c r="E71">
        <v>4425</v>
      </c>
      <c r="F71">
        <v>4375</v>
      </c>
      <c r="G71">
        <v>200</v>
      </c>
      <c r="H71" s="113" t="s">
        <v>87</v>
      </c>
      <c r="I71">
        <v>9505</v>
      </c>
      <c r="J71" s="113" t="s">
        <v>151</v>
      </c>
      <c r="K71" s="113" t="s">
        <v>152</v>
      </c>
      <c r="L71">
        <v>785</v>
      </c>
      <c r="M71">
        <v>787</v>
      </c>
      <c r="N71">
        <v>1100</v>
      </c>
      <c r="O71" s="113" t="s">
        <v>85</v>
      </c>
      <c r="P71">
        <v>0.91162747151952905</v>
      </c>
      <c r="Q71">
        <v>0.93965848516466799</v>
      </c>
      <c r="R71">
        <v>2.4721660271149599E-2</v>
      </c>
      <c r="S71">
        <v>2.46845753615E-2</v>
      </c>
      <c r="T71">
        <v>0.85918038505508099</v>
      </c>
      <c r="U71">
        <v>0.85918038505508099</v>
      </c>
      <c r="V71">
        <v>1.61</v>
      </c>
      <c r="W71">
        <v>1.06</v>
      </c>
      <c r="X71">
        <v>198192</v>
      </c>
      <c r="Y71">
        <v>9438</v>
      </c>
      <c r="Z71">
        <v>0.55000000000000004</v>
      </c>
      <c r="AA71">
        <v>21</v>
      </c>
      <c r="AB71">
        <v>11</v>
      </c>
      <c r="AC71">
        <v>10</v>
      </c>
      <c r="AD71">
        <v>52.38</v>
      </c>
      <c r="AE71">
        <v>11</v>
      </c>
      <c r="AF71">
        <v>8</v>
      </c>
      <c r="AG71">
        <v>4</v>
      </c>
      <c r="AH71">
        <v>9</v>
      </c>
    </row>
    <row r="72" spans="1:34">
      <c r="A72" s="109">
        <v>6</v>
      </c>
      <c r="B72">
        <v>4182</v>
      </c>
      <c r="C72" s="113" t="s">
        <v>113</v>
      </c>
      <c r="D72" s="113" t="s">
        <v>86</v>
      </c>
      <c r="E72">
        <v>1681</v>
      </c>
      <c r="F72">
        <v>1679</v>
      </c>
      <c r="G72">
        <v>600</v>
      </c>
      <c r="H72" s="113" t="s">
        <v>85</v>
      </c>
      <c r="I72">
        <v>5991</v>
      </c>
      <c r="J72" s="113" t="s">
        <v>141</v>
      </c>
      <c r="K72" s="113" t="s">
        <v>142</v>
      </c>
      <c r="L72">
        <v>1003</v>
      </c>
      <c r="M72">
        <v>1004</v>
      </c>
      <c r="N72">
        <v>1000</v>
      </c>
      <c r="O72" s="113" t="s">
        <v>87</v>
      </c>
      <c r="P72">
        <v>0.96195322803289995</v>
      </c>
      <c r="Q72">
        <v>0.95915012284501699</v>
      </c>
      <c r="R72">
        <v>0.15071689311081099</v>
      </c>
      <c r="S72" s="20">
        <v>0.15729568006397199</v>
      </c>
      <c r="T72">
        <v>-1.38659119797144</v>
      </c>
      <c r="U72">
        <v>1.38659119797144</v>
      </c>
      <c r="V72">
        <v>-2.92</v>
      </c>
      <c r="W72">
        <v>0.34</v>
      </c>
      <c r="X72">
        <v>196981</v>
      </c>
      <c r="Y72">
        <v>10367</v>
      </c>
      <c r="Z72">
        <v>0.49</v>
      </c>
      <c r="AA72">
        <v>19</v>
      </c>
      <c r="AB72">
        <v>11</v>
      </c>
      <c r="AC72">
        <v>8</v>
      </c>
      <c r="AD72">
        <v>57.89</v>
      </c>
      <c r="AE72">
        <v>12</v>
      </c>
      <c r="AF72">
        <v>7</v>
      </c>
      <c r="AG72">
        <v>3</v>
      </c>
      <c r="AH72">
        <v>9</v>
      </c>
    </row>
    <row r="73" spans="1:34">
      <c r="A73" s="109">
        <v>18</v>
      </c>
      <c r="B73">
        <v>7181</v>
      </c>
      <c r="C73" s="113" t="s">
        <v>165</v>
      </c>
      <c r="D73" s="113" t="s">
        <v>136</v>
      </c>
      <c r="E73">
        <v>1933</v>
      </c>
      <c r="F73">
        <v>1939</v>
      </c>
      <c r="G73">
        <v>500</v>
      </c>
      <c r="H73" s="113" t="s">
        <v>87</v>
      </c>
      <c r="I73">
        <v>9956</v>
      </c>
      <c r="J73" s="113" t="s">
        <v>352</v>
      </c>
      <c r="K73" s="113" t="s">
        <v>121</v>
      </c>
      <c r="L73">
        <v>2037</v>
      </c>
      <c r="M73">
        <v>2055</v>
      </c>
      <c r="N73">
        <v>500</v>
      </c>
      <c r="O73" s="113" t="s">
        <v>85</v>
      </c>
      <c r="P73">
        <v>0.92516289636198801</v>
      </c>
      <c r="Q73">
        <v>0.94933873167023897</v>
      </c>
      <c r="R73">
        <v>5.9448350482240002E-3</v>
      </c>
      <c r="S73">
        <v>0.192330158438244</v>
      </c>
      <c r="T73">
        <v>1.930988383269</v>
      </c>
      <c r="U73">
        <v>1.930988383269</v>
      </c>
      <c r="V73">
        <v>4.95</v>
      </c>
      <c r="W73">
        <v>5.64</v>
      </c>
      <c r="X73">
        <v>196402</v>
      </c>
      <c r="Y73">
        <v>15108</v>
      </c>
      <c r="Z73">
        <v>0.7</v>
      </c>
      <c r="AA73">
        <v>13</v>
      </c>
      <c r="AB73">
        <v>9</v>
      </c>
      <c r="AC73">
        <v>4</v>
      </c>
      <c r="AD73">
        <v>69.23</v>
      </c>
      <c r="AE73">
        <v>14</v>
      </c>
      <c r="AF73">
        <v>3</v>
      </c>
      <c r="AG73">
        <v>1</v>
      </c>
      <c r="AH73">
        <v>9</v>
      </c>
    </row>
    <row r="74" spans="1:34">
      <c r="A74" s="109">
        <v>45</v>
      </c>
      <c r="B74">
        <v>2379</v>
      </c>
      <c r="C74" s="113" t="s">
        <v>1076</v>
      </c>
      <c r="D74" s="113" t="s">
        <v>146</v>
      </c>
      <c r="E74">
        <v>3100</v>
      </c>
      <c r="F74">
        <v>3145</v>
      </c>
      <c r="G74">
        <v>300</v>
      </c>
      <c r="H74" s="113" t="s">
        <v>87</v>
      </c>
      <c r="I74">
        <v>9437</v>
      </c>
      <c r="J74" s="113" t="s">
        <v>1077</v>
      </c>
      <c r="K74" s="113" t="s">
        <v>104</v>
      </c>
      <c r="L74">
        <v>2986.5</v>
      </c>
      <c r="M74">
        <v>3000</v>
      </c>
      <c r="N74">
        <v>300</v>
      </c>
      <c r="O74" s="113" t="s">
        <v>85</v>
      </c>
      <c r="P74">
        <v>0.91009641131615204</v>
      </c>
      <c r="Q74">
        <v>0.93776295012563304</v>
      </c>
      <c r="R74">
        <v>1.0312981566020099E-3</v>
      </c>
      <c r="S74" s="20">
        <v>2.1240312396222701E-2</v>
      </c>
      <c r="T74">
        <v>1.4463773503622299</v>
      </c>
      <c r="U74">
        <v>1.4463773503622299</v>
      </c>
      <c r="V74">
        <v>8.18</v>
      </c>
      <c r="W74">
        <v>4.6100000000000003</v>
      </c>
      <c r="X74">
        <v>196308</v>
      </c>
      <c r="Y74">
        <v>9348</v>
      </c>
      <c r="Z74">
        <v>0.5</v>
      </c>
      <c r="AA74">
        <v>21</v>
      </c>
      <c r="AB74">
        <v>11</v>
      </c>
      <c r="AC74">
        <v>10</v>
      </c>
      <c r="AD74">
        <v>52.38</v>
      </c>
      <c r="AE74">
        <v>10</v>
      </c>
      <c r="AF74">
        <v>8</v>
      </c>
      <c r="AG74">
        <v>6</v>
      </c>
      <c r="AH74">
        <v>7</v>
      </c>
    </row>
    <row r="75" spans="1:34">
      <c r="A75" s="109">
        <v>162</v>
      </c>
      <c r="B75">
        <v>1963</v>
      </c>
      <c r="C75" s="113" t="s">
        <v>158</v>
      </c>
      <c r="D75" s="113" t="s">
        <v>103</v>
      </c>
      <c r="E75">
        <v>1670</v>
      </c>
      <c r="F75">
        <v>1690</v>
      </c>
      <c r="G75">
        <v>600</v>
      </c>
      <c r="H75" s="113" t="s">
        <v>87</v>
      </c>
      <c r="I75">
        <v>4182</v>
      </c>
      <c r="J75" s="113" t="s">
        <v>113</v>
      </c>
      <c r="K75" s="113" t="s">
        <v>86</v>
      </c>
      <c r="L75">
        <v>1681</v>
      </c>
      <c r="M75">
        <v>1679</v>
      </c>
      <c r="N75">
        <v>600</v>
      </c>
      <c r="O75" s="113" t="s">
        <v>85</v>
      </c>
      <c r="P75">
        <v>0.90506035927151796</v>
      </c>
      <c r="Q75">
        <v>0.90840810316681098</v>
      </c>
      <c r="R75">
        <v>0.162139092791968</v>
      </c>
      <c r="S75" s="113">
        <v>6.2743007470860096E-4</v>
      </c>
      <c r="T75">
        <v>0.44831024657762097</v>
      </c>
      <c r="U75">
        <v>0.44831024657762097</v>
      </c>
      <c r="V75">
        <v>1.25</v>
      </c>
      <c r="W75">
        <v>0.65</v>
      </c>
      <c r="X75">
        <v>193916</v>
      </c>
      <c r="Y75">
        <v>7757</v>
      </c>
      <c r="Z75">
        <v>0.39</v>
      </c>
      <c r="AA75">
        <v>25</v>
      </c>
      <c r="AB75">
        <v>15</v>
      </c>
      <c r="AC75">
        <v>10</v>
      </c>
      <c r="AD75">
        <v>60</v>
      </c>
      <c r="AE75">
        <v>9</v>
      </c>
      <c r="AF75">
        <v>12</v>
      </c>
      <c r="AG75">
        <v>9</v>
      </c>
      <c r="AH75">
        <v>4</v>
      </c>
    </row>
    <row r="76" spans="1:34">
      <c r="A76" s="109">
        <v>211</v>
      </c>
      <c r="B76">
        <v>4613</v>
      </c>
      <c r="C76" s="113" t="s">
        <v>354</v>
      </c>
      <c r="D76" s="113" t="s">
        <v>86</v>
      </c>
      <c r="E76">
        <v>2777</v>
      </c>
      <c r="F76">
        <v>2789</v>
      </c>
      <c r="G76">
        <v>400</v>
      </c>
      <c r="H76" s="113" t="s">
        <v>85</v>
      </c>
      <c r="I76">
        <v>6920</v>
      </c>
      <c r="J76" s="113" t="s">
        <v>111</v>
      </c>
      <c r="K76" s="113" t="s">
        <v>112</v>
      </c>
      <c r="L76">
        <v>9870</v>
      </c>
      <c r="M76">
        <v>9870</v>
      </c>
      <c r="N76">
        <v>100</v>
      </c>
      <c r="O76" s="113" t="s">
        <v>87</v>
      </c>
      <c r="P76">
        <v>0.90149335622538596</v>
      </c>
      <c r="Q76">
        <v>0.90031045423668399</v>
      </c>
      <c r="R76">
        <v>0.37807736850923301</v>
      </c>
      <c r="S76">
        <v>0.18745280834886399</v>
      </c>
      <c r="T76">
        <v>-2.2596181603102901</v>
      </c>
      <c r="U76">
        <v>2.2596181603102901</v>
      </c>
      <c r="V76">
        <v>-19.91</v>
      </c>
      <c r="W76">
        <v>13.03</v>
      </c>
      <c r="X76">
        <v>191647</v>
      </c>
      <c r="Y76">
        <v>10087</v>
      </c>
      <c r="Z76">
        <v>0.54</v>
      </c>
      <c r="AA76">
        <v>19</v>
      </c>
      <c r="AB76">
        <v>10</v>
      </c>
      <c r="AC76">
        <v>9</v>
      </c>
      <c r="AD76">
        <v>52.63</v>
      </c>
      <c r="AE76">
        <v>10</v>
      </c>
      <c r="AF76">
        <v>9</v>
      </c>
      <c r="AG76">
        <v>8</v>
      </c>
      <c r="AH76">
        <v>2</v>
      </c>
    </row>
    <row r="77" spans="1:34">
      <c r="A77" s="109">
        <v>57</v>
      </c>
      <c r="B77">
        <v>6588</v>
      </c>
      <c r="C77" s="113" t="s">
        <v>995</v>
      </c>
      <c r="D77" s="113" t="s">
        <v>112</v>
      </c>
      <c r="E77">
        <v>4625</v>
      </c>
      <c r="F77">
        <v>4680</v>
      </c>
      <c r="G77">
        <v>200</v>
      </c>
      <c r="H77" s="113" t="s">
        <v>87</v>
      </c>
      <c r="I77">
        <v>6702</v>
      </c>
      <c r="J77" s="113" t="s">
        <v>369</v>
      </c>
      <c r="K77" s="113" t="s">
        <v>112</v>
      </c>
      <c r="L77">
        <v>10250</v>
      </c>
      <c r="M77">
        <v>10215</v>
      </c>
      <c r="N77">
        <v>100</v>
      </c>
      <c r="O77" s="113" t="s">
        <v>85</v>
      </c>
      <c r="P77">
        <v>0.93508289012854295</v>
      </c>
      <c r="Q77">
        <v>0.93343560235253897</v>
      </c>
      <c r="R77">
        <v>0.18162582985065001</v>
      </c>
      <c r="S77" s="20">
        <v>1.6385137076234301E-2</v>
      </c>
      <c r="T77">
        <v>1.91287906984173</v>
      </c>
      <c r="U77">
        <v>1.91287906984173</v>
      </c>
      <c r="V77">
        <v>12.11</v>
      </c>
      <c r="W77">
        <v>8.3699999999999992</v>
      </c>
      <c r="X77">
        <v>187415</v>
      </c>
      <c r="Y77">
        <v>18742</v>
      </c>
      <c r="Z77">
        <v>1.0900000000000001</v>
      </c>
      <c r="AA77">
        <v>10</v>
      </c>
      <c r="AB77">
        <v>6</v>
      </c>
      <c r="AC77">
        <v>4</v>
      </c>
      <c r="AD77">
        <v>60</v>
      </c>
      <c r="AE77">
        <v>12</v>
      </c>
      <c r="AF77">
        <v>4</v>
      </c>
      <c r="AG77">
        <v>1</v>
      </c>
      <c r="AH77">
        <v>5</v>
      </c>
    </row>
    <row r="78" spans="1:34">
      <c r="A78" s="109">
        <v>88</v>
      </c>
      <c r="B78">
        <v>4208</v>
      </c>
      <c r="C78" s="113" t="s">
        <v>124</v>
      </c>
      <c r="D78" s="113" t="s">
        <v>86</v>
      </c>
      <c r="E78">
        <v>2376</v>
      </c>
      <c r="F78">
        <v>2358</v>
      </c>
      <c r="G78">
        <v>400</v>
      </c>
      <c r="H78" s="113" t="s">
        <v>85</v>
      </c>
      <c r="I78">
        <v>5334</v>
      </c>
      <c r="J78" s="113" t="s">
        <v>335</v>
      </c>
      <c r="K78" s="113" t="s">
        <v>132</v>
      </c>
      <c r="L78">
        <v>2173</v>
      </c>
      <c r="M78">
        <v>2200</v>
      </c>
      <c r="N78">
        <v>400</v>
      </c>
      <c r="O78" s="113" t="s">
        <v>87</v>
      </c>
      <c r="P78">
        <v>0.92450980923255599</v>
      </c>
      <c r="Q78">
        <v>0.92455226829693105</v>
      </c>
      <c r="R78">
        <v>2.1720579225952399E-2</v>
      </c>
      <c r="S78" s="113">
        <v>3.2441314602154703E-4</v>
      </c>
      <c r="T78">
        <v>-0.25350660657618301</v>
      </c>
      <c r="U78">
        <v>0.25350660657618301</v>
      </c>
      <c r="V78">
        <v>-0.6</v>
      </c>
      <c r="W78">
        <v>6.7</v>
      </c>
      <c r="X78">
        <v>187255</v>
      </c>
      <c r="Y78">
        <v>9363</v>
      </c>
      <c r="Z78">
        <v>0.48</v>
      </c>
      <c r="AA78">
        <v>20</v>
      </c>
      <c r="AB78">
        <v>13</v>
      </c>
      <c r="AC78">
        <v>7</v>
      </c>
      <c r="AD78">
        <v>65</v>
      </c>
      <c r="AE78">
        <v>12</v>
      </c>
      <c r="AF78">
        <v>7</v>
      </c>
      <c r="AG78">
        <v>5</v>
      </c>
      <c r="AH78">
        <v>8</v>
      </c>
    </row>
    <row r="79" spans="1:34">
      <c r="A79" s="109">
        <v>203</v>
      </c>
      <c r="B79">
        <v>8002</v>
      </c>
      <c r="C79" s="113" t="s">
        <v>55</v>
      </c>
      <c r="D79" s="113" t="s">
        <v>127</v>
      </c>
      <c r="E79">
        <v>826.6</v>
      </c>
      <c r="F79">
        <v>824.9</v>
      </c>
      <c r="G79">
        <v>800</v>
      </c>
      <c r="H79" s="113" t="s">
        <v>85</v>
      </c>
      <c r="I79">
        <v>9062</v>
      </c>
      <c r="J79" s="113" t="s">
        <v>996</v>
      </c>
      <c r="K79" s="113" t="s">
        <v>145</v>
      </c>
      <c r="L79">
        <v>6820</v>
      </c>
      <c r="M79">
        <v>6870</v>
      </c>
      <c r="N79">
        <v>100</v>
      </c>
      <c r="O79" s="113" t="s">
        <v>87</v>
      </c>
      <c r="P79">
        <v>0.94486305137043303</v>
      </c>
      <c r="Q79">
        <v>0.90144840916630897</v>
      </c>
      <c r="R79" s="113">
        <v>1.4672794652929499E-3</v>
      </c>
      <c r="S79">
        <v>2.6877807335700301E-3</v>
      </c>
      <c r="T79">
        <v>-0.92432024243813904</v>
      </c>
      <c r="U79">
        <v>0.92432024243813904</v>
      </c>
      <c r="V79">
        <v>-4.08</v>
      </c>
      <c r="W79">
        <v>3.94</v>
      </c>
      <c r="X79">
        <v>187241</v>
      </c>
      <c r="Y79">
        <v>9362</v>
      </c>
      <c r="Z79">
        <v>0.65</v>
      </c>
      <c r="AA79">
        <v>20</v>
      </c>
      <c r="AB79">
        <v>12</v>
      </c>
      <c r="AC79">
        <v>8</v>
      </c>
      <c r="AD79">
        <v>60</v>
      </c>
      <c r="AE79">
        <v>12</v>
      </c>
      <c r="AF79">
        <v>8</v>
      </c>
      <c r="AG79">
        <v>5</v>
      </c>
      <c r="AH79">
        <v>7</v>
      </c>
    </row>
    <row r="80" spans="1:34">
      <c r="A80" s="109">
        <v>33</v>
      </c>
      <c r="B80">
        <v>7203</v>
      </c>
      <c r="C80" s="113" t="s">
        <v>366</v>
      </c>
      <c r="D80" s="113" t="s">
        <v>109</v>
      </c>
      <c r="E80">
        <v>7800</v>
      </c>
      <c r="F80">
        <v>7727</v>
      </c>
      <c r="G80">
        <v>100</v>
      </c>
      <c r="H80" s="113" t="s">
        <v>85</v>
      </c>
      <c r="I80">
        <v>8593</v>
      </c>
      <c r="J80" s="113" t="s">
        <v>345</v>
      </c>
      <c r="K80" s="113" t="s">
        <v>332</v>
      </c>
      <c r="L80">
        <v>709</v>
      </c>
      <c r="M80">
        <v>709</v>
      </c>
      <c r="N80">
        <v>1100</v>
      </c>
      <c r="O80" s="113" t="s">
        <v>87</v>
      </c>
      <c r="P80">
        <v>0.922727346247189</v>
      </c>
      <c r="Q80">
        <v>0.94305605824695204</v>
      </c>
      <c r="R80">
        <v>0.11392276580237599</v>
      </c>
      <c r="S80">
        <v>3.0565690647989702E-4</v>
      </c>
      <c r="T80">
        <v>-1.40081592071989</v>
      </c>
      <c r="U80">
        <v>1.40081592071989</v>
      </c>
      <c r="V80">
        <v>-4.84</v>
      </c>
      <c r="W80">
        <v>0.93</v>
      </c>
      <c r="X80">
        <v>184460</v>
      </c>
      <c r="Y80">
        <v>13176</v>
      </c>
      <c r="Z80">
        <v>0.95</v>
      </c>
      <c r="AA80">
        <v>14</v>
      </c>
      <c r="AB80">
        <v>10</v>
      </c>
      <c r="AC80">
        <v>4</v>
      </c>
      <c r="AD80">
        <v>71.430000000000007</v>
      </c>
      <c r="AE80">
        <v>14</v>
      </c>
      <c r="AF80">
        <v>5</v>
      </c>
      <c r="AG80">
        <v>1</v>
      </c>
      <c r="AH80">
        <v>8</v>
      </c>
    </row>
    <row r="81" spans="1:34">
      <c r="A81" s="109">
        <v>24</v>
      </c>
      <c r="B81">
        <v>6845</v>
      </c>
      <c r="C81" s="113" t="s">
        <v>341</v>
      </c>
      <c r="D81" s="113" t="s">
        <v>112</v>
      </c>
      <c r="E81">
        <v>3135</v>
      </c>
      <c r="F81">
        <v>3170</v>
      </c>
      <c r="G81">
        <v>300</v>
      </c>
      <c r="H81" s="113" t="s">
        <v>85</v>
      </c>
      <c r="I81">
        <v>6925</v>
      </c>
      <c r="J81" s="113" t="s">
        <v>347</v>
      </c>
      <c r="K81" s="113" t="s">
        <v>112</v>
      </c>
      <c r="L81">
        <v>1661</v>
      </c>
      <c r="M81">
        <v>1659</v>
      </c>
      <c r="N81">
        <v>600</v>
      </c>
      <c r="O81" s="113" t="s">
        <v>87</v>
      </c>
      <c r="P81">
        <v>0.91003842931913403</v>
      </c>
      <c r="Q81">
        <v>0.94685584199355299</v>
      </c>
      <c r="R81" s="113">
        <v>0.14908131472125</v>
      </c>
      <c r="S81" s="20">
        <v>6.4991233731661498E-3</v>
      </c>
      <c r="T81">
        <v>-0.153494027158808</v>
      </c>
      <c r="U81">
        <v>0.153494027158808</v>
      </c>
      <c r="V81">
        <v>-0.42</v>
      </c>
      <c r="W81">
        <v>4.67</v>
      </c>
      <c r="X81">
        <v>181027</v>
      </c>
      <c r="Y81">
        <v>10057</v>
      </c>
      <c r="Z81">
        <v>0.5</v>
      </c>
      <c r="AA81">
        <v>18</v>
      </c>
      <c r="AB81">
        <v>10</v>
      </c>
      <c r="AC81">
        <v>8</v>
      </c>
      <c r="AD81">
        <v>55.56</v>
      </c>
      <c r="AE81">
        <v>12</v>
      </c>
      <c r="AF81">
        <v>8</v>
      </c>
      <c r="AG81">
        <v>3</v>
      </c>
      <c r="AH81">
        <v>7</v>
      </c>
    </row>
    <row r="82" spans="1:34">
      <c r="A82" s="109">
        <v>199</v>
      </c>
      <c r="B82">
        <v>4208</v>
      </c>
      <c r="C82" s="113" t="s">
        <v>124</v>
      </c>
      <c r="D82" s="113" t="s">
        <v>86</v>
      </c>
      <c r="E82">
        <v>2376</v>
      </c>
      <c r="F82">
        <v>2358</v>
      </c>
      <c r="G82">
        <v>400</v>
      </c>
      <c r="H82" s="113" t="s">
        <v>85</v>
      </c>
      <c r="I82">
        <v>6472</v>
      </c>
      <c r="J82" s="113" t="s">
        <v>162</v>
      </c>
      <c r="K82" s="113" t="s">
        <v>125</v>
      </c>
      <c r="L82">
        <v>345</v>
      </c>
      <c r="M82">
        <v>344</v>
      </c>
      <c r="N82">
        <v>2700</v>
      </c>
      <c r="O82" s="113" t="s">
        <v>87</v>
      </c>
      <c r="P82">
        <v>0.90289409869233495</v>
      </c>
      <c r="Q82">
        <v>0.90278482102582902</v>
      </c>
      <c r="R82">
        <v>7.0854833312178301E-3</v>
      </c>
      <c r="S82" s="20">
        <v>8.4158661687796094E-2</v>
      </c>
      <c r="T82" s="20">
        <v>-0.52148531051479097</v>
      </c>
      <c r="U82" s="20">
        <v>0.52148531051479097</v>
      </c>
      <c r="V82">
        <v>-1.49</v>
      </c>
      <c r="W82">
        <v>1.53</v>
      </c>
      <c r="X82">
        <v>180416</v>
      </c>
      <c r="Y82">
        <v>9021</v>
      </c>
      <c r="Z82">
        <v>0.48</v>
      </c>
      <c r="AA82">
        <v>20</v>
      </c>
      <c r="AB82">
        <v>13</v>
      </c>
      <c r="AC82">
        <v>7</v>
      </c>
      <c r="AD82">
        <v>65</v>
      </c>
      <c r="AE82">
        <v>13</v>
      </c>
      <c r="AF82">
        <v>7</v>
      </c>
      <c r="AG82">
        <v>5</v>
      </c>
      <c r="AH82">
        <v>8</v>
      </c>
    </row>
    <row r="83" spans="1:34">
      <c r="A83" s="109">
        <v>101</v>
      </c>
      <c r="B83">
        <v>7167</v>
      </c>
      <c r="C83" s="113" t="s">
        <v>126</v>
      </c>
      <c r="D83" s="113" t="s">
        <v>107</v>
      </c>
      <c r="E83">
        <v>283</v>
      </c>
      <c r="F83">
        <v>283</v>
      </c>
      <c r="G83">
        <v>3700</v>
      </c>
      <c r="H83" s="113" t="s">
        <v>85</v>
      </c>
      <c r="I83">
        <v>7189</v>
      </c>
      <c r="J83" s="113" t="s">
        <v>106</v>
      </c>
      <c r="K83" s="113" t="s">
        <v>107</v>
      </c>
      <c r="L83">
        <v>869</v>
      </c>
      <c r="M83">
        <v>874</v>
      </c>
      <c r="N83">
        <v>1200</v>
      </c>
      <c r="O83" s="113" t="s">
        <v>87</v>
      </c>
      <c r="P83">
        <v>0.93941245780347704</v>
      </c>
      <c r="Q83">
        <v>0.92107224892773898</v>
      </c>
      <c r="R83" s="20">
        <v>3.26315252857792E-2</v>
      </c>
      <c r="S83">
        <v>0.120624537608856</v>
      </c>
      <c r="T83">
        <v>-1.82517708793837</v>
      </c>
      <c r="U83">
        <v>1.82517708793837</v>
      </c>
      <c r="V83">
        <v>-7.54</v>
      </c>
      <c r="W83">
        <v>0.16</v>
      </c>
      <c r="X83">
        <v>179261</v>
      </c>
      <c r="Y83">
        <v>9435</v>
      </c>
      <c r="Z83">
        <v>0.45</v>
      </c>
      <c r="AA83">
        <v>19</v>
      </c>
      <c r="AB83">
        <v>11</v>
      </c>
      <c r="AC83">
        <v>8</v>
      </c>
      <c r="AD83">
        <v>57.89</v>
      </c>
      <c r="AE83">
        <v>15</v>
      </c>
      <c r="AF83">
        <v>6</v>
      </c>
      <c r="AG83">
        <v>2</v>
      </c>
      <c r="AH83">
        <v>11</v>
      </c>
    </row>
    <row r="84" spans="1:34">
      <c r="A84" s="109">
        <v>65</v>
      </c>
      <c r="B84">
        <v>3635</v>
      </c>
      <c r="C84" s="113" t="s">
        <v>110</v>
      </c>
      <c r="D84" s="113" t="s">
        <v>104</v>
      </c>
      <c r="E84">
        <v>2646</v>
      </c>
      <c r="F84">
        <v>2631</v>
      </c>
      <c r="G84">
        <v>400</v>
      </c>
      <c r="H84" s="113" t="s">
        <v>85</v>
      </c>
      <c r="I84">
        <v>4519</v>
      </c>
      <c r="J84" s="113" t="s">
        <v>994</v>
      </c>
      <c r="K84" s="113" t="s">
        <v>164</v>
      </c>
      <c r="L84">
        <v>9801</v>
      </c>
      <c r="M84">
        <v>9845</v>
      </c>
      <c r="N84">
        <v>100</v>
      </c>
      <c r="O84" s="113" t="s">
        <v>87</v>
      </c>
      <c r="P84">
        <v>0.96209174895417704</v>
      </c>
      <c r="Q84">
        <v>0.93223524729233898</v>
      </c>
      <c r="R84">
        <v>8.4271879505950099E-3</v>
      </c>
      <c r="S84" s="113">
        <v>7.0038869760365594E-2</v>
      </c>
      <c r="T84">
        <v>-1.55302521298942</v>
      </c>
      <c r="U84">
        <v>1.55302521298942</v>
      </c>
      <c r="V84">
        <v>-5.26</v>
      </c>
      <c r="W84">
        <v>6.9</v>
      </c>
      <c r="X84">
        <v>177510</v>
      </c>
      <c r="Y84">
        <v>12679</v>
      </c>
      <c r="Z84">
        <v>1.08</v>
      </c>
      <c r="AA84">
        <v>14</v>
      </c>
      <c r="AB84">
        <v>8</v>
      </c>
      <c r="AC84">
        <v>6</v>
      </c>
      <c r="AD84">
        <v>57.14</v>
      </c>
      <c r="AE84">
        <v>11</v>
      </c>
      <c r="AF84">
        <v>8</v>
      </c>
      <c r="AG84">
        <v>2</v>
      </c>
      <c r="AH84">
        <v>4</v>
      </c>
    </row>
    <row r="85" spans="1:34">
      <c r="A85" s="109">
        <v>8</v>
      </c>
      <c r="B85">
        <v>8425</v>
      </c>
      <c r="C85" s="113" t="s">
        <v>353</v>
      </c>
      <c r="D85" s="113" t="s">
        <v>332</v>
      </c>
      <c r="E85">
        <v>3275</v>
      </c>
      <c r="F85">
        <v>3295</v>
      </c>
      <c r="G85">
        <v>300</v>
      </c>
      <c r="H85" s="113" t="s">
        <v>87</v>
      </c>
      <c r="I85">
        <v>8593</v>
      </c>
      <c r="J85" s="113" t="s">
        <v>345</v>
      </c>
      <c r="K85" s="113" t="s">
        <v>332</v>
      </c>
      <c r="L85">
        <v>709</v>
      </c>
      <c r="M85">
        <v>709</v>
      </c>
      <c r="N85">
        <v>1400</v>
      </c>
      <c r="O85" s="113" t="s">
        <v>85</v>
      </c>
      <c r="P85">
        <v>0.92938526197190297</v>
      </c>
      <c r="Q85">
        <v>0.957951284604594</v>
      </c>
      <c r="R85">
        <v>1.5158263808541499E-2</v>
      </c>
      <c r="S85" s="20">
        <v>2.5315086784726301E-3</v>
      </c>
      <c r="T85">
        <v>0.586819346813517</v>
      </c>
      <c r="U85">
        <v>0.586819346813517</v>
      </c>
      <c r="V85">
        <v>0.94</v>
      </c>
      <c r="W85">
        <v>0.41</v>
      </c>
      <c r="X85">
        <v>175709</v>
      </c>
      <c r="Y85">
        <v>12551</v>
      </c>
      <c r="Z85">
        <v>0.59</v>
      </c>
      <c r="AA85">
        <v>14</v>
      </c>
      <c r="AB85">
        <v>9</v>
      </c>
      <c r="AC85">
        <v>5</v>
      </c>
      <c r="AD85">
        <v>64.290000000000006</v>
      </c>
      <c r="AE85">
        <v>13</v>
      </c>
      <c r="AF85">
        <v>6</v>
      </c>
      <c r="AG85">
        <v>3</v>
      </c>
      <c r="AH85">
        <v>5</v>
      </c>
    </row>
    <row r="86" spans="1:34">
      <c r="A86" s="109">
        <v>61</v>
      </c>
      <c r="B86">
        <v>3635</v>
      </c>
      <c r="C86" s="113" t="s">
        <v>110</v>
      </c>
      <c r="D86" s="113" t="s">
        <v>104</v>
      </c>
      <c r="E86">
        <v>2646</v>
      </c>
      <c r="F86">
        <v>2631</v>
      </c>
      <c r="G86">
        <v>300</v>
      </c>
      <c r="H86" s="113" t="s">
        <v>85</v>
      </c>
      <c r="I86">
        <v>4613</v>
      </c>
      <c r="J86" s="113" t="s">
        <v>354</v>
      </c>
      <c r="K86" s="113" t="s">
        <v>86</v>
      </c>
      <c r="L86">
        <v>2777</v>
      </c>
      <c r="M86">
        <v>2789</v>
      </c>
      <c r="N86">
        <v>300</v>
      </c>
      <c r="O86" s="113" t="s">
        <v>87</v>
      </c>
      <c r="P86">
        <v>0.91414576915838996</v>
      </c>
      <c r="Q86">
        <v>0.93270321684316404</v>
      </c>
      <c r="R86">
        <v>0.17005050620665599</v>
      </c>
      <c r="S86" s="20">
        <v>4.5696600725638102E-2</v>
      </c>
      <c r="T86">
        <v>-0.144059420291512</v>
      </c>
      <c r="U86">
        <v>0.144059420291512</v>
      </c>
      <c r="V86">
        <v>-0.48</v>
      </c>
      <c r="W86">
        <v>5.67</v>
      </c>
      <c r="X86">
        <v>175233</v>
      </c>
      <c r="Y86">
        <v>13479</v>
      </c>
      <c r="Z86">
        <v>0.8</v>
      </c>
      <c r="AA86">
        <v>13</v>
      </c>
      <c r="AB86">
        <v>9</v>
      </c>
      <c r="AC86">
        <v>4</v>
      </c>
      <c r="AD86">
        <v>69.23</v>
      </c>
      <c r="AE86">
        <v>13</v>
      </c>
      <c r="AF86">
        <v>5</v>
      </c>
      <c r="AG86">
        <v>2</v>
      </c>
      <c r="AH86">
        <v>6</v>
      </c>
    </row>
    <row r="87" spans="1:34">
      <c r="A87" s="109">
        <v>78</v>
      </c>
      <c r="B87">
        <v>5991</v>
      </c>
      <c r="C87" s="113" t="s">
        <v>141</v>
      </c>
      <c r="D87" s="113" t="s">
        <v>142</v>
      </c>
      <c r="E87">
        <v>1003</v>
      </c>
      <c r="F87">
        <v>1004</v>
      </c>
      <c r="G87">
        <v>800</v>
      </c>
      <c r="H87" s="113" t="s">
        <v>87</v>
      </c>
      <c r="I87">
        <v>7259</v>
      </c>
      <c r="J87" s="113" t="s">
        <v>53</v>
      </c>
      <c r="K87" s="113" t="s">
        <v>109</v>
      </c>
      <c r="L87">
        <v>4240</v>
      </c>
      <c r="M87">
        <v>4200</v>
      </c>
      <c r="N87">
        <v>200</v>
      </c>
      <c r="O87" s="113" t="s">
        <v>85</v>
      </c>
      <c r="P87">
        <v>0.91655282061759302</v>
      </c>
      <c r="Q87">
        <v>0.928719705360048</v>
      </c>
      <c r="R87">
        <v>0.175233508127522</v>
      </c>
      <c r="S87">
        <v>9.781157871065E-3</v>
      </c>
      <c r="T87">
        <v>0.64067138597491502</v>
      </c>
      <c r="U87">
        <v>0.64067138597491502</v>
      </c>
      <c r="V87">
        <v>2.1800000000000002</v>
      </c>
      <c r="W87">
        <v>4.38</v>
      </c>
      <c r="X87">
        <v>175024</v>
      </c>
      <c r="Y87">
        <v>11668</v>
      </c>
      <c r="Z87">
        <v>0.81</v>
      </c>
      <c r="AA87">
        <v>15</v>
      </c>
      <c r="AB87">
        <v>9</v>
      </c>
      <c r="AC87">
        <v>6</v>
      </c>
      <c r="AD87">
        <v>60</v>
      </c>
      <c r="AE87">
        <v>10</v>
      </c>
      <c r="AF87">
        <v>8</v>
      </c>
      <c r="AG87">
        <v>3</v>
      </c>
      <c r="AH87">
        <v>4</v>
      </c>
    </row>
    <row r="88" spans="1:34">
      <c r="A88" s="109">
        <v>26</v>
      </c>
      <c r="B88">
        <v>5901</v>
      </c>
      <c r="C88" s="113" t="s">
        <v>356</v>
      </c>
      <c r="D88" s="113" t="s">
        <v>142</v>
      </c>
      <c r="E88">
        <v>1946</v>
      </c>
      <c r="F88">
        <v>1935</v>
      </c>
      <c r="G88">
        <v>500</v>
      </c>
      <c r="H88" s="113" t="s">
        <v>87</v>
      </c>
      <c r="I88">
        <v>8377</v>
      </c>
      <c r="J88" s="113" t="s">
        <v>120</v>
      </c>
      <c r="K88" s="113" t="s">
        <v>107</v>
      </c>
      <c r="L88">
        <v>1136</v>
      </c>
      <c r="M88">
        <v>1136</v>
      </c>
      <c r="N88">
        <v>900</v>
      </c>
      <c r="O88" s="113" t="s">
        <v>85</v>
      </c>
      <c r="P88">
        <v>0.93637122708065501</v>
      </c>
      <c r="Q88">
        <v>0.94647412025518496</v>
      </c>
      <c r="R88">
        <v>6.5529340774351394E-2</v>
      </c>
      <c r="S88" s="113">
        <v>7.3900671048823903E-3</v>
      </c>
      <c r="T88">
        <v>0.99089659238460404</v>
      </c>
      <c r="U88">
        <v>0.99089659238460404</v>
      </c>
      <c r="V88">
        <v>2.89</v>
      </c>
      <c r="W88">
        <v>5.67</v>
      </c>
      <c r="X88">
        <v>160862</v>
      </c>
      <c r="Y88">
        <v>7312</v>
      </c>
      <c r="Z88">
        <v>0.31</v>
      </c>
      <c r="AA88">
        <v>22</v>
      </c>
      <c r="AB88">
        <v>14</v>
      </c>
      <c r="AC88">
        <v>8</v>
      </c>
      <c r="AD88">
        <v>63.64</v>
      </c>
      <c r="AE88">
        <v>14</v>
      </c>
      <c r="AF88">
        <v>9</v>
      </c>
      <c r="AG88">
        <v>6</v>
      </c>
      <c r="AH88">
        <v>7</v>
      </c>
    </row>
    <row r="89" spans="1:34">
      <c r="A89" s="109">
        <v>159</v>
      </c>
      <c r="B89">
        <v>2379</v>
      </c>
      <c r="C89" s="113" t="s">
        <v>1076</v>
      </c>
      <c r="D89" s="113" t="s">
        <v>146</v>
      </c>
      <c r="E89">
        <v>3100</v>
      </c>
      <c r="F89">
        <v>3145</v>
      </c>
      <c r="G89">
        <v>300</v>
      </c>
      <c r="H89" s="113" t="s">
        <v>87</v>
      </c>
      <c r="I89">
        <v>8593</v>
      </c>
      <c r="J89" s="113" t="s">
        <v>345</v>
      </c>
      <c r="K89" s="113" t="s">
        <v>332</v>
      </c>
      <c r="L89">
        <v>709</v>
      </c>
      <c r="M89">
        <v>709</v>
      </c>
      <c r="N89">
        <v>1300</v>
      </c>
      <c r="O89" s="113" t="s">
        <v>85</v>
      </c>
      <c r="P89">
        <v>0.90763386819635805</v>
      </c>
      <c r="Q89">
        <v>0.908668222808099</v>
      </c>
      <c r="R89" s="20">
        <v>0.217980780013669</v>
      </c>
      <c r="S89">
        <v>5.1381135455593897E-2</v>
      </c>
      <c r="T89">
        <v>0.98351906370022002</v>
      </c>
      <c r="U89">
        <v>0.98351906370022002</v>
      </c>
      <c r="V89">
        <v>4.34</v>
      </c>
      <c r="W89">
        <v>2.31</v>
      </c>
      <c r="X89">
        <v>159257</v>
      </c>
      <c r="Y89">
        <v>6636</v>
      </c>
      <c r="Z89">
        <v>0.42</v>
      </c>
      <c r="AA89">
        <v>24</v>
      </c>
      <c r="AB89">
        <v>14</v>
      </c>
      <c r="AC89">
        <v>10</v>
      </c>
      <c r="AD89">
        <v>58.33</v>
      </c>
      <c r="AE89">
        <v>9</v>
      </c>
      <c r="AF89">
        <v>13</v>
      </c>
      <c r="AG89">
        <v>9</v>
      </c>
      <c r="AH89">
        <v>2</v>
      </c>
    </row>
    <row r="90" spans="1:34">
      <c r="A90" s="109">
        <v>169</v>
      </c>
      <c r="B90">
        <v>1820</v>
      </c>
      <c r="C90" s="113" t="s">
        <v>148</v>
      </c>
      <c r="D90" s="113" t="s">
        <v>103</v>
      </c>
      <c r="E90">
        <v>2488</v>
      </c>
      <c r="F90">
        <v>2516</v>
      </c>
      <c r="G90">
        <v>400</v>
      </c>
      <c r="H90" s="113" t="s">
        <v>87</v>
      </c>
      <c r="I90">
        <v>9072</v>
      </c>
      <c r="J90" s="113" t="s">
        <v>154</v>
      </c>
      <c r="K90" s="113" t="s">
        <v>145</v>
      </c>
      <c r="L90">
        <v>2724</v>
      </c>
      <c r="M90">
        <v>2724</v>
      </c>
      <c r="N90">
        <v>400</v>
      </c>
      <c r="O90" s="113" t="s">
        <v>85</v>
      </c>
      <c r="P90">
        <v>0.95957819964461499</v>
      </c>
      <c r="Q90">
        <v>0.90744455628291798</v>
      </c>
      <c r="R90">
        <v>6.9566040175162894E-2</v>
      </c>
      <c r="S90" s="113">
        <v>2.5230397458044299E-3</v>
      </c>
      <c r="T90">
        <v>2.3139811106439798</v>
      </c>
      <c r="U90">
        <v>2.3139811106439798</v>
      </c>
      <c r="V90">
        <v>9.9600000000000009</v>
      </c>
      <c r="W90">
        <v>7.64</v>
      </c>
      <c r="X90">
        <v>153180</v>
      </c>
      <c r="Y90">
        <v>11783</v>
      </c>
      <c r="Z90">
        <v>0.63</v>
      </c>
      <c r="AA90">
        <v>13</v>
      </c>
      <c r="AB90">
        <v>7</v>
      </c>
      <c r="AC90">
        <v>6</v>
      </c>
      <c r="AD90">
        <v>53.85</v>
      </c>
      <c r="AE90">
        <v>16</v>
      </c>
      <c r="AF90">
        <v>5</v>
      </c>
      <c r="AG90">
        <v>1</v>
      </c>
      <c r="AH90">
        <v>7</v>
      </c>
    </row>
    <row r="91" spans="1:34">
      <c r="A91" s="109">
        <v>41</v>
      </c>
      <c r="B91">
        <v>4182</v>
      </c>
      <c r="C91" s="113" t="s">
        <v>113</v>
      </c>
      <c r="D91" s="113" t="s">
        <v>86</v>
      </c>
      <c r="E91">
        <v>1681</v>
      </c>
      <c r="F91">
        <v>1679</v>
      </c>
      <c r="G91">
        <v>600</v>
      </c>
      <c r="H91" s="113" t="s">
        <v>87</v>
      </c>
      <c r="I91">
        <v>6752</v>
      </c>
      <c r="J91" s="113" t="s">
        <v>131</v>
      </c>
      <c r="K91" s="113" t="s">
        <v>112</v>
      </c>
      <c r="L91">
        <v>1040.5</v>
      </c>
      <c r="M91">
        <v>1034.5</v>
      </c>
      <c r="N91">
        <v>1000</v>
      </c>
      <c r="O91" s="113" t="s">
        <v>85</v>
      </c>
      <c r="P91">
        <v>0.93861193234096396</v>
      </c>
      <c r="Q91">
        <v>0.94091964320777899</v>
      </c>
      <c r="R91" s="20">
        <v>0.18754374839219801</v>
      </c>
      <c r="S91">
        <v>0.27881609952374498</v>
      </c>
      <c r="T91">
        <v>0.119185993254421</v>
      </c>
      <c r="U91">
        <v>0.119185993254421</v>
      </c>
      <c r="V91">
        <v>0.46</v>
      </c>
      <c r="W91">
        <v>2.69</v>
      </c>
      <c r="X91">
        <v>145761</v>
      </c>
      <c r="Y91">
        <v>8098</v>
      </c>
      <c r="Z91">
        <v>0.37</v>
      </c>
      <c r="AA91">
        <v>18</v>
      </c>
      <c r="AB91">
        <v>12</v>
      </c>
      <c r="AC91">
        <v>6</v>
      </c>
      <c r="AD91">
        <v>66.67</v>
      </c>
      <c r="AE91">
        <v>13</v>
      </c>
      <c r="AF91">
        <v>7</v>
      </c>
      <c r="AG91">
        <v>4</v>
      </c>
      <c r="AH91">
        <v>7</v>
      </c>
    </row>
    <row r="92" spans="1:34">
      <c r="A92" s="109">
        <v>155</v>
      </c>
      <c r="B92">
        <v>3116</v>
      </c>
      <c r="C92" s="113" t="s">
        <v>153</v>
      </c>
      <c r="D92" s="113" t="s">
        <v>109</v>
      </c>
      <c r="E92">
        <v>1733</v>
      </c>
      <c r="F92">
        <v>1723</v>
      </c>
      <c r="G92">
        <v>400</v>
      </c>
      <c r="H92" s="113" t="s">
        <v>85</v>
      </c>
      <c r="I92">
        <v>6988</v>
      </c>
      <c r="J92" s="113" t="s">
        <v>167</v>
      </c>
      <c r="K92" s="113" t="s">
        <v>86</v>
      </c>
      <c r="L92">
        <v>6170</v>
      </c>
      <c r="M92">
        <v>6210</v>
      </c>
      <c r="N92">
        <v>100</v>
      </c>
      <c r="O92" s="113" t="s">
        <v>87</v>
      </c>
      <c r="P92">
        <v>0.93505976124409995</v>
      </c>
      <c r="Q92">
        <v>0.90927964510658499</v>
      </c>
      <c r="R92">
        <v>0.38705521950369798</v>
      </c>
      <c r="S92">
        <v>0.28912532105314198</v>
      </c>
      <c r="T92">
        <v>-0.32258129392438101</v>
      </c>
      <c r="U92">
        <v>0.32258129392438101</v>
      </c>
      <c r="V92">
        <v>-0.84</v>
      </c>
      <c r="W92">
        <v>10.98</v>
      </c>
      <c r="X92">
        <v>135364</v>
      </c>
      <c r="Y92">
        <v>13536</v>
      </c>
      <c r="Z92">
        <v>1.01</v>
      </c>
      <c r="AA92">
        <v>10</v>
      </c>
      <c r="AB92">
        <v>8</v>
      </c>
      <c r="AC92">
        <v>2</v>
      </c>
      <c r="AD92">
        <v>80</v>
      </c>
      <c r="AE92">
        <v>12</v>
      </c>
      <c r="AF92">
        <v>6</v>
      </c>
      <c r="AG92">
        <v>1</v>
      </c>
      <c r="AH92">
        <v>3</v>
      </c>
    </row>
    <row r="93" spans="1:34">
      <c r="A93" s="109">
        <v>98</v>
      </c>
      <c r="B93">
        <v>6952</v>
      </c>
      <c r="C93" s="113" t="s">
        <v>997</v>
      </c>
      <c r="D93" s="113" t="s">
        <v>112</v>
      </c>
      <c r="E93">
        <v>2097</v>
      </c>
      <c r="F93">
        <v>2115</v>
      </c>
      <c r="G93">
        <v>500</v>
      </c>
      <c r="H93" s="113" t="s">
        <v>87</v>
      </c>
      <c r="I93">
        <v>8604</v>
      </c>
      <c r="J93" s="113" t="s">
        <v>998</v>
      </c>
      <c r="K93" s="113" t="s">
        <v>999</v>
      </c>
      <c r="L93">
        <v>555.9</v>
      </c>
      <c r="M93">
        <v>563.79999999999995</v>
      </c>
      <c r="N93">
        <v>1900</v>
      </c>
      <c r="O93" s="113" t="s">
        <v>85</v>
      </c>
      <c r="P93">
        <v>0.95642309138835202</v>
      </c>
      <c r="Q93">
        <v>0.92172322698403197</v>
      </c>
      <c r="R93" s="113">
        <v>2.2073801359347198E-2</v>
      </c>
      <c r="S93">
        <v>0.16397448810364901</v>
      </c>
      <c r="T93">
        <v>1.28116342266468</v>
      </c>
      <c r="U93">
        <v>1.28116342266468</v>
      </c>
      <c r="V93">
        <v>4.55</v>
      </c>
      <c r="W93">
        <v>1.3</v>
      </c>
      <c r="X93">
        <v>134282</v>
      </c>
      <c r="Y93">
        <v>7899</v>
      </c>
      <c r="Z93">
        <v>0.39</v>
      </c>
      <c r="AA93">
        <v>17</v>
      </c>
      <c r="AB93">
        <v>10</v>
      </c>
      <c r="AC93">
        <v>7</v>
      </c>
      <c r="AD93">
        <v>58.82</v>
      </c>
      <c r="AE93">
        <v>13</v>
      </c>
      <c r="AF93">
        <v>4</v>
      </c>
      <c r="AG93">
        <v>3</v>
      </c>
      <c r="AH93">
        <v>10</v>
      </c>
    </row>
    <row r="94" spans="1:34">
      <c r="A94" s="109">
        <v>166</v>
      </c>
      <c r="B94">
        <v>8341</v>
      </c>
      <c r="C94" s="113" t="s">
        <v>1328</v>
      </c>
      <c r="D94" s="113" t="s">
        <v>107</v>
      </c>
      <c r="E94">
        <v>1820</v>
      </c>
      <c r="F94">
        <v>1823</v>
      </c>
      <c r="G94">
        <v>600</v>
      </c>
      <c r="H94" s="113" t="s">
        <v>85</v>
      </c>
      <c r="I94">
        <v>8795</v>
      </c>
      <c r="J94" s="113" t="s">
        <v>163</v>
      </c>
      <c r="K94" s="113" t="s">
        <v>136</v>
      </c>
      <c r="L94">
        <v>1363</v>
      </c>
      <c r="M94">
        <v>1361</v>
      </c>
      <c r="N94">
        <v>800</v>
      </c>
      <c r="O94" s="113" t="s">
        <v>87</v>
      </c>
      <c r="P94">
        <v>0.91222588037013697</v>
      </c>
      <c r="Q94">
        <v>0.90798845632474801</v>
      </c>
      <c r="R94" s="20">
        <v>1.8093470660568899E-2</v>
      </c>
      <c r="S94" s="20">
        <v>1.3612870531108901E-2</v>
      </c>
      <c r="T94">
        <v>-0.61915201291148203</v>
      </c>
      <c r="U94">
        <v>0.61915201291148203</v>
      </c>
      <c r="V94">
        <v>-1.74</v>
      </c>
      <c r="W94">
        <v>0.46</v>
      </c>
      <c r="X94">
        <v>132898</v>
      </c>
      <c r="Y94">
        <v>8860</v>
      </c>
      <c r="Z94">
        <v>0.47</v>
      </c>
      <c r="AA94">
        <v>15</v>
      </c>
      <c r="AB94">
        <v>10</v>
      </c>
      <c r="AC94">
        <v>5</v>
      </c>
      <c r="AD94">
        <v>66.67</v>
      </c>
      <c r="AE94">
        <v>12</v>
      </c>
      <c r="AF94">
        <v>6</v>
      </c>
      <c r="AG94">
        <v>3</v>
      </c>
      <c r="AH94">
        <v>6</v>
      </c>
    </row>
    <row r="95" spans="1:34">
      <c r="A95" s="109">
        <v>170</v>
      </c>
      <c r="B95">
        <v>5463</v>
      </c>
      <c r="C95" s="113" t="s">
        <v>170</v>
      </c>
      <c r="D95" s="113" t="s">
        <v>118</v>
      </c>
      <c r="E95">
        <v>3175</v>
      </c>
      <c r="F95">
        <v>3140</v>
      </c>
      <c r="G95">
        <v>300</v>
      </c>
      <c r="H95" s="113" t="s">
        <v>85</v>
      </c>
      <c r="I95">
        <v>6674</v>
      </c>
      <c r="J95" s="113" t="s">
        <v>367</v>
      </c>
      <c r="K95" s="113" t="s">
        <v>112</v>
      </c>
      <c r="L95">
        <v>2339</v>
      </c>
      <c r="M95">
        <v>2343</v>
      </c>
      <c r="N95">
        <v>400</v>
      </c>
      <c r="O95" s="113" t="s">
        <v>87</v>
      </c>
      <c r="P95">
        <v>0.92553322352187295</v>
      </c>
      <c r="Q95">
        <v>0.90743214756164303</v>
      </c>
      <c r="R95">
        <v>1.8166885810432201E-2</v>
      </c>
      <c r="S95" s="20">
        <v>9.6224199543505598E-2</v>
      </c>
      <c r="T95">
        <v>-2.3200755436792302</v>
      </c>
      <c r="U95">
        <v>2.3200755436792302</v>
      </c>
      <c r="V95">
        <v>-9.0500000000000007</v>
      </c>
      <c r="W95">
        <v>0.51</v>
      </c>
      <c r="X95">
        <v>130185</v>
      </c>
      <c r="Y95">
        <v>10014</v>
      </c>
      <c r="Z95">
        <v>0.63</v>
      </c>
      <c r="AA95">
        <v>13</v>
      </c>
      <c r="AB95">
        <v>8</v>
      </c>
      <c r="AC95">
        <v>5</v>
      </c>
      <c r="AD95">
        <v>61.54</v>
      </c>
      <c r="AE95">
        <v>13</v>
      </c>
      <c r="AF95">
        <v>5</v>
      </c>
      <c r="AG95">
        <v>2</v>
      </c>
      <c r="AH95">
        <v>6</v>
      </c>
    </row>
    <row r="96" spans="1:34">
      <c r="A96" s="109">
        <v>125</v>
      </c>
      <c r="B96">
        <v>3116</v>
      </c>
      <c r="C96" s="113" t="s">
        <v>153</v>
      </c>
      <c r="D96" s="113" t="s">
        <v>109</v>
      </c>
      <c r="E96">
        <v>1733</v>
      </c>
      <c r="F96">
        <v>1723</v>
      </c>
      <c r="G96">
        <v>400</v>
      </c>
      <c r="H96" s="113" t="s">
        <v>87</v>
      </c>
      <c r="I96">
        <v>6371</v>
      </c>
      <c r="J96" s="113" t="s">
        <v>134</v>
      </c>
      <c r="K96" s="113" t="s">
        <v>125</v>
      </c>
      <c r="L96">
        <v>3875</v>
      </c>
      <c r="M96">
        <v>3865</v>
      </c>
      <c r="N96">
        <v>200</v>
      </c>
      <c r="O96" s="113" t="s">
        <v>85</v>
      </c>
      <c r="P96">
        <v>0.93300056020566002</v>
      </c>
      <c r="Q96">
        <v>0.91538184213984397</v>
      </c>
      <c r="R96">
        <v>0.26136529077629</v>
      </c>
      <c r="S96">
        <v>1.58741526059725E-2</v>
      </c>
      <c r="T96">
        <v>0.62733388777754295</v>
      </c>
      <c r="U96">
        <v>0.62733388777754295</v>
      </c>
      <c r="V96">
        <v>1.31</v>
      </c>
      <c r="W96">
        <v>10.84</v>
      </c>
      <c r="X96">
        <v>127732</v>
      </c>
      <c r="Y96">
        <v>7983</v>
      </c>
      <c r="Z96">
        <v>0.44</v>
      </c>
      <c r="AA96">
        <v>16</v>
      </c>
      <c r="AB96">
        <v>9</v>
      </c>
      <c r="AC96">
        <v>7</v>
      </c>
      <c r="AD96">
        <v>56.25</v>
      </c>
      <c r="AE96">
        <v>12</v>
      </c>
      <c r="AF96">
        <v>6</v>
      </c>
      <c r="AG96">
        <v>3</v>
      </c>
      <c r="AH96">
        <v>7</v>
      </c>
    </row>
    <row r="97" spans="1:34">
      <c r="A97" s="109">
        <v>163</v>
      </c>
      <c r="B97">
        <v>4208</v>
      </c>
      <c r="C97" s="113" t="s">
        <v>124</v>
      </c>
      <c r="D97" s="113" t="s">
        <v>86</v>
      </c>
      <c r="E97">
        <v>2376</v>
      </c>
      <c r="F97">
        <v>2358</v>
      </c>
      <c r="G97">
        <v>500</v>
      </c>
      <c r="H97" s="113" t="s">
        <v>85</v>
      </c>
      <c r="I97">
        <v>9072</v>
      </c>
      <c r="J97" s="113" t="s">
        <v>154</v>
      </c>
      <c r="K97" s="113" t="s">
        <v>145</v>
      </c>
      <c r="L97">
        <v>2724</v>
      </c>
      <c r="M97">
        <v>2724</v>
      </c>
      <c r="N97">
        <v>400</v>
      </c>
      <c r="O97" s="113" t="s">
        <v>87</v>
      </c>
      <c r="P97">
        <v>0.92099217864218796</v>
      </c>
      <c r="Q97">
        <v>0.90833732308330595</v>
      </c>
      <c r="R97">
        <v>1.27963296607268E-2</v>
      </c>
      <c r="S97">
        <v>2.1187165885805399E-2</v>
      </c>
      <c r="T97">
        <v>-0.32606992915294702</v>
      </c>
      <c r="U97">
        <v>0.32606992915294702</v>
      </c>
      <c r="V97">
        <v>-0.62</v>
      </c>
      <c r="W97">
        <v>8.1999999999999993</v>
      </c>
      <c r="X97">
        <v>126426</v>
      </c>
      <c r="Y97">
        <v>11493</v>
      </c>
      <c r="Z97">
        <v>0.65</v>
      </c>
      <c r="AA97">
        <v>11</v>
      </c>
      <c r="AB97">
        <v>7</v>
      </c>
      <c r="AC97">
        <v>4</v>
      </c>
      <c r="AD97">
        <v>63.64</v>
      </c>
      <c r="AE97">
        <v>14</v>
      </c>
      <c r="AF97">
        <v>5</v>
      </c>
      <c r="AG97">
        <v>1</v>
      </c>
      <c r="AH97">
        <v>5</v>
      </c>
    </row>
    <row r="98" spans="1:34">
      <c r="A98" s="109">
        <v>205</v>
      </c>
      <c r="B98">
        <v>1860</v>
      </c>
      <c r="C98" s="113" t="s">
        <v>137</v>
      </c>
      <c r="D98" s="113" t="s">
        <v>103</v>
      </c>
      <c r="E98">
        <v>708</v>
      </c>
      <c r="F98">
        <v>714</v>
      </c>
      <c r="G98">
        <v>1400</v>
      </c>
      <c r="H98" s="113" t="s">
        <v>87</v>
      </c>
      <c r="I98">
        <v>5110</v>
      </c>
      <c r="J98" s="113" t="s">
        <v>156</v>
      </c>
      <c r="K98" s="113" t="s">
        <v>157</v>
      </c>
      <c r="L98">
        <v>1420</v>
      </c>
      <c r="M98">
        <v>1404</v>
      </c>
      <c r="N98">
        <v>700</v>
      </c>
      <c r="O98" s="113" t="s">
        <v>85</v>
      </c>
      <c r="P98">
        <v>0.93703708781106998</v>
      </c>
      <c r="Q98">
        <v>0.90100300950755396</v>
      </c>
      <c r="R98" s="20">
        <v>9.0572943603862699E-3</v>
      </c>
      <c r="S98">
        <v>7.1493722431141098E-3</v>
      </c>
      <c r="T98">
        <v>2.7567862895871</v>
      </c>
      <c r="U98">
        <v>2.7567862895871</v>
      </c>
      <c r="V98">
        <v>4.5999999999999996</v>
      </c>
      <c r="W98">
        <v>1.71</v>
      </c>
      <c r="X98">
        <v>117025</v>
      </c>
      <c r="Y98">
        <v>7314</v>
      </c>
      <c r="Z98">
        <v>0.32</v>
      </c>
      <c r="AA98">
        <v>16</v>
      </c>
      <c r="AB98">
        <v>9</v>
      </c>
      <c r="AC98">
        <v>7</v>
      </c>
      <c r="AD98">
        <v>56.25</v>
      </c>
      <c r="AE98">
        <v>12</v>
      </c>
      <c r="AF98">
        <v>6</v>
      </c>
      <c r="AG98">
        <v>4</v>
      </c>
      <c r="AH98">
        <v>6</v>
      </c>
    </row>
    <row r="99" spans="1:34">
      <c r="A99" s="109">
        <v>133</v>
      </c>
      <c r="B99">
        <v>5471</v>
      </c>
      <c r="C99" s="113" t="s">
        <v>337</v>
      </c>
      <c r="D99" s="113" t="s">
        <v>118</v>
      </c>
      <c r="E99">
        <v>4960</v>
      </c>
      <c r="F99">
        <v>4890</v>
      </c>
      <c r="G99">
        <v>100</v>
      </c>
      <c r="H99" s="113" t="s">
        <v>85</v>
      </c>
      <c r="I99">
        <v>6988</v>
      </c>
      <c r="J99" s="113" t="s">
        <v>167</v>
      </c>
      <c r="K99" s="113" t="s">
        <v>86</v>
      </c>
      <c r="L99">
        <v>6170</v>
      </c>
      <c r="M99">
        <v>6210</v>
      </c>
      <c r="N99">
        <v>100</v>
      </c>
      <c r="O99" s="113" t="s">
        <v>87</v>
      </c>
      <c r="P99">
        <v>0.94561037521761004</v>
      </c>
      <c r="Q99">
        <v>0.91446574825391802</v>
      </c>
      <c r="R99">
        <v>2.5242268657484801E-2</v>
      </c>
      <c r="S99" s="113">
        <v>1.0074615421488299E-2</v>
      </c>
      <c r="T99">
        <v>-1.01890583404735</v>
      </c>
      <c r="U99">
        <v>1.01890583404735</v>
      </c>
      <c r="V99">
        <v>-2.67</v>
      </c>
      <c r="W99">
        <v>21.26</v>
      </c>
      <c r="X99">
        <v>114186</v>
      </c>
      <c r="Y99">
        <v>114186</v>
      </c>
      <c r="Z99">
        <v>5.01</v>
      </c>
      <c r="AA99">
        <v>1</v>
      </c>
      <c r="AB99">
        <v>1</v>
      </c>
      <c r="AC99">
        <v>0</v>
      </c>
      <c r="AD99">
        <v>100</v>
      </c>
      <c r="AE99">
        <v>2</v>
      </c>
      <c r="AF99">
        <v>1</v>
      </c>
      <c r="AG99">
        <v>0</v>
      </c>
      <c r="AH99">
        <v>0</v>
      </c>
    </row>
    <row r="100" spans="1:34">
      <c r="A100" s="109">
        <v>102</v>
      </c>
      <c r="B100">
        <v>1820</v>
      </c>
      <c r="C100" s="113" t="s">
        <v>148</v>
      </c>
      <c r="D100" s="113" t="s">
        <v>103</v>
      </c>
      <c r="E100">
        <v>2488</v>
      </c>
      <c r="F100">
        <v>2516</v>
      </c>
      <c r="G100">
        <v>400</v>
      </c>
      <c r="H100" s="113" t="s">
        <v>87</v>
      </c>
      <c r="I100">
        <v>5991</v>
      </c>
      <c r="J100" s="113" t="s">
        <v>141</v>
      </c>
      <c r="K100" s="113" t="s">
        <v>142</v>
      </c>
      <c r="L100">
        <v>1003</v>
      </c>
      <c r="M100">
        <v>1004</v>
      </c>
      <c r="N100">
        <v>1000</v>
      </c>
      <c r="O100" s="113" t="s">
        <v>85</v>
      </c>
      <c r="P100">
        <v>0.969663340483507</v>
      </c>
      <c r="Q100">
        <v>0.92102301954783805</v>
      </c>
      <c r="R100">
        <v>0.32770370773806401</v>
      </c>
      <c r="S100">
        <v>0.148949883512842</v>
      </c>
      <c r="T100">
        <v>0.46749497137167201</v>
      </c>
      <c r="U100">
        <v>0.46749497137167201</v>
      </c>
      <c r="V100">
        <v>1.32</v>
      </c>
      <c r="W100">
        <v>0.24</v>
      </c>
      <c r="X100">
        <v>113865</v>
      </c>
      <c r="Y100">
        <v>6698</v>
      </c>
      <c r="Z100">
        <v>0.34</v>
      </c>
      <c r="AA100">
        <v>17</v>
      </c>
      <c r="AB100">
        <v>10</v>
      </c>
      <c r="AC100">
        <v>7</v>
      </c>
      <c r="AD100">
        <v>58.82</v>
      </c>
      <c r="AE100">
        <v>12</v>
      </c>
      <c r="AF100">
        <v>6</v>
      </c>
      <c r="AG100">
        <v>3</v>
      </c>
      <c r="AH100">
        <v>8</v>
      </c>
    </row>
    <row r="101" spans="1:34">
      <c r="A101" s="109">
        <v>194</v>
      </c>
      <c r="B101">
        <v>3105</v>
      </c>
      <c r="C101" s="113" t="s">
        <v>116</v>
      </c>
      <c r="D101" s="113" t="s">
        <v>112</v>
      </c>
      <c r="E101">
        <v>1039</v>
      </c>
      <c r="F101">
        <v>1040</v>
      </c>
      <c r="G101">
        <v>1000</v>
      </c>
      <c r="H101" s="113" t="s">
        <v>87</v>
      </c>
      <c r="I101">
        <v>7762</v>
      </c>
      <c r="J101" s="113" t="s">
        <v>133</v>
      </c>
      <c r="K101" s="113" t="s">
        <v>119</v>
      </c>
      <c r="L101">
        <v>607</v>
      </c>
      <c r="M101">
        <v>606</v>
      </c>
      <c r="N101">
        <v>1700</v>
      </c>
      <c r="O101" s="113" t="s">
        <v>85</v>
      </c>
      <c r="P101">
        <v>0.92345009723479299</v>
      </c>
      <c r="Q101">
        <v>0.90317018567533003</v>
      </c>
      <c r="R101">
        <v>0.10985120725780199</v>
      </c>
      <c r="S101">
        <v>1.29986012214023E-2</v>
      </c>
      <c r="T101">
        <v>2.60174098682239</v>
      </c>
      <c r="U101">
        <v>2.60174098682239</v>
      </c>
      <c r="V101">
        <v>6.59</v>
      </c>
      <c r="W101">
        <v>0.94</v>
      </c>
      <c r="X101">
        <v>113398</v>
      </c>
      <c r="Y101">
        <v>8100</v>
      </c>
      <c r="Z101">
        <v>0.36</v>
      </c>
      <c r="AA101">
        <v>14</v>
      </c>
      <c r="AB101">
        <v>5</v>
      </c>
      <c r="AC101">
        <v>9</v>
      </c>
      <c r="AD101">
        <v>35.71</v>
      </c>
      <c r="AE101">
        <v>12</v>
      </c>
      <c r="AF101">
        <v>5</v>
      </c>
      <c r="AG101">
        <v>3</v>
      </c>
      <c r="AH101">
        <v>6</v>
      </c>
    </row>
    <row r="102" spans="1:34">
      <c r="A102" s="109">
        <v>175</v>
      </c>
      <c r="B102">
        <v>6755</v>
      </c>
      <c r="C102" s="113" t="s">
        <v>1329</v>
      </c>
      <c r="D102" s="113" t="s">
        <v>112</v>
      </c>
      <c r="E102">
        <v>2262</v>
      </c>
      <c r="F102">
        <v>2275</v>
      </c>
      <c r="G102">
        <v>300</v>
      </c>
      <c r="H102" s="113" t="s">
        <v>87</v>
      </c>
      <c r="I102">
        <v>8036</v>
      </c>
      <c r="J102" s="113" t="s">
        <v>355</v>
      </c>
      <c r="K102" s="113" t="s">
        <v>127</v>
      </c>
      <c r="L102">
        <v>7240</v>
      </c>
      <c r="M102">
        <v>7340</v>
      </c>
      <c r="N102">
        <v>100</v>
      </c>
      <c r="O102" s="113" t="s">
        <v>85</v>
      </c>
      <c r="P102">
        <v>0.90366491186534803</v>
      </c>
      <c r="Q102">
        <v>0.90649166414999605</v>
      </c>
      <c r="R102">
        <v>0.19283059516721199</v>
      </c>
      <c r="S102" s="20">
        <v>1.00678899833864E-2</v>
      </c>
      <c r="T102">
        <v>1.9943888521494799</v>
      </c>
      <c r="U102">
        <v>1.9943888521494799</v>
      </c>
      <c r="V102">
        <v>6.4</v>
      </c>
      <c r="W102">
        <v>7.02</v>
      </c>
      <c r="X102">
        <v>111584</v>
      </c>
      <c r="Y102">
        <v>6974</v>
      </c>
      <c r="Z102">
        <v>0.27</v>
      </c>
      <c r="AA102">
        <v>16</v>
      </c>
      <c r="AB102">
        <v>9</v>
      </c>
      <c r="AC102">
        <v>7</v>
      </c>
      <c r="AD102">
        <v>56.25</v>
      </c>
      <c r="AE102">
        <v>10</v>
      </c>
      <c r="AF102">
        <v>7</v>
      </c>
      <c r="AG102">
        <v>4</v>
      </c>
      <c r="AH102">
        <v>5</v>
      </c>
    </row>
    <row r="103" spans="1:34">
      <c r="A103" s="109">
        <v>122</v>
      </c>
      <c r="B103">
        <v>5802</v>
      </c>
      <c r="C103" s="113" t="s">
        <v>159</v>
      </c>
      <c r="D103" s="113" t="s">
        <v>160</v>
      </c>
      <c r="E103">
        <v>1665</v>
      </c>
      <c r="F103">
        <v>1657</v>
      </c>
      <c r="G103">
        <v>700</v>
      </c>
      <c r="H103" s="113" t="s">
        <v>87</v>
      </c>
      <c r="I103">
        <v>9072</v>
      </c>
      <c r="J103" s="113" t="s">
        <v>154</v>
      </c>
      <c r="K103" s="113" t="s">
        <v>145</v>
      </c>
      <c r="L103">
        <v>2724</v>
      </c>
      <c r="M103">
        <v>2724</v>
      </c>
      <c r="N103">
        <v>400</v>
      </c>
      <c r="O103" s="113" t="s">
        <v>85</v>
      </c>
      <c r="P103">
        <v>0.92886692749544397</v>
      </c>
      <c r="Q103">
        <v>0.91580389209605995</v>
      </c>
      <c r="R103" s="113">
        <v>5.5261975367916799E-2</v>
      </c>
      <c r="S103" s="113">
        <v>2.07658485300282E-4</v>
      </c>
      <c r="T103">
        <v>2.0106559955512502</v>
      </c>
      <c r="U103">
        <v>2.0106559955512502</v>
      </c>
      <c r="V103">
        <v>8.35</v>
      </c>
      <c r="W103">
        <v>6.45</v>
      </c>
      <c r="X103">
        <v>111309</v>
      </c>
      <c r="Y103">
        <v>5565</v>
      </c>
      <c r="Z103">
        <v>0.26</v>
      </c>
      <c r="AA103">
        <v>20</v>
      </c>
      <c r="AB103">
        <v>12</v>
      </c>
      <c r="AC103">
        <v>8</v>
      </c>
      <c r="AD103">
        <v>60</v>
      </c>
      <c r="AE103">
        <v>15</v>
      </c>
      <c r="AF103">
        <v>6</v>
      </c>
      <c r="AG103">
        <v>2</v>
      </c>
      <c r="AH103">
        <v>12</v>
      </c>
    </row>
    <row r="104" spans="1:34">
      <c r="A104" s="109">
        <v>0</v>
      </c>
      <c r="B104">
        <v>6702</v>
      </c>
      <c r="C104" s="113" t="s">
        <v>369</v>
      </c>
      <c r="D104" s="113" t="s">
        <v>112</v>
      </c>
      <c r="E104">
        <v>10250</v>
      </c>
      <c r="F104">
        <v>10215</v>
      </c>
      <c r="G104">
        <v>100</v>
      </c>
      <c r="H104" s="113" t="s">
        <v>85</v>
      </c>
      <c r="I104">
        <v>6920</v>
      </c>
      <c r="J104" s="113" t="s">
        <v>111</v>
      </c>
      <c r="K104" s="113" t="s">
        <v>112</v>
      </c>
      <c r="L104">
        <v>9870</v>
      </c>
      <c r="M104">
        <v>9870</v>
      </c>
      <c r="N104">
        <v>100</v>
      </c>
      <c r="O104" s="113" t="s">
        <v>87</v>
      </c>
      <c r="P104">
        <v>0.92140236097026995</v>
      </c>
      <c r="Q104">
        <v>0.97121368118659501</v>
      </c>
      <c r="R104">
        <v>0.15138604412926501</v>
      </c>
      <c r="S104" s="20">
        <v>9.9153753991158494E-5</v>
      </c>
      <c r="T104">
        <v>-1.65734594603943</v>
      </c>
      <c r="U104">
        <v>1.65734594603943</v>
      </c>
      <c r="V104">
        <v>-17.63</v>
      </c>
      <c r="W104">
        <v>3.38</v>
      </c>
      <c r="X104">
        <v>111057</v>
      </c>
      <c r="Y104">
        <v>11106</v>
      </c>
      <c r="Z104">
        <v>0.64</v>
      </c>
      <c r="AA104">
        <v>10</v>
      </c>
      <c r="AB104">
        <v>5</v>
      </c>
      <c r="AC104">
        <v>5</v>
      </c>
      <c r="AD104">
        <v>50</v>
      </c>
      <c r="AE104">
        <v>7</v>
      </c>
      <c r="AF104">
        <v>5</v>
      </c>
      <c r="AG104">
        <v>4</v>
      </c>
      <c r="AH104">
        <v>1</v>
      </c>
    </row>
    <row r="105" spans="1:34">
      <c r="A105" s="109">
        <v>27</v>
      </c>
      <c r="B105">
        <v>6925</v>
      </c>
      <c r="C105" s="113" t="s">
        <v>347</v>
      </c>
      <c r="D105" s="113" t="s">
        <v>112</v>
      </c>
      <c r="E105">
        <v>1661</v>
      </c>
      <c r="F105">
        <v>1659</v>
      </c>
      <c r="G105">
        <v>600</v>
      </c>
      <c r="H105" s="113" t="s">
        <v>85</v>
      </c>
      <c r="I105">
        <v>6951</v>
      </c>
      <c r="J105" s="113" t="s">
        <v>359</v>
      </c>
      <c r="K105" s="113" t="s">
        <v>112</v>
      </c>
      <c r="L105">
        <v>3100</v>
      </c>
      <c r="M105">
        <v>3145</v>
      </c>
      <c r="N105">
        <v>300</v>
      </c>
      <c r="O105" s="113" t="s">
        <v>87</v>
      </c>
      <c r="P105">
        <v>0.93235262153019904</v>
      </c>
      <c r="Q105">
        <v>0.94476668716301804</v>
      </c>
      <c r="R105" s="113">
        <v>0.23039294605125901</v>
      </c>
      <c r="S105" s="113">
        <v>5.9241655896346201E-3</v>
      </c>
      <c r="T105">
        <v>-1.82102647722056</v>
      </c>
      <c r="U105">
        <v>1.82102647722056</v>
      </c>
      <c r="V105">
        <v>-8.3000000000000007</v>
      </c>
      <c r="W105">
        <v>5.5</v>
      </c>
      <c r="X105">
        <v>110041</v>
      </c>
      <c r="Y105">
        <v>6113</v>
      </c>
      <c r="Z105">
        <v>0.33</v>
      </c>
      <c r="AA105">
        <v>18</v>
      </c>
      <c r="AB105">
        <v>11</v>
      </c>
      <c r="AC105">
        <v>7</v>
      </c>
      <c r="AD105">
        <v>61.11</v>
      </c>
      <c r="AE105">
        <v>10</v>
      </c>
      <c r="AF105">
        <v>7</v>
      </c>
      <c r="AG105">
        <v>6</v>
      </c>
      <c r="AH105">
        <v>5</v>
      </c>
    </row>
    <row r="106" spans="1:34">
      <c r="A106" s="109">
        <v>100</v>
      </c>
      <c r="B106">
        <v>2175</v>
      </c>
      <c r="C106" s="113" t="s">
        <v>364</v>
      </c>
      <c r="D106" s="113" t="s">
        <v>146</v>
      </c>
      <c r="E106">
        <v>2993</v>
      </c>
      <c r="F106">
        <v>3015</v>
      </c>
      <c r="G106">
        <v>200</v>
      </c>
      <c r="H106" s="113" t="s">
        <v>85</v>
      </c>
      <c r="I106">
        <v>8036</v>
      </c>
      <c r="J106" s="113" t="s">
        <v>355</v>
      </c>
      <c r="K106" s="113" t="s">
        <v>127</v>
      </c>
      <c r="L106">
        <v>7240</v>
      </c>
      <c r="M106">
        <v>7340</v>
      </c>
      <c r="N106">
        <v>100</v>
      </c>
      <c r="O106" s="113" t="s">
        <v>87</v>
      </c>
      <c r="P106">
        <v>0.91388355638374996</v>
      </c>
      <c r="Q106">
        <v>0.921247181339513</v>
      </c>
      <c r="R106">
        <v>2.8055281147601301E-3</v>
      </c>
      <c r="S106" s="113">
        <v>7.9559188136533995E-2</v>
      </c>
      <c r="T106">
        <v>-1.2971892423970199</v>
      </c>
      <c r="U106">
        <v>1.2971892423970199</v>
      </c>
      <c r="V106">
        <v>-3.02</v>
      </c>
      <c r="W106">
        <v>17.850000000000001</v>
      </c>
      <c r="X106">
        <v>107085</v>
      </c>
      <c r="Y106">
        <v>6299</v>
      </c>
      <c r="Z106">
        <v>0.39</v>
      </c>
      <c r="AA106">
        <v>17</v>
      </c>
      <c r="AB106">
        <v>9</v>
      </c>
      <c r="AC106">
        <v>8</v>
      </c>
      <c r="AD106">
        <v>52.94</v>
      </c>
      <c r="AE106">
        <v>11</v>
      </c>
      <c r="AF106">
        <v>8</v>
      </c>
      <c r="AG106">
        <v>6</v>
      </c>
      <c r="AH106">
        <v>3</v>
      </c>
    </row>
    <row r="107" spans="1:34">
      <c r="A107" s="109">
        <v>177</v>
      </c>
      <c r="B107">
        <v>6770</v>
      </c>
      <c r="C107" s="113" t="s">
        <v>50</v>
      </c>
      <c r="D107" s="113" t="s">
        <v>112</v>
      </c>
      <c r="E107">
        <v>2531</v>
      </c>
      <c r="F107">
        <v>2571</v>
      </c>
      <c r="G107">
        <v>400</v>
      </c>
      <c r="H107" s="113" t="s">
        <v>87</v>
      </c>
      <c r="I107">
        <v>7272</v>
      </c>
      <c r="J107" s="113" t="s">
        <v>333</v>
      </c>
      <c r="K107" s="113" t="s">
        <v>109</v>
      </c>
      <c r="L107">
        <v>2300</v>
      </c>
      <c r="M107">
        <v>2292</v>
      </c>
      <c r="N107">
        <v>400</v>
      </c>
      <c r="O107" s="113" t="s">
        <v>85</v>
      </c>
      <c r="P107">
        <v>0.92804614857649803</v>
      </c>
      <c r="Q107">
        <v>0.90637467950957196</v>
      </c>
      <c r="R107" s="20">
        <v>8.0413300538643304E-2</v>
      </c>
      <c r="S107" s="113">
        <v>8.2479485071656797E-2</v>
      </c>
      <c r="T107">
        <v>2.02390390877185</v>
      </c>
      <c r="U107">
        <v>2.02390390877185</v>
      </c>
      <c r="V107">
        <v>6.45</v>
      </c>
      <c r="W107">
        <v>10.85</v>
      </c>
      <c r="X107">
        <v>106683</v>
      </c>
      <c r="Y107">
        <v>8206</v>
      </c>
      <c r="Z107">
        <v>0.37</v>
      </c>
      <c r="AA107">
        <v>13</v>
      </c>
      <c r="AB107">
        <v>7</v>
      </c>
      <c r="AC107">
        <v>6</v>
      </c>
      <c r="AD107">
        <v>53.85</v>
      </c>
      <c r="AE107">
        <v>12</v>
      </c>
      <c r="AF107">
        <v>5</v>
      </c>
      <c r="AG107">
        <v>4</v>
      </c>
      <c r="AH107">
        <v>4</v>
      </c>
    </row>
    <row r="108" spans="1:34">
      <c r="A108" s="109">
        <v>93</v>
      </c>
      <c r="B108">
        <v>6645</v>
      </c>
      <c r="C108" s="113" t="s">
        <v>1330</v>
      </c>
      <c r="D108" s="113" t="s">
        <v>112</v>
      </c>
      <c r="E108">
        <v>6520</v>
      </c>
      <c r="F108">
        <v>6520</v>
      </c>
      <c r="G108">
        <v>100</v>
      </c>
      <c r="H108" s="113" t="s">
        <v>87</v>
      </c>
      <c r="I108">
        <v>6925</v>
      </c>
      <c r="J108" s="113" t="s">
        <v>347</v>
      </c>
      <c r="K108" s="113" t="s">
        <v>112</v>
      </c>
      <c r="L108">
        <v>1661</v>
      </c>
      <c r="M108">
        <v>1659</v>
      </c>
      <c r="N108">
        <v>400</v>
      </c>
      <c r="O108" s="113" t="s">
        <v>85</v>
      </c>
      <c r="P108">
        <v>0.94376242912359598</v>
      </c>
      <c r="Q108">
        <v>0.92265563379293003</v>
      </c>
      <c r="R108">
        <v>7.4035711876304497E-3</v>
      </c>
      <c r="S108" s="113">
        <v>4.4462378788803103E-2</v>
      </c>
      <c r="T108">
        <v>0.23368452636095499</v>
      </c>
      <c r="U108">
        <v>0.23368452636095499</v>
      </c>
      <c r="V108">
        <v>0.49</v>
      </c>
      <c r="W108">
        <v>1.78</v>
      </c>
      <c r="X108">
        <v>103592</v>
      </c>
      <c r="Y108">
        <v>5180</v>
      </c>
      <c r="Z108">
        <v>0.44</v>
      </c>
      <c r="AA108">
        <v>20</v>
      </c>
      <c r="AB108">
        <v>9</v>
      </c>
      <c r="AC108">
        <v>11</v>
      </c>
      <c r="AD108">
        <v>45</v>
      </c>
      <c r="AE108">
        <v>13</v>
      </c>
      <c r="AF108">
        <v>8</v>
      </c>
      <c r="AG108">
        <v>6</v>
      </c>
      <c r="AH108">
        <v>6</v>
      </c>
    </row>
    <row r="109" spans="1:34">
      <c r="A109" s="109">
        <v>103</v>
      </c>
      <c r="B109">
        <v>3635</v>
      </c>
      <c r="C109" s="113" t="s">
        <v>110</v>
      </c>
      <c r="D109" s="113" t="s">
        <v>104</v>
      </c>
      <c r="E109">
        <v>2646</v>
      </c>
      <c r="F109">
        <v>2631</v>
      </c>
      <c r="G109">
        <v>400</v>
      </c>
      <c r="H109" s="113" t="s">
        <v>85</v>
      </c>
      <c r="I109">
        <v>8425</v>
      </c>
      <c r="J109" s="113" t="s">
        <v>353</v>
      </c>
      <c r="K109" s="113" t="s">
        <v>332</v>
      </c>
      <c r="L109">
        <v>3275</v>
      </c>
      <c r="M109">
        <v>3295</v>
      </c>
      <c r="N109">
        <v>300</v>
      </c>
      <c r="O109" s="113" t="s">
        <v>87</v>
      </c>
      <c r="P109">
        <v>0.91801613686419503</v>
      </c>
      <c r="Q109">
        <v>0.92022656041260098</v>
      </c>
      <c r="R109">
        <v>3.9793937686413202E-3</v>
      </c>
      <c r="S109" s="20">
        <v>0.19473137771291801</v>
      </c>
      <c r="T109">
        <v>-3.2248082358017099E-2</v>
      </c>
      <c r="U109">
        <v>3.2248082358017099E-2</v>
      </c>
      <c r="V109">
        <v>-0.08</v>
      </c>
      <c r="W109">
        <v>6.46</v>
      </c>
      <c r="X109">
        <v>101656</v>
      </c>
      <c r="Y109">
        <v>5083</v>
      </c>
      <c r="Z109">
        <v>0.21</v>
      </c>
      <c r="AA109">
        <v>20</v>
      </c>
      <c r="AB109">
        <v>11</v>
      </c>
      <c r="AC109">
        <v>9</v>
      </c>
      <c r="AD109">
        <v>55</v>
      </c>
      <c r="AE109">
        <v>12</v>
      </c>
      <c r="AF109">
        <v>8</v>
      </c>
      <c r="AG109">
        <v>4</v>
      </c>
      <c r="AH109">
        <v>8</v>
      </c>
    </row>
    <row r="110" spans="1:34">
      <c r="A110" s="109">
        <v>179</v>
      </c>
      <c r="B110">
        <v>4626</v>
      </c>
      <c r="C110" s="113" t="s">
        <v>988</v>
      </c>
      <c r="D110" s="113" t="s">
        <v>86</v>
      </c>
      <c r="E110">
        <v>4210</v>
      </c>
      <c r="F110">
        <v>4185</v>
      </c>
      <c r="G110">
        <v>200</v>
      </c>
      <c r="H110" s="113" t="s">
        <v>85</v>
      </c>
      <c r="I110">
        <v>6981</v>
      </c>
      <c r="J110" s="113" t="s">
        <v>1331</v>
      </c>
      <c r="K110" s="113" t="s">
        <v>112</v>
      </c>
      <c r="L110">
        <v>6550</v>
      </c>
      <c r="M110">
        <v>6644</v>
      </c>
      <c r="N110">
        <v>100</v>
      </c>
      <c r="O110" s="113" t="s">
        <v>87</v>
      </c>
      <c r="P110">
        <v>0.91521540048666705</v>
      </c>
      <c r="Q110">
        <v>0.90622421809503295</v>
      </c>
      <c r="R110" s="20">
        <v>0.35565417380554998</v>
      </c>
      <c r="S110">
        <v>4.9975240599046997E-2</v>
      </c>
      <c r="T110">
        <v>-1.93439428552695</v>
      </c>
      <c r="U110">
        <v>1.93439428552695</v>
      </c>
      <c r="V110">
        <v>-8.3800000000000008</v>
      </c>
      <c r="W110">
        <v>25.98</v>
      </c>
      <c r="X110">
        <v>96524</v>
      </c>
      <c r="Y110">
        <v>13789</v>
      </c>
      <c r="Z110">
        <v>0.89</v>
      </c>
      <c r="AA110">
        <v>7</v>
      </c>
      <c r="AB110">
        <v>5</v>
      </c>
      <c r="AC110">
        <v>2</v>
      </c>
      <c r="AD110">
        <v>71.430000000000007</v>
      </c>
      <c r="AE110">
        <v>13</v>
      </c>
      <c r="AF110">
        <v>3</v>
      </c>
      <c r="AG110">
        <v>1</v>
      </c>
      <c r="AH110">
        <v>3</v>
      </c>
    </row>
    <row r="111" spans="1:34">
      <c r="A111" s="109">
        <v>127</v>
      </c>
      <c r="B111">
        <v>7167</v>
      </c>
      <c r="C111" s="113" t="s">
        <v>126</v>
      </c>
      <c r="D111" s="113" t="s">
        <v>107</v>
      </c>
      <c r="E111">
        <v>283</v>
      </c>
      <c r="F111">
        <v>283</v>
      </c>
      <c r="G111">
        <v>3600</v>
      </c>
      <c r="H111" s="113" t="s">
        <v>85</v>
      </c>
      <c r="I111">
        <v>8377</v>
      </c>
      <c r="J111" s="113" t="s">
        <v>120</v>
      </c>
      <c r="K111" s="113" t="s">
        <v>107</v>
      </c>
      <c r="L111">
        <v>1136</v>
      </c>
      <c r="M111">
        <v>1136</v>
      </c>
      <c r="N111">
        <v>900</v>
      </c>
      <c r="O111" s="113" t="s">
        <v>87</v>
      </c>
      <c r="P111">
        <v>0.95704727139179202</v>
      </c>
      <c r="Q111">
        <v>0.91521005155429602</v>
      </c>
      <c r="R111" s="113">
        <v>3.5615287411240898E-2</v>
      </c>
      <c r="S111">
        <v>0.20817680401650601</v>
      </c>
      <c r="T111">
        <v>-0.79347464427746395</v>
      </c>
      <c r="U111">
        <v>0.79347464427746395</v>
      </c>
      <c r="V111">
        <v>-1.44</v>
      </c>
      <c r="W111">
        <v>0.35</v>
      </c>
      <c r="X111">
        <v>96023</v>
      </c>
      <c r="Y111">
        <v>6001</v>
      </c>
      <c r="Z111">
        <v>0.25</v>
      </c>
      <c r="AA111">
        <v>16</v>
      </c>
      <c r="AB111">
        <v>11</v>
      </c>
      <c r="AC111">
        <v>5</v>
      </c>
      <c r="AD111">
        <v>68.75</v>
      </c>
      <c r="AE111">
        <v>16</v>
      </c>
      <c r="AF111">
        <v>2</v>
      </c>
      <c r="AG111">
        <v>1</v>
      </c>
      <c r="AH111">
        <v>13</v>
      </c>
    </row>
    <row r="112" spans="1:34">
      <c r="A112" s="109">
        <v>40</v>
      </c>
      <c r="B112">
        <v>4208</v>
      </c>
      <c r="C112" s="113" t="s">
        <v>124</v>
      </c>
      <c r="D112" s="113" t="s">
        <v>86</v>
      </c>
      <c r="E112">
        <v>2376</v>
      </c>
      <c r="F112">
        <v>2358</v>
      </c>
      <c r="G112">
        <v>300</v>
      </c>
      <c r="H112" s="113" t="s">
        <v>85</v>
      </c>
      <c r="I112">
        <v>6371</v>
      </c>
      <c r="J112" s="113" t="s">
        <v>134</v>
      </c>
      <c r="K112" s="113" t="s">
        <v>125</v>
      </c>
      <c r="L112">
        <v>3875</v>
      </c>
      <c r="M112">
        <v>3865</v>
      </c>
      <c r="N112">
        <v>200</v>
      </c>
      <c r="O112" s="113" t="s">
        <v>87</v>
      </c>
      <c r="P112">
        <v>0.95130639000904005</v>
      </c>
      <c r="Q112">
        <v>0.94165352941448399</v>
      </c>
      <c r="R112">
        <v>0.17849311228638601</v>
      </c>
      <c r="S112">
        <v>1.4378806330561E-2</v>
      </c>
      <c r="T112">
        <v>-1.4272644243799399</v>
      </c>
      <c r="U112">
        <v>1.4272644243799399</v>
      </c>
      <c r="V112">
        <v>-2.94</v>
      </c>
      <c r="W112">
        <v>8.49</v>
      </c>
      <c r="X112">
        <v>93305</v>
      </c>
      <c r="Y112">
        <v>6220</v>
      </c>
      <c r="Z112">
        <v>0.28999999999999998</v>
      </c>
      <c r="AA112">
        <v>15</v>
      </c>
      <c r="AB112">
        <v>9</v>
      </c>
      <c r="AC112">
        <v>6</v>
      </c>
      <c r="AD112">
        <v>60</v>
      </c>
      <c r="AE112">
        <v>13</v>
      </c>
      <c r="AF112">
        <v>4</v>
      </c>
      <c r="AG112">
        <v>4</v>
      </c>
      <c r="AH112">
        <v>7</v>
      </c>
    </row>
    <row r="113" spans="1:34">
      <c r="A113" s="109">
        <v>12</v>
      </c>
      <c r="B113">
        <v>2175</v>
      </c>
      <c r="C113" s="113" t="s">
        <v>364</v>
      </c>
      <c r="D113" s="113" t="s">
        <v>146</v>
      </c>
      <c r="E113">
        <v>2993</v>
      </c>
      <c r="F113">
        <v>3015</v>
      </c>
      <c r="G113">
        <v>400</v>
      </c>
      <c r="H113" s="113" t="s">
        <v>85</v>
      </c>
      <c r="I113">
        <v>9759</v>
      </c>
      <c r="J113" s="113" t="s">
        <v>1075</v>
      </c>
      <c r="K113" s="113" t="s">
        <v>104</v>
      </c>
      <c r="L113">
        <v>3600</v>
      </c>
      <c r="M113">
        <v>3630</v>
      </c>
      <c r="N113">
        <v>300</v>
      </c>
      <c r="O113" s="113" t="s">
        <v>87</v>
      </c>
      <c r="P113">
        <v>0.90636846629853596</v>
      </c>
      <c r="Q113">
        <v>0.95387267814149101</v>
      </c>
      <c r="R113">
        <v>0.221293436714004</v>
      </c>
      <c r="S113">
        <v>1.4727553680577801E-3</v>
      </c>
      <c r="T113">
        <v>-3.52232843337189E-2</v>
      </c>
      <c r="U113">
        <v>3.52232843337189E-2</v>
      </c>
      <c r="V113">
        <v>-0.13</v>
      </c>
      <c r="W113">
        <v>10.74</v>
      </c>
      <c r="X113">
        <v>92563</v>
      </c>
      <c r="Y113">
        <v>7714</v>
      </c>
      <c r="Z113">
        <v>0.46</v>
      </c>
      <c r="AA113">
        <v>12</v>
      </c>
      <c r="AB113">
        <v>7</v>
      </c>
      <c r="AC113">
        <v>5</v>
      </c>
      <c r="AD113">
        <v>58.33</v>
      </c>
      <c r="AE113">
        <v>11</v>
      </c>
      <c r="AF113">
        <v>6</v>
      </c>
      <c r="AG113">
        <v>4</v>
      </c>
      <c r="AH113">
        <v>2</v>
      </c>
    </row>
    <row r="114" spans="1:34">
      <c r="A114" s="109">
        <v>209</v>
      </c>
      <c r="B114">
        <v>6770</v>
      </c>
      <c r="C114" s="113" t="s">
        <v>50</v>
      </c>
      <c r="D114" s="113" t="s">
        <v>112</v>
      </c>
      <c r="E114">
        <v>2531</v>
      </c>
      <c r="F114">
        <v>2571</v>
      </c>
      <c r="G114">
        <v>400</v>
      </c>
      <c r="H114" s="113" t="s">
        <v>87</v>
      </c>
      <c r="I114">
        <v>6995</v>
      </c>
      <c r="J114" s="113" t="s">
        <v>117</v>
      </c>
      <c r="K114" s="113" t="s">
        <v>109</v>
      </c>
      <c r="L114">
        <v>2178</v>
      </c>
      <c r="M114">
        <v>2150</v>
      </c>
      <c r="N114">
        <v>500</v>
      </c>
      <c r="O114" s="113" t="s">
        <v>85</v>
      </c>
      <c r="P114">
        <v>0.95623303630331102</v>
      </c>
      <c r="Q114">
        <v>0.900479992662233</v>
      </c>
      <c r="R114">
        <v>9.0221904817952794E-2</v>
      </c>
      <c r="S114">
        <v>0.24547205755049101</v>
      </c>
      <c r="T114">
        <v>2.5728122252063699</v>
      </c>
      <c r="U114">
        <v>2.5728122252063699</v>
      </c>
      <c r="V114">
        <v>6.75</v>
      </c>
      <c r="W114">
        <v>4.53</v>
      </c>
      <c r="X114">
        <v>90653</v>
      </c>
      <c r="Y114">
        <v>5333</v>
      </c>
      <c r="Z114">
        <v>0.23</v>
      </c>
      <c r="AA114">
        <v>17</v>
      </c>
      <c r="AB114">
        <v>9</v>
      </c>
      <c r="AC114">
        <v>8</v>
      </c>
      <c r="AD114">
        <v>52.94</v>
      </c>
      <c r="AE114">
        <v>12</v>
      </c>
      <c r="AF114">
        <v>6</v>
      </c>
      <c r="AG114">
        <v>4</v>
      </c>
      <c r="AH114">
        <v>7</v>
      </c>
    </row>
    <row r="115" spans="1:34">
      <c r="A115" s="109">
        <v>82</v>
      </c>
      <c r="B115">
        <v>4182</v>
      </c>
      <c r="C115" s="113" t="s">
        <v>113</v>
      </c>
      <c r="D115" s="113" t="s">
        <v>86</v>
      </c>
      <c r="E115">
        <v>1681</v>
      </c>
      <c r="F115">
        <v>1679</v>
      </c>
      <c r="G115">
        <v>500</v>
      </c>
      <c r="H115" s="113" t="s">
        <v>87</v>
      </c>
      <c r="I115">
        <v>6371</v>
      </c>
      <c r="J115" s="113" t="s">
        <v>134</v>
      </c>
      <c r="K115" s="113" t="s">
        <v>125</v>
      </c>
      <c r="L115">
        <v>3875</v>
      </c>
      <c r="M115">
        <v>3865</v>
      </c>
      <c r="N115">
        <v>200</v>
      </c>
      <c r="O115" s="113" t="s">
        <v>85</v>
      </c>
      <c r="P115">
        <v>0.93896785436824703</v>
      </c>
      <c r="Q115">
        <v>0.92685503850859996</v>
      </c>
      <c r="R115">
        <v>0.13566476771967301</v>
      </c>
      <c r="S115">
        <v>3.8757311019219802E-2</v>
      </c>
      <c r="T115">
        <v>0.97391590472641698</v>
      </c>
      <c r="U115">
        <v>0.97391590472641698</v>
      </c>
      <c r="V115">
        <v>3.93</v>
      </c>
      <c r="W115">
        <v>8.6</v>
      </c>
      <c r="X115">
        <v>88640</v>
      </c>
      <c r="Y115">
        <v>6818</v>
      </c>
      <c r="Z115">
        <v>0.47</v>
      </c>
      <c r="AA115">
        <v>13</v>
      </c>
      <c r="AB115">
        <v>8</v>
      </c>
      <c r="AC115">
        <v>5</v>
      </c>
      <c r="AD115">
        <v>61.54</v>
      </c>
      <c r="AE115">
        <v>12</v>
      </c>
      <c r="AF115">
        <v>4</v>
      </c>
      <c r="AG115">
        <v>2</v>
      </c>
      <c r="AH115">
        <v>7</v>
      </c>
    </row>
    <row r="116" spans="1:34">
      <c r="A116" s="109">
        <v>161</v>
      </c>
      <c r="B116">
        <v>9062</v>
      </c>
      <c r="C116" s="113" t="s">
        <v>996</v>
      </c>
      <c r="D116" s="113" t="s">
        <v>145</v>
      </c>
      <c r="E116">
        <v>6820</v>
      </c>
      <c r="F116">
        <v>6870</v>
      </c>
      <c r="G116">
        <v>100</v>
      </c>
      <c r="H116" s="113" t="s">
        <v>87</v>
      </c>
      <c r="I116">
        <v>9072</v>
      </c>
      <c r="J116" s="113" t="s">
        <v>154</v>
      </c>
      <c r="K116" s="113" t="s">
        <v>145</v>
      </c>
      <c r="L116">
        <v>2724</v>
      </c>
      <c r="M116">
        <v>2724</v>
      </c>
      <c r="N116">
        <v>300</v>
      </c>
      <c r="O116" s="113" t="s">
        <v>85</v>
      </c>
      <c r="P116">
        <v>0.934005674178919</v>
      </c>
      <c r="Q116">
        <v>0.90858511931956099</v>
      </c>
      <c r="R116">
        <v>0.30062120615120902</v>
      </c>
      <c r="S116">
        <v>6.88689111368012E-3</v>
      </c>
      <c r="T116">
        <v>1.5367557337628399</v>
      </c>
      <c r="U116">
        <v>1.5367557337628399</v>
      </c>
      <c r="V116">
        <v>7.2</v>
      </c>
      <c r="W116">
        <v>18.95</v>
      </c>
      <c r="X116">
        <v>86554</v>
      </c>
      <c r="Y116">
        <v>14426</v>
      </c>
      <c r="Z116">
        <v>0.91</v>
      </c>
      <c r="AA116">
        <v>6</v>
      </c>
      <c r="AB116">
        <v>4</v>
      </c>
      <c r="AC116">
        <v>2</v>
      </c>
      <c r="AD116">
        <v>66.67</v>
      </c>
      <c r="AE116">
        <v>14</v>
      </c>
      <c r="AF116">
        <v>2</v>
      </c>
      <c r="AG116">
        <v>0</v>
      </c>
      <c r="AH116">
        <v>4</v>
      </c>
    </row>
    <row r="117" spans="1:34">
      <c r="A117" s="109">
        <v>51</v>
      </c>
      <c r="B117">
        <v>5802</v>
      </c>
      <c r="C117" s="113" t="s">
        <v>159</v>
      </c>
      <c r="D117" s="113" t="s">
        <v>160</v>
      </c>
      <c r="E117">
        <v>1665</v>
      </c>
      <c r="F117">
        <v>1657</v>
      </c>
      <c r="G117">
        <v>600</v>
      </c>
      <c r="H117" s="113" t="s">
        <v>87</v>
      </c>
      <c r="I117">
        <v>7267</v>
      </c>
      <c r="J117" s="113" t="s">
        <v>144</v>
      </c>
      <c r="K117" s="113" t="s">
        <v>109</v>
      </c>
      <c r="L117">
        <v>3127</v>
      </c>
      <c r="M117">
        <v>3144</v>
      </c>
      <c r="N117">
        <v>300</v>
      </c>
      <c r="O117" s="113" t="s">
        <v>85</v>
      </c>
      <c r="P117">
        <v>0.910139622924654</v>
      </c>
      <c r="Q117">
        <v>0.93607440868324898</v>
      </c>
      <c r="R117" s="20">
        <v>0.104413577095524</v>
      </c>
      <c r="S117" s="20">
        <v>9.4755372544321194E-5</v>
      </c>
      <c r="T117">
        <v>2.0996421513149</v>
      </c>
      <c r="U117">
        <v>2.0996421513149</v>
      </c>
      <c r="V117">
        <v>5.95</v>
      </c>
      <c r="W117">
        <v>5.41</v>
      </c>
      <c r="X117">
        <v>86548</v>
      </c>
      <c r="Y117">
        <v>5409</v>
      </c>
      <c r="Z117">
        <v>0.24</v>
      </c>
      <c r="AA117">
        <v>16</v>
      </c>
      <c r="AB117">
        <v>10</v>
      </c>
      <c r="AC117">
        <v>6</v>
      </c>
      <c r="AD117">
        <v>62.5</v>
      </c>
      <c r="AE117">
        <v>16</v>
      </c>
      <c r="AF117">
        <v>1</v>
      </c>
      <c r="AG117">
        <v>1</v>
      </c>
      <c r="AH117">
        <v>14</v>
      </c>
    </row>
    <row r="118" spans="1:34">
      <c r="A118" s="109">
        <v>55</v>
      </c>
      <c r="B118">
        <v>5802</v>
      </c>
      <c r="C118" s="113" t="s">
        <v>159</v>
      </c>
      <c r="D118" s="113" t="s">
        <v>160</v>
      </c>
      <c r="E118">
        <v>1665</v>
      </c>
      <c r="F118">
        <v>1657</v>
      </c>
      <c r="G118">
        <v>600</v>
      </c>
      <c r="H118" s="113" t="s">
        <v>87</v>
      </c>
      <c r="I118">
        <v>9810</v>
      </c>
      <c r="J118" s="113" t="s">
        <v>155</v>
      </c>
      <c r="K118" s="113" t="s">
        <v>127</v>
      </c>
      <c r="L118">
        <v>5190</v>
      </c>
      <c r="M118">
        <v>5180</v>
      </c>
      <c r="N118">
        <v>200</v>
      </c>
      <c r="O118" s="113" t="s">
        <v>85</v>
      </c>
      <c r="P118">
        <v>0.93812581903722403</v>
      </c>
      <c r="Q118">
        <v>0.93476798750203505</v>
      </c>
      <c r="R118">
        <v>0.15749476301128501</v>
      </c>
      <c r="S118">
        <v>3.3322568721792997E-2</v>
      </c>
      <c r="T118">
        <v>0.29179639332742802</v>
      </c>
      <c r="U118">
        <v>0.29179639332742802</v>
      </c>
      <c r="V118">
        <v>0.8</v>
      </c>
      <c r="W118">
        <v>4.03</v>
      </c>
      <c r="X118">
        <v>84914</v>
      </c>
      <c r="Y118">
        <v>5661</v>
      </c>
      <c r="Z118">
        <v>0.45</v>
      </c>
      <c r="AA118">
        <v>15</v>
      </c>
      <c r="AB118">
        <v>10</v>
      </c>
      <c r="AC118">
        <v>5</v>
      </c>
      <c r="AD118">
        <v>66.67</v>
      </c>
      <c r="AE118">
        <v>14</v>
      </c>
      <c r="AF118">
        <v>3</v>
      </c>
      <c r="AG118">
        <v>2</v>
      </c>
      <c r="AH118">
        <v>10</v>
      </c>
    </row>
    <row r="119" spans="1:34">
      <c r="A119" s="109">
        <v>68</v>
      </c>
      <c r="B119">
        <v>6770</v>
      </c>
      <c r="C119" s="113" t="s">
        <v>50</v>
      </c>
      <c r="D119" s="113" t="s">
        <v>112</v>
      </c>
      <c r="E119">
        <v>2531</v>
      </c>
      <c r="F119">
        <v>2571</v>
      </c>
      <c r="G119">
        <v>200</v>
      </c>
      <c r="H119" s="113" t="s">
        <v>87</v>
      </c>
      <c r="I119">
        <v>6988</v>
      </c>
      <c r="J119" s="113" t="s">
        <v>167</v>
      </c>
      <c r="K119" s="113" t="s">
        <v>86</v>
      </c>
      <c r="L119">
        <v>6170</v>
      </c>
      <c r="M119">
        <v>6210</v>
      </c>
      <c r="N119">
        <v>100</v>
      </c>
      <c r="O119" s="113" t="s">
        <v>85</v>
      </c>
      <c r="P119">
        <v>0.93856868498002799</v>
      </c>
      <c r="Q119">
        <v>0.93135755890732896</v>
      </c>
      <c r="R119" s="20">
        <v>9.7565457751778703E-2</v>
      </c>
      <c r="S119">
        <v>0.116727484445818</v>
      </c>
      <c r="T119">
        <v>2.2178937808853401</v>
      </c>
      <c r="U119">
        <v>2.2178937808853401</v>
      </c>
      <c r="V119">
        <v>7.65</v>
      </c>
      <c r="W119">
        <v>17.2</v>
      </c>
      <c r="X119">
        <v>80018</v>
      </c>
      <c r="Y119">
        <v>5716</v>
      </c>
      <c r="Z119">
        <v>0.28999999999999998</v>
      </c>
      <c r="AA119">
        <v>14</v>
      </c>
      <c r="AB119">
        <v>8</v>
      </c>
      <c r="AC119">
        <v>6</v>
      </c>
      <c r="AD119">
        <v>57.14</v>
      </c>
      <c r="AE119">
        <v>12</v>
      </c>
      <c r="AF119">
        <v>7</v>
      </c>
      <c r="AG119">
        <v>3</v>
      </c>
      <c r="AH119">
        <v>4</v>
      </c>
    </row>
    <row r="120" spans="1:34">
      <c r="A120" s="109">
        <v>141</v>
      </c>
      <c r="B120">
        <v>8002</v>
      </c>
      <c r="C120" s="113" t="s">
        <v>55</v>
      </c>
      <c r="D120" s="113" t="s">
        <v>127</v>
      </c>
      <c r="E120">
        <v>826.6</v>
      </c>
      <c r="F120">
        <v>824.9</v>
      </c>
      <c r="G120">
        <v>1300</v>
      </c>
      <c r="H120" s="113" t="s">
        <v>87</v>
      </c>
      <c r="I120">
        <v>9072</v>
      </c>
      <c r="J120" s="113" t="s">
        <v>154</v>
      </c>
      <c r="K120" s="113" t="s">
        <v>145</v>
      </c>
      <c r="L120">
        <v>2724</v>
      </c>
      <c r="M120">
        <v>2724</v>
      </c>
      <c r="N120">
        <v>400</v>
      </c>
      <c r="O120" s="113" t="s">
        <v>85</v>
      </c>
      <c r="P120">
        <v>0.93713582402686602</v>
      </c>
      <c r="Q120">
        <v>0.91301626193265895</v>
      </c>
      <c r="R120">
        <v>6.2900017061773103E-2</v>
      </c>
      <c r="S120" s="113">
        <v>1.8034228548277E-3</v>
      </c>
      <c r="T120">
        <v>1.86562175450746</v>
      </c>
      <c r="U120">
        <v>1.86562175450746</v>
      </c>
      <c r="V120">
        <v>3.6</v>
      </c>
      <c r="W120">
        <v>1.58</v>
      </c>
      <c r="X120">
        <v>77791</v>
      </c>
      <c r="Y120">
        <v>4862</v>
      </c>
      <c r="Z120">
        <v>0.24</v>
      </c>
      <c r="AA120">
        <v>16</v>
      </c>
      <c r="AB120">
        <v>8</v>
      </c>
      <c r="AC120">
        <v>8</v>
      </c>
      <c r="AD120">
        <v>50</v>
      </c>
      <c r="AE120">
        <v>16</v>
      </c>
      <c r="AF120">
        <v>4</v>
      </c>
      <c r="AG120">
        <v>1</v>
      </c>
      <c r="AH120">
        <v>11</v>
      </c>
    </row>
    <row r="121" spans="1:34">
      <c r="A121" s="109">
        <v>99</v>
      </c>
      <c r="B121">
        <v>4519</v>
      </c>
      <c r="C121" s="113" t="s">
        <v>994</v>
      </c>
      <c r="D121" s="113" t="s">
        <v>164</v>
      </c>
      <c r="E121">
        <v>9801</v>
      </c>
      <c r="F121">
        <v>9845</v>
      </c>
      <c r="G121">
        <v>100</v>
      </c>
      <c r="H121" s="113" t="s">
        <v>87</v>
      </c>
      <c r="I121">
        <v>6702</v>
      </c>
      <c r="J121" s="113" t="s">
        <v>369</v>
      </c>
      <c r="K121" s="113" t="s">
        <v>112</v>
      </c>
      <c r="L121">
        <v>10250</v>
      </c>
      <c r="M121">
        <v>10215</v>
      </c>
      <c r="N121">
        <v>100</v>
      </c>
      <c r="O121" s="113" t="s">
        <v>85</v>
      </c>
      <c r="P121">
        <v>0.95546113858901704</v>
      </c>
      <c r="Q121">
        <v>0.92136399729166496</v>
      </c>
      <c r="R121" s="20">
        <v>6.2384170147086103E-2</v>
      </c>
      <c r="S121" s="20">
        <v>0.12002916315032899</v>
      </c>
      <c r="T121">
        <v>0.80023675527786098</v>
      </c>
      <c r="U121">
        <v>0.80023675527786098</v>
      </c>
      <c r="V121">
        <v>2.5099999999999998</v>
      </c>
      <c r="W121">
        <v>3.62</v>
      </c>
      <c r="X121">
        <v>75944</v>
      </c>
      <c r="Y121">
        <v>10849</v>
      </c>
      <c r="Z121">
        <v>0.79</v>
      </c>
      <c r="AA121">
        <v>7</v>
      </c>
      <c r="AB121">
        <v>4</v>
      </c>
      <c r="AC121">
        <v>3</v>
      </c>
      <c r="AD121">
        <v>57.14</v>
      </c>
      <c r="AE121">
        <v>12</v>
      </c>
      <c r="AF121">
        <v>3</v>
      </c>
      <c r="AG121">
        <v>1</v>
      </c>
      <c r="AH121">
        <v>3</v>
      </c>
    </row>
    <row r="122" spans="1:34">
      <c r="A122" s="109">
        <v>95</v>
      </c>
      <c r="B122">
        <v>5802</v>
      </c>
      <c r="C122" s="113" t="s">
        <v>159</v>
      </c>
      <c r="D122" s="113" t="s">
        <v>160</v>
      </c>
      <c r="E122">
        <v>1665</v>
      </c>
      <c r="F122">
        <v>1657</v>
      </c>
      <c r="G122">
        <v>400</v>
      </c>
      <c r="H122" s="113" t="s">
        <v>87</v>
      </c>
      <c r="I122">
        <v>6988</v>
      </c>
      <c r="J122" s="113" t="s">
        <v>167</v>
      </c>
      <c r="K122" s="113" t="s">
        <v>86</v>
      </c>
      <c r="L122">
        <v>6170</v>
      </c>
      <c r="M122">
        <v>6210</v>
      </c>
      <c r="N122">
        <v>100</v>
      </c>
      <c r="O122" s="113" t="s">
        <v>85</v>
      </c>
      <c r="P122">
        <v>0.93440495016838199</v>
      </c>
      <c r="Q122">
        <v>0.92232441176586799</v>
      </c>
      <c r="R122" s="113">
        <v>0.27400364349940198</v>
      </c>
      <c r="S122">
        <v>9.4391480176690606E-2</v>
      </c>
      <c r="T122">
        <v>1.7875186338670299</v>
      </c>
      <c r="U122">
        <v>1.7875186338670299</v>
      </c>
      <c r="V122">
        <v>4.2699999999999996</v>
      </c>
      <c r="W122">
        <v>6.73</v>
      </c>
      <c r="X122">
        <v>75181</v>
      </c>
      <c r="Y122">
        <v>4422</v>
      </c>
      <c r="Z122">
        <v>0.21</v>
      </c>
      <c r="AA122">
        <v>17</v>
      </c>
      <c r="AB122">
        <v>11</v>
      </c>
      <c r="AC122">
        <v>6</v>
      </c>
      <c r="AD122">
        <v>64.709999999999994</v>
      </c>
      <c r="AE122">
        <v>13</v>
      </c>
      <c r="AF122">
        <v>4</v>
      </c>
      <c r="AG122">
        <v>4</v>
      </c>
      <c r="AH122">
        <v>9</v>
      </c>
    </row>
    <row r="123" spans="1:34">
      <c r="A123" s="109">
        <v>43</v>
      </c>
      <c r="B123">
        <v>1820</v>
      </c>
      <c r="C123" s="113" t="s">
        <v>148</v>
      </c>
      <c r="D123" s="113" t="s">
        <v>103</v>
      </c>
      <c r="E123">
        <v>2488</v>
      </c>
      <c r="F123">
        <v>2516</v>
      </c>
      <c r="G123">
        <v>400</v>
      </c>
      <c r="H123" s="113" t="s">
        <v>87</v>
      </c>
      <c r="I123">
        <v>4182</v>
      </c>
      <c r="J123" s="113" t="s">
        <v>113</v>
      </c>
      <c r="K123" s="113" t="s">
        <v>86</v>
      </c>
      <c r="L123">
        <v>1681</v>
      </c>
      <c r="M123">
        <v>1679</v>
      </c>
      <c r="N123">
        <v>600</v>
      </c>
      <c r="O123" s="113" t="s">
        <v>85</v>
      </c>
      <c r="P123">
        <v>0.96308764466287</v>
      </c>
      <c r="Q123">
        <v>0.93919952397909401</v>
      </c>
      <c r="R123" s="113">
        <v>1.8296676653915701E-2</v>
      </c>
      <c r="S123">
        <v>3.5490081460731397E-2</v>
      </c>
      <c r="T123">
        <v>1.2125757820146501</v>
      </c>
      <c r="U123">
        <v>1.2125757820146501</v>
      </c>
      <c r="V123">
        <v>4.09</v>
      </c>
      <c r="W123">
        <v>0.1</v>
      </c>
      <c r="X123">
        <v>74834</v>
      </c>
      <c r="Y123">
        <v>6236</v>
      </c>
      <c r="Z123">
        <v>0.26</v>
      </c>
      <c r="AA123">
        <v>12</v>
      </c>
      <c r="AB123">
        <v>8</v>
      </c>
      <c r="AC123">
        <v>4</v>
      </c>
      <c r="AD123">
        <v>66.67</v>
      </c>
      <c r="AE123">
        <v>12</v>
      </c>
      <c r="AF123">
        <v>5</v>
      </c>
      <c r="AG123">
        <v>3</v>
      </c>
      <c r="AH123">
        <v>4</v>
      </c>
    </row>
    <row r="124" spans="1:34">
      <c r="A124" s="109">
        <v>139</v>
      </c>
      <c r="B124">
        <v>3116</v>
      </c>
      <c r="C124" s="113" t="s">
        <v>153</v>
      </c>
      <c r="D124" s="113" t="s">
        <v>109</v>
      </c>
      <c r="E124">
        <v>1733</v>
      </c>
      <c r="F124">
        <v>1723</v>
      </c>
      <c r="G124">
        <v>600</v>
      </c>
      <c r="H124" s="113" t="s">
        <v>85</v>
      </c>
      <c r="I124">
        <v>8002</v>
      </c>
      <c r="J124" s="113" t="s">
        <v>55</v>
      </c>
      <c r="K124" s="113" t="s">
        <v>127</v>
      </c>
      <c r="L124">
        <v>826.6</v>
      </c>
      <c r="M124">
        <v>824.9</v>
      </c>
      <c r="N124">
        <v>1300</v>
      </c>
      <c r="O124" s="113" t="s">
        <v>87</v>
      </c>
      <c r="P124">
        <v>0.94527738939856099</v>
      </c>
      <c r="Q124">
        <v>0.91337939241824295</v>
      </c>
      <c r="R124">
        <v>6.7399274694218497E-2</v>
      </c>
      <c r="S124">
        <v>0.29169235043073299</v>
      </c>
      <c r="T124">
        <v>-4.39130249332036E-2</v>
      </c>
      <c r="U124">
        <v>4.39130249332036E-2</v>
      </c>
      <c r="V124">
        <v>-0.08</v>
      </c>
      <c r="W124">
        <v>3.73</v>
      </c>
      <c r="X124">
        <v>69702</v>
      </c>
      <c r="Y124">
        <v>5362</v>
      </c>
      <c r="Z124">
        <v>0.33</v>
      </c>
      <c r="AA124">
        <v>13</v>
      </c>
      <c r="AB124">
        <v>5</v>
      </c>
      <c r="AC124">
        <v>8</v>
      </c>
      <c r="AD124">
        <v>38.46</v>
      </c>
      <c r="AE124">
        <v>16</v>
      </c>
      <c r="AF124">
        <v>4</v>
      </c>
      <c r="AG124">
        <v>0</v>
      </c>
      <c r="AH124">
        <v>9</v>
      </c>
    </row>
    <row r="125" spans="1:34">
      <c r="A125" s="109">
        <v>56</v>
      </c>
      <c r="B125">
        <v>7189</v>
      </c>
      <c r="C125" s="113" t="s">
        <v>106</v>
      </c>
      <c r="D125" s="113" t="s">
        <v>107</v>
      </c>
      <c r="E125">
        <v>869</v>
      </c>
      <c r="F125">
        <v>874</v>
      </c>
      <c r="G125">
        <v>1000</v>
      </c>
      <c r="H125" s="113" t="s">
        <v>87</v>
      </c>
      <c r="I125">
        <v>7327</v>
      </c>
      <c r="J125" s="113" t="s">
        <v>169</v>
      </c>
      <c r="K125" s="113" t="s">
        <v>107</v>
      </c>
      <c r="L125">
        <v>3025</v>
      </c>
      <c r="M125">
        <v>3035</v>
      </c>
      <c r="N125">
        <v>300</v>
      </c>
      <c r="O125" s="113" t="s">
        <v>85</v>
      </c>
      <c r="P125">
        <v>0.93322749716094999</v>
      </c>
      <c r="Q125">
        <v>0.93395280480245502</v>
      </c>
      <c r="R125" s="20">
        <v>0.205123250469324</v>
      </c>
      <c r="S125" s="20">
        <v>0.17933079848099301</v>
      </c>
      <c r="T125">
        <v>0.60063195653954304</v>
      </c>
      <c r="U125">
        <v>0.60063195653954304</v>
      </c>
      <c r="V125">
        <v>2.4900000000000002</v>
      </c>
      <c r="W125">
        <v>4.01</v>
      </c>
      <c r="X125">
        <v>68567</v>
      </c>
      <c r="Y125">
        <v>13713</v>
      </c>
      <c r="Z125">
        <v>0.79</v>
      </c>
      <c r="AA125">
        <v>5</v>
      </c>
      <c r="AB125">
        <v>3</v>
      </c>
      <c r="AC125">
        <v>2</v>
      </c>
      <c r="AD125">
        <v>60</v>
      </c>
      <c r="AE125">
        <v>11</v>
      </c>
      <c r="AF125">
        <v>2</v>
      </c>
      <c r="AG125">
        <v>1</v>
      </c>
      <c r="AH125">
        <v>2</v>
      </c>
    </row>
    <row r="126" spans="1:34">
      <c r="A126" s="109">
        <v>60</v>
      </c>
      <c r="B126">
        <v>3861</v>
      </c>
      <c r="C126" s="113" t="s">
        <v>89</v>
      </c>
      <c r="D126" s="113" t="s">
        <v>105</v>
      </c>
      <c r="E126">
        <v>627</v>
      </c>
      <c r="F126">
        <v>618</v>
      </c>
      <c r="G126">
        <v>1700</v>
      </c>
      <c r="H126" s="113" t="s">
        <v>87</v>
      </c>
      <c r="I126">
        <v>5703</v>
      </c>
      <c r="J126" s="113" t="s">
        <v>339</v>
      </c>
      <c r="K126" s="113" t="s">
        <v>160</v>
      </c>
      <c r="L126">
        <v>228</v>
      </c>
      <c r="M126">
        <v>230</v>
      </c>
      <c r="N126">
        <v>4600</v>
      </c>
      <c r="O126" s="113" t="s">
        <v>85</v>
      </c>
      <c r="P126">
        <v>0.97111177093424705</v>
      </c>
      <c r="Q126">
        <v>0.93271164673594198</v>
      </c>
      <c r="R126">
        <v>2.1026847460033801E-2</v>
      </c>
      <c r="S126" s="20">
        <v>0.118499347402342</v>
      </c>
      <c r="T126">
        <v>0.32090917751661402</v>
      </c>
      <c r="U126">
        <v>0.32090917751661402</v>
      </c>
      <c r="V126">
        <v>0.73</v>
      </c>
      <c r="W126">
        <v>0.7</v>
      </c>
      <c r="X126">
        <v>62912</v>
      </c>
      <c r="Y126">
        <v>2735</v>
      </c>
      <c r="Z126">
        <v>0.14000000000000001</v>
      </c>
      <c r="AA126">
        <v>23</v>
      </c>
      <c r="AB126">
        <v>12</v>
      </c>
      <c r="AC126">
        <v>11</v>
      </c>
      <c r="AD126">
        <v>52.17</v>
      </c>
      <c r="AE126">
        <v>12</v>
      </c>
      <c r="AF126">
        <v>9</v>
      </c>
      <c r="AG126">
        <v>6</v>
      </c>
      <c r="AH126">
        <v>8</v>
      </c>
    </row>
    <row r="127" spans="1:34">
      <c r="A127" s="109">
        <v>136</v>
      </c>
      <c r="B127">
        <v>1973</v>
      </c>
      <c r="C127" s="113" t="s">
        <v>344</v>
      </c>
      <c r="D127" s="113" t="s">
        <v>104</v>
      </c>
      <c r="E127">
        <v>3550</v>
      </c>
      <c r="F127">
        <v>3585</v>
      </c>
      <c r="G127">
        <v>300</v>
      </c>
      <c r="H127" s="113" t="s">
        <v>85</v>
      </c>
      <c r="I127">
        <v>4519</v>
      </c>
      <c r="J127" s="113" t="s">
        <v>994</v>
      </c>
      <c r="K127" s="113" t="s">
        <v>164</v>
      </c>
      <c r="L127">
        <v>9801</v>
      </c>
      <c r="M127">
        <v>9845</v>
      </c>
      <c r="N127">
        <v>100</v>
      </c>
      <c r="O127" s="113" t="s">
        <v>87</v>
      </c>
      <c r="P127">
        <v>0.94731157240615305</v>
      </c>
      <c r="Q127">
        <v>0.91377557901952</v>
      </c>
      <c r="R127">
        <v>3.62436312299512E-3</v>
      </c>
      <c r="S127" s="113">
        <v>0.12584564204628099</v>
      </c>
      <c r="T127">
        <v>-0.24293894714685699</v>
      </c>
      <c r="U127">
        <v>0.24293894714685699</v>
      </c>
      <c r="V127">
        <v>-0.56999999999999995</v>
      </c>
      <c r="W127">
        <v>9.24</v>
      </c>
      <c r="X127">
        <v>61928</v>
      </c>
      <c r="Y127">
        <v>7741</v>
      </c>
      <c r="Z127">
        <v>0.22</v>
      </c>
      <c r="AA127">
        <v>8</v>
      </c>
      <c r="AB127">
        <v>5</v>
      </c>
      <c r="AC127">
        <v>3</v>
      </c>
      <c r="AD127">
        <v>62.5</v>
      </c>
      <c r="AE127">
        <v>12</v>
      </c>
      <c r="AF127">
        <v>3</v>
      </c>
      <c r="AG127">
        <v>3</v>
      </c>
      <c r="AH127">
        <v>2</v>
      </c>
    </row>
    <row r="128" spans="1:34">
      <c r="A128" s="109">
        <v>29</v>
      </c>
      <c r="B128">
        <v>3105</v>
      </c>
      <c r="C128" s="113" t="s">
        <v>116</v>
      </c>
      <c r="D128" s="113" t="s">
        <v>112</v>
      </c>
      <c r="E128">
        <v>1039</v>
      </c>
      <c r="F128">
        <v>1040</v>
      </c>
      <c r="G128">
        <v>600</v>
      </c>
      <c r="H128" s="113" t="s">
        <v>87</v>
      </c>
      <c r="I128">
        <v>6988</v>
      </c>
      <c r="J128" s="113" t="s">
        <v>167</v>
      </c>
      <c r="K128" s="113" t="s">
        <v>86</v>
      </c>
      <c r="L128">
        <v>6170</v>
      </c>
      <c r="M128">
        <v>6210</v>
      </c>
      <c r="N128">
        <v>100</v>
      </c>
      <c r="O128" s="113" t="s">
        <v>85</v>
      </c>
      <c r="P128">
        <v>0.91539794975072397</v>
      </c>
      <c r="Q128">
        <v>0.94430857592676498</v>
      </c>
      <c r="R128">
        <v>0.13518053236274</v>
      </c>
      <c r="S128">
        <v>4.0227899947096902E-3</v>
      </c>
      <c r="T128">
        <v>2.0066775064501199</v>
      </c>
      <c r="U128">
        <v>2.0066775064501199</v>
      </c>
      <c r="V128">
        <v>5.17</v>
      </c>
      <c r="W128">
        <v>0.48</v>
      </c>
      <c r="X128">
        <v>59924</v>
      </c>
      <c r="Y128">
        <v>3329</v>
      </c>
      <c r="Z128">
        <v>0.05</v>
      </c>
      <c r="AA128">
        <v>18</v>
      </c>
      <c r="AB128">
        <v>10</v>
      </c>
      <c r="AC128">
        <v>8</v>
      </c>
      <c r="AD128">
        <v>55.56</v>
      </c>
      <c r="AE128">
        <v>12</v>
      </c>
      <c r="AF128">
        <v>6</v>
      </c>
      <c r="AG128">
        <v>5</v>
      </c>
      <c r="AH128">
        <v>7</v>
      </c>
    </row>
    <row r="129" spans="1:34">
      <c r="A129" s="109">
        <v>114</v>
      </c>
      <c r="B129">
        <v>4182</v>
      </c>
      <c r="C129" s="113" t="s">
        <v>113</v>
      </c>
      <c r="D129" s="113" t="s">
        <v>86</v>
      </c>
      <c r="E129">
        <v>1681</v>
      </c>
      <c r="F129">
        <v>1679</v>
      </c>
      <c r="G129">
        <v>600</v>
      </c>
      <c r="H129" s="113" t="s">
        <v>87</v>
      </c>
      <c r="I129">
        <v>5463</v>
      </c>
      <c r="J129" s="113" t="s">
        <v>170</v>
      </c>
      <c r="K129" s="113" t="s">
        <v>118</v>
      </c>
      <c r="L129">
        <v>3175</v>
      </c>
      <c r="M129">
        <v>3140</v>
      </c>
      <c r="N129">
        <v>300</v>
      </c>
      <c r="O129" s="113" t="s">
        <v>85</v>
      </c>
      <c r="P129">
        <v>0.92118064294574398</v>
      </c>
      <c r="Q129">
        <v>0.91806746672395401</v>
      </c>
      <c r="R129">
        <v>0.23327844092012001</v>
      </c>
      <c r="S129" s="113">
        <v>4.3337396923991002E-2</v>
      </c>
      <c r="T129">
        <v>1.00786581547225</v>
      </c>
      <c r="U129">
        <v>1.00786581547225</v>
      </c>
      <c r="V129">
        <v>4.2300000000000004</v>
      </c>
      <c r="W129">
        <v>6.94</v>
      </c>
      <c r="X129">
        <v>49018</v>
      </c>
      <c r="Y129">
        <v>2723</v>
      </c>
      <c r="Z129">
        <v>0.22</v>
      </c>
      <c r="AA129">
        <v>18</v>
      </c>
      <c r="AB129">
        <v>10</v>
      </c>
      <c r="AC129">
        <v>8</v>
      </c>
      <c r="AD129">
        <v>55.56</v>
      </c>
      <c r="AE129">
        <v>11</v>
      </c>
      <c r="AF129">
        <v>7</v>
      </c>
      <c r="AG129">
        <v>6</v>
      </c>
      <c r="AH129">
        <v>5</v>
      </c>
    </row>
    <row r="130" spans="1:34">
      <c r="A130" s="109">
        <v>75</v>
      </c>
      <c r="B130">
        <v>6135</v>
      </c>
      <c r="C130" s="113" t="s">
        <v>342</v>
      </c>
      <c r="D130" s="113" t="s">
        <v>125</v>
      </c>
      <c r="E130">
        <v>5410</v>
      </c>
      <c r="F130">
        <v>5410</v>
      </c>
      <c r="G130">
        <v>100</v>
      </c>
      <c r="H130" s="113" t="s">
        <v>85</v>
      </c>
      <c r="I130">
        <v>6856</v>
      </c>
      <c r="J130" s="113" t="s">
        <v>368</v>
      </c>
      <c r="K130" s="113" t="s">
        <v>112</v>
      </c>
      <c r="L130">
        <v>7530</v>
      </c>
      <c r="M130">
        <v>7510</v>
      </c>
      <c r="N130">
        <v>100</v>
      </c>
      <c r="O130" s="113" t="s">
        <v>87</v>
      </c>
      <c r="P130">
        <v>0.94105235202557103</v>
      </c>
      <c r="Q130">
        <v>0.92924199491333603</v>
      </c>
      <c r="R130" s="20">
        <v>0.34858635911340302</v>
      </c>
      <c r="S130">
        <v>0.220599243174739</v>
      </c>
      <c r="T130">
        <v>-0.92732999506398905</v>
      </c>
      <c r="U130">
        <v>0.92732999506398905</v>
      </c>
      <c r="V130">
        <v>-3.56</v>
      </c>
      <c r="W130">
        <v>27.96</v>
      </c>
      <c r="X130">
        <v>46787</v>
      </c>
      <c r="Y130">
        <v>46787</v>
      </c>
      <c r="Z130">
        <v>3.43</v>
      </c>
      <c r="AA130">
        <v>1</v>
      </c>
      <c r="AB130">
        <v>1</v>
      </c>
      <c r="AC130">
        <v>0</v>
      </c>
      <c r="AD130">
        <v>100</v>
      </c>
      <c r="AE130">
        <v>6</v>
      </c>
      <c r="AF130">
        <v>1</v>
      </c>
      <c r="AG130">
        <v>0</v>
      </c>
      <c r="AH130">
        <v>0</v>
      </c>
    </row>
    <row r="131" spans="1:34">
      <c r="A131" s="109">
        <v>10</v>
      </c>
      <c r="B131">
        <v>6471</v>
      </c>
      <c r="C131" s="113" t="s">
        <v>166</v>
      </c>
      <c r="D131" s="113" t="s">
        <v>125</v>
      </c>
      <c r="E131">
        <v>1077</v>
      </c>
      <c r="F131">
        <v>1063</v>
      </c>
      <c r="G131">
        <v>1000</v>
      </c>
      <c r="H131" s="113" t="s">
        <v>87</v>
      </c>
      <c r="I131">
        <v>6473</v>
      </c>
      <c r="J131" s="113" t="s">
        <v>161</v>
      </c>
      <c r="K131" s="113" t="s">
        <v>125</v>
      </c>
      <c r="L131">
        <v>1379</v>
      </c>
      <c r="M131">
        <v>1362</v>
      </c>
      <c r="N131">
        <v>800</v>
      </c>
      <c r="O131" s="113" t="s">
        <v>85</v>
      </c>
      <c r="P131">
        <v>0.95851987526274696</v>
      </c>
      <c r="Q131">
        <v>0.95470600736788802</v>
      </c>
      <c r="R131" s="20">
        <v>0.113352944305015</v>
      </c>
      <c r="S131" s="113">
        <v>1.5797656923072001E-2</v>
      </c>
      <c r="T131">
        <v>1.87335740962561</v>
      </c>
      <c r="U131">
        <v>1.87335740962561</v>
      </c>
      <c r="V131">
        <v>3.44</v>
      </c>
      <c r="W131">
        <v>2.44</v>
      </c>
      <c r="X131">
        <v>46361</v>
      </c>
      <c r="Y131">
        <v>3863</v>
      </c>
      <c r="Z131">
        <v>0.19</v>
      </c>
      <c r="AA131">
        <v>12</v>
      </c>
      <c r="AB131">
        <v>8</v>
      </c>
      <c r="AC131">
        <v>4</v>
      </c>
      <c r="AD131">
        <v>66.67</v>
      </c>
      <c r="AE131">
        <v>16</v>
      </c>
      <c r="AF131">
        <v>1</v>
      </c>
      <c r="AG131">
        <v>1</v>
      </c>
      <c r="AH131">
        <v>10</v>
      </c>
    </row>
    <row r="132" spans="1:34">
      <c r="A132" s="109">
        <v>109</v>
      </c>
      <c r="B132">
        <v>5802</v>
      </c>
      <c r="C132" s="113" t="s">
        <v>159</v>
      </c>
      <c r="D132" s="113" t="s">
        <v>160</v>
      </c>
      <c r="E132">
        <v>1665</v>
      </c>
      <c r="F132">
        <v>1657</v>
      </c>
      <c r="G132">
        <v>500</v>
      </c>
      <c r="H132" s="113" t="s">
        <v>87</v>
      </c>
      <c r="I132">
        <v>7259</v>
      </c>
      <c r="J132" s="113" t="s">
        <v>53</v>
      </c>
      <c r="K132" s="113" t="s">
        <v>109</v>
      </c>
      <c r="L132">
        <v>4240</v>
      </c>
      <c r="M132">
        <v>4200</v>
      </c>
      <c r="N132">
        <v>200</v>
      </c>
      <c r="O132" s="113" t="s">
        <v>85</v>
      </c>
      <c r="P132">
        <v>0.90772988649322395</v>
      </c>
      <c r="Q132">
        <v>0.91885444563184204</v>
      </c>
      <c r="R132">
        <v>8.3179647758917605E-2</v>
      </c>
      <c r="S132" s="20">
        <v>5.7365216816874596E-3</v>
      </c>
      <c r="T132">
        <v>0.46097976732037599</v>
      </c>
      <c r="U132">
        <v>0.46097976732037599</v>
      </c>
      <c r="V132">
        <v>1.76</v>
      </c>
      <c r="W132">
        <v>1.37</v>
      </c>
      <c r="X132">
        <v>42709</v>
      </c>
      <c r="Y132">
        <v>3051</v>
      </c>
      <c r="Z132">
        <v>0.18</v>
      </c>
      <c r="AA132">
        <v>14</v>
      </c>
      <c r="AB132">
        <v>8</v>
      </c>
      <c r="AC132">
        <v>6</v>
      </c>
      <c r="AD132">
        <v>57.14</v>
      </c>
      <c r="AE132">
        <v>16</v>
      </c>
      <c r="AF132">
        <v>4</v>
      </c>
      <c r="AG132">
        <v>1</v>
      </c>
      <c r="AH132">
        <v>9</v>
      </c>
    </row>
    <row r="133" spans="1:34">
      <c r="A133" s="109">
        <v>112</v>
      </c>
      <c r="B133">
        <v>4202</v>
      </c>
      <c r="C133" s="113" t="s">
        <v>115</v>
      </c>
      <c r="D133" s="113" t="s">
        <v>86</v>
      </c>
      <c r="E133">
        <v>1086</v>
      </c>
      <c r="F133">
        <v>1075</v>
      </c>
      <c r="G133">
        <v>800</v>
      </c>
      <c r="H133" s="113" t="s">
        <v>87</v>
      </c>
      <c r="I133">
        <v>7327</v>
      </c>
      <c r="J133" s="113" t="s">
        <v>169</v>
      </c>
      <c r="K133" s="113" t="s">
        <v>107</v>
      </c>
      <c r="L133">
        <v>3025</v>
      </c>
      <c r="M133">
        <v>3035</v>
      </c>
      <c r="N133">
        <v>300</v>
      </c>
      <c r="O133" s="113" t="s">
        <v>85</v>
      </c>
      <c r="P133">
        <v>0.90172954499033398</v>
      </c>
      <c r="Q133">
        <v>0.91822307878290799</v>
      </c>
      <c r="R133">
        <v>0.247249450132597</v>
      </c>
      <c r="S133" s="113">
        <v>2.4761471566289901E-2</v>
      </c>
      <c r="T133">
        <v>0.20148528179056399</v>
      </c>
      <c r="U133">
        <v>0.20148528179056399</v>
      </c>
      <c r="V133">
        <v>1.1499999999999999</v>
      </c>
      <c r="W133">
        <v>5.55</v>
      </c>
      <c r="X133">
        <v>41676</v>
      </c>
      <c r="Y133">
        <v>13892</v>
      </c>
      <c r="Z133">
        <v>0.69</v>
      </c>
      <c r="AA133">
        <v>3</v>
      </c>
      <c r="AB133">
        <v>2</v>
      </c>
      <c r="AC133">
        <v>1</v>
      </c>
      <c r="AD133">
        <v>66.67</v>
      </c>
      <c r="AE133">
        <v>16</v>
      </c>
      <c r="AF133">
        <v>0</v>
      </c>
      <c r="AG133">
        <v>0</v>
      </c>
      <c r="AH133">
        <v>3</v>
      </c>
    </row>
    <row r="134" spans="1:34">
      <c r="A134" s="109">
        <v>31</v>
      </c>
      <c r="B134">
        <v>9746</v>
      </c>
      <c r="C134" s="113" t="s">
        <v>1332</v>
      </c>
      <c r="D134" s="113" t="s">
        <v>104</v>
      </c>
      <c r="E134">
        <v>5110</v>
      </c>
      <c r="F134">
        <v>5230</v>
      </c>
      <c r="G134">
        <v>200</v>
      </c>
      <c r="H134" s="113" t="s">
        <v>87</v>
      </c>
      <c r="I134">
        <v>9759</v>
      </c>
      <c r="J134" s="113" t="s">
        <v>1075</v>
      </c>
      <c r="K134" s="113" t="s">
        <v>104</v>
      </c>
      <c r="L134">
        <v>3600</v>
      </c>
      <c r="M134">
        <v>3630</v>
      </c>
      <c r="N134">
        <v>300</v>
      </c>
      <c r="O134" s="113" t="s">
        <v>85</v>
      </c>
      <c r="P134">
        <v>0.90517166268433802</v>
      </c>
      <c r="Q134">
        <v>0.94339035918377201</v>
      </c>
      <c r="R134">
        <v>0.21506125482859501</v>
      </c>
      <c r="S134">
        <v>2.3756609648928001E-3</v>
      </c>
      <c r="T134">
        <v>1.04428568515372E-2</v>
      </c>
      <c r="U134">
        <v>1.04428568515372E-2</v>
      </c>
      <c r="V134">
        <v>0.03</v>
      </c>
      <c r="W134">
        <v>4.1100000000000003</v>
      </c>
      <c r="X134">
        <v>40347</v>
      </c>
      <c r="Y134">
        <v>2882</v>
      </c>
      <c r="Z134">
        <v>0.18</v>
      </c>
      <c r="AA134">
        <v>14</v>
      </c>
      <c r="AB134">
        <v>8</v>
      </c>
      <c r="AC134">
        <v>6</v>
      </c>
      <c r="AD134">
        <v>57.14</v>
      </c>
      <c r="AE134">
        <v>14</v>
      </c>
      <c r="AF134">
        <v>5</v>
      </c>
      <c r="AG134">
        <v>2</v>
      </c>
      <c r="AH134">
        <v>7</v>
      </c>
    </row>
    <row r="135" spans="1:34">
      <c r="A135" s="109">
        <v>130</v>
      </c>
      <c r="B135">
        <v>2914</v>
      </c>
      <c r="C135" s="113" t="s">
        <v>122</v>
      </c>
      <c r="D135" s="113" t="s">
        <v>123</v>
      </c>
      <c r="E135">
        <v>2503</v>
      </c>
      <c r="F135">
        <v>2500.5</v>
      </c>
      <c r="G135">
        <v>400</v>
      </c>
      <c r="H135" s="113" t="s">
        <v>85</v>
      </c>
      <c r="I135">
        <v>7327</v>
      </c>
      <c r="J135" s="113" t="s">
        <v>169</v>
      </c>
      <c r="K135" s="113" t="s">
        <v>107</v>
      </c>
      <c r="L135">
        <v>3025</v>
      </c>
      <c r="M135">
        <v>3035</v>
      </c>
      <c r="N135">
        <v>300</v>
      </c>
      <c r="O135" s="113" t="s">
        <v>87</v>
      </c>
      <c r="P135">
        <v>0.90179998185205301</v>
      </c>
      <c r="Q135">
        <v>0.91512029951582696</v>
      </c>
      <c r="R135" s="20">
        <v>0.22574794539170301</v>
      </c>
      <c r="S135">
        <v>1.00725114085383E-2</v>
      </c>
      <c r="T135">
        <v>-1.9278927868853399</v>
      </c>
      <c r="U135">
        <v>1.9278927868853399</v>
      </c>
      <c r="V135">
        <v>-5.88</v>
      </c>
      <c r="W135">
        <v>9.85</v>
      </c>
      <c r="X135">
        <v>37401</v>
      </c>
      <c r="Y135">
        <v>37401</v>
      </c>
      <c r="Z135">
        <v>1.81</v>
      </c>
      <c r="AA135">
        <v>1</v>
      </c>
      <c r="AB135">
        <v>1</v>
      </c>
      <c r="AC135">
        <v>0</v>
      </c>
      <c r="AD135">
        <v>100</v>
      </c>
      <c r="AE135">
        <v>21</v>
      </c>
      <c r="AF135">
        <v>0</v>
      </c>
      <c r="AG135">
        <v>0</v>
      </c>
      <c r="AH135">
        <v>1</v>
      </c>
    </row>
    <row r="136" spans="1:34">
      <c r="A136" s="109">
        <v>156</v>
      </c>
      <c r="B136">
        <v>5471</v>
      </c>
      <c r="C136" s="113" t="s">
        <v>337</v>
      </c>
      <c r="D136" s="113" t="s">
        <v>118</v>
      </c>
      <c r="E136">
        <v>4960</v>
      </c>
      <c r="F136">
        <v>4890</v>
      </c>
      <c r="G136">
        <v>200</v>
      </c>
      <c r="H136" s="113" t="s">
        <v>85</v>
      </c>
      <c r="I136">
        <v>7251</v>
      </c>
      <c r="J136" s="113" t="s">
        <v>1000</v>
      </c>
      <c r="K136" s="113" t="s">
        <v>109</v>
      </c>
      <c r="L136">
        <v>2569</v>
      </c>
      <c r="M136">
        <v>2569</v>
      </c>
      <c r="N136">
        <v>400</v>
      </c>
      <c r="O136" s="113" t="s">
        <v>87</v>
      </c>
      <c r="P136">
        <v>0.92563858244530794</v>
      </c>
      <c r="Q136">
        <v>0.90915867618752899</v>
      </c>
      <c r="R136">
        <v>0.15547768522470901</v>
      </c>
      <c r="S136" s="113">
        <v>2.3807145108780902E-3</v>
      </c>
      <c r="T136" s="113">
        <v>-1.43507349486767</v>
      </c>
      <c r="U136" s="113">
        <v>1.43507349486767</v>
      </c>
      <c r="V136">
        <v>-27.15</v>
      </c>
      <c r="W136">
        <v>5.07</v>
      </c>
      <c r="X136">
        <v>35729</v>
      </c>
      <c r="Y136">
        <v>2233</v>
      </c>
      <c r="Z136">
        <v>0</v>
      </c>
      <c r="AA136">
        <v>16</v>
      </c>
      <c r="AB136">
        <v>10</v>
      </c>
      <c r="AC136">
        <v>6</v>
      </c>
      <c r="AD136">
        <v>62.5</v>
      </c>
      <c r="AE136">
        <v>14</v>
      </c>
      <c r="AF136">
        <v>4</v>
      </c>
      <c r="AG136">
        <v>3</v>
      </c>
      <c r="AH136">
        <v>9</v>
      </c>
    </row>
    <row r="137" spans="1:34">
      <c r="A137" s="109">
        <v>63</v>
      </c>
      <c r="B137">
        <v>5991</v>
      </c>
      <c r="C137" s="113" t="s">
        <v>141</v>
      </c>
      <c r="D137" s="113" t="s">
        <v>142</v>
      </c>
      <c r="E137">
        <v>1003</v>
      </c>
      <c r="F137">
        <v>1004</v>
      </c>
      <c r="G137">
        <v>1000</v>
      </c>
      <c r="H137" s="113" t="s">
        <v>87</v>
      </c>
      <c r="I137">
        <v>6752</v>
      </c>
      <c r="J137" s="113" t="s">
        <v>131</v>
      </c>
      <c r="K137" s="113" t="s">
        <v>112</v>
      </c>
      <c r="L137">
        <v>1040.5</v>
      </c>
      <c r="M137">
        <v>1034.5</v>
      </c>
      <c r="N137">
        <v>1000</v>
      </c>
      <c r="O137" s="113" t="s">
        <v>85</v>
      </c>
      <c r="P137">
        <v>0.962283177240013</v>
      </c>
      <c r="Q137">
        <v>0.93238323225523401</v>
      </c>
      <c r="R137">
        <v>6.0075887840416703E-2</v>
      </c>
      <c r="S137" s="113">
        <v>0.284307009748413</v>
      </c>
      <c r="T137">
        <v>1.14376451088541</v>
      </c>
      <c r="U137">
        <v>1.14376451088541</v>
      </c>
      <c r="V137">
        <v>3.29</v>
      </c>
      <c r="W137">
        <v>2.95</v>
      </c>
      <c r="X137">
        <v>34237</v>
      </c>
      <c r="Y137">
        <v>2014</v>
      </c>
      <c r="Z137">
        <v>0.09</v>
      </c>
      <c r="AA137">
        <v>17</v>
      </c>
      <c r="AB137">
        <v>9</v>
      </c>
      <c r="AC137">
        <v>8</v>
      </c>
      <c r="AD137">
        <v>52.94</v>
      </c>
      <c r="AE137">
        <v>12</v>
      </c>
      <c r="AF137">
        <v>7</v>
      </c>
      <c r="AG137">
        <v>6</v>
      </c>
      <c r="AH137">
        <v>4</v>
      </c>
    </row>
    <row r="138" spans="1:34">
      <c r="A138" s="109">
        <v>46</v>
      </c>
      <c r="B138">
        <v>7453</v>
      </c>
      <c r="C138" s="113" t="s">
        <v>130</v>
      </c>
      <c r="D138" s="113" t="s">
        <v>121</v>
      </c>
      <c r="E138">
        <v>2509</v>
      </c>
      <c r="F138">
        <v>2502</v>
      </c>
      <c r="G138">
        <v>400</v>
      </c>
      <c r="H138" s="113" t="s">
        <v>87</v>
      </c>
      <c r="I138">
        <v>8267</v>
      </c>
      <c r="J138" s="113" t="s">
        <v>338</v>
      </c>
      <c r="K138" s="113" t="s">
        <v>121</v>
      </c>
      <c r="L138">
        <v>2226.5</v>
      </c>
      <c r="M138">
        <v>2219</v>
      </c>
      <c r="N138">
        <v>500</v>
      </c>
      <c r="O138" s="113" t="s">
        <v>85</v>
      </c>
      <c r="P138">
        <v>0.93826663883088701</v>
      </c>
      <c r="Q138">
        <v>0.93714236885533098</v>
      </c>
      <c r="R138">
        <v>3.5804122115521003E-2</v>
      </c>
      <c r="S138">
        <v>1.6876829306429399E-3</v>
      </c>
      <c r="T138">
        <v>1.4617557594337101</v>
      </c>
      <c r="U138">
        <v>1.4617557594337101</v>
      </c>
      <c r="V138">
        <v>7.44</v>
      </c>
      <c r="W138">
        <v>10.86</v>
      </c>
      <c r="X138">
        <v>32083</v>
      </c>
      <c r="Y138">
        <v>1689</v>
      </c>
      <c r="Z138">
        <v>0.15</v>
      </c>
      <c r="AA138">
        <v>19</v>
      </c>
      <c r="AB138">
        <v>9</v>
      </c>
      <c r="AC138">
        <v>10</v>
      </c>
      <c r="AD138">
        <v>47.37</v>
      </c>
      <c r="AE138">
        <v>12</v>
      </c>
      <c r="AF138">
        <v>6</v>
      </c>
      <c r="AG138">
        <v>3</v>
      </c>
      <c r="AH138">
        <v>10</v>
      </c>
    </row>
    <row r="139" spans="1:34">
      <c r="A139" s="109">
        <v>11</v>
      </c>
      <c r="B139">
        <v>3635</v>
      </c>
      <c r="C139" s="113" t="s">
        <v>110</v>
      </c>
      <c r="D139" s="113" t="s">
        <v>104</v>
      </c>
      <c r="E139">
        <v>2646</v>
      </c>
      <c r="F139">
        <v>2631</v>
      </c>
      <c r="G139">
        <v>400</v>
      </c>
      <c r="H139" s="113" t="s">
        <v>85</v>
      </c>
      <c r="I139">
        <v>6702</v>
      </c>
      <c r="J139" s="113" t="s">
        <v>369</v>
      </c>
      <c r="K139" s="113" t="s">
        <v>112</v>
      </c>
      <c r="L139">
        <v>10250</v>
      </c>
      <c r="M139">
        <v>10215</v>
      </c>
      <c r="N139">
        <v>100</v>
      </c>
      <c r="O139" s="113" t="s">
        <v>87</v>
      </c>
      <c r="P139">
        <v>0.95631303620633501</v>
      </c>
      <c r="Q139">
        <v>0.95395726507039202</v>
      </c>
      <c r="R139">
        <v>1.2100386330649599E-3</v>
      </c>
      <c r="S139">
        <v>4.0775467397344799E-2</v>
      </c>
      <c r="T139">
        <v>-1.0858083859071199</v>
      </c>
      <c r="U139">
        <v>1.0858083859071199</v>
      </c>
      <c r="V139">
        <v>-2.5299999999999998</v>
      </c>
      <c r="W139">
        <v>3.02</v>
      </c>
      <c r="X139">
        <v>31031</v>
      </c>
      <c r="Y139">
        <v>2586</v>
      </c>
      <c r="Z139">
        <v>0.16</v>
      </c>
      <c r="AA139">
        <v>12</v>
      </c>
      <c r="AB139">
        <v>7</v>
      </c>
      <c r="AC139">
        <v>5</v>
      </c>
      <c r="AD139">
        <v>58.33</v>
      </c>
      <c r="AE139">
        <v>13</v>
      </c>
      <c r="AF139">
        <v>6</v>
      </c>
      <c r="AG139">
        <v>1</v>
      </c>
      <c r="AH139">
        <v>5</v>
      </c>
    </row>
    <row r="140" spans="1:34">
      <c r="A140" s="109">
        <v>174</v>
      </c>
      <c r="B140">
        <v>6702</v>
      </c>
      <c r="C140" s="113" t="s">
        <v>369</v>
      </c>
      <c r="D140" s="113" t="s">
        <v>112</v>
      </c>
      <c r="E140">
        <v>10250</v>
      </c>
      <c r="F140">
        <v>10215</v>
      </c>
      <c r="G140">
        <v>100</v>
      </c>
      <c r="H140" s="113" t="s">
        <v>85</v>
      </c>
      <c r="I140">
        <v>6755</v>
      </c>
      <c r="J140" s="113" t="s">
        <v>1329</v>
      </c>
      <c r="K140" s="113" t="s">
        <v>112</v>
      </c>
      <c r="L140">
        <v>2262</v>
      </c>
      <c r="M140">
        <v>2275</v>
      </c>
      <c r="N140">
        <v>400</v>
      </c>
      <c r="O140" s="113" t="s">
        <v>87</v>
      </c>
      <c r="P140">
        <v>0.93637570930944702</v>
      </c>
      <c r="Q140">
        <v>0.906522819618653</v>
      </c>
      <c r="R140" s="20">
        <v>8.5526944394348405E-4</v>
      </c>
      <c r="S140">
        <v>7.2314763206808394E-2</v>
      </c>
      <c r="T140">
        <v>-2.5947750272589598</v>
      </c>
      <c r="U140">
        <v>2.5947750272589598</v>
      </c>
      <c r="V140">
        <v>-8.17</v>
      </c>
      <c r="W140">
        <v>10.92</v>
      </c>
      <c r="X140">
        <v>29303</v>
      </c>
      <c r="Y140">
        <v>1831</v>
      </c>
      <c r="Z140">
        <v>0.1</v>
      </c>
      <c r="AA140">
        <v>16</v>
      </c>
      <c r="AB140">
        <v>7</v>
      </c>
      <c r="AC140">
        <v>9</v>
      </c>
      <c r="AD140">
        <v>43.75</v>
      </c>
      <c r="AE140">
        <v>13</v>
      </c>
      <c r="AF140">
        <v>5</v>
      </c>
      <c r="AG140">
        <v>5</v>
      </c>
      <c r="AH140">
        <v>6</v>
      </c>
    </row>
    <row r="141" spans="1:34">
      <c r="A141" s="109">
        <v>92</v>
      </c>
      <c r="B141">
        <v>6588</v>
      </c>
      <c r="C141" s="113" t="s">
        <v>995</v>
      </c>
      <c r="D141" s="113" t="s">
        <v>112</v>
      </c>
      <c r="E141">
        <v>4625</v>
      </c>
      <c r="F141">
        <v>4680</v>
      </c>
      <c r="G141">
        <v>100</v>
      </c>
      <c r="H141" s="113" t="s">
        <v>87</v>
      </c>
      <c r="I141">
        <v>9706</v>
      </c>
      <c r="J141" s="113" t="s">
        <v>374</v>
      </c>
      <c r="K141" s="113" t="s">
        <v>140</v>
      </c>
      <c r="L141">
        <v>5800</v>
      </c>
      <c r="M141">
        <v>5840</v>
      </c>
      <c r="N141">
        <v>100</v>
      </c>
      <c r="O141" s="113" t="s">
        <v>85</v>
      </c>
      <c r="P141">
        <v>0.96906295310326296</v>
      </c>
      <c r="Q141">
        <v>0.92333601782175401</v>
      </c>
      <c r="R141" s="20">
        <v>5.9875488292302097E-2</v>
      </c>
      <c r="S141">
        <v>2.7312174230382E-2</v>
      </c>
      <c r="T141">
        <v>2.2196447330776499</v>
      </c>
      <c r="U141">
        <v>2.2196447330776499</v>
      </c>
      <c r="V141">
        <v>8.34</v>
      </c>
      <c r="W141">
        <v>19.86</v>
      </c>
      <c r="X141">
        <v>26767</v>
      </c>
      <c r="Y141">
        <v>2059</v>
      </c>
      <c r="Z141">
        <v>0.15</v>
      </c>
      <c r="AA141">
        <v>13</v>
      </c>
      <c r="AB141">
        <v>8</v>
      </c>
      <c r="AC141">
        <v>5</v>
      </c>
      <c r="AD141">
        <v>61.54</v>
      </c>
      <c r="AE141">
        <v>11</v>
      </c>
      <c r="AF141">
        <v>5</v>
      </c>
      <c r="AG141">
        <v>4</v>
      </c>
      <c r="AH141">
        <v>4</v>
      </c>
    </row>
    <row r="142" spans="1:34">
      <c r="A142" s="109">
        <v>106</v>
      </c>
      <c r="B142">
        <v>4519</v>
      </c>
      <c r="C142" s="113" t="s">
        <v>994</v>
      </c>
      <c r="D142" s="113" t="s">
        <v>164</v>
      </c>
      <c r="E142">
        <v>9801</v>
      </c>
      <c r="F142">
        <v>9845</v>
      </c>
      <c r="G142">
        <v>100</v>
      </c>
      <c r="H142" s="113" t="s">
        <v>87</v>
      </c>
      <c r="I142">
        <v>8425</v>
      </c>
      <c r="J142" s="113" t="s">
        <v>353</v>
      </c>
      <c r="K142" s="113" t="s">
        <v>332</v>
      </c>
      <c r="L142">
        <v>3275</v>
      </c>
      <c r="M142">
        <v>3295</v>
      </c>
      <c r="N142">
        <v>300</v>
      </c>
      <c r="O142" s="113" t="s">
        <v>85</v>
      </c>
      <c r="P142">
        <v>0.911909309277394</v>
      </c>
      <c r="Q142">
        <v>0.91952605661702602</v>
      </c>
      <c r="R142">
        <v>4.47869500851511E-2</v>
      </c>
      <c r="S142" s="20">
        <v>2.1733965038331901E-2</v>
      </c>
      <c r="T142">
        <v>1.26196357102209</v>
      </c>
      <c r="U142">
        <v>1.26196357102209</v>
      </c>
      <c r="V142">
        <v>4.82</v>
      </c>
      <c r="W142">
        <v>0.41</v>
      </c>
      <c r="X142">
        <v>25042</v>
      </c>
      <c r="Y142">
        <v>1926</v>
      </c>
      <c r="Z142">
        <v>0.5</v>
      </c>
      <c r="AA142">
        <v>13</v>
      </c>
      <c r="AB142">
        <v>8</v>
      </c>
      <c r="AC142">
        <v>5</v>
      </c>
      <c r="AD142">
        <v>61.54</v>
      </c>
      <c r="AE142">
        <v>14</v>
      </c>
      <c r="AF142">
        <v>6</v>
      </c>
      <c r="AG142">
        <v>3</v>
      </c>
      <c r="AH142">
        <v>4</v>
      </c>
    </row>
    <row r="143" spans="1:34">
      <c r="A143" s="109">
        <v>113</v>
      </c>
      <c r="B143">
        <v>4208</v>
      </c>
      <c r="C143" s="113" t="s">
        <v>124</v>
      </c>
      <c r="D143" s="113" t="s">
        <v>86</v>
      </c>
      <c r="E143">
        <v>2376</v>
      </c>
      <c r="F143">
        <v>2358</v>
      </c>
      <c r="G143">
        <v>400</v>
      </c>
      <c r="H143" s="113" t="s">
        <v>85</v>
      </c>
      <c r="I143">
        <v>5991</v>
      </c>
      <c r="J143" s="113" t="s">
        <v>141</v>
      </c>
      <c r="K143" s="113" t="s">
        <v>142</v>
      </c>
      <c r="L143">
        <v>1003</v>
      </c>
      <c r="M143">
        <v>1004</v>
      </c>
      <c r="N143">
        <v>900</v>
      </c>
      <c r="O143" s="113" t="s">
        <v>87</v>
      </c>
      <c r="P143">
        <v>0.90717496075621495</v>
      </c>
      <c r="Q143">
        <v>0.91818017631065896</v>
      </c>
      <c r="R143">
        <v>4.6479244786745498E-2</v>
      </c>
      <c r="S143">
        <v>2.10475596394341E-2</v>
      </c>
      <c r="T143">
        <v>-2.01484569084792</v>
      </c>
      <c r="U143">
        <v>2.01484569084792</v>
      </c>
      <c r="V143">
        <v>-10.46</v>
      </c>
      <c r="W143">
        <v>4.2</v>
      </c>
      <c r="X143">
        <v>24062</v>
      </c>
      <c r="Y143">
        <v>1604</v>
      </c>
      <c r="Z143">
        <v>0.03</v>
      </c>
      <c r="AA143">
        <v>15</v>
      </c>
      <c r="AB143">
        <v>8</v>
      </c>
      <c r="AC143">
        <v>7</v>
      </c>
      <c r="AD143">
        <v>53.33</v>
      </c>
      <c r="AE143">
        <v>11</v>
      </c>
      <c r="AF143">
        <v>6</v>
      </c>
      <c r="AG143">
        <v>4</v>
      </c>
      <c r="AH143">
        <v>5</v>
      </c>
    </row>
    <row r="144" spans="1:34">
      <c r="A144" s="109">
        <v>64</v>
      </c>
      <c r="B144">
        <v>6988</v>
      </c>
      <c r="C144" s="113" t="s">
        <v>167</v>
      </c>
      <c r="D144" s="113" t="s">
        <v>86</v>
      </c>
      <c r="E144">
        <v>6170</v>
      </c>
      <c r="F144">
        <v>6210</v>
      </c>
      <c r="G144">
        <v>100</v>
      </c>
      <c r="H144" s="113" t="s">
        <v>85</v>
      </c>
      <c r="I144">
        <v>6995</v>
      </c>
      <c r="J144" s="113" t="s">
        <v>117</v>
      </c>
      <c r="K144" s="113" t="s">
        <v>109</v>
      </c>
      <c r="L144">
        <v>2178</v>
      </c>
      <c r="M144">
        <v>2150</v>
      </c>
      <c r="N144">
        <v>300</v>
      </c>
      <c r="O144" s="113" t="s">
        <v>87</v>
      </c>
      <c r="P144">
        <v>0.95264154543635104</v>
      </c>
      <c r="Q144">
        <v>0.93237725442457098</v>
      </c>
      <c r="R144">
        <v>0.111224683651719</v>
      </c>
      <c r="S144">
        <v>5.1828640210740701E-3</v>
      </c>
      <c r="T144">
        <v>-0.41248975475393601</v>
      </c>
      <c r="U144">
        <v>0.41248975475393601</v>
      </c>
      <c r="V144">
        <v>-1.04</v>
      </c>
      <c r="W144">
        <v>3.86</v>
      </c>
      <c r="X144">
        <v>22867</v>
      </c>
      <c r="Y144">
        <v>2287</v>
      </c>
      <c r="Z144">
        <v>0.11</v>
      </c>
      <c r="AA144">
        <v>10</v>
      </c>
      <c r="AB144">
        <v>7</v>
      </c>
      <c r="AC144">
        <v>3</v>
      </c>
      <c r="AD144">
        <v>70</v>
      </c>
      <c r="AE144">
        <v>13</v>
      </c>
      <c r="AF144">
        <v>2</v>
      </c>
      <c r="AG144">
        <v>2</v>
      </c>
      <c r="AH144">
        <v>6</v>
      </c>
    </row>
    <row r="145" spans="1:34">
      <c r="A145" s="109">
        <v>186</v>
      </c>
      <c r="B145">
        <v>7259</v>
      </c>
      <c r="C145" s="113" t="s">
        <v>53</v>
      </c>
      <c r="D145" s="113" t="s">
        <v>109</v>
      </c>
      <c r="E145">
        <v>4240</v>
      </c>
      <c r="F145">
        <v>4200</v>
      </c>
      <c r="G145">
        <v>200</v>
      </c>
      <c r="H145" s="113" t="s">
        <v>87</v>
      </c>
      <c r="I145">
        <v>8316</v>
      </c>
      <c r="J145" s="113" t="s">
        <v>1333</v>
      </c>
      <c r="K145" s="113" t="s">
        <v>107</v>
      </c>
      <c r="L145">
        <v>3989</v>
      </c>
      <c r="M145">
        <v>3994</v>
      </c>
      <c r="N145">
        <v>200</v>
      </c>
      <c r="O145" s="113" t="s">
        <v>85</v>
      </c>
      <c r="P145">
        <v>0.910290490672929</v>
      </c>
      <c r="Q145">
        <v>0.90456086472828201</v>
      </c>
      <c r="R145" s="113">
        <v>0.137372183932054</v>
      </c>
      <c r="S145">
        <v>4.4703095871878196E-3</v>
      </c>
      <c r="T145">
        <v>1.0439986022701</v>
      </c>
      <c r="U145">
        <v>1.0439986022701</v>
      </c>
      <c r="V145">
        <v>7.05</v>
      </c>
      <c r="W145">
        <v>4.9000000000000004</v>
      </c>
      <c r="X145">
        <v>16481</v>
      </c>
      <c r="Y145">
        <v>2747</v>
      </c>
      <c r="Z145">
        <v>0.23</v>
      </c>
      <c r="AA145">
        <v>6</v>
      </c>
      <c r="AB145">
        <v>3</v>
      </c>
      <c r="AC145">
        <v>3</v>
      </c>
      <c r="AD145">
        <v>50</v>
      </c>
      <c r="AE145">
        <v>12</v>
      </c>
      <c r="AF145">
        <v>3</v>
      </c>
      <c r="AG145">
        <v>1</v>
      </c>
      <c r="AH145">
        <v>2</v>
      </c>
    </row>
    <row r="146" spans="1:34">
      <c r="A146" s="109">
        <v>150</v>
      </c>
      <c r="B146">
        <v>4686</v>
      </c>
      <c r="C146" s="113" t="s">
        <v>1324</v>
      </c>
      <c r="D146" s="113" t="s">
        <v>104</v>
      </c>
      <c r="E146">
        <v>6000</v>
      </c>
      <c r="F146">
        <v>6040</v>
      </c>
      <c r="G146">
        <v>100</v>
      </c>
      <c r="H146" s="113" t="s">
        <v>87</v>
      </c>
      <c r="I146">
        <v>6845</v>
      </c>
      <c r="J146" s="113" t="s">
        <v>341</v>
      </c>
      <c r="K146" s="113" t="s">
        <v>112</v>
      </c>
      <c r="L146">
        <v>3135</v>
      </c>
      <c r="M146">
        <v>3170</v>
      </c>
      <c r="N146">
        <v>200</v>
      </c>
      <c r="O146" s="113" t="s">
        <v>85</v>
      </c>
      <c r="P146">
        <v>0.928300752404705</v>
      </c>
      <c r="Q146">
        <v>0.90997443023168201</v>
      </c>
      <c r="R146">
        <v>0.13131224101463301</v>
      </c>
      <c r="S146">
        <v>7.3408901418000896E-2</v>
      </c>
      <c r="T146">
        <v>2.2884511405819499</v>
      </c>
      <c r="U146">
        <v>2.2884511405819499</v>
      </c>
      <c r="V146">
        <v>20.34</v>
      </c>
      <c r="W146">
        <v>4.97</v>
      </c>
      <c r="X146">
        <v>15946</v>
      </c>
      <c r="Y146">
        <v>797</v>
      </c>
      <c r="Z146">
        <v>0</v>
      </c>
      <c r="AA146">
        <v>20</v>
      </c>
      <c r="AB146">
        <v>12</v>
      </c>
      <c r="AC146">
        <v>8</v>
      </c>
      <c r="AD146">
        <v>60</v>
      </c>
      <c r="AE146">
        <v>10</v>
      </c>
      <c r="AF146">
        <v>10</v>
      </c>
      <c r="AG146">
        <v>8</v>
      </c>
      <c r="AH146">
        <v>2</v>
      </c>
    </row>
    <row r="147" spans="1:34">
      <c r="A147" s="109">
        <v>128</v>
      </c>
      <c r="B147">
        <v>5991</v>
      </c>
      <c r="C147" s="113" t="s">
        <v>141</v>
      </c>
      <c r="D147" s="113" t="s">
        <v>142</v>
      </c>
      <c r="E147">
        <v>1003</v>
      </c>
      <c r="F147">
        <v>1004</v>
      </c>
      <c r="G147">
        <v>900</v>
      </c>
      <c r="H147" s="113" t="s">
        <v>87</v>
      </c>
      <c r="I147">
        <v>7327</v>
      </c>
      <c r="J147" s="113" t="s">
        <v>169</v>
      </c>
      <c r="K147" s="113" t="s">
        <v>107</v>
      </c>
      <c r="L147">
        <v>3025</v>
      </c>
      <c r="M147">
        <v>3035</v>
      </c>
      <c r="N147">
        <v>300</v>
      </c>
      <c r="O147" s="113" t="s">
        <v>85</v>
      </c>
      <c r="P147">
        <v>0.95475317151193695</v>
      </c>
      <c r="Q147">
        <v>0.91513310915767598</v>
      </c>
      <c r="R147">
        <v>5.1548546438094797E-2</v>
      </c>
      <c r="S147">
        <v>5.22859693444254E-2</v>
      </c>
      <c r="T147">
        <v>1.21325694129096</v>
      </c>
      <c r="U147">
        <v>1.21325694129096</v>
      </c>
      <c r="V147">
        <v>4.7699999999999996</v>
      </c>
      <c r="W147">
        <v>0.76</v>
      </c>
      <c r="X147">
        <v>15458</v>
      </c>
      <c r="Y147">
        <v>5153</v>
      </c>
      <c r="Z147">
        <v>0.2</v>
      </c>
      <c r="AA147">
        <v>3</v>
      </c>
      <c r="AB147">
        <v>2</v>
      </c>
      <c r="AC147">
        <v>1</v>
      </c>
      <c r="AD147">
        <v>66.67</v>
      </c>
      <c r="AE147">
        <v>16</v>
      </c>
      <c r="AF147">
        <v>0</v>
      </c>
      <c r="AG147">
        <v>0</v>
      </c>
      <c r="AH147">
        <v>3</v>
      </c>
    </row>
    <row r="148" spans="1:34">
      <c r="A148" s="109">
        <v>146</v>
      </c>
      <c r="B148">
        <v>4204</v>
      </c>
      <c r="C148" s="113" t="s">
        <v>361</v>
      </c>
      <c r="D148" s="113" t="s">
        <v>86</v>
      </c>
      <c r="E148">
        <v>1920</v>
      </c>
      <c r="F148">
        <v>1905</v>
      </c>
      <c r="G148">
        <v>600</v>
      </c>
      <c r="H148" s="113" t="s">
        <v>85</v>
      </c>
      <c r="I148">
        <v>5393</v>
      </c>
      <c r="J148" s="113" t="s">
        <v>370</v>
      </c>
      <c r="K148" s="113" t="s">
        <v>132</v>
      </c>
      <c r="L148">
        <v>2639</v>
      </c>
      <c r="M148">
        <v>2645</v>
      </c>
      <c r="N148">
        <v>400</v>
      </c>
      <c r="O148" s="113" t="s">
        <v>87</v>
      </c>
      <c r="P148">
        <v>0.94253749056223202</v>
      </c>
      <c r="Q148">
        <v>0.911236941333741</v>
      </c>
      <c r="R148">
        <v>0.37614939218030102</v>
      </c>
      <c r="S148" s="20">
        <v>1.6461233933303999E-2</v>
      </c>
      <c r="T148">
        <v>-1.71573074908109</v>
      </c>
      <c r="U148">
        <v>1.71573074908109</v>
      </c>
      <c r="V148">
        <v>-16.18</v>
      </c>
      <c r="W148">
        <v>8.0299999999999994</v>
      </c>
      <c r="X148">
        <v>13258</v>
      </c>
      <c r="Y148">
        <v>698</v>
      </c>
      <c r="Z148">
        <v>0.02</v>
      </c>
      <c r="AA148">
        <v>19</v>
      </c>
      <c r="AB148">
        <v>8</v>
      </c>
      <c r="AC148">
        <v>11</v>
      </c>
      <c r="AD148">
        <v>42.11</v>
      </c>
      <c r="AE148">
        <v>13</v>
      </c>
      <c r="AF148">
        <v>6</v>
      </c>
      <c r="AG148">
        <v>4</v>
      </c>
      <c r="AH148">
        <v>9</v>
      </c>
    </row>
    <row r="149" spans="1:34">
      <c r="A149" s="109">
        <v>126</v>
      </c>
      <c r="B149">
        <v>3291</v>
      </c>
      <c r="C149" s="113" t="s">
        <v>139</v>
      </c>
      <c r="D149" s="113" t="s">
        <v>140</v>
      </c>
      <c r="E149">
        <v>1966</v>
      </c>
      <c r="F149">
        <v>1963</v>
      </c>
      <c r="G149">
        <v>500</v>
      </c>
      <c r="H149" s="113" t="s">
        <v>87</v>
      </c>
      <c r="I149">
        <v>8601</v>
      </c>
      <c r="J149" s="113" t="s">
        <v>51</v>
      </c>
      <c r="K149" s="113" t="s">
        <v>999</v>
      </c>
      <c r="L149">
        <v>548.5</v>
      </c>
      <c r="M149">
        <v>550</v>
      </c>
      <c r="N149">
        <v>1800</v>
      </c>
      <c r="O149" s="113" t="s">
        <v>85</v>
      </c>
      <c r="P149">
        <v>0.93806099902271101</v>
      </c>
      <c r="Q149">
        <v>0.91526028011342198</v>
      </c>
      <c r="R149">
        <v>1.85530492813105E-3</v>
      </c>
      <c r="S149">
        <v>0.101878092551178</v>
      </c>
      <c r="T149">
        <v>6.7451624729799806E-2</v>
      </c>
      <c r="U149">
        <v>6.7451624729799806E-2</v>
      </c>
      <c r="V149">
        <v>0.09</v>
      </c>
      <c r="W149">
        <v>0.87</v>
      </c>
      <c r="X149">
        <v>12422</v>
      </c>
      <c r="Y149">
        <v>731</v>
      </c>
      <c r="Z149">
        <v>0.05</v>
      </c>
      <c r="AA149">
        <v>17</v>
      </c>
      <c r="AB149">
        <v>10</v>
      </c>
      <c r="AC149">
        <v>7</v>
      </c>
      <c r="AD149">
        <v>58.82</v>
      </c>
      <c r="AE149">
        <v>15</v>
      </c>
      <c r="AF149">
        <v>3</v>
      </c>
      <c r="AG149">
        <v>1</v>
      </c>
      <c r="AH149">
        <v>13</v>
      </c>
    </row>
    <row r="150" spans="1:34">
      <c r="A150" s="109">
        <v>77</v>
      </c>
      <c r="B150">
        <v>5991</v>
      </c>
      <c r="C150" s="113" t="s">
        <v>141</v>
      </c>
      <c r="D150" s="113" t="s">
        <v>142</v>
      </c>
      <c r="E150">
        <v>1003</v>
      </c>
      <c r="F150">
        <v>1004</v>
      </c>
      <c r="G150">
        <v>1000</v>
      </c>
      <c r="H150" s="113" t="s">
        <v>87</v>
      </c>
      <c r="I150">
        <v>8002</v>
      </c>
      <c r="J150" s="113" t="s">
        <v>55</v>
      </c>
      <c r="K150" s="113" t="s">
        <v>127</v>
      </c>
      <c r="L150">
        <v>826.6</v>
      </c>
      <c r="M150">
        <v>824.9</v>
      </c>
      <c r="N150">
        <v>1200</v>
      </c>
      <c r="O150" s="113" t="s">
        <v>85</v>
      </c>
      <c r="P150">
        <v>0.961532910837128</v>
      </c>
      <c r="Q150">
        <v>0.92873880272171705</v>
      </c>
      <c r="R150">
        <v>5.6074755524838198E-2</v>
      </c>
      <c r="S150">
        <v>1.9232621053286401E-2</v>
      </c>
      <c r="T150">
        <v>1.4643525252755001</v>
      </c>
      <c r="U150">
        <v>1.4643525252755001</v>
      </c>
      <c r="V150">
        <v>5.32</v>
      </c>
      <c r="W150">
        <v>1.41</v>
      </c>
      <c r="X150">
        <v>10934</v>
      </c>
      <c r="Y150">
        <v>643</v>
      </c>
      <c r="Z150">
        <v>0.05</v>
      </c>
      <c r="AA150">
        <v>17</v>
      </c>
      <c r="AB150">
        <v>8</v>
      </c>
      <c r="AC150">
        <v>9</v>
      </c>
      <c r="AD150">
        <v>47.06</v>
      </c>
      <c r="AE150">
        <v>14</v>
      </c>
      <c r="AF150">
        <v>5</v>
      </c>
      <c r="AG150">
        <v>3</v>
      </c>
      <c r="AH150">
        <v>9</v>
      </c>
    </row>
    <row r="151" spans="1:34">
      <c r="A151" s="109">
        <v>188</v>
      </c>
      <c r="B151">
        <v>6755</v>
      </c>
      <c r="C151" s="113" t="s">
        <v>1329</v>
      </c>
      <c r="D151" s="113" t="s">
        <v>112</v>
      </c>
      <c r="E151">
        <v>2262</v>
      </c>
      <c r="F151">
        <v>2275</v>
      </c>
      <c r="G151">
        <v>500</v>
      </c>
      <c r="H151" s="113" t="s">
        <v>87</v>
      </c>
      <c r="I151">
        <v>9934</v>
      </c>
      <c r="J151" s="113" t="s">
        <v>990</v>
      </c>
      <c r="K151" s="113" t="s">
        <v>127</v>
      </c>
      <c r="L151">
        <v>2711</v>
      </c>
      <c r="M151">
        <v>2731</v>
      </c>
      <c r="N151">
        <v>400</v>
      </c>
      <c r="O151" s="113" t="s">
        <v>85</v>
      </c>
      <c r="P151">
        <v>0.92228356875587802</v>
      </c>
      <c r="Q151">
        <v>0.90418033968303901</v>
      </c>
      <c r="R151">
        <v>3.2923948997611598E-3</v>
      </c>
      <c r="S151">
        <v>9.2616821831683997E-4</v>
      </c>
      <c r="T151">
        <v>2.4560275321356402</v>
      </c>
      <c r="U151">
        <v>2.4560275321356402</v>
      </c>
      <c r="V151">
        <v>9.5399999999999991</v>
      </c>
      <c r="W151">
        <v>4.13</v>
      </c>
      <c r="X151">
        <v>6683</v>
      </c>
      <c r="Y151">
        <v>446</v>
      </c>
      <c r="Z151">
        <v>0.03</v>
      </c>
      <c r="AA151">
        <v>15</v>
      </c>
      <c r="AB151">
        <v>7</v>
      </c>
      <c r="AC151">
        <v>8</v>
      </c>
      <c r="AD151">
        <v>46.67</v>
      </c>
      <c r="AE151">
        <v>14</v>
      </c>
      <c r="AF151">
        <v>4</v>
      </c>
      <c r="AG151">
        <v>2</v>
      </c>
      <c r="AH151">
        <v>9</v>
      </c>
    </row>
    <row r="152" spans="1:34">
      <c r="A152" s="109">
        <v>153</v>
      </c>
      <c r="B152">
        <v>7205</v>
      </c>
      <c r="C152" s="113" t="s">
        <v>143</v>
      </c>
      <c r="D152" s="113" t="s">
        <v>109</v>
      </c>
      <c r="E152">
        <v>1131</v>
      </c>
      <c r="F152">
        <v>1137</v>
      </c>
      <c r="G152">
        <v>900</v>
      </c>
      <c r="H152" s="113" t="s">
        <v>87</v>
      </c>
      <c r="I152">
        <v>8002</v>
      </c>
      <c r="J152" s="113" t="s">
        <v>55</v>
      </c>
      <c r="K152" s="113" t="s">
        <v>127</v>
      </c>
      <c r="L152">
        <v>826.6</v>
      </c>
      <c r="M152">
        <v>824.9</v>
      </c>
      <c r="N152">
        <v>1200</v>
      </c>
      <c r="O152" s="113" t="s">
        <v>85</v>
      </c>
      <c r="P152">
        <v>0.95292047577532302</v>
      </c>
      <c r="Q152">
        <v>0.90968260774797804</v>
      </c>
      <c r="R152" s="20">
        <v>5.4106977978065698E-2</v>
      </c>
      <c r="S152" s="20">
        <v>3.5710416930285302E-2</v>
      </c>
      <c r="T152">
        <v>2.0914919385988102</v>
      </c>
      <c r="U152">
        <v>2.0914919385988102</v>
      </c>
      <c r="V152">
        <v>7.25</v>
      </c>
      <c r="W152">
        <v>3.27</v>
      </c>
      <c r="X152">
        <v>5271</v>
      </c>
      <c r="Y152">
        <v>310</v>
      </c>
      <c r="Z152">
        <v>0.03</v>
      </c>
      <c r="AA152">
        <v>17</v>
      </c>
      <c r="AB152">
        <v>8</v>
      </c>
      <c r="AC152">
        <v>9</v>
      </c>
      <c r="AD152">
        <v>47.06</v>
      </c>
      <c r="AE152">
        <v>15</v>
      </c>
      <c r="AF152">
        <v>3</v>
      </c>
      <c r="AG152">
        <v>2</v>
      </c>
      <c r="AH152">
        <v>12</v>
      </c>
    </row>
    <row r="153" spans="1:34">
      <c r="A153" s="109">
        <v>72</v>
      </c>
      <c r="B153">
        <v>5233</v>
      </c>
      <c r="C153" s="113" t="s">
        <v>171</v>
      </c>
      <c r="D153" s="113" t="s">
        <v>132</v>
      </c>
      <c r="E153">
        <v>3510</v>
      </c>
      <c r="F153">
        <v>3515</v>
      </c>
      <c r="G153">
        <v>300</v>
      </c>
      <c r="H153" s="113" t="s">
        <v>87</v>
      </c>
      <c r="I153">
        <v>7327</v>
      </c>
      <c r="J153" s="113" t="s">
        <v>169</v>
      </c>
      <c r="K153" s="113" t="s">
        <v>107</v>
      </c>
      <c r="L153">
        <v>3025</v>
      </c>
      <c r="M153">
        <v>3035</v>
      </c>
      <c r="N153">
        <v>300</v>
      </c>
      <c r="O153" s="113" t="s">
        <v>85</v>
      </c>
      <c r="P153">
        <v>0.90760882471387305</v>
      </c>
      <c r="Q153">
        <v>0.93050865129817395</v>
      </c>
      <c r="R153" s="113">
        <v>0.28090808010248097</v>
      </c>
      <c r="S153" s="20">
        <v>1.5138813988123299E-2</v>
      </c>
      <c r="T153">
        <v>2.2940476795355198</v>
      </c>
      <c r="U153">
        <v>2.2940476795355198</v>
      </c>
      <c r="V153">
        <v>5.45</v>
      </c>
      <c r="W153">
        <v>13.66</v>
      </c>
      <c r="X153">
        <v>4195</v>
      </c>
      <c r="Y153">
        <v>2098</v>
      </c>
      <c r="Z153">
        <v>-0.01</v>
      </c>
      <c r="AA153">
        <v>2</v>
      </c>
      <c r="AB153">
        <v>1</v>
      </c>
      <c r="AC153">
        <v>1</v>
      </c>
      <c r="AD153">
        <v>50</v>
      </c>
      <c r="AE153">
        <v>10</v>
      </c>
      <c r="AF153">
        <v>1</v>
      </c>
      <c r="AG153">
        <v>1</v>
      </c>
      <c r="AH153">
        <v>0</v>
      </c>
    </row>
    <row r="154" spans="1:34">
      <c r="A154" s="109">
        <v>165</v>
      </c>
      <c r="B154">
        <v>6448</v>
      </c>
      <c r="C154" s="113" t="s">
        <v>1002</v>
      </c>
      <c r="D154" s="113" t="s">
        <v>112</v>
      </c>
      <c r="E154">
        <v>2215</v>
      </c>
      <c r="F154">
        <v>2219</v>
      </c>
      <c r="G154">
        <v>400</v>
      </c>
      <c r="H154" s="113" t="s">
        <v>85</v>
      </c>
      <c r="I154">
        <v>6965</v>
      </c>
      <c r="J154" s="113" t="s">
        <v>1003</v>
      </c>
      <c r="K154" s="113" t="s">
        <v>112</v>
      </c>
      <c r="L154">
        <v>4590</v>
      </c>
      <c r="M154">
        <v>4555</v>
      </c>
      <c r="N154">
        <v>200</v>
      </c>
      <c r="O154" s="113" t="s">
        <v>87</v>
      </c>
      <c r="P154">
        <v>0.93270511361129604</v>
      </c>
      <c r="Q154">
        <v>0.90827098687152397</v>
      </c>
      <c r="R154">
        <v>0.109698345260467</v>
      </c>
      <c r="S154" s="20">
        <v>0.119140581514282</v>
      </c>
      <c r="T154">
        <v>-0.52352372695148197</v>
      </c>
      <c r="U154">
        <v>0.52352372695148197</v>
      </c>
      <c r="V154">
        <v>-1.25</v>
      </c>
      <c r="W154">
        <v>2.57</v>
      </c>
      <c r="X154">
        <v>4153</v>
      </c>
      <c r="Y154">
        <v>260</v>
      </c>
      <c r="Z154">
        <v>0.04</v>
      </c>
      <c r="AA154">
        <v>16</v>
      </c>
      <c r="AB154">
        <v>9</v>
      </c>
      <c r="AC154">
        <v>7</v>
      </c>
      <c r="AD154">
        <v>56.25</v>
      </c>
      <c r="AE154">
        <v>13</v>
      </c>
      <c r="AF154">
        <v>4</v>
      </c>
      <c r="AG154">
        <v>4</v>
      </c>
      <c r="AH154">
        <v>8</v>
      </c>
    </row>
    <row r="155" spans="1:34">
      <c r="A155" s="109">
        <v>116</v>
      </c>
      <c r="B155">
        <v>1928</v>
      </c>
      <c r="C155" s="113" t="s">
        <v>336</v>
      </c>
      <c r="D155" s="113" t="s">
        <v>103</v>
      </c>
      <c r="E155">
        <v>2390.5</v>
      </c>
      <c r="F155">
        <v>2407</v>
      </c>
      <c r="G155">
        <v>400</v>
      </c>
      <c r="H155" s="113" t="s">
        <v>87</v>
      </c>
      <c r="I155">
        <v>4996</v>
      </c>
      <c r="J155" s="113" t="s">
        <v>365</v>
      </c>
      <c r="K155" s="113" t="s">
        <v>86</v>
      </c>
      <c r="L155">
        <v>1006</v>
      </c>
      <c r="M155">
        <v>1021</v>
      </c>
      <c r="N155">
        <v>900</v>
      </c>
      <c r="O155" s="113" t="s">
        <v>85</v>
      </c>
      <c r="P155">
        <v>0.91990376952740205</v>
      </c>
      <c r="Q155">
        <v>0.91719058331201997</v>
      </c>
      <c r="R155">
        <v>4.5168411740191802E-2</v>
      </c>
      <c r="S155">
        <v>0.12023309042507301</v>
      </c>
      <c r="T155">
        <v>1.10669355467566</v>
      </c>
      <c r="U155">
        <v>1.10669355467566</v>
      </c>
      <c r="V155">
        <v>4.93</v>
      </c>
      <c r="W155">
        <v>4.5599999999999996</v>
      </c>
      <c r="X155">
        <v>3393</v>
      </c>
      <c r="Y155">
        <v>242</v>
      </c>
      <c r="Z155">
        <v>-0.03</v>
      </c>
      <c r="AA155">
        <v>14</v>
      </c>
      <c r="AB155">
        <v>8</v>
      </c>
      <c r="AC155">
        <v>6</v>
      </c>
      <c r="AD155">
        <v>57.14</v>
      </c>
      <c r="AE155">
        <v>12</v>
      </c>
      <c r="AF155">
        <v>6</v>
      </c>
      <c r="AG155">
        <v>3</v>
      </c>
      <c r="AH155">
        <v>5</v>
      </c>
    </row>
    <row r="156" spans="1:34">
      <c r="A156" s="109">
        <v>1</v>
      </c>
      <c r="B156">
        <v>6995</v>
      </c>
      <c r="C156" s="113" t="s">
        <v>117</v>
      </c>
      <c r="D156" s="113" t="s">
        <v>109</v>
      </c>
      <c r="E156">
        <v>2178</v>
      </c>
      <c r="F156">
        <v>2150</v>
      </c>
      <c r="G156">
        <v>500</v>
      </c>
      <c r="H156" s="113" t="s">
        <v>85</v>
      </c>
      <c r="I156">
        <v>7282</v>
      </c>
      <c r="J156" s="113" t="s">
        <v>993</v>
      </c>
      <c r="K156" s="113" t="s">
        <v>109</v>
      </c>
      <c r="L156">
        <v>2641</v>
      </c>
      <c r="M156">
        <v>2650</v>
      </c>
      <c r="N156">
        <v>400</v>
      </c>
      <c r="O156" s="113" t="s">
        <v>87</v>
      </c>
      <c r="P156">
        <v>0.98710783379052902</v>
      </c>
      <c r="Q156">
        <v>0.96578691011477102</v>
      </c>
      <c r="R156">
        <v>2.6840927975158202E-3</v>
      </c>
      <c r="S156" s="20">
        <v>5.67614837514566E-2</v>
      </c>
      <c r="T156">
        <v>-1.9002373228363001</v>
      </c>
      <c r="U156">
        <v>1.9002373228363001</v>
      </c>
      <c r="V156">
        <v>-3.65</v>
      </c>
      <c r="W156">
        <v>1.42</v>
      </c>
      <c r="X156">
        <v>1724</v>
      </c>
      <c r="Y156">
        <v>123</v>
      </c>
      <c r="Z156">
        <v>-7.0000000000000007E-2</v>
      </c>
      <c r="AA156">
        <v>14</v>
      </c>
      <c r="AB156">
        <v>7</v>
      </c>
      <c r="AC156">
        <v>7</v>
      </c>
      <c r="AD156">
        <v>50</v>
      </c>
      <c r="AE156">
        <v>13</v>
      </c>
      <c r="AF156">
        <v>3</v>
      </c>
      <c r="AG156">
        <v>2</v>
      </c>
      <c r="AH156">
        <v>9</v>
      </c>
    </row>
    <row r="157" spans="1:34">
      <c r="A157" s="109">
        <v>187</v>
      </c>
      <c r="B157">
        <v>6371</v>
      </c>
      <c r="C157" s="113" t="s">
        <v>134</v>
      </c>
      <c r="D157" s="113" t="s">
        <v>125</v>
      </c>
      <c r="E157">
        <v>3875</v>
      </c>
      <c r="F157">
        <v>3865</v>
      </c>
      <c r="G157">
        <v>200</v>
      </c>
      <c r="H157" s="113" t="s">
        <v>85</v>
      </c>
      <c r="I157">
        <v>6752</v>
      </c>
      <c r="J157" s="113" t="s">
        <v>131</v>
      </c>
      <c r="K157" s="113" t="s">
        <v>112</v>
      </c>
      <c r="L157">
        <v>1040.5</v>
      </c>
      <c r="M157">
        <v>1034.5</v>
      </c>
      <c r="N157">
        <v>700</v>
      </c>
      <c r="O157" s="113" t="s">
        <v>87</v>
      </c>
      <c r="P157">
        <v>0.923069028346446</v>
      </c>
      <c r="Q157">
        <v>0.90422329072510299</v>
      </c>
      <c r="R157" s="113">
        <v>0.108650222837207</v>
      </c>
      <c r="S157">
        <v>0.108020616104993</v>
      </c>
      <c r="T157">
        <v>-1.49655323267107</v>
      </c>
      <c r="U157">
        <v>1.49655323267107</v>
      </c>
      <c r="V157">
        <v>-3.65</v>
      </c>
      <c r="W157">
        <v>6.32</v>
      </c>
      <c r="X157">
        <v>-1507</v>
      </c>
      <c r="Y157">
        <v>-72</v>
      </c>
      <c r="Z157">
        <v>0.03</v>
      </c>
      <c r="AA157">
        <v>21</v>
      </c>
      <c r="AB157">
        <v>9</v>
      </c>
      <c r="AC157">
        <v>12</v>
      </c>
      <c r="AD157">
        <v>42.86</v>
      </c>
      <c r="AE157">
        <v>14</v>
      </c>
      <c r="AF157">
        <v>4</v>
      </c>
      <c r="AG157">
        <v>3</v>
      </c>
      <c r="AH157">
        <v>14</v>
      </c>
    </row>
    <row r="158" spans="1:34">
      <c r="A158" s="109">
        <v>144</v>
      </c>
      <c r="B158">
        <v>2175</v>
      </c>
      <c r="C158" s="113" t="s">
        <v>364</v>
      </c>
      <c r="D158" s="113" t="s">
        <v>146</v>
      </c>
      <c r="E158">
        <v>2993</v>
      </c>
      <c r="F158">
        <v>3015</v>
      </c>
      <c r="G158">
        <v>300</v>
      </c>
      <c r="H158" s="113" t="s">
        <v>85</v>
      </c>
      <c r="I158">
        <v>6098</v>
      </c>
      <c r="J158" s="113" t="s">
        <v>376</v>
      </c>
      <c r="K158" s="113" t="s">
        <v>146</v>
      </c>
      <c r="L158">
        <v>3955</v>
      </c>
      <c r="M158">
        <v>3980</v>
      </c>
      <c r="N158">
        <v>200</v>
      </c>
      <c r="O158" s="113" t="s">
        <v>87</v>
      </c>
      <c r="P158">
        <v>0.949729885184595</v>
      </c>
      <c r="Q158">
        <v>0.911759250632032</v>
      </c>
      <c r="R158" s="20">
        <v>3.1418427021539E-7</v>
      </c>
      <c r="S158" s="20">
        <v>7.3506678807454207E-2</v>
      </c>
      <c r="T158">
        <v>-0.43464746587863601</v>
      </c>
      <c r="U158">
        <v>0.43464746587863601</v>
      </c>
      <c r="V158">
        <v>-1.46</v>
      </c>
      <c r="W158">
        <v>13.63</v>
      </c>
      <c r="X158">
        <v>-1755</v>
      </c>
      <c r="Y158">
        <v>-103</v>
      </c>
      <c r="Z158">
        <v>0.05</v>
      </c>
      <c r="AA158">
        <v>17</v>
      </c>
      <c r="AB158">
        <v>9</v>
      </c>
      <c r="AC158">
        <v>8</v>
      </c>
      <c r="AD158">
        <v>52.94</v>
      </c>
      <c r="AE158">
        <v>10</v>
      </c>
      <c r="AF158">
        <v>8</v>
      </c>
      <c r="AG158">
        <v>5</v>
      </c>
      <c r="AH158">
        <v>4</v>
      </c>
    </row>
    <row r="159" spans="1:34">
      <c r="A159" s="109">
        <v>119</v>
      </c>
      <c r="B159">
        <v>8306</v>
      </c>
      <c r="C159" s="113" t="s">
        <v>172</v>
      </c>
      <c r="D159" s="113" t="s">
        <v>107</v>
      </c>
      <c r="E159">
        <v>584.79999999999995</v>
      </c>
      <c r="F159">
        <v>584.70000000000005</v>
      </c>
      <c r="G159">
        <v>1800</v>
      </c>
      <c r="H159" s="113" t="s">
        <v>87</v>
      </c>
      <c r="I159">
        <v>8411</v>
      </c>
      <c r="J159" s="113" t="s">
        <v>147</v>
      </c>
      <c r="K159" s="113" t="s">
        <v>107</v>
      </c>
      <c r="L159">
        <v>170.7</v>
      </c>
      <c r="M159">
        <v>170.6</v>
      </c>
      <c r="N159">
        <v>6200</v>
      </c>
      <c r="O159" s="113" t="s">
        <v>85</v>
      </c>
      <c r="P159">
        <v>0.95350008705952205</v>
      </c>
      <c r="Q159">
        <v>0.91659453528286094</v>
      </c>
      <c r="R159">
        <v>0.14733607476628099</v>
      </c>
      <c r="S159">
        <v>0.23445820489188099</v>
      </c>
      <c r="T159">
        <v>1.3518409151575901</v>
      </c>
      <c r="U159">
        <v>1.3518409151575901</v>
      </c>
      <c r="V159">
        <v>2.34</v>
      </c>
      <c r="W159">
        <v>0.5</v>
      </c>
      <c r="X159">
        <v>-2779</v>
      </c>
      <c r="Y159">
        <v>-154</v>
      </c>
      <c r="Z159">
        <v>0</v>
      </c>
      <c r="AA159">
        <v>18</v>
      </c>
      <c r="AB159">
        <v>8</v>
      </c>
      <c r="AC159">
        <v>10</v>
      </c>
      <c r="AD159">
        <v>44.44</v>
      </c>
      <c r="AE159">
        <v>17</v>
      </c>
      <c r="AF159">
        <v>2</v>
      </c>
      <c r="AG159">
        <v>0</v>
      </c>
      <c r="AH159">
        <v>16</v>
      </c>
    </row>
    <row r="160" spans="1:34">
      <c r="A160" s="109">
        <v>192</v>
      </c>
      <c r="B160">
        <v>4183</v>
      </c>
      <c r="C160" s="113" t="s">
        <v>334</v>
      </c>
      <c r="D160" s="113" t="s">
        <v>86</v>
      </c>
      <c r="E160">
        <v>2625</v>
      </c>
      <c r="F160">
        <v>2619</v>
      </c>
      <c r="G160">
        <v>200</v>
      </c>
      <c r="H160" s="113" t="s">
        <v>87</v>
      </c>
      <c r="I160">
        <v>7276</v>
      </c>
      <c r="J160" s="113" t="s">
        <v>1001</v>
      </c>
      <c r="K160" s="113" t="s">
        <v>112</v>
      </c>
      <c r="L160">
        <v>5560</v>
      </c>
      <c r="M160">
        <v>5530</v>
      </c>
      <c r="N160">
        <v>100</v>
      </c>
      <c r="O160" s="113" t="s">
        <v>85</v>
      </c>
      <c r="P160">
        <v>0.93957188619161303</v>
      </c>
      <c r="Q160">
        <v>0.90383242817852305</v>
      </c>
      <c r="R160">
        <v>3.4210477550877902E-2</v>
      </c>
      <c r="S160" s="20">
        <v>7.2282869300614103E-2</v>
      </c>
      <c r="T160">
        <v>1.57854644053866</v>
      </c>
      <c r="U160">
        <v>1.57854644053866</v>
      </c>
      <c r="V160">
        <v>2.1800000000000002</v>
      </c>
      <c r="W160">
        <v>5.28</v>
      </c>
      <c r="X160">
        <v>-2864</v>
      </c>
      <c r="Y160">
        <v>-358</v>
      </c>
      <c r="Z160">
        <v>0.02</v>
      </c>
      <c r="AA160">
        <v>8</v>
      </c>
      <c r="AB160">
        <v>2</v>
      </c>
      <c r="AC160">
        <v>6</v>
      </c>
      <c r="AD160">
        <v>25</v>
      </c>
      <c r="AE160">
        <v>11</v>
      </c>
      <c r="AF160">
        <v>2</v>
      </c>
      <c r="AG160">
        <v>2</v>
      </c>
      <c r="AH160">
        <v>4</v>
      </c>
    </row>
    <row r="161" spans="1:34">
      <c r="A161" s="109">
        <v>131</v>
      </c>
      <c r="B161">
        <v>5991</v>
      </c>
      <c r="C161" s="113" t="s">
        <v>141</v>
      </c>
      <c r="D161" s="113" t="s">
        <v>142</v>
      </c>
      <c r="E161">
        <v>1003</v>
      </c>
      <c r="F161">
        <v>1004</v>
      </c>
      <c r="G161">
        <v>900</v>
      </c>
      <c r="H161" s="113" t="s">
        <v>87</v>
      </c>
      <c r="I161">
        <v>7267</v>
      </c>
      <c r="J161" s="113" t="s">
        <v>144</v>
      </c>
      <c r="K161" s="113" t="s">
        <v>109</v>
      </c>
      <c r="L161">
        <v>3127</v>
      </c>
      <c r="M161">
        <v>3144</v>
      </c>
      <c r="N161">
        <v>300</v>
      </c>
      <c r="O161" s="113" t="s">
        <v>85</v>
      </c>
      <c r="P161">
        <v>0.959732685645585</v>
      </c>
      <c r="Q161">
        <v>0.91510153692469698</v>
      </c>
      <c r="R161">
        <v>0.116728704627132</v>
      </c>
      <c r="S161">
        <v>7.4109196854934195E-2</v>
      </c>
      <c r="T161">
        <v>2.2273777662969101</v>
      </c>
      <c r="U161">
        <v>2.2273777662969101</v>
      </c>
      <c r="V161">
        <v>6.34</v>
      </c>
      <c r="W161">
        <v>4.2</v>
      </c>
      <c r="X161">
        <v>-2961</v>
      </c>
      <c r="Y161">
        <v>-212</v>
      </c>
      <c r="Z161">
        <v>0.02</v>
      </c>
      <c r="AA161">
        <v>14</v>
      </c>
      <c r="AB161">
        <v>9</v>
      </c>
      <c r="AC161">
        <v>5</v>
      </c>
      <c r="AD161">
        <v>64.290000000000006</v>
      </c>
      <c r="AE161">
        <v>16</v>
      </c>
      <c r="AF161">
        <v>1</v>
      </c>
      <c r="AG161">
        <v>1</v>
      </c>
      <c r="AH161">
        <v>12</v>
      </c>
    </row>
    <row r="162" spans="1:34">
      <c r="A162" s="109">
        <v>87</v>
      </c>
      <c r="B162">
        <v>4183</v>
      </c>
      <c r="C162" s="113" t="s">
        <v>334</v>
      </c>
      <c r="D162" s="113" t="s">
        <v>86</v>
      </c>
      <c r="E162">
        <v>2625</v>
      </c>
      <c r="F162">
        <v>2619</v>
      </c>
      <c r="G162">
        <v>400</v>
      </c>
      <c r="H162" s="113" t="s">
        <v>85</v>
      </c>
      <c r="I162">
        <v>6301</v>
      </c>
      <c r="J162" s="113" t="s">
        <v>135</v>
      </c>
      <c r="K162" s="113" t="s">
        <v>125</v>
      </c>
      <c r="L162">
        <v>2650</v>
      </c>
      <c r="M162">
        <v>2677</v>
      </c>
      <c r="N162">
        <v>400</v>
      </c>
      <c r="O162" s="113" t="s">
        <v>87</v>
      </c>
      <c r="P162">
        <v>0.92108112652444496</v>
      </c>
      <c r="Q162">
        <v>0.92465134036707297</v>
      </c>
      <c r="R162" s="20">
        <v>6.5877995891640501E-3</v>
      </c>
      <c r="S162">
        <v>6.7071693011923805E-4</v>
      </c>
      <c r="T162">
        <v>-2.0116420514263398</v>
      </c>
      <c r="U162">
        <v>2.0116420514263398</v>
      </c>
      <c r="V162">
        <v>-3.43</v>
      </c>
      <c r="W162">
        <v>2.17</v>
      </c>
      <c r="X162">
        <v>-3844</v>
      </c>
      <c r="Y162">
        <v>-384</v>
      </c>
      <c r="Z162">
        <v>0.04</v>
      </c>
      <c r="AA162">
        <v>10</v>
      </c>
      <c r="AB162">
        <v>6</v>
      </c>
      <c r="AC162">
        <v>4</v>
      </c>
      <c r="AD162">
        <v>60</v>
      </c>
      <c r="AE162">
        <v>15</v>
      </c>
      <c r="AF162">
        <v>1</v>
      </c>
      <c r="AG162">
        <v>1</v>
      </c>
      <c r="AH162">
        <v>8</v>
      </c>
    </row>
    <row r="163" spans="1:34">
      <c r="A163" s="109">
        <v>23</v>
      </c>
      <c r="B163">
        <v>4062</v>
      </c>
      <c r="C163" s="113" t="s">
        <v>363</v>
      </c>
      <c r="D163" s="113" t="s">
        <v>112</v>
      </c>
      <c r="E163">
        <v>2548</v>
      </c>
      <c r="F163">
        <v>2533</v>
      </c>
      <c r="G163">
        <v>400</v>
      </c>
      <c r="H163" s="113" t="s">
        <v>85</v>
      </c>
      <c r="I163">
        <v>6920</v>
      </c>
      <c r="J163" s="113" t="s">
        <v>111</v>
      </c>
      <c r="K163" s="113" t="s">
        <v>112</v>
      </c>
      <c r="L163">
        <v>9870</v>
      </c>
      <c r="M163">
        <v>9870</v>
      </c>
      <c r="N163">
        <v>100</v>
      </c>
      <c r="O163" s="113" t="s">
        <v>87</v>
      </c>
      <c r="P163">
        <v>0.91315877612984397</v>
      </c>
      <c r="Q163">
        <v>0.94775775147936303</v>
      </c>
      <c r="R163">
        <v>0.26820742203436398</v>
      </c>
      <c r="S163" s="20">
        <v>4.89212174913271E-2</v>
      </c>
      <c r="T163">
        <v>-2.3503966080918302</v>
      </c>
      <c r="U163">
        <v>2.3503966080918302</v>
      </c>
      <c r="V163">
        <v>-20.96</v>
      </c>
      <c r="W163">
        <v>2.65</v>
      </c>
      <c r="X163">
        <v>-4708</v>
      </c>
      <c r="Y163">
        <v>-262</v>
      </c>
      <c r="Z163">
        <v>-0.02</v>
      </c>
      <c r="AA163">
        <v>18</v>
      </c>
      <c r="AB163">
        <v>9</v>
      </c>
      <c r="AC163">
        <v>9</v>
      </c>
      <c r="AD163">
        <v>50</v>
      </c>
      <c r="AE163">
        <v>10</v>
      </c>
      <c r="AF163">
        <v>8</v>
      </c>
      <c r="AG163">
        <v>7</v>
      </c>
      <c r="AH163">
        <v>3</v>
      </c>
    </row>
    <row r="164" spans="1:34">
      <c r="A164" s="109">
        <v>62</v>
      </c>
      <c r="B164">
        <v>6752</v>
      </c>
      <c r="C164" s="113" t="s">
        <v>131</v>
      </c>
      <c r="D164" s="113" t="s">
        <v>112</v>
      </c>
      <c r="E164">
        <v>1040.5</v>
      </c>
      <c r="F164">
        <v>1034.5</v>
      </c>
      <c r="G164">
        <v>1000</v>
      </c>
      <c r="H164" s="113" t="s">
        <v>87</v>
      </c>
      <c r="I164">
        <v>8002</v>
      </c>
      <c r="J164" s="113" t="s">
        <v>55</v>
      </c>
      <c r="K164" s="113" t="s">
        <v>127</v>
      </c>
      <c r="L164">
        <v>826.6</v>
      </c>
      <c r="M164">
        <v>824.9</v>
      </c>
      <c r="N164">
        <v>1300</v>
      </c>
      <c r="O164" s="113" t="s">
        <v>85</v>
      </c>
      <c r="P164">
        <v>0.91329861955148095</v>
      </c>
      <c r="Q164">
        <v>0.93244719132260201</v>
      </c>
      <c r="R164">
        <v>9.4703807805331996E-2</v>
      </c>
      <c r="S164">
        <v>3.1610668517651499E-3</v>
      </c>
      <c r="T164">
        <v>0.84997320667973497</v>
      </c>
      <c r="U164">
        <v>0.84997320667973497</v>
      </c>
      <c r="V164">
        <v>2.1</v>
      </c>
      <c r="W164">
        <v>3.66</v>
      </c>
      <c r="X164">
        <v>-4844</v>
      </c>
      <c r="Y164">
        <v>-231</v>
      </c>
      <c r="Z164">
        <v>-0.02</v>
      </c>
      <c r="AA164">
        <v>21</v>
      </c>
      <c r="AB164">
        <v>11</v>
      </c>
      <c r="AC164">
        <v>10</v>
      </c>
      <c r="AD164">
        <v>52.38</v>
      </c>
      <c r="AE164">
        <v>15</v>
      </c>
      <c r="AF164">
        <v>5</v>
      </c>
      <c r="AG164">
        <v>4</v>
      </c>
      <c r="AH164">
        <v>12</v>
      </c>
    </row>
    <row r="165" spans="1:34">
      <c r="A165" s="109">
        <v>85</v>
      </c>
      <c r="B165">
        <v>2222</v>
      </c>
      <c r="C165" s="113" t="s">
        <v>357</v>
      </c>
      <c r="D165" s="113" t="s">
        <v>123</v>
      </c>
      <c r="E165">
        <v>7610</v>
      </c>
      <c r="F165">
        <v>7570</v>
      </c>
      <c r="G165">
        <v>100</v>
      </c>
      <c r="H165" s="113" t="s">
        <v>87</v>
      </c>
      <c r="I165">
        <v>4516</v>
      </c>
      <c r="J165" s="113" t="s">
        <v>358</v>
      </c>
      <c r="K165" s="113" t="s">
        <v>164</v>
      </c>
      <c r="L165">
        <v>9620</v>
      </c>
      <c r="M165">
        <v>9600</v>
      </c>
      <c r="N165">
        <v>100</v>
      </c>
      <c r="O165" s="113" t="s">
        <v>85</v>
      </c>
      <c r="P165">
        <v>0.90468527543028299</v>
      </c>
      <c r="Q165">
        <v>0.926054934786398</v>
      </c>
      <c r="R165">
        <v>7.6401037012216802E-4</v>
      </c>
      <c r="S165">
        <v>5.7704534458810103E-2</v>
      </c>
      <c r="T165">
        <v>0.50255496612686701</v>
      </c>
      <c r="U165">
        <v>0.50255496612686701</v>
      </c>
      <c r="V165">
        <v>1.06</v>
      </c>
      <c r="W165">
        <v>21.15</v>
      </c>
      <c r="X165">
        <v>-6765</v>
      </c>
      <c r="Y165">
        <v>-966</v>
      </c>
      <c r="Z165">
        <v>-0.1</v>
      </c>
      <c r="AA165">
        <v>7</v>
      </c>
      <c r="AB165">
        <v>4</v>
      </c>
      <c r="AC165">
        <v>3</v>
      </c>
      <c r="AD165">
        <v>57.14</v>
      </c>
      <c r="AE165">
        <v>7</v>
      </c>
      <c r="AF165">
        <v>3</v>
      </c>
      <c r="AG165">
        <v>3</v>
      </c>
      <c r="AH165">
        <v>1</v>
      </c>
    </row>
    <row r="166" spans="1:34">
      <c r="A166" s="109">
        <v>214</v>
      </c>
      <c r="B166">
        <v>6473</v>
      </c>
      <c r="C166" s="113" t="s">
        <v>161</v>
      </c>
      <c r="D166" s="113" t="s">
        <v>125</v>
      </c>
      <c r="E166">
        <v>1379</v>
      </c>
      <c r="F166">
        <v>1362</v>
      </c>
      <c r="G166">
        <v>500</v>
      </c>
      <c r="H166" s="113" t="s">
        <v>85</v>
      </c>
      <c r="I166">
        <v>6988</v>
      </c>
      <c r="J166" s="113" t="s">
        <v>167</v>
      </c>
      <c r="K166" s="113" t="s">
        <v>86</v>
      </c>
      <c r="L166">
        <v>6170</v>
      </c>
      <c r="M166">
        <v>6210</v>
      </c>
      <c r="N166">
        <v>100</v>
      </c>
      <c r="O166" s="113" t="s">
        <v>87</v>
      </c>
      <c r="P166">
        <v>0.93330716296273097</v>
      </c>
      <c r="Q166">
        <v>0.90007973656269902</v>
      </c>
      <c r="R166">
        <v>1.6593983830111701E-2</v>
      </c>
      <c r="S166">
        <v>2.52521232562458E-2</v>
      </c>
      <c r="T166">
        <v>-2.0051386651673999</v>
      </c>
      <c r="U166">
        <v>2.0051386651673999</v>
      </c>
      <c r="V166">
        <v>-5.43</v>
      </c>
      <c r="W166">
        <v>9.66</v>
      </c>
      <c r="X166">
        <v>-8814</v>
      </c>
      <c r="Y166">
        <v>-630</v>
      </c>
      <c r="Z166">
        <v>-0.16</v>
      </c>
      <c r="AA166">
        <v>14</v>
      </c>
      <c r="AB166">
        <v>6</v>
      </c>
      <c r="AC166">
        <v>8</v>
      </c>
      <c r="AD166">
        <v>42.86</v>
      </c>
      <c r="AE166">
        <v>14</v>
      </c>
      <c r="AF166">
        <v>4</v>
      </c>
      <c r="AG166">
        <v>1</v>
      </c>
      <c r="AH166">
        <v>9</v>
      </c>
    </row>
    <row r="167" spans="1:34">
      <c r="A167" s="109">
        <v>108</v>
      </c>
      <c r="B167">
        <v>5333</v>
      </c>
      <c r="C167" s="113" t="s">
        <v>371</v>
      </c>
      <c r="D167" s="113" t="s">
        <v>132</v>
      </c>
      <c r="E167">
        <v>1901</v>
      </c>
      <c r="F167">
        <v>1890</v>
      </c>
      <c r="G167">
        <v>600</v>
      </c>
      <c r="H167" s="113" t="s">
        <v>85</v>
      </c>
      <c r="I167">
        <v>5393</v>
      </c>
      <c r="J167" s="113" t="s">
        <v>370</v>
      </c>
      <c r="K167" s="113" t="s">
        <v>132</v>
      </c>
      <c r="L167">
        <v>2639</v>
      </c>
      <c r="M167">
        <v>2645</v>
      </c>
      <c r="N167">
        <v>400</v>
      </c>
      <c r="O167" s="113" t="s">
        <v>87</v>
      </c>
      <c r="P167">
        <v>0.95532459479902998</v>
      </c>
      <c r="Q167">
        <v>0.919259471629716</v>
      </c>
      <c r="R167">
        <v>0.27075775882359898</v>
      </c>
      <c r="S167">
        <v>9.1758646773244595E-4</v>
      </c>
      <c r="T167">
        <v>-1.2046943646958199</v>
      </c>
      <c r="U167">
        <v>1.2046943646958199</v>
      </c>
      <c r="V167">
        <v>-8.5399999999999991</v>
      </c>
      <c r="W167">
        <v>7.18</v>
      </c>
      <c r="X167">
        <v>-11690</v>
      </c>
      <c r="Y167">
        <v>-584</v>
      </c>
      <c r="Z167">
        <v>-0.01</v>
      </c>
      <c r="AA167">
        <v>20</v>
      </c>
      <c r="AB167">
        <v>12</v>
      </c>
      <c r="AC167">
        <v>8</v>
      </c>
      <c r="AD167">
        <v>60</v>
      </c>
      <c r="AE167">
        <v>11</v>
      </c>
      <c r="AF167">
        <v>7</v>
      </c>
      <c r="AG167">
        <v>8</v>
      </c>
      <c r="AH167">
        <v>5</v>
      </c>
    </row>
    <row r="168" spans="1:34">
      <c r="A168" s="109">
        <v>173</v>
      </c>
      <c r="B168">
        <v>6988</v>
      </c>
      <c r="C168" s="113" t="s">
        <v>167</v>
      </c>
      <c r="D168" s="113" t="s">
        <v>86</v>
      </c>
      <c r="E168">
        <v>6170</v>
      </c>
      <c r="F168">
        <v>6210</v>
      </c>
      <c r="G168">
        <v>100</v>
      </c>
      <c r="H168" s="113" t="s">
        <v>87</v>
      </c>
      <c r="I168">
        <v>8002</v>
      </c>
      <c r="J168" s="113" t="s">
        <v>55</v>
      </c>
      <c r="K168" s="113" t="s">
        <v>127</v>
      </c>
      <c r="L168">
        <v>826.6</v>
      </c>
      <c r="M168">
        <v>824.9</v>
      </c>
      <c r="N168">
        <v>800</v>
      </c>
      <c r="O168" s="113" t="s">
        <v>85</v>
      </c>
      <c r="P168">
        <v>0.90807266025892597</v>
      </c>
      <c r="Q168">
        <v>0.90654605263420096</v>
      </c>
      <c r="R168">
        <v>0.36517675599253901</v>
      </c>
      <c r="S168">
        <v>0.21710082936828701</v>
      </c>
      <c r="T168">
        <v>0.20891907334314699</v>
      </c>
      <c r="U168">
        <v>0.20891907334314699</v>
      </c>
      <c r="V168">
        <v>0.68</v>
      </c>
      <c r="W168">
        <v>6.27</v>
      </c>
      <c r="X168">
        <v>-13492</v>
      </c>
      <c r="Y168">
        <v>-750</v>
      </c>
      <c r="Z168">
        <v>-0.19</v>
      </c>
      <c r="AA168">
        <v>18</v>
      </c>
      <c r="AB168">
        <v>8</v>
      </c>
      <c r="AC168">
        <v>10</v>
      </c>
      <c r="AD168">
        <v>44.44</v>
      </c>
      <c r="AE168">
        <v>13</v>
      </c>
      <c r="AF168">
        <v>6</v>
      </c>
      <c r="AG168">
        <v>4</v>
      </c>
      <c r="AH168">
        <v>8</v>
      </c>
    </row>
    <row r="169" spans="1:34">
      <c r="A169" s="109">
        <v>171</v>
      </c>
      <c r="B169">
        <v>4183</v>
      </c>
      <c r="C169" s="113" t="s">
        <v>334</v>
      </c>
      <c r="D169" s="113" t="s">
        <v>86</v>
      </c>
      <c r="E169">
        <v>2625</v>
      </c>
      <c r="F169">
        <v>2619</v>
      </c>
      <c r="G169">
        <v>400</v>
      </c>
      <c r="H169" s="113" t="s">
        <v>85</v>
      </c>
      <c r="I169">
        <v>7762</v>
      </c>
      <c r="J169" s="113" t="s">
        <v>133</v>
      </c>
      <c r="K169" s="113" t="s">
        <v>119</v>
      </c>
      <c r="L169">
        <v>607</v>
      </c>
      <c r="M169">
        <v>606</v>
      </c>
      <c r="N169">
        <v>1700</v>
      </c>
      <c r="O169" s="113" t="s">
        <v>87</v>
      </c>
      <c r="P169">
        <v>0.90744824786934597</v>
      </c>
      <c r="Q169">
        <v>0.90741838040701295</v>
      </c>
      <c r="R169">
        <v>0.16744978948580899</v>
      </c>
      <c r="S169">
        <v>2.0556104235898202E-3</v>
      </c>
      <c r="T169">
        <v>-1.99993630610471</v>
      </c>
      <c r="U169">
        <v>1.99993630610471</v>
      </c>
      <c r="V169">
        <v>-4.99</v>
      </c>
      <c r="W169">
        <v>1.66</v>
      </c>
      <c r="X169">
        <v>-15256</v>
      </c>
      <c r="Y169">
        <v>-1174</v>
      </c>
      <c r="Z169">
        <v>-0.12</v>
      </c>
      <c r="AA169">
        <v>13</v>
      </c>
      <c r="AB169">
        <v>7</v>
      </c>
      <c r="AC169">
        <v>6</v>
      </c>
      <c r="AD169">
        <v>53.85</v>
      </c>
      <c r="AE169">
        <v>15</v>
      </c>
      <c r="AF169">
        <v>3</v>
      </c>
      <c r="AG169">
        <v>4</v>
      </c>
      <c r="AH169">
        <v>6</v>
      </c>
    </row>
    <row r="170" spans="1:34">
      <c r="A170" s="109">
        <v>4</v>
      </c>
      <c r="B170">
        <v>2413</v>
      </c>
      <c r="C170" s="113" t="s">
        <v>1323</v>
      </c>
      <c r="D170" s="113" t="s">
        <v>146</v>
      </c>
      <c r="E170">
        <v>3060</v>
      </c>
      <c r="F170">
        <v>3070</v>
      </c>
      <c r="G170">
        <v>300</v>
      </c>
      <c r="H170" s="113" t="s">
        <v>87</v>
      </c>
      <c r="I170">
        <v>4552</v>
      </c>
      <c r="J170" s="113" t="s">
        <v>1334</v>
      </c>
      <c r="K170" s="113" t="s">
        <v>164</v>
      </c>
      <c r="L170">
        <v>9270</v>
      </c>
      <c r="M170">
        <v>9300</v>
      </c>
      <c r="N170">
        <v>100</v>
      </c>
      <c r="O170" s="113" t="s">
        <v>85</v>
      </c>
      <c r="P170">
        <v>0.90610742355120899</v>
      </c>
      <c r="Q170">
        <v>0.96420015072833798</v>
      </c>
      <c r="R170" s="20">
        <v>0.14855780882737099</v>
      </c>
      <c r="S170">
        <v>4.56448417287556E-3</v>
      </c>
      <c r="T170">
        <v>0.98862043678148503</v>
      </c>
      <c r="U170">
        <v>0.98862043678148503</v>
      </c>
      <c r="V170">
        <v>4.5199999999999996</v>
      </c>
      <c r="W170">
        <v>0.97</v>
      </c>
      <c r="X170">
        <v>-15929</v>
      </c>
      <c r="Y170">
        <v>-796</v>
      </c>
      <c r="Z170">
        <v>-0.02</v>
      </c>
      <c r="AA170">
        <v>20</v>
      </c>
      <c r="AB170">
        <v>9</v>
      </c>
      <c r="AC170">
        <v>11</v>
      </c>
      <c r="AD170">
        <v>45</v>
      </c>
      <c r="AE170">
        <v>10</v>
      </c>
      <c r="AF170">
        <v>8</v>
      </c>
      <c r="AG170">
        <v>8</v>
      </c>
      <c r="AH170">
        <v>4</v>
      </c>
    </row>
    <row r="171" spans="1:34">
      <c r="A171" s="109">
        <v>34</v>
      </c>
      <c r="B171">
        <v>1928</v>
      </c>
      <c r="C171" s="113" t="s">
        <v>336</v>
      </c>
      <c r="D171" s="113" t="s">
        <v>103</v>
      </c>
      <c r="E171">
        <v>2390.5</v>
      </c>
      <c r="F171">
        <v>2407</v>
      </c>
      <c r="G171">
        <v>300</v>
      </c>
      <c r="H171" s="113" t="s">
        <v>85</v>
      </c>
      <c r="I171">
        <v>4613</v>
      </c>
      <c r="J171" s="113" t="s">
        <v>354</v>
      </c>
      <c r="K171" s="113" t="s">
        <v>86</v>
      </c>
      <c r="L171">
        <v>2777</v>
      </c>
      <c r="M171">
        <v>2789</v>
      </c>
      <c r="N171">
        <v>300</v>
      </c>
      <c r="O171" s="113" t="s">
        <v>87</v>
      </c>
      <c r="P171">
        <v>0.95180774239307997</v>
      </c>
      <c r="Q171">
        <v>0.94303408542624001</v>
      </c>
      <c r="R171">
        <v>3.66525168006357E-2</v>
      </c>
      <c r="S171">
        <v>7.9673043904078394E-2</v>
      </c>
      <c r="T171">
        <v>-0.18978466959766399</v>
      </c>
      <c r="U171">
        <v>0.18978466959766399</v>
      </c>
      <c r="V171">
        <v>-0.34</v>
      </c>
      <c r="W171">
        <v>13.7</v>
      </c>
      <c r="X171">
        <v>-16022</v>
      </c>
      <c r="Y171">
        <v>-1232</v>
      </c>
      <c r="Z171">
        <v>-0.04</v>
      </c>
      <c r="AA171">
        <v>13</v>
      </c>
      <c r="AB171">
        <v>7</v>
      </c>
      <c r="AC171">
        <v>6</v>
      </c>
      <c r="AD171">
        <v>53.85</v>
      </c>
      <c r="AE171">
        <v>13</v>
      </c>
      <c r="AF171">
        <v>5</v>
      </c>
      <c r="AG171">
        <v>3</v>
      </c>
      <c r="AH171">
        <v>5</v>
      </c>
    </row>
    <row r="172" spans="1:34">
      <c r="A172" s="109">
        <v>91</v>
      </c>
      <c r="B172">
        <v>6457</v>
      </c>
      <c r="C172" s="113" t="s">
        <v>348</v>
      </c>
      <c r="D172" s="113" t="s">
        <v>125</v>
      </c>
      <c r="E172">
        <v>3320</v>
      </c>
      <c r="F172">
        <v>3335</v>
      </c>
      <c r="G172">
        <v>300</v>
      </c>
      <c r="H172" s="113" t="s">
        <v>85</v>
      </c>
      <c r="I172">
        <v>6845</v>
      </c>
      <c r="J172" s="113" t="s">
        <v>341</v>
      </c>
      <c r="K172" s="113" t="s">
        <v>112</v>
      </c>
      <c r="L172">
        <v>3135</v>
      </c>
      <c r="M172">
        <v>3170</v>
      </c>
      <c r="N172">
        <v>300</v>
      </c>
      <c r="O172" s="113" t="s">
        <v>87</v>
      </c>
      <c r="P172">
        <v>0.93830590393446101</v>
      </c>
      <c r="Q172">
        <v>0.92387993604700103</v>
      </c>
      <c r="R172">
        <v>6.42627644725289E-3</v>
      </c>
      <c r="S172">
        <v>4.7620583706585798E-2</v>
      </c>
      <c r="T172">
        <v>-0.27103903342573898</v>
      </c>
      <c r="U172">
        <v>0.27103903342573898</v>
      </c>
      <c r="V172">
        <v>-0.4</v>
      </c>
      <c r="W172">
        <v>4.95</v>
      </c>
      <c r="X172">
        <v>-22683</v>
      </c>
      <c r="Y172">
        <v>-2062</v>
      </c>
      <c r="Z172">
        <v>-0.06</v>
      </c>
      <c r="AA172">
        <v>11</v>
      </c>
      <c r="AB172">
        <v>6</v>
      </c>
      <c r="AC172">
        <v>5</v>
      </c>
      <c r="AD172">
        <v>54.55</v>
      </c>
      <c r="AE172">
        <v>15</v>
      </c>
      <c r="AF172">
        <v>2</v>
      </c>
      <c r="AG172">
        <v>1</v>
      </c>
      <c r="AH172">
        <v>8</v>
      </c>
    </row>
    <row r="173" spans="1:34">
      <c r="A173" s="109">
        <v>124</v>
      </c>
      <c r="B173">
        <v>4519</v>
      </c>
      <c r="C173" s="113" t="s">
        <v>994</v>
      </c>
      <c r="D173" s="113" t="s">
        <v>164</v>
      </c>
      <c r="E173">
        <v>9801</v>
      </c>
      <c r="F173">
        <v>9845</v>
      </c>
      <c r="G173">
        <v>100</v>
      </c>
      <c r="H173" s="113" t="s">
        <v>85</v>
      </c>
      <c r="I173">
        <v>6920</v>
      </c>
      <c r="J173" s="113" t="s">
        <v>111</v>
      </c>
      <c r="K173" s="113" t="s">
        <v>112</v>
      </c>
      <c r="L173">
        <v>9870</v>
      </c>
      <c r="M173">
        <v>9870</v>
      </c>
      <c r="N173">
        <v>100</v>
      </c>
      <c r="O173" s="113" t="s">
        <v>87</v>
      </c>
      <c r="P173">
        <v>0.91358648979927004</v>
      </c>
      <c r="Q173">
        <v>0.91544030685090005</v>
      </c>
      <c r="R173">
        <v>8.3315300191188393E-2</v>
      </c>
      <c r="S173">
        <v>6.1295039847286403E-2</v>
      </c>
      <c r="T173">
        <v>-1.8049035317466</v>
      </c>
      <c r="U173">
        <v>1.8049035317466</v>
      </c>
      <c r="V173">
        <v>-14.43</v>
      </c>
      <c r="W173">
        <v>0.25</v>
      </c>
      <c r="X173">
        <v>-24389</v>
      </c>
      <c r="Y173">
        <v>-2217</v>
      </c>
      <c r="Z173">
        <v>-0.19</v>
      </c>
      <c r="AA173">
        <v>11</v>
      </c>
      <c r="AB173">
        <v>6</v>
      </c>
      <c r="AC173">
        <v>5</v>
      </c>
      <c r="AD173">
        <v>54.55</v>
      </c>
      <c r="AE173">
        <v>8</v>
      </c>
      <c r="AF173">
        <v>6</v>
      </c>
      <c r="AG173">
        <v>5</v>
      </c>
      <c r="AH173">
        <v>0</v>
      </c>
    </row>
    <row r="174" spans="1:34">
      <c r="A174" s="109">
        <v>164</v>
      </c>
      <c r="B174">
        <v>6371</v>
      </c>
      <c r="C174" s="113" t="s">
        <v>134</v>
      </c>
      <c r="D174" s="113" t="s">
        <v>125</v>
      </c>
      <c r="E174">
        <v>3875</v>
      </c>
      <c r="F174">
        <v>3865</v>
      </c>
      <c r="G174">
        <v>200</v>
      </c>
      <c r="H174" s="113" t="s">
        <v>85</v>
      </c>
      <c r="I174">
        <v>7272</v>
      </c>
      <c r="J174" s="113" t="s">
        <v>333</v>
      </c>
      <c r="K174" s="113" t="s">
        <v>109</v>
      </c>
      <c r="L174">
        <v>2300</v>
      </c>
      <c r="M174">
        <v>2292</v>
      </c>
      <c r="N174">
        <v>300</v>
      </c>
      <c r="O174" s="113" t="s">
        <v>87</v>
      </c>
      <c r="P174">
        <v>0.90168019229198104</v>
      </c>
      <c r="Q174">
        <v>0.90832299796500304</v>
      </c>
      <c r="R174">
        <v>0.23244893630506</v>
      </c>
      <c r="S174" s="20">
        <v>9.4521979016290395E-3</v>
      </c>
      <c r="T174">
        <v>-0.91170732128582499</v>
      </c>
      <c r="U174">
        <v>0.91170732128582499</v>
      </c>
      <c r="V174">
        <v>-3.59</v>
      </c>
      <c r="W174">
        <v>11.05</v>
      </c>
      <c r="X174">
        <v>-28954</v>
      </c>
      <c r="Y174">
        <v>-2632</v>
      </c>
      <c r="Z174">
        <v>-0.13</v>
      </c>
      <c r="AA174">
        <v>11</v>
      </c>
      <c r="AB174">
        <v>6</v>
      </c>
      <c r="AC174">
        <v>5</v>
      </c>
      <c r="AD174">
        <v>54.55</v>
      </c>
      <c r="AE174">
        <v>13</v>
      </c>
      <c r="AF174">
        <v>3</v>
      </c>
      <c r="AG174">
        <v>3</v>
      </c>
      <c r="AH174">
        <v>5</v>
      </c>
    </row>
    <row r="175" spans="1:34">
      <c r="A175" s="109">
        <v>86</v>
      </c>
      <c r="B175">
        <v>2914</v>
      </c>
      <c r="C175" s="113" t="s">
        <v>122</v>
      </c>
      <c r="D175" s="113" t="s">
        <v>123</v>
      </c>
      <c r="E175">
        <v>2503</v>
      </c>
      <c r="F175">
        <v>2500.5</v>
      </c>
      <c r="G175">
        <v>300</v>
      </c>
      <c r="H175" s="113" t="s">
        <v>87</v>
      </c>
      <c r="I175">
        <v>4507</v>
      </c>
      <c r="J175" s="113" t="s">
        <v>1078</v>
      </c>
      <c r="K175" s="113" t="s">
        <v>164</v>
      </c>
      <c r="L175">
        <v>6424</v>
      </c>
      <c r="M175">
        <v>6352</v>
      </c>
      <c r="N175">
        <v>100</v>
      </c>
      <c r="O175" s="113" t="s">
        <v>85</v>
      </c>
      <c r="P175">
        <v>0.90581352914851099</v>
      </c>
      <c r="Q175">
        <v>0.92589103012516905</v>
      </c>
      <c r="R175">
        <v>2.96574668845331E-2</v>
      </c>
      <c r="S175">
        <v>1.9125993250407301E-3</v>
      </c>
      <c r="T175">
        <v>0.27374266949070702</v>
      </c>
      <c r="U175">
        <v>0.27374266949070702</v>
      </c>
      <c r="V175">
        <v>0.46</v>
      </c>
      <c r="W175">
        <v>18.100000000000001</v>
      </c>
      <c r="X175">
        <v>-30523</v>
      </c>
      <c r="Y175">
        <v>-5087</v>
      </c>
      <c r="Z175">
        <v>-0.76</v>
      </c>
      <c r="AA175">
        <v>6</v>
      </c>
      <c r="AB175">
        <v>3</v>
      </c>
      <c r="AC175">
        <v>3</v>
      </c>
      <c r="AD175">
        <v>50</v>
      </c>
      <c r="AE175">
        <v>11</v>
      </c>
      <c r="AF175">
        <v>2</v>
      </c>
      <c r="AG175">
        <v>3</v>
      </c>
      <c r="AH175">
        <v>1</v>
      </c>
    </row>
    <row r="176" spans="1:34">
      <c r="A176" s="109">
        <v>195</v>
      </c>
      <c r="B176">
        <v>3635</v>
      </c>
      <c r="C176" s="113" t="s">
        <v>110</v>
      </c>
      <c r="D176" s="113" t="s">
        <v>104</v>
      </c>
      <c r="E176">
        <v>2646</v>
      </c>
      <c r="F176">
        <v>2631</v>
      </c>
      <c r="G176">
        <v>400</v>
      </c>
      <c r="H176" s="113" t="s">
        <v>85</v>
      </c>
      <c r="I176">
        <v>6951</v>
      </c>
      <c r="J176" s="113" t="s">
        <v>359</v>
      </c>
      <c r="K176" s="113" t="s">
        <v>112</v>
      </c>
      <c r="L176">
        <v>3100</v>
      </c>
      <c r="M176">
        <v>3145</v>
      </c>
      <c r="N176">
        <v>300</v>
      </c>
      <c r="O176" s="113" t="s">
        <v>87</v>
      </c>
      <c r="P176">
        <v>0.92983982117994302</v>
      </c>
      <c r="Q176">
        <v>0.90311897528704399</v>
      </c>
      <c r="R176">
        <v>0.108280689945256</v>
      </c>
      <c r="S176">
        <v>0.169352015117474</v>
      </c>
      <c r="T176">
        <v>-1.28389521378938</v>
      </c>
      <c r="U176">
        <v>1.28389521378938</v>
      </c>
      <c r="V176">
        <v>-5.62</v>
      </c>
      <c r="W176">
        <v>11.54</v>
      </c>
      <c r="X176">
        <v>-35613</v>
      </c>
      <c r="Y176">
        <v>-2544</v>
      </c>
      <c r="Z176">
        <v>-0.08</v>
      </c>
      <c r="AA176">
        <v>14</v>
      </c>
      <c r="AB176">
        <v>6</v>
      </c>
      <c r="AC176">
        <v>8</v>
      </c>
      <c r="AD176">
        <v>42.86</v>
      </c>
      <c r="AE176">
        <v>11</v>
      </c>
      <c r="AF176">
        <v>4</v>
      </c>
      <c r="AG176">
        <v>5</v>
      </c>
      <c r="AH176">
        <v>5</v>
      </c>
    </row>
    <row r="177" spans="1:34">
      <c r="A177" s="109">
        <v>135</v>
      </c>
      <c r="B177">
        <v>5463</v>
      </c>
      <c r="C177" s="113" t="s">
        <v>170</v>
      </c>
      <c r="D177" s="113" t="s">
        <v>118</v>
      </c>
      <c r="E177">
        <v>3175</v>
      </c>
      <c r="F177">
        <v>3140</v>
      </c>
      <c r="G177">
        <v>300</v>
      </c>
      <c r="H177" s="113" t="s">
        <v>87</v>
      </c>
      <c r="I177">
        <v>7167</v>
      </c>
      <c r="J177" s="113" t="s">
        <v>126</v>
      </c>
      <c r="K177" s="113" t="s">
        <v>107</v>
      </c>
      <c r="L177">
        <v>283</v>
      </c>
      <c r="M177">
        <v>283</v>
      </c>
      <c r="N177">
        <v>3300</v>
      </c>
      <c r="O177" s="113" t="s">
        <v>85</v>
      </c>
      <c r="P177">
        <v>0.90164005520499402</v>
      </c>
      <c r="Q177">
        <v>0.91388735159192402</v>
      </c>
      <c r="R177">
        <v>0.197725851952996</v>
      </c>
      <c r="S177">
        <v>2.9314927249551301E-2</v>
      </c>
      <c r="T177">
        <v>0.86829674931934298</v>
      </c>
      <c r="U177">
        <v>0.86829674931934298</v>
      </c>
      <c r="V177">
        <v>2.21</v>
      </c>
      <c r="W177">
        <v>0.86</v>
      </c>
      <c r="X177">
        <v>-41684</v>
      </c>
      <c r="Y177">
        <v>-2605</v>
      </c>
      <c r="Z177">
        <v>-0.15</v>
      </c>
      <c r="AA177">
        <v>16</v>
      </c>
      <c r="AB177">
        <v>8</v>
      </c>
      <c r="AC177">
        <v>8</v>
      </c>
      <c r="AD177">
        <v>50</v>
      </c>
      <c r="AE177">
        <v>14</v>
      </c>
      <c r="AF177">
        <v>3</v>
      </c>
      <c r="AG177">
        <v>3</v>
      </c>
      <c r="AH177">
        <v>10</v>
      </c>
    </row>
    <row r="178" spans="1:34">
      <c r="A178" s="109">
        <v>185</v>
      </c>
      <c r="B178">
        <v>1911</v>
      </c>
      <c r="C178" s="113" t="s">
        <v>129</v>
      </c>
      <c r="D178" s="113" t="s">
        <v>103</v>
      </c>
      <c r="E178">
        <v>1633</v>
      </c>
      <c r="F178">
        <v>1619</v>
      </c>
      <c r="G178">
        <v>700</v>
      </c>
      <c r="H178" s="113" t="s">
        <v>87</v>
      </c>
      <c r="I178">
        <v>4634</v>
      </c>
      <c r="J178" s="113" t="s">
        <v>168</v>
      </c>
      <c r="K178" s="113" t="s">
        <v>86</v>
      </c>
      <c r="L178">
        <v>2647</v>
      </c>
      <c r="M178">
        <v>2670</v>
      </c>
      <c r="N178">
        <v>400</v>
      </c>
      <c r="O178" s="113" t="s">
        <v>85</v>
      </c>
      <c r="P178">
        <v>0.94991943056430495</v>
      </c>
      <c r="Q178">
        <v>0.904735911188146</v>
      </c>
      <c r="R178">
        <v>1.6402084891012299E-2</v>
      </c>
      <c r="S178">
        <v>0.17992368776841899</v>
      </c>
      <c r="T178">
        <v>1.6920414928451</v>
      </c>
      <c r="U178">
        <v>1.6920414928451</v>
      </c>
      <c r="V178">
        <v>2.77</v>
      </c>
      <c r="W178">
        <v>6.11</v>
      </c>
      <c r="X178">
        <v>-53382</v>
      </c>
      <c r="Y178">
        <v>-3336</v>
      </c>
      <c r="Z178">
        <v>-0.19</v>
      </c>
      <c r="AA178">
        <v>16</v>
      </c>
      <c r="AB178">
        <v>7</v>
      </c>
      <c r="AC178">
        <v>9</v>
      </c>
      <c r="AD178">
        <v>43.75</v>
      </c>
      <c r="AE178">
        <v>14</v>
      </c>
      <c r="AF178">
        <v>3</v>
      </c>
      <c r="AG178">
        <v>2</v>
      </c>
      <c r="AH178">
        <v>11</v>
      </c>
    </row>
    <row r="179" spans="1:34">
      <c r="A179" s="109">
        <v>35</v>
      </c>
      <c r="B179">
        <v>6457</v>
      </c>
      <c r="C179" s="113" t="s">
        <v>348</v>
      </c>
      <c r="D179" s="113" t="s">
        <v>125</v>
      </c>
      <c r="E179">
        <v>3320</v>
      </c>
      <c r="F179">
        <v>3335</v>
      </c>
      <c r="G179">
        <v>200</v>
      </c>
      <c r="H179" s="113" t="s">
        <v>87</v>
      </c>
      <c r="I179">
        <v>7203</v>
      </c>
      <c r="J179" s="113" t="s">
        <v>366</v>
      </c>
      <c r="K179" s="113" t="s">
        <v>109</v>
      </c>
      <c r="L179">
        <v>7800</v>
      </c>
      <c r="M179">
        <v>7727</v>
      </c>
      <c r="N179">
        <v>100</v>
      </c>
      <c r="O179" s="113" t="s">
        <v>85</v>
      </c>
      <c r="P179">
        <v>0.94256868730293397</v>
      </c>
      <c r="Q179">
        <v>0.94274343817671902</v>
      </c>
      <c r="R179">
        <v>5.22861460198751E-2</v>
      </c>
      <c r="S179">
        <v>5.4400230082605999E-2</v>
      </c>
      <c r="T179">
        <v>1.2999292241076801</v>
      </c>
      <c r="U179">
        <v>1.2999292241076801</v>
      </c>
      <c r="V179">
        <v>2.2599999999999998</v>
      </c>
      <c r="W179">
        <v>13.68</v>
      </c>
      <c r="X179">
        <v>-61118</v>
      </c>
      <c r="Y179">
        <v>-12224</v>
      </c>
      <c r="Z179">
        <v>-0.8</v>
      </c>
      <c r="AA179">
        <v>5</v>
      </c>
      <c r="AB179">
        <v>2</v>
      </c>
      <c r="AC179">
        <v>3</v>
      </c>
      <c r="AD179">
        <v>40</v>
      </c>
      <c r="AE179">
        <v>14</v>
      </c>
      <c r="AF179">
        <v>2</v>
      </c>
      <c r="AG179">
        <v>3</v>
      </c>
      <c r="AH179">
        <v>0</v>
      </c>
    </row>
    <row r="180" spans="1:34">
      <c r="A180" s="109">
        <v>37</v>
      </c>
      <c r="B180">
        <v>5802</v>
      </c>
      <c r="C180" s="113" t="s">
        <v>159</v>
      </c>
      <c r="D180" s="113" t="s">
        <v>160</v>
      </c>
      <c r="E180">
        <v>1665</v>
      </c>
      <c r="F180">
        <v>1657</v>
      </c>
      <c r="G180">
        <v>600</v>
      </c>
      <c r="H180" s="113" t="s">
        <v>87</v>
      </c>
      <c r="I180">
        <v>8002</v>
      </c>
      <c r="J180" s="113" t="s">
        <v>55</v>
      </c>
      <c r="K180" s="113" t="s">
        <v>127</v>
      </c>
      <c r="L180">
        <v>826.6</v>
      </c>
      <c r="M180">
        <v>824.9</v>
      </c>
      <c r="N180">
        <v>1200</v>
      </c>
      <c r="O180" s="113" t="s">
        <v>85</v>
      </c>
      <c r="P180">
        <v>0.946726131223801</v>
      </c>
      <c r="Q180">
        <v>0.94242287304762795</v>
      </c>
      <c r="R180">
        <v>0.29467702149430403</v>
      </c>
      <c r="S180">
        <v>9.6630651420928394E-3</v>
      </c>
      <c r="T180">
        <v>1.5696321222432601</v>
      </c>
      <c r="U180">
        <v>1.5696321222432601</v>
      </c>
      <c r="V180">
        <v>4.95</v>
      </c>
      <c r="W180">
        <v>0.43</v>
      </c>
      <c r="X180">
        <v>-65152</v>
      </c>
      <c r="Y180">
        <v>-4072</v>
      </c>
      <c r="Z180">
        <v>-0.19</v>
      </c>
      <c r="AA180">
        <v>16</v>
      </c>
      <c r="AB180">
        <v>7</v>
      </c>
      <c r="AC180">
        <v>9</v>
      </c>
      <c r="AD180">
        <v>43.75</v>
      </c>
      <c r="AE180">
        <v>15</v>
      </c>
      <c r="AF180">
        <v>3</v>
      </c>
      <c r="AG180">
        <v>2</v>
      </c>
      <c r="AH180">
        <v>11</v>
      </c>
    </row>
    <row r="181" spans="1:34">
      <c r="A181" s="109">
        <v>22</v>
      </c>
      <c r="B181">
        <v>6471</v>
      </c>
      <c r="C181" s="113" t="s">
        <v>166</v>
      </c>
      <c r="D181" s="113" t="s">
        <v>125</v>
      </c>
      <c r="E181">
        <v>1077</v>
      </c>
      <c r="F181">
        <v>1063</v>
      </c>
      <c r="G181">
        <v>1000</v>
      </c>
      <c r="H181" s="113" t="s">
        <v>87</v>
      </c>
      <c r="I181">
        <v>6472</v>
      </c>
      <c r="J181" s="113" t="s">
        <v>162</v>
      </c>
      <c r="K181" s="113" t="s">
        <v>125</v>
      </c>
      <c r="L181">
        <v>345</v>
      </c>
      <c r="M181">
        <v>344</v>
      </c>
      <c r="N181">
        <v>3100</v>
      </c>
      <c r="O181" s="113" t="s">
        <v>85</v>
      </c>
      <c r="P181">
        <v>0.92799735886507695</v>
      </c>
      <c r="Q181">
        <v>0.94802119782563599</v>
      </c>
      <c r="R181">
        <v>0.25648193148982401</v>
      </c>
      <c r="S181" s="20">
        <v>0.20517282375416701</v>
      </c>
      <c r="T181">
        <v>0.80178885004391298</v>
      </c>
      <c r="U181">
        <v>0.80178885004391298</v>
      </c>
      <c r="V181">
        <v>1.81</v>
      </c>
      <c r="W181">
        <v>0.32</v>
      </c>
      <c r="X181">
        <v>-68265</v>
      </c>
      <c r="Y181">
        <v>-4016</v>
      </c>
      <c r="Z181">
        <v>-0.21</v>
      </c>
      <c r="AA181">
        <v>17</v>
      </c>
      <c r="AB181">
        <v>8</v>
      </c>
      <c r="AC181">
        <v>9</v>
      </c>
      <c r="AD181">
        <v>47.06</v>
      </c>
      <c r="AE181">
        <v>17</v>
      </c>
      <c r="AF181">
        <v>2</v>
      </c>
      <c r="AG181">
        <v>3</v>
      </c>
      <c r="AH181">
        <v>12</v>
      </c>
    </row>
    <row r="182" spans="1:34">
      <c r="A182" s="109">
        <v>184</v>
      </c>
      <c r="B182">
        <v>6702</v>
      </c>
      <c r="C182" s="113" t="s">
        <v>369</v>
      </c>
      <c r="D182" s="113" t="s">
        <v>112</v>
      </c>
      <c r="E182">
        <v>10250</v>
      </c>
      <c r="F182">
        <v>10215</v>
      </c>
      <c r="G182">
        <v>100</v>
      </c>
      <c r="H182" s="113" t="s">
        <v>87</v>
      </c>
      <c r="I182">
        <v>9934</v>
      </c>
      <c r="J182" s="113" t="s">
        <v>990</v>
      </c>
      <c r="K182" s="113" t="s">
        <v>127</v>
      </c>
      <c r="L182">
        <v>2711</v>
      </c>
      <c r="M182">
        <v>2731</v>
      </c>
      <c r="N182">
        <v>400</v>
      </c>
      <c r="O182" s="113" t="s">
        <v>85</v>
      </c>
      <c r="P182">
        <v>0.92993120044044297</v>
      </c>
      <c r="Q182">
        <v>0.90513158877945799</v>
      </c>
      <c r="R182" s="20">
        <v>1.3953480826270299E-2</v>
      </c>
      <c r="S182">
        <v>1.0119771899647601E-2</v>
      </c>
      <c r="T182">
        <v>0.77767521196205103</v>
      </c>
      <c r="U182">
        <v>0.77767521196205103</v>
      </c>
      <c r="V182">
        <v>2.2400000000000002</v>
      </c>
      <c r="W182">
        <v>6.94</v>
      </c>
      <c r="X182">
        <v>-69216</v>
      </c>
      <c r="Y182">
        <v>-4072</v>
      </c>
      <c r="Z182">
        <v>-0.4</v>
      </c>
      <c r="AA182">
        <v>17</v>
      </c>
      <c r="AB182">
        <v>4</v>
      </c>
      <c r="AC182">
        <v>13</v>
      </c>
      <c r="AD182">
        <v>23.53</v>
      </c>
      <c r="AE182">
        <v>14</v>
      </c>
      <c r="AF182">
        <v>4</v>
      </c>
      <c r="AG182">
        <v>3</v>
      </c>
      <c r="AH182">
        <v>10</v>
      </c>
    </row>
    <row r="183" spans="1:34">
      <c r="A183" s="109">
        <v>17</v>
      </c>
      <c r="B183">
        <v>2413</v>
      </c>
      <c r="C183" s="113" t="s">
        <v>1323</v>
      </c>
      <c r="D183" s="113" t="s">
        <v>146</v>
      </c>
      <c r="E183">
        <v>3060</v>
      </c>
      <c r="F183">
        <v>3070</v>
      </c>
      <c r="G183">
        <v>300</v>
      </c>
      <c r="H183" s="113" t="s">
        <v>85</v>
      </c>
      <c r="I183">
        <v>3110</v>
      </c>
      <c r="J183" s="113" t="s">
        <v>1335</v>
      </c>
      <c r="K183" s="113" t="s">
        <v>132</v>
      </c>
      <c r="L183">
        <v>4060</v>
      </c>
      <c r="M183">
        <v>4085</v>
      </c>
      <c r="N183">
        <v>200</v>
      </c>
      <c r="O183" s="113" t="s">
        <v>87</v>
      </c>
      <c r="P183">
        <v>0.91179156575919795</v>
      </c>
      <c r="Q183">
        <v>0.94956137699438903</v>
      </c>
      <c r="R183">
        <v>0.25410736960964603</v>
      </c>
      <c r="S183">
        <v>9.4115305943156397E-2</v>
      </c>
      <c r="T183">
        <v>-1.0155583755616699</v>
      </c>
      <c r="U183">
        <v>1.0155583755616699</v>
      </c>
      <c r="V183">
        <v>-5.1100000000000003</v>
      </c>
      <c r="W183">
        <v>12.73</v>
      </c>
      <c r="X183">
        <v>-71124</v>
      </c>
      <c r="Y183">
        <v>-3951</v>
      </c>
      <c r="Z183">
        <v>-0.1</v>
      </c>
      <c r="AA183">
        <v>18</v>
      </c>
      <c r="AB183">
        <v>9</v>
      </c>
      <c r="AC183">
        <v>9</v>
      </c>
      <c r="AD183">
        <v>50</v>
      </c>
      <c r="AE183">
        <v>11</v>
      </c>
      <c r="AF183">
        <v>5</v>
      </c>
      <c r="AG183">
        <v>8</v>
      </c>
      <c r="AH183">
        <v>5</v>
      </c>
    </row>
    <row r="184" spans="1:34">
      <c r="A184" s="109">
        <v>142</v>
      </c>
      <c r="B184">
        <v>3231</v>
      </c>
      <c r="C184" s="113" t="s">
        <v>1004</v>
      </c>
      <c r="D184" s="113" t="s">
        <v>140</v>
      </c>
      <c r="E184">
        <v>2678</v>
      </c>
      <c r="F184">
        <v>2688</v>
      </c>
      <c r="G184">
        <v>400</v>
      </c>
      <c r="H184" s="113" t="s">
        <v>85</v>
      </c>
      <c r="I184">
        <v>6951</v>
      </c>
      <c r="J184" s="113" t="s">
        <v>359</v>
      </c>
      <c r="K184" s="113" t="s">
        <v>112</v>
      </c>
      <c r="L184">
        <v>3100</v>
      </c>
      <c r="M184">
        <v>3145</v>
      </c>
      <c r="N184">
        <v>300</v>
      </c>
      <c r="O184" s="113" t="s">
        <v>87</v>
      </c>
      <c r="P184">
        <v>0.93970503011590201</v>
      </c>
      <c r="Q184">
        <v>0.91264907443013499</v>
      </c>
      <c r="R184" s="20">
        <v>7.9158882121067295E-2</v>
      </c>
      <c r="S184">
        <v>5.2148154598737499E-2</v>
      </c>
      <c r="T184">
        <v>-1.2817233555763501</v>
      </c>
      <c r="U184">
        <v>1.2817233555763501</v>
      </c>
      <c r="V184">
        <v>-6.11</v>
      </c>
      <c r="W184">
        <v>13.96</v>
      </c>
      <c r="X184">
        <v>-82032</v>
      </c>
      <c r="Y184">
        <v>-5127</v>
      </c>
      <c r="Z184">
        <v>-0.21</v>
      </c>
      <c r="AA184">
        <v>16</v>
      </c>
      <c r="AB184">
        <v>9</v>
      </c>
      <c r="AC184">
        <v>7</v>
      </c>
      <c r="AD184">
        <v>56.25</v>
      </c>
      <c r="AE184">
        <v>8</v>
      </c>
      <c r="AF184">
        <v>7</v>
      </c>
      <c r="AG184">
        <v>6</v>
      </c>
      <c r="AH184">
        <v>3</v>
      </c>
    </row>
    <row r="185" spans="1:34">
      <c r="A185" s="109">
        <v>117</v>
      </c>
      <c r="B185">
        <v>6752</v>
      </c>
      <c r="C185" s="113" t="s">
        <v>131</v>
      </c>
      <c r="D185" s="113" t="s">
        <v>112</v>
      </c>
      <c r="E185">
        <v>1040.5</v>
      </c>
      <c r="F185">
        <v>1034.5</v>
      </c>
      <c r="G185">
        <v>1100</v>
      </c>
      <c r="H185" s="113" t="s">
        <v>85</v>
      </c>
      <c r="I185">
        <v>8795</v>
      </c>
      <c r="J185" s="113" t="s">
        <v>163</v>
      </c>
      <c r="K185" s="113" t="s">
        <v>136</v>
      </c>
      <c r="L185">
        <v>1363</v>
      </c>
      <c r="M185">
        <v>1361</v>
      </c>
      <c r="N185">
        <v>800</v>
      </c>
      <c r="O185" s="113" t="s">
        <v>87</v>
      </c>
      <c r="P185">
        <v>0.92326104551842003</v>
      </c>
      <c r="Q185">
        <v>0.91671274797700597</v>
      </c>
      <c r="R185">
        <v>3.8005126029810501E-2</v>
      </c>
      <c r="S185">
        <v>2.44355492798582E-2</v>
      </c>
      <c r="T185">
        <v>-0.65203917267249001</v>
      </c>
      <c r="U185">
        <v>0.65203917267249001</v>
      </c>
      <c r="V185">
        <v>-1.77</v>
      </c>
      <c r="W185">
        <v>4.51</v>
      </c>
      <c r="X185">
        <v>-86216</v>
      </c>
      <c r="Y185">
        <v>-5388</v>
      </c>
      <c r="Z185">
        <v>-0.22</v>
      </c>
      <c r="AA185">
        <v>16</v>
      </c>
      <c r="AB185">
        <v>6</v>
      </c>
      <c r="AC185">
        <v>10</v>
      </c>
      <c r="AD185">
        <v>37.5</v>
      </c>
      <c r="AE185">
        <v>14</v>
      </c>
      <c r="AF185">
        <v>4</v>
      </c>
      <c r="AG185">
        <v>5</v>
      </c>
      <c r="AH185">
        <v>7</v>
      </c>
    </row>
    <row r="186" spans="1:34">
      <c r="A186" s="109">
        <v>181</v>
      </c>
      <c r="B186">
        <v>4202</v>
      </c>
      <c r="C186" s="113" t="s">
        <v>115</v>
      </c>
      <c r="D186" s="113" t="s">
        <v>86</v>
      </c>
      <c r="E186">
        <v>1086</v>
      </c>
      <c r="F186">
        <v>1075</v>
      </c>
      <c r="G186">
        <v>700</v>
      </c>
      <c r="H186" s="113" t="s">
        <v>87</v>
      </c>
      <c r="I186">
        <v>6371</v>
      </c>
      <c r="J186" s="113" t="s">
        <v>134</v>
      </c>
      <c r="K186" s="113" t="s">
        <v>125</v>
      </c>
      <c r="L186">
        <v>3875</v>
      </c>
      <c r="M186">
        <v>3865</v>
      </c>
      <c r="N186">
        <v>200</v>
      </c>
      <c r="O186" s="113" t="s">
        <v>85</v>
      </c>
      <c r="P186">
        <v>0.94462647087691298</v>
      </c>
      <c r="Q186">
        <v>0.90567829995559102</v>
      </c>
      <c r="R186">
        <v>0.129632958031589</v>
      </c>
      <c r="S186">
        <v>0.197865570479755</v>
      </c>
      <c r="T186">
        <v>0.65407327429987805</v>
      </c>
      <c r="U186">
        <v>0.65407327429987805</v>
      </c>
      <c r="V186">
        <v>3.13</v>
      </c>
      <c r="W186">
        <v>2.65</v>
      </c>
      <c r="X186">
        <v>-110166</v>
      </c>
      <c r="Y186">
        <v>-6885</v>
      </c>
      <c r="Z186">
        <v>-0.47</v>
      </c>
      <c r="AA186">
        <v>16</v>
      </c>
      <c r="AB186">
        <v>5</v>
      </c>
      <c r="AC186">
        <v>11</v>
      </c>
      <c r="AD186">
        <v>31.25</v>
      </c>
      <c r="AE186">
        <v>14</v>
      </c>
      <c r="AF186">
        <v>3</v>
      </c>
      <c r="AG186">
        <v>5</v>
      </c>
      <c r="AH186">
        <v>8</v>
      </c>
    </row>
    <row r="187" spans="1:34">
      <c r="A187" s="109">
        <v>137</v>
      </c>
      <c r="B187">
        <v>4204</v>
      </c>
      <c r="C187" s="113" t="s">
        <v>361</v>
      </c>
      <c r="D187" s="113" t="s">
        <v>86</v>
      </c>
      <c r="E187">
        <v>1920</v>
      </c>
      <c r="F187">
        <v>1905</v>
      </c>
      <c r="G187">
        <v>400</v>
      </c>
      <c r="H187" s="113" t="s">
        <v>85</v>
      </c>
      <c r="I187">
        <v>5947</v>
      </c>
      <c r="J187" s="113" t="s">
        <v>362</v>
      </c>
      <c r="K187" s="113" t="s">
        <v>142</v>
      </c>
      <c r="L187">
        <v>8390</v>
      </c>
      <c r="M187">
        <v>8380</v>
      </c>
      <c r="N187">
        <v>100</v>
      </c>
      <c r="O187" s="113" t="s">
        <v>87</v>
      </c>
      <c r="P187">
        <v>0.93508098372237902</v>
      </c>
      <c r="Q187">
        <v>0.91377507821017301</v>
      </c>
      <c r="R187">
        <v>0.13387273300736499</v>
      </c>
      <c r="S187">
        <v>2.9210914009937501E-3</v>
      </c>
      <c r="T187">
        <v>-0.40669849422460402</v>
      </c>
      <c r="U187">
        <v>0.40669849422460402</v>
      </c>
      <c r="V187">
        <v>-0.98</v>
      </c>
      <c r="W187">
        <v>9.07</v>
      </c>
      <c r="X187">
        <v>-110401</v>
      </c>
      <c r="Y187">
        <v>-7886</v>
      </c>
      <c r="Z187">
        <v>-0.25</v>
      </c>
      <c r="AA187">
        <v>14</v>
      </c>
      <c r="AB187">
        <v>7</v>
      </c>
      <c r="AC187">
        <v>7</v>
      </c>
      <c r="AD187">
        <v>50</v>
      </c>
      <c r="AE187">
        <v>16</v>
      </c>
      <c r="AF187">
        <v>4</v>
      </c>
      <c r="AG187">
        <v>2</v>
      </c>
      <c r="AH187">
        <v>8</v>
      </c>
    </row>
    <row r="188" spans="1:34">
      <c r="A188" s="109">
        <v>210</v>
      </c>
      <c r="B188">
        <v>5471</v>
      </c>
      <c r="C188" s="113" t="s">
        <v>337</v>
      </c>
      <c r="D188" s="113" t="s">
        <v>118</v>
      </c>
      <c r="E188">
        <v>4960</v>
      </c>
      <c r="F188">
        <v>4890</v>
      </c>
      <c r="G188">
        <v>200</v>
      </c>
      <c r="H188" s="113" t="s">
        <v>85</v>
      </c>
      <c r="I188">
        <v>6770</v>
      </c>
      <c r="J188" s="113" t="s">
        <v>50</v>
      </c>
      <c r="K188" s="113" t="s">
        <v>112</v>
      </c>
      <c r="L188">
        <v>2531</v>
      </c>
      <c r="M188">
        <v>2571</v>
      </c>
      <c r="N188">
        <v>400</v>
      </c>
      <c r="O188" s="113" t="s">
        <v>87</v>
      </c>
      <c r="P188">
        <v>0.92491422360288</v>
      </c>
      <c r="Q188">
        <v>0.90039030207864501</v>
      </c>
      <c r="R188">
        <v>3.2150721957088402E-2</v>
      </c>
      <c r="S188">
        <v>0.17542303134370299</v>
      </c>
      <c r="T188">
        <v>-3.1936636923861501</v>
      </c>
      <c r="U188">
        <v>3.1936636923861501</v>
      </c>
      <c r="V188">
        <v>-11.27</v>
      </c>
      <c r="W188">
        <v>5.15</v>
      </c>
      <c r="X188">
        <v>-113383</v>
      </c>
      <c r="Y188">
        <v>-8722</v>
      </c>
      <c r="Z188">
        <v>-0.66</v>
      </c>
      <c r="AA188">
        <v>13</v>
      </c>
      <c r="AB188">
        <v>4</v>
      </c>
      <c r="AC188">
        <v>9</v>
      </c>
      <c r="AD188">
        <v>30.77</v>
      </c>
      <c r="AE188">
        <v>13</v>
      </c>
      <c r="AF188">
        <v>3</v>
      </c>
      <c r="AG188">
        <v>4</v>
      </c>
      <c r="AH188">
        <v>6</v>
      </c>
    </row>
    <row r="189" spans="1:34">
      <c r="A189" s="109">
        <v>89</v>
      </c>
      <c r="B189">
        <v>6702</v>
      </c>
      <c r="C189" s="113" t="s">
        <v>369</v>
      </c>
      <c r="D189" s="113" t="s">
        <v>112</v>
      </c>
      <c r="E189">
        <v>10250</v>
      </c>
      <c r="F189">
        <v>10215</v>
      </c>
      <c r="G189">
        <v>100</v>
      </c>
      <c r="H189" s="113" t="s">
        <v>87</v>
      </c>
      <c r="I189">
        <v>6845</v>
      </c>
      <c r="J189" s="113" t="s">
        <v>341</v>
      </c>
      <c r="K189" s="113" t="s">
        <v>112</v>
      </c>
      <c r="L189">
        <v>3135</v>
      </c>
      <c r="M189">
        <v>3170</v>
      </c>
      <c r="N189">
        <v>300</v>
      </c>
      <c r="O189" s="113" t="s">
        <v>85</v>
      </c>
      <c r="P189">
        <v>0.91354064416654002</v>
      </c>
      <c r="Q189">
        <v>0.92425062080458298</v>
      </c>
      <c r="R189">
        <v>0.143099373964234</v>
      </c>
      <c r="S189">
        <v>1.4894236755875799E-2</v>
      </c>
      <c r="T189">
        <v>2.00173159068357</v>
      </c>
      <c r="U189">
        <v>2.00173159068357</v>
      </c>
      <c r="V189">
        <v>5.19</v>
      </c>
      <c r="W189">
        <v>6.9</v>
      </c>
      <c r="X189">
        <v>-115725</v>
      </c>
      <c r="Y189">
        <v>-9644</v>
      </c>
      <c r="Z189">
        <v>-0.71</v>
      </c>
      <c r="AA189">
        <v>12</v>
      </c>
      <c r="AB189">
        <v>5</v>
      </c>
      <c r="AC189">
        <v>7</v>
      </c>
      <c r="AD189">
        <v>41.67</v>
      </c>
      <c r="AE189">
        <v>13</v>
      </c>
      <c r="AF189">
        <v>4</v>
      </c>
      <c r="AG189">
        <v>3</v>
      </c>
      <c r="AH189">
        <v>5</v>
      </c>
    </row>
    <row r="190" spans="1:34">
      <c r="A190" s="109">
        <v>48</v>
      </c>
      <c r="B190">
        <v>4062</v>
      </c>
      <c r="C190" s="113" t="s">
        <v>363</v>
      </c>
      <c r="D190" s="113" t="s">
        <v>112</v>
      </c>
      <c r="E190">
        <v>2548</v>
      </c>
      <c r="F190">
        <v>2533</v>
      </c>
      <c r="G190">
        <v>400</v>
      </c>
      <c r="H190" s="113" t="s">
        <v>85</v>
      </c>
      <c r="I190">
        <v>6951</v>
      </c>
      <c r="J190" s="113" t="s">
        <v>359</v>
      </c>
      <c r="K190" s="113" t="s">
        <v>112</v>
      </c>
      <c r="L190">
        <v>3100</v>
      </c>
      <c r="M190">
        <v>3145</v>
      </c>
      <c r="N190">
        <v>300</v>
      </c>
      <c r="O190" s="113" t="s">
        <v>87</v>
      </c>
      <c r="P190">
        <v>0.94295461919064305</v>
      </c>
      <c r="Q190">
        <v>0.93638053865322801</v>
      </c>
      <c r="R190">
        <v>7.0108076664609595E-2</v>
      </c>
      <c r="S190" s="20">
        <v>8.0176609385902403E-2</v>
      </c>
      <c r="T190">
        <v>-2.0028652405396099</v>
      </c>
      <c r="U190">
        <v>2.0028652405396099</v>
      </c>
      <c r="V190">
        <v>-6.05</v>
      </c>
      <c r="W190">
        <v>7.39</v>
      </c>
      <c r="X190">
        <v>-118052</v>
      </c>
      <c r="Y190">
        <v>-7870</v>
      </c>
      <c r="Z190">
        <v>-0.41</v>
      </c>
      <c r="AA190">
        <v>15</v>
      </c>
      <c r="AB190">
        <v>7</v>
      </c>
      <c r="AC190">
        <v>8</v>
      </c>
      <c r="AD190">
        <v>46.67</v>
      </c>
      <c r="AE190">
        <v>12</v>
      </c>
      <c r="AF190">
        <v>5</v>
      </c>
      <c r="AG190">
        <v>6</v>
      </c>
      <c r="AH190">
        <v>4</v>
      </c>
    </row>
    <row r="191" spans="1:34">
      <c r="A191" s="109">
        <v>13</v>
      </c>
      <c r="B191">
        <v>9501</v>
      </c>
      <c r="C191" s="113" t="s">
        <v>1336</v>
      </c>
      <c r="D191" s="113" t="s">
        <v>152</v>
      </c>
      <c r="E191">
        <v>487</v>
      </c>
      <c r="F191">
        <v>488</v>
      </c>
      <c r="G191">
        <v>2100</v>
      </c>
      <c r="H191" s="113" t="s">
        <v>87</v>
      </c>
      <c r="I191">
        <v>9508</v>
      </c>
      <c r="J191" s="113" t="s">
        <v>1337</v>
      </c>
      <c r="K191" s="113" t="s">
        <v>152</v>
      </c>
      <c r="L191">
        <v>958</v>
      </c>
      <c r="M191">
        <v>949</v>
      </c>
      <c r="N191">
        <v>1100</v>
      </c>
      <c r="O191" s="113" t="s">
        <v>85</v>
      </c>
      <c r="P191">
        <v>0.91391358765380704</v>
      </c>
      <c r="Q191">
        <v>0.95331438650089195</v>
      </c>
      <c r="R191">
        <v>0.114793299138925</v>
      </c>
      <c r="S191" s="20">
        <v>9.8361216770807502E-2</v>
      </c>
      <c r="T191">
        <v>1.1994372648802001</v>
      </c>
      <c r="U191">
        <v>1.1994372648802001</v>
      </c>
      <c r="V191">
        <v>3.04</v>
      </c>
      <c r="W191">
        <v>1.83</v>
      </c>
      <c r="X191">
        <v>-124320</v>
      </c>
      <c r="Y191">
        <v>-9563</v>
      </c>
      <c r="Z191">
        <v>-0.48</v>
      </c>
      <c r="AA191">
        <v>13</v>
      </c>
      <c r="AB191">
        <v>5</v>
      </c>
      <c r="AC191">
        <v>8</v>
      </c>
      <c r="AD191">
        <v>38.46</v>
      </c>
      <c r="AE191">
        <v>14</v>
      </c>
      <c r="AF191">
        <v>3</v>
      </c>
      <c r="AG191">
        <v>4</v>
      </c>
      <c r="AH191">
        <v>6</v>
      </c>
    </row>
    <row r="192" spans="1:34">
      <c r="A192" s="109">
        <v>96</v>
      </c>
      <c r="B192">
        <v>7189</v>
      </c>
      <c r="C192" s="113" t="s">
        <v>106</v>
      </c>
      <c r="D192" s="113" t="s">
        <v>107</v>
      </c>
      <c r="E192">
        <v>869</v>
      </c>
      <c r="F192">
        <v>874</v>
      </c>
      <c r="G192">
        <v>1200</v>
      </c>
      <c r="H192" s="113" t="s">
        <v>87</v>
      </c>
      <c r="I192">
        <v>8377</v>
      </c>
      <c r="J192" s="113" t="s">
        <v>120</v>
      </c>
      <c r="K192" s="113" t="s">
        <v>107</v>
      </c>
      <c r="L192">
        <v>1136</v>
      </c>
      <c r="M192">
        <v>1136</v>
      </c>
      <c r="N192">
        <v>900</v>
      </c>
      <c r="O192" s="113" t="s">
        <v>85</v>
      </c>
      <c r="P192">
        <v>0.95966161688110896</v>
      </c>
      <c r="Q192">
        <v>0.92227890728223905</v>
      </c>
      <c r="R192">
        <v>8.1376393236887098E-2</v>
      </c>
      <c r="S192">
        <v>0.26420204544374498</v>
      </c>
      <c r="T192">
        <v>1.3145256411930399</v>
      </c>
      <c r="U192">
        <v>1.3145256411930399</v>
      </c>
      <c r="V192">
        <v>5.53</v>
      </c>
      <c r="W192">
        <v>2.58</v>
      </c>
      <c r="X192">
        <v>-129434</v>
      </c>
      <c r="Y192">
        <v>-6812</v>
      </c>
      <c r="Z192">
        <v>-0.3</v>
      </c>
      <c r="AA192">
        <v>19</v>
      </c>
      <c r="AB192">
        <v>9</v>
      </c>
      <c r="AC192">
        <v>10</v>
      </c>
      <c r="AD192">
        <v>47.37</v>
      </c>
      <c r="AE192">
        <v>15</v>
      </c>
      <c r="AF192">
        <v>3</v>
      </c>
      <c r="AG192">
        <v>4</v>
      </c>
      <c r="AH192">
        <v>12</v>
      </c>
    </row>
    <row r="193" spans="1:34">
      <c r="A193" s="109">
        <v>138</v>
      </c>
      <c r="B193">
        <v>1928</v>
      </c>
      <c r="C193" s="113" t="s">
        <v>336</v>
      </c>
      <c r="D193" s="113" t="s">
        <v>103</v>
      </c>
      <c r="E193">
        <v>2390.5</v>
      </c>
      <c r="F193">
        <v>2407</v>
      </c>
      <c r="G193">
        <v>400</v>
      </c>
      <c r="H193" s="113" t="s">
        <v>87</v>
      </c>
      <c r="I193">
        <v>2281</v>
      </c>
      <c r="J193" s="113" t="s">
        <v>1338</v>
      </c>
      <c r="K193" s="113" t="s">
        <v>123</v>
      </c>
      <c r="L193">
        <v>2634</v>
      </c>
      <c r="M193">
        <v>2621</v>
      </c>
      <c r="N193">
        <v>400</v>
      </c>
      <c r="O193" s="113" t="s">
        <v>85</v>
      </c>
      <c r="P193">
        <v>0.95075322869387802</v>
      </c>
      <c r="Q193">
        <v>0.91362548940408705</v>
      </c>
      <c r="R193">
        <v>3.4758536584862901E-2</v>
      </c>
      <c r="S193">
        <v>0.112132661557329</v>
      </c>
      <c r="T193">
        <v>7.0493422568288305E-2</v>
      </c>
      <c r="U193">
        <v>7.0493422568288305E-2</v>
      </c>
      <c r="V193">
        <v>0.17</v>
      </c>
      <c r="W193">
        <v>8.16</v>
      </c>
      <c r="X193">
        <v>-134357</v>
      </c>
      <c r="Y193">
        <v>-7903</v>
      </c>
      <c r="Z193">
        <v>-0.27</v>
      </c>
      <c r="AA193">
        <v>17</v>
      </c>
      <c r="AB193">
        <v>8</v>
      </c>
      <c r="AC193">
        <v>9</v>
      </c>
      <c r="AD193">
        <v>47.06</v>
      </c>
      <c r="AE193">
        <v>12</v>
      </c>
      <c r="AF193">
        <v>7</v>
      </c>
      <c r="AG193">
        <v>5</v>
      </c>
      <c r="AH193">
        <v>5</v>
      </c>
    </row>
    <row r="194" spans="1:34">
      <c r="A194" s="109">
        <v>129</v>
      </c>
      <c r="B194">
        <v>3635</v>
      </c>
      <c r="C194" s="113" t="s">
        <v>110</v>
      </c>
      <c r="D194" s="113" t="s">
        <v>104</v>
      </c>
      <c r="E194">
        <v>2646</v>
      </c>
      <c r="F194">
        <v>2631</v>
      </c>
      <c r="G194">
        <v>400</v>
      </c>
      <c r="H194" s="113" t="s">
        <v>85</v>
      </c>
      <c r="I194">
        <v>6588</v>
      </c>
      <c r="J194" s="113" t="s">
        <v>995</v>
      </c>
      <c r="K194" s="113" t="s">
        <v>112</v>
      </c>
      <c r="L194">
        <v>4625</v>
      </c>
      <c r="M194">
        <v>4680</v>
      </c>
      <c r="N194">
        <v>200</v>
      </c>
      <c r="O194" s="113" t="s">
        <v>87</v>
      </c>
      <c r="P194">
        <v>0.958117397772833</v>
      </c>
      <c r="Q194">
        <v>0.915127285204546</v>
      </c>
      <c r="R194">
        <v>9.9255171450496494E-3</v>
      </c>
      <c r="S194">
        <v>0.100453748237386</v>
      </c>
      <c r="T194">
        <v>-1.9939765928085</v>
      </c>
      <c r="U194">
        <v>1.9939765928085</v>
      </c>
      <c r="V194">
        <v>-17.260000000000002</v>
      </c>
      <c r="W194">
        <v>12.44</v>
      </c>
      <c r="X194">
        <v>-149155</v>
      </c>
      <c r="Y194">
        <v>-16573</v>
      </c>
      <c r="Z194">
        <v>-0.94</v>
      </c>
      <c r="AA194">
        <v>9</v>
      </c>
      <c r="AB194">
        <v>4</v>
      </c>
      <c r="AC194">
        <v>5</v>
      </c>
      <c r="AD194">
        <v>44.44</v>
      </c>
      <c r="AE194">
        <v>12</v>
      </c>
      <c r="AF194">
        <v>1</v>
      </c>
      <c r="AG194">
        <v>3</v>
      </c>
      <c r="AH194">
        <v>5</v>
      </c>
    </row>
    <row r="195" spans="1:34">
      <c r="A195" s="109">
        <v>70</v>
      </c>
      <c r="B195">
        <v>4182</v>
      </c>
      <c r="C195" s="113" t="s">
        <v>113</v>
      </c>
      <c r="D195" s="113" t="s">
        <v>86</v>
      </c>
      <c r="E195">
        <v>1681</v>
      </c>
      <c r="F195">
        <v>1679</v>
      </c>
      <c r="G195">
        <v>600</v>
      </c>
      <c r="H195" s="113" t="s">
        <v>87</v>
      </c>
      <c r="I195">
        <v>9072</v>
      </c>
      <c r="J195" s="113" t="s">
        <v>154</v>
      </c>
      <c r="K195" s="113" t="s">
        <v>145</v>
      </c>
      <c r="L195">
        <v>2724</v>
      </c>
      <c r="M195">
        <v>2724</v>
      </c>
      <c r="N195">
        <v>400</v>
      </c>
      <c r="O195" s="113" t="s">
        <v>85</v>
      </c>
      <c r="P195">
        <v>0.95230873696930396</v>
      </c>
      <c r="Q195">
        <v>0.93097202917439703</v>
      </c>
      <c r="R195">
        <v>2.5568356439167501E-2</v>
      </c>
      <c r="S195">
        <v>1.2584013790705199E-4</v>
      </c>
      <c r="T195">
        <v>1.1458121580876699</v>
      </c>
      <c r="U195">
        <v>1.1458121580876699</v>
      </c>
      <c r="V195">
        <v>6.02</v>
      </c>
      <c r="W195">
        <v>7.54</v>
      </c>
      <c r="X195">
        <v>-153106</v>
      </c>
      <c r="Y195">
        <v>-9006</v>
      </c>
      <c r="Z195">
        <v>-0.41</v>
      </c>
      <c r="AA195">
        <v>17</v>
      </c>
      <c r="AB195">
        <v>6</v>
      </c>
      <c r="AC195">
        <v>11</v>
      </c>
      <c r="AD195">
        <v>35.29</v>
      </c>
      <c r="AE195">
        <v>13</v>
      </c>
      <c r="AF195">
        <v>6</v>
      </c>
      <c r="AG195">
        <v>5</v>
      </c>
      <c r="AH195">
        <v>6</v>
      </c>
    </row>
    <row r="196" spans="1:34">
      <c r="A196" s="109">
        <v>190</v>
      </c>
      <c r="B196">
        <v>4519</v>
      </c>
      <c r="C196" s="113" t="s">
        <v>994</v>
      </c>
      <c r="D196" s="113" t="s">
        <v>164</v>
      </c>
      <c r="E196">
        <v>9801</v>
      </c>
      <c r="F196">
        <v>9845</v>
      </c>
      <c r="G196">
        <v>100</v>
      </c>
      <c r="H196" s="113" t="s">
        <v>87</v>
      </c>
      <c r="I196">
        <v>4613</v>
      </c>
      <c r="J196" s="113" t="s">
        <v>354</v>
      </c>
      <c r="K196" s="113" t="s">
        <v>86</v>
      </c>
      <c r="L196">
        <v>2777</v>
      </c>
      <c r="M196">
        <v>2789</v>
      </c>
      <c r="N196">
        <v>400</v>
      </c>
      <c r="O196" s="113" t="s">
        <v>85</v>
      </c>
      <c r="P196">
        <v>0.93125171170993504</v>
      </c>
      <c r="Q196">
        <v>0.90394966497757201</v>
      </c>
      <c r="R196">
        <v>0.20008161037428501</v>
      </c>
      <c r="S196">
        <v>1.0870943797011E-2</v>
      </c>
      <c r="T196">
        <v>1.4393687889611799</v>
      </c>
      <c r="U196">
        <v>1.4393687889611799</v>
      </c>
      <c r="V196">
        <v>4.49</v>
      </c>
      <c r="W196">
        <v>13.32</v>
      </c>
      <c r="X196">
        <v>-169869</v>
      </c>
      <c r="Y196">
        <v>-14156</v>
      </c>
      <c r="Z196">
        <v>-0.56000000000000005</v>
      </c>
      <c r="AA196">
        <v>12</v>
      </c>
      <c r="AB196">
        <v>5</v>
      </c>
      <c r="AC196">
        <v>7</v>
      </c>
      <c r="AD196">
        <v>41.67</v>
      </c>
      <c r="AE196">
        <v>11</v>
      </c>
      <c r="AF196">
        <v>5</v>
      </c>
      <c r="AG196">
        <v>5</v>
      </c>
      <c r="AH196">
        <v>2</v>
      </c>
    </row>
    <row r="197" spans="1:34">
      <c r="A197" s="109">
        <v>38</v>
      </c>
      <c r="B197">
        <v>7267</v>
      </c>
      <c r="C197" s="113" t="s">
        <v>144</v>
      </c>
      <c r="D197" s="113" t="s">
        <v>109</v>
      </c>
      <c r="E197">
        <v>3127</v>
      </c>
      <c r="F197">
        <v>3144</v>
      </c>
      <c r="G197">
        <v>300</v>
      </c>
      <c r="H197" s="113" t="s">
        <v>85</v>
      </c>
      <c r="I197">
        <v>8002</v>
      </c>
      <c r="J197" s="113" t="s">
        <v>55</v>
      </c>
      <c r="K197" s="113" t="s">
        <v>127</v>
      </c>
      <c r="L197">
        <v>826.6</v>
      </c>
      <c r="M197">
        <v>824.9</v>
      </c>
      <c r="N197">
        <v>1100</v>
      </c>
      <c r="O197" s="113" t="s">
        <v>87</v>
      </c>
      <c r="P197">
        <v>0.953797430995038</v>
      </c>
      <c r="Q197">
        <v>0.94203695744343297</v>
      </c>
      <c r="R197" s="20">
        <v>2.8934320256852102E-2</v>
      </c>
      <c r="S197" s="20">
        <v>7.3635069071359101E-4</v>
      </c>
      <c r="T197">
        <v>-0.48966941863996</v>
      </c>
      <c r="U197">
        <v>0.48966941863996</v>
      </c>
      <c r="V197">
        <v>-1.08</v>
      </c>
      <c r="W197">
        <v>3.8</v>
      </c>
      <c r="X197">
        <v>-183458</v>
      </c>
      <c r="Y197">
        <v>-12231</v>
      </c>
      <c r="Z197">
        <v>-0.72</v>
      </c>
      <c r="AA197">
        <v>15</v>
      </c>
      <c r="AB197">
        <v>6</v>
      </c>
      <c r="AC197">
        <v>9</v>
      </c>
      <c r="AD197">
        <v>40</v>
      </c>
      <c r="AE197">
        <v>16</v>
      </c>
      <c r="AF197">
        <v>0</v>
      </c>
      <c r="AG197">
        <v>3</v>
      </c>
      <c r="AH197">
        <v>12</v>
      </c>
    </row>
    <row r="198" spans="1:34">
      <c r="A198" s="109">
        <v>191</v>
      </c>
      <c r="B198">
        <v>4626</v>
      </c>
      <c r="C198" s="113" t="s">
        <v>988</v>
      </c>
      <c r="D198" s="113" t="s">
        <v>86</v>
      </c>
      <c r="E198">
        <v>4210</v>
      </c>
      <c r="F198">
        <v>4185</v>
      </c>
      <c r="G198">
        <v>200</v>
      </c>
      <c r="H198" s="113" t="s">
        <v>87</v>
      </c>
      <c r="I198">
        <v>5947</v>
      </c>
      <c r="J198" s="113" t="s">
        <v>362</v>
      </c>
      <c r="K198" s="113" t="s">
        <v>142</v>
      </c>
      <c r="L198">
        <v>8390</v>
      </c>
      <c r="M198">
        <v>8380</v>
      </c>
      <c r="N198">
        <v>100</v>
      </c>
      <c r="O198" s="113" t="s">
        <v>85</v>
      </c>
      <c r="P198">
        <v>0.95390415729964195</v>
      </c>
      <c r="Q198">
        <v>0.90384917951924304</v>
      </c>
      <c r="R198">
        <v>2.0879530010255599E-2</v>
      </c>
      <c r="S198">
        <v>0.20858796427627799</v>
      </c>
      <c r="T198">
        <v>0.49488996784969802</v>
      </c>
      <c r="U198">
        <v>0.49488996784969802</v>
      </c>
      <c r="V198">
        <v>1.34</v>
      </c>
      <c r="W198">
        <v>0.12</v>
      </c>
      <c r="X198">
        <v>-185019</v>
      </c>
      <c r="Y198">
        <v>-11564</v>
      </c>
      <c r="Z198">
        <v>-0.52</v>
      </c>
      <c r="AA198">
        <v>16</v>
      </c>
      <c r="AB198">
        <v>6</v>
      </c>
      <c r="AC198">
        <v>10</v>
      </c>
      <c r="AD198">
        <v>37.5</v>
      </c>
      <c r="AE198">
        <v>14</v>
      </c>
      <c r="AF198">
        <v>3</v>
      </c>
      <c r="AG198">
        <v>4</v>
      </c>
      <c r="AH198">
        <v>9</v>
      </c>
    </row>
    <row r="199" spans="1:34">
      <c r="A199" s="109">
        <v>83</v>
      </c>
      <c r="B199">
        <v>3038</v>
      </c>
      <c r="C199" s="113" t="s">
        <v>375</v>
      </c>
      <c r="D199" s="113" t="s">
        <v>127</v>
      </c>
      <c r="E199">
        <v>3280</v>
      </c>
      <c r="F199">
        <v>3370</v>
      </c>
      <c r="G199">
        <v>200</v>
      </c>
      <c r="H199" s="113" t="s">
        <v>87</v>
      </c>
      <c r="I199">
        <v>6098</v>
      </c>
      <c r="J199" s="113" t="s">
        <v>376</v>
      </c>
      <c r="K199" s="113" t="s">
        <v>146</v>
      </c>
      <c r="L199">
        <v>3955</v>
      </c>
      <c r="M199">
        <v>3980</v>
      </c>
      <c r="N199">
        <v>200</v>
      </c>
      <c r="O199" s="113" t="s">
        <v>85</v>
      </c>
      <c r="P199">
        <v>0.92873633644819198</v>
      </c>
      <c r="Q199">
        <v>0.92667015470208103</v>
      </c>
      <c r="R199">
        <v>0.26908958835879998</v>
      </c>
      <c r="S199">
        <v>8.68950531983647E-2</v>
      </c>
      <c r="T199">
        <v>0.59312750039892004</v>
      </c>
      <c r="U199">
        <v>0.59312750039892004</v>
      </c>
      <c r="V199">
        <v>2.6</v>
      </c>
      <c r="W199">
        <v>15.33</v>
      </c>
      <c r="X199">
        <v>-187710</v>
      </c>
      <c r="Y199">
        <v>-8161</v>
      </c>
      <c r="Z199">
        <v>-0.37</v>
      </c>
      <c r="AA199">
        <v>23</v>
      </c>
      <c r="AB199">
        <v>11</v>
      </c>
      <c r="AC199">
        <v>12</v>
      </c>
      <c r="AD199">
        <v>47.83</v>
      </c>
      <c r="AE199">
        <v>10</v>
      </c>
      <c r="AF199">
        <v>10</v>
      </c>
      <c r="AG199">
        <v>12</v>
      </c>
      <c r="AH199">
        <v>1</v>
      </c>
    </row>
    <row r="200" spans="1:34">
      <c r="A200" s="109">
        <v>157</v>
      </c>
      <c r="B200">
        <v>8002</v>
      </c>
      <c r="C200" s="113" t="s">
        <v>55</v>
      </c>
      <c r="D200" s="113" t="s">
        <v>127</v>
      </c>
      <c r="E200">
        <v>826.6</v>
      </c>
      <c r="F200">
        <v>824.9</v>
      </c>
      <c r="G200">
        <v>1300</v>
      </c>
      <c r="H200" s="113" t="s">
        <v>87</v>
      </c>
      <c r="I200">
        <v>8306</v>
      </c>
      <c r="J200" s="113" t="s">
        <v>172</v>
      </c>
      <c r="K200" s="113" t="s">
        <v>107</v>
      </c>
      <c r="L200">
        <v>584.79999999999995</v>
      </c>
      <c r="M200">
        <v>584.70000000000005</v>
      </c>
      <c r="N200">
        <v>1800</v>
      </c>
      <c r="O200" s="113" t="s">
        <v>85</v>
      </c>
      <c r="P200">
        <v>0.90149033790169997</v>
      </c>
      <c r="Q200">
        <v>0.90888620904361905</v>
      </c>
      <c r="R200">
        <v>0.316119495880062</v>
      </c>
      <c r="S200">
        <v>6.8465266342675302E-2</v>
      </c>
      <c r="T200">
        <v>1.97405689811443</v>
      </c>
      <c r="U200">
        <v>1.97405689811443</v>
      </c>
      <c r="V200">
        <v>4.42</v>
      </c>
      <c r="W200">
        <v>1.86</v>
      </c>
      <c r="X200">
        <v>-198026</v>
      </c>
      <c r="Y200">
        <v>-13202</v>
      </c>
      <c r="Z200">
        <v>-0.62</v>
      </c>
      <c r="AA200">
        <v>15</v>
      </c>
      <c r="AB200">
        <v>4</v>
      </c>
      <c r="AC200">
        <v>11</v>
      </c>
      <c r="AD200">
        <v>26.67</v>
      </c>
      <c r="AE200">
        <v>16</v>
      </c>
      <c r="AF200">
        <v>1</v>
      </c>
      <c r="AG200">
        <v>4</v>
      </c>
      <c r="AH200">
        <v>10</v>
      </c>
    </row>
    <row r="201" spans="1:34">
      <c r="A201" s="109">
        <v>176</v>
      </c>
      <c r="B201">
        <v>4183</v>
      </c>
      <c r="C201" s="113" t="s">
        <v>334</v>
      </c>
      <c r="D201" s="113" t="s">
        <v>86</v>
      </c>
      <c r="E201">
        <v>2625</v>
      </c>
      <c r="F201">
        <v>2619</v>
      </c>
      <c r="G201">
        <v>400</v>
      </c>
      <c r="H201" s="113" t="s">
        <v>85</v>
      </c>
      <c r="I201">
        <v>6473</v>
      </c>
      <c r="J201" s="113" t="s">
        <v>161</v>
      </c>
      <c r="K201" s="113" t="s">
        <v>125</v>
      </c>
      <c r="L201">
        <v>1379</v>
      </c>
      <c r="M201">
        <v>1362</v>
      </c>
      <c r="N201">
        <v>800</v>
      </c>
      <c r="O201" s="113" t="s">
        <v>87</v>
      </c>
      <c r="P201">
        <v>0.95798309412448501</v>
      </c>
      <c r="Q201">
        <v>0.906449542738476</v>
      </c>
      <c r="R201">
        <v>3.5726299619669499E-2</v>
      </c>
      <c r="S201">
        <v>5.3334501407350597E-2</v>
      </c>
      <c r="T201">
        <v>-0.55619801950743897</v>
      </c>
      <c r="U201">
        <v>0.55619801950743897</v>
      </c>
      <c r="V201">
        <v>-1.1200000000000001</v>
      </c>
      <c r="W201">
        <v>4.01</v>
      </c>
      <c r="X201">
        <v>-198152</v>
      </c>
      <c r="Y201">
        <v>-11656</v>
      </c>
      <c r="Z201">
        <v>-0.65</v>
      </c>
      <c r="AA201">
        <v>17</v>
      </c>
      <c r="AB201">
        <v>5</v>
      </c>
      <c r="AC201">
        <v>12</v>
      </c>
      <c r="AD201">
        <v>29.41</v>
      </c>
      <c r="AE201">
        <v>15</v>
      </c>
      <c r="AF201">
        <v>4</v>
      </c>
      <c r="AG201">
        <v>5</v>
      </c>
      <c r="AH201">
        <v>8</v>
      </c>
    </row>
    <row r="202" spans="1:34">
      <c r="A202" s="109">
        <v>206</v>
      </c>
      <c r="B202">
        <v>4634</v>
      </c>
      <c r="C202" s="113" t="s">
        <v>168</v>
      </c>
      <c r="D202" s="113" t="s">
        <v>86</v>
      </c>
      <c r="E202">
        <v>2647</v>
      </c>
      <c r="F202">
        <v>2670</v>
      </c>
      <c r="G202">
        <v>400</v>
      </c>
      <c r="H202" s="113" t="s">
        <v>85</v>
      </c>
      <c r="I202">
        <v>5803</v>
      </c>
      <c r="J202" s="113" t="s">
        <v>52</v>
      </c>
      <c r="K202" s="113" t="s">
        <v>160</v>
      </c>
      <c r="L202">
        <v>472</v>
      </c>
      <c r="M202">
        <v>474</v>
      </c>
      <c r="N202">
        <v>2300</v>
      </c>
      <c r="O202" s="113" t="s">
        <v>87</v>
      </c>
      <c r="P202">
        <v>0.93501851855780904</v>
      </c>
      <c r="Q202">
        <v>0.90087801637278397</v>
      </c>
      <c r="R202">
        <v>0.106660249729889</v>
      </c>
      <c r="S202">
        <v>1.8912578252859798E-2</v>
      </c>
      <c r="T202">
        <v>-0.92478064877582999</v>
      </c>
      <c r="U202">
        <v>0.92478064877582999</v>
      </c>
      <c r="V202">
        <v>-5.41</v>
      </c>
      <c r="W202">
        <v>2.08</v>
      </c>
      <c r="X202">
        <v>-201900</v>
      </c>
      <c r="Y202">
        <v>-11876</v>
      </c>
      <c r="Z202">
        <v>-0.71</v>
      </c>
      <c r="AA202">
        <v>17</v>
      </c>
      <c r="AB202">
        <v>8</v>
      </c>
      <c r="AC202">
        <v>9</v>
      </c>
      <c r="AD202">
        <v>47.06</v>
      </c>
      <c r="AE202">
        <v>12</v>
      </c>
      <c r="AF202">
        <v>4</v>
      </c>
      <c r="AG202">
        <v>6</v>
      </c>
      <c r="AH202">
        <v>7</v>
      </c>
    </row>
    <row r="203" spans="1:34">
      <c r="A203" s="109">
        <v>66</v>
      </c>
      <c r="B203">
        <v>3038</v>
      </c>
      <c r="C203" s="113" t="s">
        <v>375</v>
      </c>
      <c r="D203" s="113" t="s">
        <v>127</v>
      </c>
      <c r="E203">
        <v>3280</v>
      </c>
      <c r="F203">
        <v>3370</v>
      </c>
      <c r="G203">
        <v>200</v>
      </c>
      <c r="H203" s="113" t="s">
        <v>87</v>
      </c>
      <c r="I203">
        <v>8036</v>
      </c>
      <c r="J203" s="113" t="s">
        <v>355</v>
      </c>
      <c r="K203" s="113" t="s">
        <v>127</v>
      </c>
      <c r="L203">
        <v>7240</v>
      </c>
      <c r="M203">
        <v>7340</v>
      </c>
      <c r="N203">
        <v>100</v>
      </c>
      <c r="O203" s="113" t="s">
        <v>85</v>
      </c>
      <c r="P203">
        <v>0.90033913370964602</v>
      </c>
      <c r="Q203">
        <v>0.93220938344522897</v>
      </c>
      <c r="R203">
        <v>0.28112913071898299</v>
      </c>
      <c r="S203">
        <v>0.167681589834281</v>
      </c>
      <c r="T203">
        <v>0.17661817650456799</v>
      </c>
      <c r="U203">
        <v>0.17661817650456799</v>
      </c>
      <c r="V203">
        <v>1.01</v>
      </c>
      <c r="W203">
        <v>8.17</v>
      </c>
      <c r="X203">
        <v>-204541</v>
      </c>
      <c r="Y203">
        <v>-10765</v>
      </c>
      <c r="Z203">
        <v>-0.76</v>
      </c>
      <c r="AA203">
        <v>19</v>
      </c>
      <c r="AB203">
        <v>7</v>
      </c>
      <c r="AC203">
        <v>12</v>
      </c>
      <c r="AD203">
        <v>36.840000000000003</v>
      </c>
      <c r="AE203">
        <v>9</v>
      </c>
      <c r="AF203">
        <v>7</v>
      </c>
      <c r="AG203">
        <v>8</v>
      </c>
      <c r="AH203">
        <v>4</v>
      </c>
    </row>
    <row r="204" spans="1:34">
      <c r="A204" s="109">
        <v>204</v>
      </c>
      <c r="B204">
        <v>5333</v>
      </c>
      <c r="C204" s="113" t="s">
        <v>371</v>
      </c>
      <c r="D204" s="113" t="s">
        <v>132</v>
      </c>
      <c r="E204">
        <v>1901</v>
      </c>
      <c r="F204">
        <v>1890</v>
      </c>
      <c r="G204">
        <v>500</v>
      </c>
      <c r="H204" s="113" t="s">
        <v>85</v>
      </c>
      <c r="I204">
        <v>8253</v>
      </c>
      <c r="J204" s="113" t="s">
        <v>1326</v>
      </c>
      <c r="K204" s="113" t="s">
        <v>332</v>
      </c>
      <c r="L204">
        <v>1827</v>
      </c>
      <c r="M204">
        <v>1823</v>
      </c>
      <c r="N204">
        <v>500</v>
      </c>
      <c r="O204" s="113" t="s">
        <v>87</v>
      </c>
      <c r="P204">
        <v>0.91238267946541396</v>
      </c>
      <c r="Q204">
        <v>0.90106960865301999</v>
      </c>
      <c r="R204">
        <v>0.212967123771062</v>
      </c>
      <c r="S204">
        <v>5.9149113509806804E-3</v>
      </c>
      <c r="T204">
        <v>-0.76908186864315597</v>
      </c>
      <c r="U204">
        <v>0.76908186864315597</v>
      </c>
      <c r="V204">
        <v>-6.25</v>
      </c>
      <c r="W204">
        <v>3.54</v>
      </c>
      <c r="X204">
        <v>-205656</v>
      </c>
      <c r="Y204">
        <v>-11425</v>
      </c>
      <c r="Z204">
        <v>-0.57999999999999996</v>
      </c>
      <c r="AA204">
        <v>18</v>
      </c>
      <c r="AB204">
        <v>7</v>
      </c>
      <c r="AC204">
        <v>11</v>
      </c>
      <c r="AD204">
        <v>38.89</v>
      </c>
      <c r="AE204">
        <v>13</v>
      </c>
      <c r="AF204">
        <v>4</v>
      </c>
      <c r="AG204">
        <v>7</v>
      </c>
      <c r="AH204">
        <v>7</v>
      </c>
    </row>
    <row r="205" spans="1:34">
      <c r="A205" s="109">
        <v>182</v>
      </c>
      <c r="B205">
        <v>6752</v>
      </c>
      <c r="C205" s="113" t="s">
        <v>131</v>
      </c>
      <c r="D205" s="113" t="s">
        <v>112</v>
      </c>
      <c r="E205">
        <v>1040.5</v>
      </c>
      <c r="F205">
        <v>1034.5</v>
      </c>
      <c r="G205">
        <v>900</v>
      </c>
      <c r="H205" s="113" t="s">
        <v>87</v>
      </c>
      <c r="I205">
        <v>7267</v>
      </c>
      <c r="J205" s="113" t="s">
        <v>144</v>
      </c>
      <c r="K205" s="113" t="s">
        <v>109</v>
      </c>
      <c r="L205">
        <v>3127</v>
      </c>
      <c r="M205">
        <v>3144</v>
      </c>
      <c r="N205">
        <v>300</v>
      </c>
      <c r="O205" s="113" t="s">
        <v>85</v>
      </c>
      <c r="P205">
        <v>0.90228078779698195</v>
      </c>
      <c r="Q205">
        <v>0.90558294862966604</v>
      </c>
      <c r="R205">
        <v>1.3884932091227299E-2</v>
      </c>
      <c r="S205">
        <v>0.18122285090212401</v>
      </c>
      <c r="T205">
        <v>1.12914271178991</v>
      </c>
      <c r="U205">
        <v>1.12914271178991</v>
      </c>
      <c r="V205">
        <v>3.11</v>
      </c>
      <c r="W205">
        <v>1.29</v>
      </c>
      <c r="X205">
        <v>-213261</v>
      </c>
      <c r="Y205">
        <v>-12545</v>
      </c>
      <c r="Z205">
        <v>-0.64</v>
      </c>
      <c r="AA205">
        <v>17</v>
      </c>
      <c r="AB205">
        <v>7</v>
      </c>
      <c r="AC205">
        <v>10</v>
      </c>
      <c r="AD205">
        <v>41.18</v>
      </c>
      <c r="AE205">
        <v>15</v>
      </c>
      <c r="AF205">
        <v>2</v>
      </c>
      <c r="AG205">
        <v>3</v>
      </c>
      <c r="AH205">
        <v>12</v>
      </c>
    </row>
    <row r="206" spans="1:34">
      <c r="A206" s="109">
        <v>5</v>
      </c>
      <c r="B206">
        <v>6951</v>
      </c>
      <c r="C206" s="113" t="s">
        <v>359</v>
      </c>
      <c r="D206" s="113" t="s">
        <v>112</v>
      </c>
      <c r="E206">
        <v>3100</v>
      </c>
      <c r="F206">
        <v>3145</v>
      </c>
      <c r="G206">
        <v>200</v>
      </c>
      <c r="H206" s="113" t="s">
        <v>87</v>
      </c>
      <c r="I206">
        <v>8036</v>
      </c>
      <c r="J206" s="113" t="s">
        <v>355</v>
      </c>
      <c r="K206" s="113" t="s">
        <v>127</v>
      </c>
      <c r="L206">
        <v>7240</v>
      </c>
      <c r="M206">
        <v>7340</v>
      </c>
      <c r="N206">
        <v>100</v>
      </c>
      <c r="O206" s="113" t="s">
        <v>85</v>
      </c>
      <c r="P206">
        <v>0.92557026470269299</v>
      </c>
      <c r="Q206">
        <v>0.961432468480927</v>
      </c>
      <c r="R206" s="20">
        <v>0.221219412667048</v>
      </c>
      <c r="S206">
        <v>0.136988064056004</v>
      </c>
      <c r="T206">
        <v>0.47499918075369102</v>
      </c>
      <c r="U206">
        <v>0.47499918075369102</v>
      </c>
      <c r="V206">
        <v>1.7</v>
      </c>
      <c r="W206">
        <v>14.31</v>
      </c>
      <c r="X206">
        <v>-225555</v>
      </c>
      <c r="Y206">
        <v>-11278</v>
      </c>
      <c r="Z206">
        <v>-0.48</v>
      </c>
      <c r="AA206">
        <v>20</v>
      </c>
      <c r="AB206">
        <v>9</v>
      </c>
      <c r="AC206">
        <v>11</v>
      </c>
      <c r="AD206">
        <v>45</v>
      </c>
      <c r="AE206">
        <v>10</v>
      </c>
      <c r="AF206">
        <v>8</v>
      </c>
      <c r="AG206">
        <v>8</v>
      </c>
      <c r="AH206">
        <v>4</v>
      </c>
    </row>
    <row r="207" spans="1:34">
      <c r="A207" s="109">
        <v>71</v>
      </c>
      <c r="B207">
        <v>2413</v>
      </c>
      <c r="C207" s="113" t="s">
        <v>1323</v>
      </c>
      <c r="D207" s="113" t="s">
        <v>146</v>
      </c>
      <c r="E207">
        <v>3060</v>
      </c>
      <c r="F207">
        <v>3070</v>
      </c>
      <c r="G207">
        <v>300</v>
      </c>
      <c r="H207" s="113" t="s">
        <v>85</v>
      </c>
      <c r="I207">
        <v>6920</v>
      </c>
      <c r="J207" s="113" t="s">
        <v>111</v>
      </c>
      <c r="K207" s="113" t="s">
        <v>112</v>
      </c>
      <c r="L207">
        <v>9870</v>
      </c>
      <c r="M207">
        <v>9870</v>
      </c>
      <c r="N207">
        <v>100</v>
      </c>
      <c r="O207" s="113" t="s">
        <v>87</v>
      </c>
      <c r="P207">
        <v>0.92022431783833303</v>
      </c>
      <c r="Q207">
        <v>0.93095698505945401</v>
      </c>
      <c r="R207">
        <v>6.7158749281031299E-2</v>
      </c>
      <c r="S207">
        <v>0.15693917342907199</v>
      </c>
      <c r="T207">
        <v>-1.6004203153446801</v>
      </c>
      <c r="U207">
        <v>1.6004203153446801</v>
      </c>
      <c r="V207">
        <v>-13.21</v>
      </c>
      <c r="W207">
        <v>6.69</v>
      </c>
      <c r="X207">
        <v>-245378</v>
      </c>
      <c r="Y207">
        <v>-16359</v>
      </c>
      <c r="Z207">
        <v>-0.61</v>
      </c>
      <c r="AA207">
        <v>15</v>
      </c>
      <c r="AB207">
        <v>8</v>
      </c>
      <c r="AC207">
        <v>7</v>
      </c>
      <c r="AD207">
        <v>53.33</v>
      </c>
      <c r="AE207">
        <v>9</v>
      </c>
      <c r="AF207">
        <v>7</v>
      </c>
      <c r="AG207">
        <v>6</v>
      </c>
      <c r="AH207">
        <v>2</v>
      </c>
    </row>
    <row r="208" spans="1:34">
      <c r="A208" s="109">
        <v>200</v>
      </c>
      <c r="B208">
        <v>6471</v>
      </c>
      <c r="C208" s="113" t="s">
        <v>166</v>
      </c>
      <c r="D208" s="113" t="s">
        <v>125</v>
      </c>
      <c r="E208">
        <v>1077</v>
      </c>
      <c r="F208">
        <v>1063</v>
      </c>
      <c r="G208">
        <v>600</v>
      </c>
      <c r="H208" s="113" t="s">
        <v>85</v>
      </c>
      <c r="I208">
        <v>6988</v>
      </c>
      <c r="J208" s="113" t="s">
        <v>167</v>
      </c>
      <c r="K208" s="113" t="s">
        <v>86</v>
      </c>
      <c r="L208">
        <v>6170</v>
      </c>
      <c r="M208">
        <v>6210</v>
      </c>
      <c r="N208">
        <v>100</v>
      </c>
      <c r="O208" s="113" t="s">
        <v>87</v>
      </c>
      <c r="P208">
        <v>0.96864660950133297</v>
      </c>
      <c r="Q208">
        <v>0.90214089771955597</v>
      </c>
      <c r="R208">
        <v>4.8618656852961002E-3</v>
      </c>
      <c r="S208">
        <v>0.16680588488898199</v>
      </c>
      <c r="T208">
        <v>-0.87535001723021499</v>
      </c>
      <c r="U208">
        <v>0.87535001723021499</v>
      </c>
      <c r="V208">
        <v>-1.78</v>
      </c>
      <c r="W208">
        <v>2.71</v>
      </c>
      <c r="X208">
        <v>-260430</v>
      </c>
      <c r="Y208">
        <v>-14468</v>
      </c>
      <c r="Z208">
        <v>-0.98</v>
      </c>
      <c r="AA208">
        <v>18</v>
      </c>
      <c r="AB208">
        <v>5</v>
      </c>
      <c r="AC208">
        <v>13</v>
      </c>
      <c r="AD208">
        <v>27.78</v>
      </c>
      <c r="AE208">
        <v>14</v>
      </c>
      <c r="AF208">
        <v>3</v>
      </c>
      <c r="AG208">
        <v>4</v>
      </c>
      <c r="AH208">
        <v>11</v>
      </c>
    </row>
    <row r="209" spans="1:34">
      <c r="A209" s="109">
        <v>111</v>
      </c>
      <c r="B209">
        <v>1928</v>
      </c>
      <c r="C209" s="113" t="s">
        <v>336</v>
      </c>
      <c r="D209" s="113" t="s">
        <v>103</v>
      </c>
      <c r="E209">
        <v>2390.5</v>
      </c>
      <c r="F209">
        <v>2407</v>
      </c>
      <c r="G209">
        <v>400</v>
      </c>
      <c r="H209" s="113" t="s">
        <v>85</v>
      </c>
      <c r="I209">
        <v>6951</v>
      </c>
      <c r="J209" s="113" t="s">
        <v>359</v>
      </c>
      <c r="K209" s="113" t="s">
        <v>112</v>
      </c>
      <c r="L209">
        <v>3100</v>
      </c>
      <c r="M209">
        <v>3145</v>
      </c>
      <c r="N209">
        <v>300</v>
      </c>
      <c r="O209" s="113" t="s">
        <v>87</v>
      </c>
      <c r="P209">
        <v>0.93180671301253903</v>
      </c>
      <c r="Q209">
        <v>0.91844172964932003</v>
      </c>
      <c r="R209">
        <v>9.6153100333052202E-2</v>
      </c>
      <c r="S209">
        <v>0.38945596021114898</v>
      </c>
      <c r="T209">
        <v>-1.70749723499717</v>
      </c>
      <c r="U209">
        <v>1.70749723499717</v>
      </c>
      <c r="V209">
        <v>-5.47</v>
      </c>
      <c r="W209">
        <v>2.0499999999999998</v>
      </c>
      <c r="X209">
        <v>-286170</v>
      </c>
      <c r="Y209">
        <v>-14308</v>
      </c>
      <c r="Z209">
        <v>-0.82</v>
      </c>
      <c r="AA209">
        <v>20</v>
      </c>
      <c r="AB209">
        <v>8</v>
      </c>
      <c r="AC209">
        <v>12</v>
      </c>
      <c r="AD209">
        <v>40</v>
      </c>
      <c r="AE209">
        <v>12</v>
      </c>
      <c r="AF209">
        <v>6</v>
      </c>
      <c r="AG209">
        <v>7</v>
      </c>
      <c r="AH209">
        <v>7</v>
      </c>
    </row>
    <row r="210" spans="1:34">
      <c r="A210" s="109">
        <v>140</v>
      </c>
      <c r="B210">
        <v>5110</v>
      </c>
      <c r="C210" s="113" t="s">
        <v>156</v>
      </c>
      <c r="D210" s="113" t="s">
        <v>157</v>
      </c>
      <c r="E210">
        <v>1420</v>
      </c>
      <c r="F210">
        <v>1404</v>
      </c>
      <c r="G210">
        <v>700</v>
      </c>
      <c r="H210" s="113" t="s">
        <v>85</v>
      </c>
      <c r="I210">
        <v>5803</v>
      </c>
      <c r="J210" s="113" t="s">
        <v>52</v>
      </c>
      <c r="K210" s="113" t="s">
        <v>160</v>
      </c>
      <c r="L210">
        <v>472</v>
      </c>
      <c r="M210">
        <v>474</v>
      </c>
      <c r="N210">
        <v>2100</v>
      </c>
      <c r="O210" s="113" t="s">
        <v>87</v>
      </c>
      <c r="P210">
        <v>0.93916659941526703</v>
      </c>
      <c r="Q210">
        <v>0.91320319088113999</v>
      </c>
      <c r="R210">
        <v>5.7532245367757098E-2</v>
      </c>
      <c r="S210">
        <v>6.1888638149488397E-2</v>
      </c>
      <c r="T210">
        <v>-0.80724510313345499</v>
      </c>
      <c r="U210">
        <v>0.80724510313345499</v>
      </c>
      <c r="V210">
        <v>-6</v>
      </c>
      <c r="W210">
        <v>1.28</v>
      </c>
      <c r="X210">
        <v>-308037</v>
      </c>
      <c r="Y210">
        <v>-17113</v>
      </c>
      <c r="Z210">
        <v>-0.84</v>
      </c>
      <c r="AA210">
        <v>18</v>
      </c>
      <c r="AB210">
        <v>6</v>
      </c>
      <c r="AC210">
        <v>12</v>
      </c>
      <c r="AD210">
        <v>33.33</v>
      </c>
      <c r="AE210">
        <v>12</v>
      </c>
      <c r="AF210">
        <v>5</v>
      </c>
      <c r="AG210">
        <v>6</v>
      </c>
      <c r="AH210">
        <v>7</v>
      </c>
    </row>
    <row r="211" spans="1:34">
      <c r="A211" s="109">
        <v>25</v>
      </c>
      <c r="B211">
        <v>4062</v>
      </c>
      <c r="C211" s="113" t="s">
        <v>363</v>
      </c>
      <c r="D211" s="113" t="s">
        <v>112</v>
      </c>
      <c r="E211">
        <v>2548</v>
      </c>
      <c r="F211">
        <v>2533</v>
      </c>
      <c r="G211">
        <v>400</v>
      </c>
      <c r="H211" s="113" t="s">
        <v>87</v>
      </c>
      <c r="I211">
        <v>4996</v>
      </c>
      <c r="J211" s="113" t="s">
        <v>365</v>
      </c>
      <c r="K211" s="113" t="s">
        <v>86</v>
      </c>
      <c r="L211">
        <v>1006</v>
      </c>
      <c r="M211">
        <v>1021</v>
      </c>
      <c r="N211">
        <v>1000</v>
      </c>
      <c r="O211" s="113" t="s">
        <v>85</v>
      </c>
      <c r="P211">
        <v>0.90474546960786995</v>
      </c>
      <c r="Q211">
        <v>0.94665436460937002</v>
      </c>
      <c r="R211">
        <v>3.7507447125446299E-3</v>
      </c>
      <c r="S211">
        <v>2.6525510162831202E-3</v>
      </c>
      <c r="T211">
        <v>1.1786776856303101</v>
      </c>
      <c r="U211">
        <v>1.1786776856303101</v>
      </c>
      <c r="V211">
        <v>4.4400000000000004</v>
      </c>
      <c r="W211">
        <v>0.77</v>
      </c>
      <c r="X211">
        <v>-325553</v>
      </c>
      <c r="Y211">
        <v>-16278</v>
      </c>
      <c r="Z211">
        <v>-0.75</v>
      </c>
      <c r="AA211">
        <v>20</v>
      </c>
      <c r="AB211">
        <v>9</v>
      </c>
      <c r="AC211">
        <v>11</v>
      </c>
      <c r="AD211">
        <v>45</v>
      </c>
      <c r="AE211">
        <v>11</v>
      </c>
      <c r="AF211">
        <v>6</v>
      </c>
      <c r="AG211">
        <v>9</v>
      </c>
      <c r="AH211">
        <v>5</v>
      </c>
    </row>
    <row r="212" spans="1:34">
      <c r="A212" s="109">
        <v>201</v>
      </c>
      <c r="B212">
        <v>4686</v>
      </c>
      <c r="C212" s="113" t="s">
        <v>1324</v>
      </c>
      <c r="D212" s="113" t="s">
        <v>104</v>
      </c>
      <c r="E212">
        <v>6000</v>
      </c>
      <c r="F212">
        <v>6040</v>
      </c>
      <c r="G212">
        <v>200</v>
      </c>
      <c r="H212" s="113" t="s">
        <v>87</v>
      </c>
      <c r="I212">
        <v>6702</v>
      </c>
      <c r="J212" s="113" t="s">
        <v>369</v>
      </c>
      <c r="K212" s="113" t="s">
        <v>112</v>
      </c>
      <c r="L212">
        <v>10250</v>
      </c>
      <c r="M212">
        <v>10215</v>
      </c>
      <c r="N212">
        <v>100</v>
      </c>
      <c r="O212" s="113" t="s">
        <v>85</v>
      </c>
      <c r="P212">
        <v>0.93223708218826395</v>
      </c>
      <c r="Q212">
        <v>0.90185202484790195</v>
      </c>
      <c r="R212">
        <v>5.8586095185062699E-3</v>
      </c>
      <c r="S212">
        <v>0.16035425913572701</v>
      </c>
      <c r="T212">
        <v>1.97340452609469</v>
      </c>
      <c r="U212">
        <v>1.97340452609469</v>
      </c>
      <c r="V212">
        <v>16.07</v>
      </c>
      <c r="W212">
        <v>18.260000000000002</v>
      </c>
      <c r="X212">
        <v>-337449</v>
      </c>
      <c r="Y212">
        <v>-22497</v>
      </c>
      <c r="Z212">
        <v>-1.42</v>
      </c>
      <c r="AA212">
        <v>15</v>
      </c>
      <c r="AB212">
        <v>6</v>
      </c>
      <c r="AC212">
        <v>9</v>
      </c>
      <c r="AD212">
        <v>40</v>
      </c>
      <c r="AE212">
        <v>11</v>
      </c>
      <c r="AF212">
        <v>4</v>
      </c>
      <c r="AG212">
        <v>8</v>
      </c>
      <c r="AH212">
        <v>3</v>
      </c>
    </row>
    <row r="213" spans="1:34">
      <c r="A213" s="109">
        <v>74</v>
      </c>
      <c r="B213">
        <v>1824</v>
      </c>
      <c r="C213" s="113" t="s">
        <v>346</v>
      </c>
      <c r="D213" s="113" t="s">
        <v>103</v>
      </c>
      <c r="E213">
        <v>1062</v>
      </c>
      <c r="F213">
        <v>1056</v>
      </c>
      <c r="G213">
        <v>1000</v>
      </c>
      <c r="H213" s="113" t="s">
        <v>85</v>
      </c>
      <c r="I213">
        <v>1860</v>
      </c>
      <c r="J213" s="113" t="s">
        <v>137</v>
      </c>
      <c r="K213" s="113" t="s">
        <v>103</v>
      </c>
      <c r="L213">
        <v>708</v>
      </c>
      <c r="M213">
        <v>714</v>
      </c>
      <c r="N213">
        <v>1500</v>
      </c>
      <c r="O213" s="113" t="s">
        <v>87</v>
      </c>
      <c r="P213">
        <v>0.93518286240448401</v>
      </c>
      <c r="Q213">
        <v>0.92955091489369901</v>
      </c>
      <c r="R213">
        <v>0.27657005266364998</v>
      </c>
      <c r="S213" s="20">
        <v>1.39128661529111E-2</v>
      </c>
      <c r="T213">
        <v>-0.31312105377096699</v>
      </c>
      <c r="U213">
        <v>0.31312105377096699</v>
      </c>
      <c r="V213">
        <v>-0.6</v>
      </c>
      <c r="W213">
        <v>1.42</v>
      </c>
      <c r="X213">
        <v>-347677</v>
      </c>
      <c r="Y213">
        <v>-18299</v>
      </c>
      <c r="Z213">
        <v>-0.89</v>
      </c>
      <c r="AA213">
        <v>19</v>
      </c>
      <c r="AB213">
        <v>7</v>
      </c>
      <c r="AC213">
        <v>12</v>
      </c>
      <c r="AD213">
        <v>36.840000000000003</v>
      </c>
      <c r="AE213">
        <v>12</v>
      </c>
      <c r="AF213">
        <v>3</v>
      </c>
      <c r="AG213">
        <v>8</v>
      </c>
      <c r="AH213">
        <v>8</v>
      </c>
    </row>
    <row r="214" spans="1:34">
      <c r="A214" s="109">
        <v>90</v>
      </c>
      <c r="B214">
        <v>6588</v>
      </c>
      <c r="C214" s="113" t="s">
        <v>995</v>
      </c>
      <c r="D214" s="113" t="s">
        <v>112</v>
      </c>
      <c r="E214">
        <v>4625</v>
      </c>
      <c r="F214">
        <v>4680</v>
      </c>
      <c r="G214">
        <v>200</v>
      </c>
      <c r="H214" s="113" t="s">
        <v>85</v>
      </c>
      <c r="I214">
        <v>6920</v>
      </c>
      <c r="J214" s="113" t="s">
        <v>111</v>
      </c>
      <c r="K214" s="113" t="s">
        <v>112</v>
      </c>
      <c r="L214">
        <v>9870</v>
      </c>
      <c r="M214">
        <v>9870</v>
      </c>
      <c r="N214">
        <v>100</v>
      </c>
      <c r="O214" s="113" t="s">
        <v>87</v>
      </c>
      <c r="P214">
        <v>0.95648499705704804</v>
      </c>
      <c r="Q214">
        <v>0.92412129503067497</v>
      </c>
      <c r="R214">
        <v>0.14603006881095701</v>
      </c>
      <c r="S214">
        <v>0.33469493440995002</v>
      </c>
      <c r="T214">
        <v>-0.58400493815255605</v>
      </c>
      <c r="U214">
        <v>0.58400493815255605</v>
      </c>
      <c r="V214">
        <v>-2.8</v>
      </c>
      <c r="W214">
        <v>5.17</v>
      </c>
      <c r="X214">
        <v>-349103</v>
      </c>
      <c r="Y214">
        <v>-21819</v>
      </c>
      <c r="Z214">
        <v>-1.37</v>
      </c>
      <c r="AA214">
        <v>16</v>
      </c>
      <c r="AB214">
        <v>5</v>
      </c>
      <c r="AC214">
        <v>11</v>
      </c>
      <c r="AD214">
        <v>31.25</v>
      </c>
      <c r="AE214">
        <v>9</v>
      </c>
      <c r="AF214">
        <v>3</v>
      </c>
      <c r="AG214">
        <v>10</v>
      </c>
      <c r="AH214">
        <v>3</v>
      </c>
    </row>
    <row r="215" spans="1:34">
      <c r="A215" s="109">
        <v>197</v>
      </c>
      <c r="B215">
        <v>3635</v>
      </c>
      <c r="C215" s="113" t="s">
        <v>110</v>
      </c>
      <c r="D215" s="113" t="s">
        <v>104</v>
      </c>
      <c r="E215">
        <v>2646</v>
      </c>
      <c r="F215">
        <v>2631</v>
      </c>
      <c r="G215">
        <v>200</v>
      </c>
      <c r="H215" s="113" t="s">
        <v>85</v>
      </c>
      <c r="I215">
        <v>4686</v>
      </c>
      <c r="J215" s="113" t="s">
        <v>1324</v>
      </c>
      <c r="K215" s="113" t="s">
        <v>104</v>
      </c>
      <c r="L215">
        <v>6000</v>
      </c>
      <c r="M215">
        <v>6040</v>
      </c>
      <c r="N215">
        <v>100</v>
      </c>
      <c r="O215" s="113" t="s">
        <v>87</v>
      </c>
      <c r="P215">
        <v>0.91141253801241895</v>
      </c>
      <c r="Q215">
        <v>0.90308103701148501</v>
      </c>
      <c r="R215" s="20">
        <v>0.276203888615009</v>
      </c>
      <c r="S215">
        <v>0.13785801782084101</v>
      </c>
      <c r="T215">
        <v>-1.9052641009828599</v>
      </c>
      <c r="U215">
        <v>1.9052641009828599</v>
      </c>
      <c r="V215">
        <v>-23.33</v>
      </c>
      <c r="W215">
        <v>12.88</v>
      </c>
      <c r="X215">
        <v>-359580</v>
      </c>
      <c r="Y215">
        <v>-17123</v>
      </c>
      <c r="Z215">
        <v>-0.72</v>
      </c>
      <c r="AA215">
        <v>21</v>
      </c>
      <c r="AB215">
        <v>10</v>
      </c>
      <c r="AC215">
        <v>11</v>
      </c>
      <c r="AD215">
        <v>47.62</v>
      </c>
      <c r="AE215">
        <v>10</v>
      </c>
      <c r="AF215">
        <v>8</v>
      </c>
      <c r="AG215">
        <v>8</v>
      </c>
      <c r="AH215">
        <v>5</v>
      </c>
    </row>
    <row r="216" spans="1:34">
      <c r="A216" s="109">
        <v>213</v>
      </c>
      <c r="B216">
        <v>9003</v>
      </c>
      <c r="C216" s="113" t="s">
        <v>360</v>
      </c>
      <c r="D216" s="113" t="s">
        <v>145</v>
      </c>
      <c r="E216">
        <v>3040</v>
      </c>
      <c r="F216">
        <v>3030</v>
      </c>
      <c r="G216">
        <v>300</v>
      </c>
      <c r="H216" s="113" t="s">
        <v>85</v>
      </c>
      <c r="I216">
        <v>9956</v>
      </c>
      <c r="J216" s="113" t="s">
        <v>352</v>
      </c>
      <c r="K216" s="113" t="s">
        <v>121</v>
      </c>
      <c r="L216">
        <v>2037</v>
      </c>
      <c r="M216">
        <v>2055</v>
      </c>
      <c r="N216">
        <v>400</v>
      </c>
      <c r="O216" s="113" t="s">
        <v>87</v>
      </c>
      <c r="P216">
        <v>0.93021980711918395</v>
      </c>
      <c r="Q216">
        <v>0.90015424783794595</v>
      </c>
      <c r="R216">
        <v>1.6235018523978999E-2</v>
      </c>
      <c r="S216">
        <v>7.3972267573236397E-2</v>
      </c>
      <c r="T216">
        <v>-1.9228429388358299</v>
      </c>
      <c r="U216">
        <v>1.9228429388358299</v>
      </c>
      <c r="V216">
        <v>-4.79</v>
      </c>
      <c r="W216">
        <v>9.57</v>
      </c>
      <c r="X216">
        <v>-374023</v>
      </c>
      <c r="Y216">
        <v>-20779</v>
      </c>
      <c r="Z216">
        <v>-1.01</v>
      </c>
      <c r="AA216">
        <v>18</v>
      </c>
      <c r="AB216">
        <v>5</v>
      </c>
      <c r="AC216">
        <v>13</v>
      </c>
      <c r="AD216">
        <v>27.78</v>
      </c>
      <c r="AE216">
        <v>12</v>
      </c>
      <c r="AF216">
        <v>3</v>
      </c>
      <c r="AG216">
        <v>6</v>
      </c>
      <c r="AH216">
        <v>9</v>
      </c>
    </row>
    <row r="217" spans="1:34">
      <c r="C217" s="113"/>
      <c r="D217" s="113"/>
      <c r="H217" s="113"/>
      <c r="J217" s="113"/>
      <c r="K217" s="113"/>
      <c r="O217" s="113"/>
    </row>
    <row r="218" spans="1:34">
      <c r="C218" s="113"/>
      <c r="D218" s="113"/>
      <c r="H218" s="113"/>
      <c r="J218" s="113"/>
      <c r="K218" s="113"/>
      <c r="O218" s="113"/>
    </row>
    <row r="219" spans="1:34">
      <c r="C219" s="113"/>
      <c r="D219" s="113"/>
      <c r="H219" s="113"/>
      <c r="J219" s="113"/>
      <c r="K219" s="113"/>
      <c r="O219" s="113"/>
    </row>
    <row r="220" spans="1:34">
      <c r="C220" s="113"/>
      <c r="D220" s="113"/>
      <c r="H220" s="113"/>
      <c r="J220" s="113"/>
      <c r="K220" s="113"/>
      <c r="O220" s="113"/>
    </row>
    <row r="221" spans="1:34">
      <c r="C221" s="113"/>
      <c r="D221" s="113"/>
      <c r="H221" s="113"/>
      <c r="J221" s="113"/>
      <c r="K221" s="113"/>
      <c r="O221" s="113"/>
      <c r="R221" s="20"/>
    </row>
    <row r="222" spans="1:34">
      <c r="C222" s="113"/>
      <c r="D222" s="113"/>
      <c r="H222" s="113"/>
      <c r="J222" s="113"/>
      <c r="K222" s="113"/>
      <c r="O222" s="113"/>
      <c r="R222" s="20"/>
    </row>
    <row r="223" spans="1:34">
      <c r="C223" s="113"/>
      <c r="D223" s="113"/>
      <c r="H223" s="113"/>
      <c r="J223" s="113"/>
      <c r="K223" s="113"/>
      <c r="O223" s="113"/>
    </row>
    <row r="224" spans="1:34">
      <c r="C224" s="113"/>
      <c r="D224" s="113"/>
      <c r="H224" s="113"/>
      <c r="J224" s="113"/>
      <c r="K224" s="113"/>
      <c r="O224" s="113"/>
    </row>
    <row r="225" spans="3:19">
      <c r="C225" s="113"/>
      <c r="D225" s="113"/>
      <c r="H225" s="113"/>
      <c r="J225" s="113"/>
      <c r="K225" s="113"/>
      <c r="O225" s="113"/>
      <c r="R225" s="20"/>
    </row>
    <row r="226" spans="3:19">
      <c r="C226" s="113"/>
      <c r="D226" s="113"/>
      <c r="H226" s="113"/>
      <c r="J226" s="113"/>
      <c r="K226" s="113"/>
      <c r="O226" s="113"/>
    </row>
    <row r="227" spans="3:19">
      <c r="C227" s="113"/>
      <c r="D227" s="113"/>
      <c r="H227" s="113"/>
      <c r="J227" s="113"/>
      <c r="K227" s="113"/>
      <c r="O227" s="113"/>
    </row>
    <row r="228" spans="3:19">
      <c r="C228" s="113"/>
      <c r="D228" s="113"/>
      <c r="H228" s="113"/>
      <c r="J228" s="113"/>
      <c r="K228" s="113"/>
      <c r="O228" s="113"/>
    </row>
    <row r="229" spans="3:19">
      <c r="C229" s="113"/>
      <c r="D229" s="113"/>
      <c r="H229" s="113"/>
      <c r="J229" s="113"/>
      <c r="K229" s="113"/>
      <c r="O229" s="113"/>
    </row>
    <row r="230" spans="3:19">
      <c r="C230" s="113"/>
      <c r="D230" s="113"/>
      <c r="H230" s="113"/>
      <c r="J230" s="113"/>
      <c r="K230" s="113"/>
      <c r="O230" s="113"/>
    </row>
    <row r="231" spans="3:19">
      <c r="C231" s="113"/>
      <c r="D231" s="113"/>
      <c r="H231" s="113"/>
      <c r="J231" s="113"/>
      <c r="K231" s="113"/>
      <c r="O231" s="113"/>
    </row>
    <row r="232" spans="3:19">
      <c r="C232" s="113"/>
      <c r="D232" s="113"/>
      <c r="H232" s="113"/>
      <c r="J232" s="113"/>
      <c r="K232" s="113"/>
      <c r="O232" s="113"/>
    </row>
    <row r="233" spans="3:19">
      <c r="C233" s="113"/>
      <c r="D233" s="113"/>
      <c r="H233" s="113"/>
      <c r="J233" s="113"/>
      <c r="K233" s="113"/>
      <c r="O233" s="113"/>
      <c r="R233" s="20"/>
    </row>
    <row r="234" spans="3:19">
      <c r="C234" s="113"/>
      <c r="D234" s="113"/>
      <c r="H234" s="113"/>
      <c r="J234" s="113"/>
      <c r="K234" s="113"/>
      <c r="O234" s="113"/>
    </row>
    <row r="235" spans="3:19">
      <c r="C235" s="113"/>
      <c r="D235" s="113"/>
      <c r="H235" s="113"/>
      <c r="J235" s="113"/>
      <c r="K235" s="113"/>
      <c r="O235" s="113"/>
    </row>
    <row r="236" spans="3:19">
      <c r="C236" s="113"/>
      <c r="D236" s="113"/>
      <c r="H236" s="113"/>
      <c r="J236" s="113"/>
      <c r="K236" s="113"/>
      <c r="O236" s="113"/>
    </row>
    <row r="237" spans="3:19">
      <c r="C237" s="113"/>
      <c r="D237" s="113"/>
      <c r="H237" s="113"/>
      <c r="J237" s="113"/>
      <c r="K237" s="113"/>
      <c r="O237" s="113"/>
      <c r="R237" s="20"/>
      <c r="S237" s="20"/>
    </row>
    <row r="238" spans="3:19">
      <c r="C238" s="113"/>
      <c r="D238" s="113"/>
      <c r="H238" s="113"/>
      <c r="J238" s="113"/>
      <c r="K238" s="113"/>
      <c r="O238" s="113"/>
    </row>
    <row r="239" spans="3:19">
      <c r="C239" s="113"/>
      <c r="D239" s="113"/>
      <c r="H239" s="113"/>
      <c r="J239" s="113"/>
      <c r="K239" s="113"/>
      <c r="O239" s="113"/>
    </row>
    <row r="240" spans="3:19">
      <c r="C240" s="113"/>
      <c r="D240" s="113"/>
      <c r="H240" s="113"/>
      <c r="J240" s="113"/>
      <c r="K240" s="113"/>
      <c r="O240" s="113"/>
      <c r="R240" s="20"/>
    </row>
    <row r="241" spans="3:19">
      <c r="C241" s="113"/>
      <c r="D241" s="113"/>
      <c r="H241" s="113"/>
      <c r="J241" s="113"/>
      <c r="K241" s="113"/>
      <c r="O241" s="113"/>
    </row>
    <row r="242" spans="3:19">
      <c r="C242" s="113"/>
      <c r="D242" s="113"/>
      <c r="H242" s="113"/>
      <c r="J242" s="113"/>
      <c r="K242" s="113"/>
      <c r="O242" s="113"/>
    </row>
    <row r="243" spans="3:19">
      <c r="C243" s="113"/>
      <c r="D243" s="113"/>
      <c r="H243" s="113"/>
      <c r="J243" s="113"/>
      <c r="K243" s="113"/>
      <c r="O243" s="113"/>
      <c r="R243" s="20"/>
    </row>
    <row r="244" spans="3:19">
      <c r="C244" s="113"/>
      <c r="D244" s="113"/>
      <c r="H244" s="113"/>
      <c r="J244" s="113"/>
      <c r="K244" s="113"/>
      <c r="O244" s="113"/>
      <c r="R244" s="20"/>
      <c r="S244" s="20"/>
    </row>
    <row r="245" spans="3:19">
      <c r="C245" s="113"/>
      <c r="D245" s="113"/>
      <c r="H245" s="113"/>
      <c r="J245" s="113"/>
      <c r="K245" s="113"/>
      <c r="O245" s="113"/>
    </row>
    <row r="246" spans="3:19">
      <c r="C246" s="113"/>
      <c r="D246" s="113"/>
      <c r="H246" s="113"/>
      <c r="J246" s="113"/>
      <c r="K246" s="113"/>
      <c r="O246" s="113"/>
    </row>
    <row r="247" spans="3:19">
      <c r="C247" s="113"/>
      <c r="D247" s="113"/>
      <c r="H247" s="113"/>
      <c r="J247" s="113"/>
      <c r="K247" s="113"/>
      <c r="O247" s="113"/>
    </row>
    <row r="248" spans="3:19">
      <c r="C248" s="113"/>
      <c r="D248" s="113"/>
      <c r="H248" s="113"/>
      <c r="J248" s="113"/>
      <c r="K248" s="113"/>
      <c r="O248" s="113"/>
    </row>
    <row r="249" spans="3:19">
      <c r="C249" s="113"/>
      <c r="D249" s="113"/>
      <c r="H249" s="113"/>
      <c r="J249" s="113"/>
      <c r="K249" s="113"/>
      <c r="O249" s="113"/>
    </row>
    <row r="250" spans="3:19">
      <c r="C250" s="113"/>
      <c r="D250" s="113"/>
      <c r="H250" s="113"/>
      <c r="J250" s="113"/>
      <c r="K250" s="113"/>
      <c r="O250" s="113"/>
    </row>
    <row r="251" spans="3:19">
      <c r="C251" s="113"/>
      <c r="D251" s="113"/>
      <c r="H251" s="113"/>
      <c r="J251" s="113"/>
      <c r="K251" s="113"/>
      <c r="O251" s="113"/>
    </row>
    <row r="252" spans="3:19">
      <c r="C252" s="113"/>
      <c r="D252" s="113"/>
      <c r="H252" s="113"/>
      <c r="J252" s="113"/>
      <c r="K252" s="113"/>
      <c r="O252" s="113"/>
    </row>
    <row r="253" spans="3:19">
      <c r="C253" s="113"/>
      <c r="D253" s="113"/>
      <c r="H253" s="113"/>
      <c r="J253" s="113"/>
      <c r="K253" s="113"/>
      <c r="O253" s="113"/>
    </row>
    <row r="254" spans="3:19">
      <c r="C254" s="113"/>
      <c r="D254" s="113"/>
      <c r="H254" s="113"/>
      <c r="J254" s="113"/>
      <c r="K254" s="113"/>
      <c r="O254" s="113"/>
    </row>
    <row r="255" spans="3:19">
      <c r="C255" s="113"/>
      <c r="D255" s="113"/>
      <c r="H255" s="113"/>
      <c r="J255" s="113"/>
      <c r="K255" s="113"/>
      <c r="O255" s="113"/>
    </row>
    <row r="256" spans="3:19">
      <c r="C256" s="113"/>
      <c r="D256" s="113"/>
      <c r="H256" s="113"/>
      <c r="J256" s="113"/>
      <c r="K256" s="113"/>
      <c r="O256" s="113"/>
    </row>
    <row r="257" spans="3:18">
      <c r="C257" s="113"/>
      <c r="D257" s="113"/>
      <c r="H257" s="113"/>
      <c r="J257" s="113"/>
      <c r="K257" s="113"/>
      <c r="O257" s="113"/>
      <c r="R257" s="20"/>
    </row>
    <row r="258" spans="3:18">
      <c r="C258" s="113"/>
      <c r="D258" s="113"/>
      <c r="H258" s="113"/>
      <c r="J258" s="113"/>
      <c r="K258" s="113"/>
      <c r="O258" s="113"/>
    </row>
    <row r="259" spans="3:18">
      <c r="C259" s="113"/>
      <c r="D259" s="113"/>
      <c r="H259" s="113"/>
      <c r="J259" s="113"/>
      <c r="K259" s="113"/>
      <c r="O259" s="113"/>
      <c r="R259" s="20"/>
    </row>
    <row r="260" spans="3:18">
      <c r="C260" s="113"/>
      <c r="D260" s="113"/>
      <c r="H260" s="113"/>
      <c r="J260" s="113"/>
      <c r="K260" s="113"/>
      <c r="O260" s="113"/>
    </row>
    <row r="261" spans="3:18">
      <c r="C261" s="113"/>
      <c r="D261" s="113"/>
      <c r="H261" s="113"/>
      <c r="J261" s="113"/>
      <c r="K261" s="113"/>
      <c r="O261" s="113"/>
    </row>
    <row r="262" spans="3:18">
      <c r="C262" s="113"/>
      <c r="D262" s="113"/>
      <c r="H262" s="113"/>
      <c r="J262" s="113"/>
      <c r="K262" s="113"/>
      <c r="O262" s="113"/>
      <c r="R262" s="20"/>
    </row>
    <row r="263" spans="3:18">
      <c r="C263" s="113"/>
      <c r="D263" s="113"/>
      <c r="H263" s="113"/>
      <c r="J263" s="113"/>
      <c r="K263" s="113"/>
      <c r="O263" s="113"/>
    </row>
    <row r="264" spans="3:18">
      <c r="C264" s="113"/>
      <c r="D264" s="113"/>
      <c r="H264" s="113"/>
      <c r="J264" s="113"/>
      <c r="K264" s="113"/>
      <c r="O264" s="113"/>
    </row>
    <row r="265" spans="3:18">
      <c r="C265" s="113"/>
      <c r="D265" s="113"/>
      <c r="H265" s="113"/>
      <c r="J265" s="113"/>
      <c r="K265" s="113"/>
      <c r="O265" s="113"/>
    </row>
    <row r="266" spans="3:18">
      <c r="C266" s="113"/>
      <c r="D266" s="113"/>
      <c r="H266" s="113"/>
      <c r="J266" s="113"/>
      <c r="K266" s="113"/>
      <c r="O266" s="113"/>
    </row>
    <row r="267" spans="3:18">
      <c r="C267" s="113"/>
      <c r="D267" s="113"/>
      <c r="H267" s="113"/>
      <c r="J267" s="113"/>
      <c r="K267" s="113"/>
      <c r="O267" s="113"/>
    </row>
    <row r="268" spans="3:18">
      <c r="C268" s="113"/>
      <c r="D268" s="113"/>
      <c r="H268" s="113"/>
      <c r="J268" s="113"/>
      <c r="K268" s="113"/>
      <c r="O268" s="113"/>
    </row>
    <row r="269" spans="3:18">
      <c r="C269" s="113"/>
      <c r="D269" s="113"/>
      <c r="H269" s="113"/>
      <c r="J269" s="113"/>
      <c r="K269" s="113"/>
      <c r="O269" s="113"/>
    </row>
    <row r="270" spans="3:18">
      <c r="C270" s="113"/>
      <c r="D270" s="113"/>
      <c r="H270" s="113"/>
      <c r="J270" s="113"/>
      <c r="K270" s="113"/>
      <c r="O270" s="113"/>
    </row>
    <row r="271" spans="3:18">
      <c r="C271" s="113"/>
      <c r="D271" s="113"/>
      <c r="H271" s="113"/>
      <c r="J271" s="113"/>
      <c r="K271" s="113"/>
      <c r="O271" s="113"/>
    </row>
    <row r="272" spans="3:18">
      <c r="C272" s="113"/>
      <c r="D272" s="113"/>
      <c r="H272" s="113"/>
      <c r="J272" s="113"/>
      <c r="K272" s="113"/>
      <c r="O272" s="113"/>
    </row>
    <row r="273" spans="3:18">
      <c r="C273" s="113"/>
      <c r="D273" s="113"/>
      <c r="H273" s="113"/>
      <c r="J273" s="113"/>
      <c r="K273" s="113"/>
      <c r="O273" s="113"/>
    </row>
    <row r="274" spans="3:18">
      <c r="C274" s="113"/>
      <c r="D274" s="113"/>
      <c r="H274" s="113"/>
      <c r="J274" s="113"/>
      <c r="K274" s="113"/>
      <c r="O274" s="113"/>
    </row>
    <row r="275" spans="3:18">
      <c r="C275" s="113"/>
      <c r="D275" s="113"/>
      <c r="H275" s="113"/>
      <c r="J275" s="113"/>
      <c r="K275" s="113"/>
      <c r="O275" s="113"/>
    </row>
    <row r="276" spans="3:18">
      <c r="C276" s="113"/>
      <c r="D276" s="113"/>
      <c r="H276" s="113"/>
      <c r="J276" s="113"/>
      <c r="K276" s="113"/>
      <c r="O276" s="113"/>
    </row>
    <row r="277" spans="3:18">
      <c r="C277" s="113"/>
      <c r="D277" s="113"/>
      <c r="H277" s="113"/>
      <c r="J277" s="113"/>
      <c r="K277" s="113"/>
      <c r="O277" s="113"/>
    </row>
    <row r="278" spans="3:18">
      <c r="C278" s="113"/>
      <c r="D278" s="113"/>
      <c r="H278" s="113"/>
      <c r="J278" s="113"/>
      <c r="K278" s="113"/>
      <c r="O278" s="113"/>
    </row>
    <row r="279" spans="3:18">
      <c r="C279" s="113"/>
      <c r="D279" s="113"/>
      <c r="H279" s="113"/>
      <c r="J279" s="113"/>
      <c r="K279" s="113"/>
      <c r="O279" s="113"/>
    </row>
    <row r="280" spans="3:18">
      <c r="C280" s="113"/>
      <c r="D280" s="113"/>
      <c r="H280" s="113"/>
      <c r="J280" s="113"/>
      <c r="K280" s="113"/>
      <c r="O280" s="113"/>
    </row>
    <row r="281" spans="3:18">
      <c r="C281" s="113"/>
      <c r="D281" s="113"/>
      <c r="H281" s="113"/>
      <c r="J281" s="113"/>
      <c r="K281" s="113"/>
      <c r="O281" s="113"/>
      <c r="R281" s="20"/>
    </row>
    <row r="282" spans="3:18">
      <c r="C282" s="113"/>
      <c r="D282" s="113"/>
      <c r="H282" s="113"/>
      <c r="J282" s="113"/>
      <c r="K282" s="113"/>
      <c r="O282" s="113"/>
    </row>
    <row r="283" spans="3:18">
      <c r="C283" s="113"/>
      <c r="D283" s="113"/>
      <c r="H283" s="113"/>
      <c r="J283" s="113"/>
      <c r="K283" s="113"/>
      <c r="O283" s="113"/>
    </row>
    <row r="284" spans="3:18">
      <c r="C284" s="113"/>
      <c r="D284" s="113"/>
      <c r="H284" s="113"/>
      <c r="J284" s="113"/>
      <c r="K284" s="113"/>
      <c r="O284" s="113"/>
    </row>
    <row r="285" spans="3:18">
      <c r="C285" s="113"/>
      <c r="D285" s="113"/>
      <c r="H285" s="113"/>
      <c r="J285" s="113"/>
      <c r="K285" s="113"/>
      <c r="O285" s="113"/>
    </row>
    <row r="286" spans="3:18">
      <c r="C286" s="113"/>
      <c r="D286" s="113"/>
      <c r="H286" s="113"/>
      <c r="J286" s="113"/>
      <c r="K286" s="113"/>
      <c r="O286" s="113"/>
    </row>
    <row r="287" spans="3:18">
      <c r="C287" s="113"/>
      <c r="D287" s="113"/>
      <c r="H287" s="113"/>
      <c r="J287" s="113"/>
      <c r="K287" s="113"/>
      <c r="O287" s="113"/>
    </row>
    <row r="288" spans="3:18">
      <c r="C288" s="113"/>
      <c r="D288" s="113"/>
      <c r="H288" s="113"/>
      <c r="J288" s="113"/>
      <c r="K288" s="113"/>
      <c r="O288" s="113"/>
    </row>
    <row r="289" spans="3:19">
      <c r="C289" s="113"/>
      <c r="D289" s="113"/>
      <c r="H289" s="113"/>
      <c r="J289" s="113"/>
      <c r="K289" s="113"/>
      <c r="O289" s="113"/>
    </row>
    <row r="290" spans="3:19">
      <c r="C290" s="113"/>
      <c r="D290" s="113"/>
      <c r="H290" s="113"/>
      <c r="J290" s="113"/>
      <c r="K290" s="113"/>
      <c r="O290" s="113"/>
    </row>
    <row r="291" spans="3:19">
      <c r="C291" s="113"/>
      <c r="D291" s="113"/>
      <c r="H291" s="113"/>
      <c r="J291" s="113"/>
      <c r="K291" s="113"/>
      <c r="O291" s="113"/>
    </row>
    <row r="292" spans="3:19">
      <c r="C292" s="113"/>
      <c r="D292" s="113"/>
      <c r="H292" s="113"/>
      <c r="J292" s="113"/>
      <c r="K292" s="113"/>
      <c r="O292" s="113"/>
    </row>
    <row r="293" spans="3:19">
      <c r="C293" s="113"/>
      <c r="D293" s="113"/>
      <c r="H293" s="113"/>
      <c r="J293" s="113"/>
      <c r="K293" s="113"/>
      <c r="O293" s="113"/>
    </row>
    <row r="294" spans="3:19">
      <c r="C294" s="113"/>
      <c r="D294" s="113"/>
      <c r="H294" s="113"/>
      <c r="J294" s="113"/>
      <c r="K294" s="113"/>
      <c r="O294" s="113"/>
    </row>
    <row r="295" spans="3:19">
      <c r="C295" s="113"/>
      <c r="D295" s="113"/>
      <c r="H295" s="113"/>
      <c r="J295" s="113"/>
      <c r="K295" s="113"/>
      <c r="O295" s="113"/>
    </row>
    <row r="296" spans="3:19">
      <c r="C296" s="113"/>
      <c r="D296" s="113"/>
      <c r="H296" s="113"/>
      <c r="J296" s="113"/>
      <c r="K296" s="113"/>
      <c r="O296" s="113"/>
      <c r="R296" s="20"/>
    </row>
    <row r="297" spans="3:19">
      <c r="C297" s="113"/>
      <c r="D297" s="113"/>
      <c r="H297" s="113"/>
      <c r="J297" s="113"/>
      <c r="K297" s="113"/>
      <c r="O297" s="113"/>
      <c r="R297" s="20"/>
    </row>
    <row r="298" spans="3:19">
      <c r="C298" s="113"/>
      <c r="D298" s="113"/>
      <c r="H298" s="113"/>
      <c r="J298" s="113"/>
      <c r="K298" s="113"/>
      <c r="O298" s="113"/>
    </row>
    <row r="299" spans="3:19">
      <c r="C299" s="113"/>
      <c r="D299" s="113"/>
      <c r="H299" s="113"/>
      <c r="J299" s="113"/>
      <c r="K299" s="113"/>
      <c r="O299" s="113"/>
    </row>
    <row r="300" spans="3:19">
      <c r="C300" s="113"/>
      <c r="D300" s="113"/>
      <c r="H300" s="113"/>
      <c r="J300" s="113"/>
      <c r="K300" s="113"/>
      <c r="O300" s="113"/>
    </row>
    <row r="301" spans="3:19">
      <c r="C301" s="113"/>
      <c r="D301" s="113"/>
      <c r="H301" s="113"/>
      <c r="J301" s="113"/>
      <c r="K301" s="113"/>
      <c r="O301" s="113"/>
      <c r="S301" s="20"/>
    </row>
    <row r="302" spans="3:19">
      <c r="C302" s="113"/>
      <c r="D302" s="113"/>
      <c r="H302" s="113"/>
      <c r="J302" s="113"/>
      <c r="K302" s="113"/>
      <c r="O302" s="113"/>
    </row>
    <row r="303" spans="3:19">
      <c r="C303" s="113"/>
      <c r="D303" s="113"/>
      <c r="H303" s="113"/>
      <c r="J303" s="113"/>
      <c r="K303" s="113"/>
      <c r="O303" s="113"/>
    </row>
    <row r="304" spans="3:19">
      <c r="C304" s="113"/>
      <c r="D304" s="113"/>
      <c r="H304" s="113"/>
      <c r="J304" s="113"/>
      <c r="K304" s="113"/>
      <c r="O304" s="113"/>
    </row>
    <row r="305" spans="3:19">
      <c r="C305" s="113"/>
      <c r="D305" s="113"/>
      <c r="H305" s="113"/>
      <c r="J305" s="113"/>
      <c r="K305" s="113"/>
      <c r="O305" s="113"/>
    </row>
    <row r="306" spans="3:19">
      <c r="C306" s="113"/>
      <c r="D306" s="113"/>
      <c r="H306" s="113"/>
      <c r="J306" s="113"/>
      <c r="K306" s="113"/>
      <c r="O306" s="113"/>
      <c r="S306" s="20"/>
    </row>
    <row r="307" spans="3:19">
      <c r="C307" s="113"/>
      <c r="D307" s="113"/>
      <c r="H307" s="113"/>
      <c r="J307" s="113"/>
      <c r="K307" s="113"/>
      <c r="O307" s="113"/>
    </row>
    <row r="308" spans="3:19">
      <c r="C308" s="113"/>
      <c r="D308" s="113"/>
      <c r="H308" s="113"/>
      <c r="J308" s="113"/>
      <c r="K308" s="113"/>
      <c r="O308" s="113"/>
    </row>
    <row r="309" spans="3:19">
      <c r="C309" s="113"/>
      <c r="D309" s="113"/>
      <c r="H309" s="113"/>
      <c r="J309" s="113"/>
      <c r="K309" s="113"/>
      <c r="O309" s="113"/>
    </row>
    <row r="310" spans="3:19">
      <c r="C310" s="113"/>
      <c r="D310" s="113"/>
      <c r="H310" s="113"/>
      <c r="J310" s="113"/>
      <c r="K310" s="113"/>
      <c r="O310" s="113"/>
    </row>
    <row r="311" spans="3:19">
      <c r="C311" s="113"/>
      <c r="D311" s="113"/>
      <c r="H311" s="113"/>
      <c r="J311" s="113"/>
      <c r="K311" s="113"/>
      <c r="O311" s="113"/>
    </row>
    <row r="312" spans="3:19">
      <c r="C312" s="113"/>
      <c r="D312" s="113"/>
      <c r="H312" s="113"/>
      <c r="J312" s="113"/>
      <c r="K312" s="113"/>
      <c r="O312" s="113"/>
    </row>
    <row r="313" spans="3:19">
      <c r="C313" s="113"/>
      <c r="D313" s="113"/>
      <c r="H313" s="113"/>
      <c r="J313" s="113"/>
      <c r="K313" s="113"/>
      <c r="O313" s="113"/>
    </row>
    <row r="314" spans="3:19">
      <c r="C314" s="113"/>
      <c r="D314" s="113"/>
      <c r="H314" s="113"/>
      <c r="J314" s="113"/>
      <c r="K314" s="113"/>
      <c r="O314" s="113"/>
    </row>
    <row r="315" spans="3:19">
      <c r="C315" s="113"/>
      <c r="D315" s="113"/>
      <c r="H315" s="113"/>
      <c r="J315" s="113"/>
      <c r="K315" s="113"/>
      <c r="O315" s="113"/>
    </row>
    <row r="316" spans="3:19">
      <c r="C316" s="113"/>
      <c r="D316" s="113"/>
      <c r="H316" s="113"/>
      <c r="J316" s="113"/>
      <c r="K316" s="113"/>
      <c r="O316" s="113"/>
    </row>
    <row r="317" spans="3:19">
      <c r="C317" s="113"/>
      <c r="D317" s="113"/>
      <c r="H317" s="113"/>
      <c r="J317" s="113"/>
      <c r="K317" s="113"/>
      <c r="O317" s="113"/>
    </row>
    <row r="318" spans="3:19">
      <c r="C318" s="113"/>
      <c r="D318" s="113"/>
      <c r="H318" s="113"/>
      <c r="J318" s="113"/>
      <c r="K318" s="113"/>
      <c r="O318" s="113"/>
    </row>
    <row r="319" spans="3:19">
      <c r="C319" s="113"/>
      <c r="D319" s="113"/>
      <c r="H319" s="113"/>
      <c r="J319" s="113"/>
      <c r="K319" s="113"/>
      <c r="O319" s="113"/>
    </row>
    <row r="320" spans="3:19">
      <c r="C320" s="113"/>
      <c r="D320" s="113"/>
      <c r="H320" s="113"/>
      <c r="J320" s="113"/>
      <c r="K320" s="113"/>
      <c r="O320" s="113"/>
    </row>
    <row r="321" spans="3:18">
      <c r="C321" s="113"/>
      <c r="D321" s="113"/>
      <c r="H321" s="113"/>
      <c r="J321" s="113"/>
      <c r="K321" s="113"/>
      <c r="O321" s="113"/>
      <c r="R321" s="20"/>
    </row>
    <row r="322" spans="3:18">
      <c r="C322" s="113"/>
      <c r="D322" s="113"/>
      <c r="H322" s="113"/>
      <c r="J322" s="113"/>
      <c r="K322" s="113"/>
      <c r="O322" s="113"/>
    </row>
    <row r="323" spans="3:18">
      <c r="C323" s="113"/>
      <c r="D323" s="113"/>
      <c r="H323" s="113"/>
      <c r="J323" s="113"/>
      <c r="K323" s="113"/>
      <c r="O323" s="113"/>
    </row>
    <row r="324" spans="3:18">
      <c r="C324" s="113"/>
      <c r="D324" s="113"/>
      <c r="H324" s="113"/>
      <c r="J324" s="113"/>
      <c r="K324" s="113"/>
      <c r="O324" s="113"/>
    </row>
    <row r="325" spans="3:18">
      <c r="C325" s="113"/>
      <c r="D325" s="113"/>
      <c r="H325" s="113"/>
      <c r="J325" s="113"/>
      <c r="K325" s="113"/>
      <c r="O325" s="113"/>
    </row>
    <row r="326" spans="3:18">
      <c r="C326" s="113"/>
      <c r="D326" s="113"/>
      <c r="H326" s="113"/>
      <c r="J326" s="113"/>
      <c r="K326" s="113"/>
      <c r="O326" s="113"/>
    </row>
    <row r="327" spans="3:18">
      <c r="C327" s="113"/>
      <c r="D327" s="113"/>
      <c r="H327" s="113"/>
      <c r="J327" s="113"/>
      <c r="K327" s="113"/>
      <c r="O327" s="113"/>
    </row>
    <row r="328" spans="3:18">
      <c r="C328" s="113"/>
      <c r="D328" s="113"/>
      <c r="H328" s="113"/>
      <c r="J328" s="113"/>
      <c r="K328" s="113"/>
      <c r="O328" s="113"/>
    </row>
    <row r="329" spans="3:18">
      <c r="C329" s="113"/>
      <c r="D329" s="113"/>
      <c r="H329" s="113"/>
      <c r="J329" s="113"/>
      <c r="K329" s="113"/>
      <c r="O329" s="113"/>
    </row>
    <row r="330" spans="3:18">
      <c r="C330" s="113"/>
      <c r="D330" s="113"/>
      <c r="H330" s="113"/>
      <c r="J330" s="113"/>
      <c r="K330" s="113"/>
      <c r="O330" s="113"/>
    </row>
    <row r="331" spans="3:18">
      <c r="C331" s="113"/>
      <c r="D331" s="113"/>
      <c r="H331" s="113"/>
      <c r="J331" s="113"/>
      <c r="K331" s="113"/>
      <c r="O331" s="113"/>
    </row>
    <row r="332" spans="3:18">
      <c r="C332" s="113"/>
      <c r="D332" s="113"/>
      <c r="H332" s="113"/>
      <c r="J332" s="113"/>
      <c r="K332" s="113"/>
      <c r="O332" s="113"/>
    </row>
    <row r="333" spans="3:18">
      <c r="C333" s="113"/>
      <c r="D333" s="113"/>
      <c r="H333" s="113"/>
      <c r="J333" s="113"/>
      <c r="K333" s="113"/>
      <c r="O333" s="113"/>
    </row>
    <row r="334" spans="3:18">
      <c r="C334" s="113"/>
      <c r="D334" s="113"/>
      <c r="H334" s="113"/>
      <c r="J334" s="113"/>
      <c r="K334" s="113"/>
      <c r="O334" s="113"/>
    </row>
    <row r="335" spans="3:18">
      <c r="C335" s="113"/>
      <c r="D335" s="113"/>
      <c r="H335" s="113"/>
      <c r="J335" s="113"/>
      <c r="K335" s="113"/>
      <c r="O335" s="113"/>
    </row>
    <row r="336" spans="3:18">
      <c r="C336" s="113"/>
      <c r="D336" s="113"/>
      <c r="H336" s="113"/>
      <c r="J336" s="113"/>
      <c r="K336" s="113"/>
      <c r="O336" s="113"/>
      <c r="R336" s="20"/>
    </row>
    <row r="337" spans="3:18">
      <c r="C337" s="113"/>
      <c r="D337" s="113"/>
      <c r="H337" s="113"/>
      <c r="J337" s="113"/>
      <c r="K337" s="113"/>
      <c r="O337" s="113"/>
    </row>
    <row r="338" spans="3:18">
      <c r="C338" s="113"/>
      <c r="D338" s="113"/>
      <c r="H338" s="113"/>
      <c r="J338" s="113"/>
      <c r="K338" s="113"/>
      <c r="O338" s="113"/>
    </row>
    <row r="339" spans="3:18">
      <c r="C339" s="113"/>
      <c r="D339" s="113"/>
      <c r="H339" s="113"/>
      <c r="J339" s="113"/>
      <c r="K339" s="113"/>
      <c r="O339" s="113"/>
    </row>
    <row r="340" spans="3:18">
      <c r="C340" s="113"/>
      <c r="D340" s="113"/>
      <c r="H340" s="113"/>
      <c r="J340" s="113"/>
      <c r="K340" s="113"/>
      <c r="O340" s="113"/>
    </row>
    <row r="341" spans="3:18">
      <c r="C341" s="113"/>
      <c r="D341" s="113"/>
      <c r="H341" s="113"/>
      <c r="J341" s="113"/>
      <c r="K341" s="113"/>
      <c r="O341" s="113"/>
      <c r="R341" s="20"/>
    </row>
    <row r="342" spans="3:18">
      <c r="C342" s="113"/>
      <c r="D342" s="113"/>
      <c r="H342" s="113"/>
      <c r="J342" s="113"/>
      <c r="K342" s="113"/>
      <c r="O342" s="113"/>
    </row>
    <row r="343" spans="3:18">
      <c r="C343" s="113"/>
      <c r="D343" s="113"/>
      <c r="H343" s="113"/>
      <c r="J343" s="113"/>
      <c r="K343" s="113"/>
      <c r="O343" s="113"/>
    </row>
    <row r="344" spans="3:18">
      <c r="C344" s="113"/>
      <c r="D344" s="113"/>
      <c r="H344" s="113"/>
      <c r="J344" s="113"/>
      <c r="K344" s="113"/>
      <c r="O344" s="113"/>
    </row>
    <row r="345" spans="3:18">
      <c r="C345" s="113"/>
      <c r="D345" s="113"/>
      <c r="H345" s="113"/>
      <c r="J345" s="113"/>
      <c r="K345" s="113"/>
      <c r="O345" s="113"/>
    </row>
    <row r="346" spans="3:18">
      <c r="C346" s="113"/>
      <c r="D346" s="113"/>
      <c r="H346" s="113"/>
      <c r="J346" s="113"/>
      <c r="K346" s="113"/>
      <c r="O346" s="113"/>
    </row>
    <row r="347" spans="3:18">
      <c r="C347" s="113"/>
      <c r="D347" s="113"/>
      <c r="H347" s="113"/>
      <c r="J347" s="113"/>
      <c r="K347" s="113"/>
      <c r="O347" s="113"/>
    </row>
    <row r="348" spans="3:18">
      <c r="C348" s="113"/>
      <c r="D348" s="113"/>
      <c r="H348" s="113"/>
      <c r="J348" s="113"/>
      <c r="K348" s="113"/>
      <c r="O348" s="113"/>
    </row>
    <row r="349" spans="3:18">
      <c r="C349" s="113"/>
      <c r="D349" s="113"/>
      <c r="H349" s="113"/>
      <c r="J349" s="113"/>
      <c r="K349" s="113"/>
      <c r="O349" s="113"/>
    </row>
    <row r="350" spans="3:18">
      <c r="C350" s="113"/>
      <c r="D350" s="113"/>
      <c r="H350" s="113"/>
      <c r="J350" s="113"/>
      <c r="K350" s="113"/>
      <c r="O350" s="113"/>
    </row>
    <row r="351" spans="3:18">
      <c r="C351" s="113"/>
      <c r="D351" s="113"/>
      <c r="H351" s="113"/>
      <c r="J351" s="113"/>
      <c r="K351" s="113"/>
      <c r="O351" s="113"/>
    </row>
    <row r="352" spans="3:18">
      <c r="C352" s="113"/>
      <c r="D352" s="113"/>
      <c r="H352" s="113"/>
      <c r="J352" s="113"/>
      <c r="K352" s="113"/>
      <c r="O352" s="113"/>
    </row>
    <row r="353" spans="3:15">
      <c r="C353" s="113"/>
      <c r="D353" s="113"/>
      <c r="H353" s="113"/>
      <c r="J353" s="113"/>
      <c r="K353" s="113"/>
      <c r="O353" s="113"/>
    </row>
    <row r="354" spans="3:15">
      <c r="C354" s="113"/>
      <c r="D354" s="113"/>
      <c r="H354" s="113"/>
      <c r="J354" s="113"/>
      <c r="K354" s="113"/>
      <c r="O354" s="113"/>
    </row>
    <row r="355" spans="3:15">
      <c r="C355" s="113"/>
      <c r="D355" s="113"/>
      <c r="H355" s="113"/>
      <c r="J355" s="113"/>
      <c r="K355" s="113"/>
      <c r="O355" s="113"/>
    </row>
    <row r="356" spans="3:15">
      <c r="C356" s="113"/>
      <c r="D356" s="113"/>
      <c r="H356" s="113"/>
      <c r="J356" s="113"/>
      <c r="K356" s="113"/>
      <c r="O356" s="113"/>
    </row>
    <row r="357" spans="3:15">
      <c r="C357" s="113"/>
      <c r="D357" s="113"/>
      <c r="H357" s="113"/>
      <c r="J357" s="113"/>
      <c r="K357" s="113"/>
      <c r="O357" s="113"/>
    </row>
    <row r="358" spans="3:15">
      <c r="C358" s="113"/>
      <c r="D358" s="113"/>
      <c r="H358" s="113"/>
      <c r="J358" s="113"/>
      <c r="K358" s="113"/>
      <c r="O358" s="113"/>
    </row>
    <row r="359" spans="3:15">
      <c r="C359" s="113"/>
      <c r="D359" s="113"/>
      <c r="H359" s="113"/>
      <c r="J359" s="113"/>
      <c r="K359" s="113"/>
      <c r="O359" s="113"/>
    </row>
    <row r="360" spans="3:15">
      <c r="C360" s="113"/>
      <c r="D360" s="113"/>
      <c r="H360" s="113"/>
      <c r="J360" s="113"/>
      <c r="K360" s="113"/>
      <c r="O360" s="113"/>
    </row>
    <row r="361" spans="3:15">
      <c r="C361" s="113"/>
      <c r="D361" s="113"/>
      <c r="H361" s="113"/>
      <c r="J361" s="113"/>
      <c r="K361" s="113"/>
      <c r="O361" s="113"/>
    </row>
    <row r="362" spans="3:15">
      <c r="C362" s="113"/>
      <c r="D362" s="113"/>
      <c r="H362" s="113"/>
      <c r="J362" s="113"/>
      <c r="K362" s="113"/>
      <c r="O362" s="113"/>
    </row>
    <row r="363" spans="3:15">
      <c r="C363" s="113"/>
      <c r="D363" s="113"/>
      <c r="H363" s="113"/>
      <c r="J363" s="113"/>
      <c r="K363" s="113"/>
      <c r="O363" s="113"/>
    </row>
    <row r="364" spans="3:15">
      <c r="C364" s="113"/>
      <c r="D364" s="113"/>
      <c r="H364" s="113"/>
      <c r="J364" s="113"/>
      <c r="K364" s="113"/>
      <c r="O364" s="113"/>
    </row>
    <row r="365" spans="3:15">
      <c r="C365" s="113"/>
      <c r="D365" s="113"/>
      <c r="H365" s="113"/>
      <c r="J365" s="113"/>
      <c r="K365" s="113"/>
      <c r="O365" s="113"/>
    </row>
    <row r="366" spans="3:15">
      <c r="C366" s="113"/>
      <c r="D366" s="113"/>
      <c r="H366" s="113"/>
      <c r="J366" s="113"/>
      <c r="K366" s="113"/>
      <c r="O366" s="113"/>
    </row>
    <row r="367" spans="3:15">
      <c r="C367" s="113"/>
      <c r="D367" s="113"/>
      <c r="H367" s="113"/>
      <c r="J367" s="113"/>
      <c r="K367" s="113"/>
      <c r="O367" s="113"/>
    </row>
    <row r="368" spans="3:15">
      <c r="C368" s="113"/>
      <c r="D368" s="113"/>
      <c r="H368" s="113"/>
      <c r="J368" s="113"/>
      <c r="K368" s="113"/>
      <c r="O368" s="113"/>
    </row>
    <row r="369" spans="3:19">
      <c r="C369" s="113"/>
      <c r="D369" s="113"/>
      <c r="H369" s="113"/>
      <c r="J369" s="113"/>
      <c r="K369" s="113"/>
      <c r="O369" s="113"/>
    </row>
    <row r="370" spans="3:19">
      <c r="C370" s="113"/>
      <c r="D370" s="113"/>
      <c r="H370" s="113"/>
      <c r="J370" s="113"/>
      <c r="K370" s="113"/>
      <c r="O370" s="113"/>
    </row>
    <row r="371" spans="3:19">
      <c r="C371" s="113"/>
      <c r="D371" s="113"/>
      <c r="H371" s="113"/>
      <c r="J371" s="113"/>
      <c r="K371" s="113"/>
      <c r="O371" s="113"/>
    </row>
    <row r="372" spans="3:19">
      <c r="C372" s="113"/>
      <c r="D372" s="113"/>
      <c r="H372" s="113"/>
      <c r="J372" s="113"/>
      <c r="K372" s="113"/>
      <c r="O372" s="113"/>
    </row>
    <row r="373" spans="3:19">
      <c r="C373" s="113"/>
      <c r="D373" s="113"/>
      <c r="H373" s="113"/>
      <c r="J373" s="113"/>
      <c r="K373" s="113"/>
      <c r="O373" s="113"/>
    </row>
    <row r="374" spans="3:19">
      <c r="C374" s="113"/>
      <c r="D374" s="113"/>
      <c r="H374" s="113"/>
      <c r="J374" s="113"/>
      <c r="K374" s="113"/>
      <c r="O374" s="113"/>
    </row>
    <row r="375" spans="3:19">
      <c r="C375" s="113"/>
      <c r="D375" s="113"/>
      <c r="H375" s="113"/>
      <c r="J375" s="113"/>
      <c r="K375" s="113"/>
      <c r="O375" s="113"/>
    </row>
    <row r="376" spans="3:19">
      <c r="C376" s="113"/>
      <c r="D376" s="113"/>
      <c r="H376" s="113"/>
      <c r="J376" s="113"/>
      <c r="K376" s="113"/>
      <c r="O376" s="113"/>
    </row>
    <row r="377" spans="3:19">
      <c r="C377" s="113"/>
      <c r="D377" s="113"/>
      <c r="H377" s="113"/>
      <c r="J377" s="113"/>
      <c r="K377" s="113"/>
      <c r="O377" s="113"/>
      <c r="S377" s="20"/>
    </row>
    <row r="378" spans="3:19">
      <c r="C378" s="113"/>
      <c r="D378" s="113"/>
      <c r="H378" s="113"/>
      <c r="J378" s="113"/>
      <c r="K378" s="113"/>
      <c r="O378" s="113"/>
    </row>
    <row r="379" spans="3:19">
      <c r="C379" s="113"/>
      <c r="D379" s="113"/>
      <c r="H379" s="113"/>
      <c r="J379" s="113"/>
      <c r="K379" s="113"/>
      <c r="O379" s="113"/>
      <c r="R379" s="20"/>
    </row>
    <row r="380" spans="3:19">
      <c r="C380" s="113"/>
      <c r="D380" s="113"/>
      <c r="H380" s="113"/>
      <c r="J380" s="113"/>
      <c r="K380" s="113"/>
      <c r="O380" s="113"/>
    </row>
    <row r="381" spans="3:19">
      <c r="C381" s="113"/>
      <c r="D381" s="113"/>
      <c r="H381" s="113"/>
      <c r="J381" s="113"/>
      <c r="K381" s="113"/>
      <c r="O381" s="113"/>
    </row>
    <row r="382" spans="3:19">
      <c r="C382" s="113"/>
      <c r="D382" s="113"/>
      <c r="H382" s="113"/>
      <c r="J382" s="113"/>
      <c r="K382" s="113"/>
      <c r="O382" s="113"/>
    </row>
    <row r="383" spans="3:19">
      <c r="C383" s="113"/>
      <c r="D383" s="113"/>
      <c r="H383" s="113"/>
      <c r="J383" s="113"/>
      <c r="K383" s="113"/>
      <c r="O383" s="113"/>
    </row>
    <row r="384" spans="3:19">
      <c r="C384" s="113"/>
      <c r="D384" s="113"/>
      <c r="H384" s="113"/>
      <c r="J384" s="113"/>
      <c r="K384" s="113"/>
      <c r="O384" s="113"/>
    </row>
    <row r="385" spans="3:19">
      <c r="C385" s="113"/>
      <c r="D385" s="113"/>
      <c r="H385" s="113"/>
      <c r="J385" s="113"/>
      <c r="K385" s="113"/>
      <c r="O385" s="113"/>
    </row>
    <row r="386" spans="3:19">
      <c r="C386" s="113"/>
      <c r="D386" s="113"/>
      <c r="H386" s="113"/>
      <c r="J386" s="113"/>
      <c r="K386" s="113"/>
      <c r="O386" s="113"/>
    </row>
    <row r="387" spans="3:19">
      <c r="C387" s="113"/>
      <c r="D387" s="113"/>
      <c r="H387" s="113"/>
      <c r="J387" s="113"/>
      <c r="K387" s="113"/>
      <c r="O387" s="113"/>
    </row>
    <row r="388" spans="3:19">
      <c r="C388" s="113"/>
      <c r="D388" s="113"/>
      <c r="H388" s="113"/>
      <c r="J388" s="113"/>
      <c r="K388" s="113"/>
      <c r="O388" s="113"/>
    </row>
    <row r="389" spans="3:19">
      <c r="C389" s="113"/>
      <c r="D389" s="113"/>
      <c r="H389" s="113"/>
      <c r="J389" s="113"/>
      <c r="K389" s="113"/>
      <c r="O389" s="113"/>
    </row>
    <row r="390" spans="3:19">
      <c r="C390" s="113"/>
      <c r="D390" s="113"/>
      <c r="H390" s="113"/>
      <c r="J390" s="113"/>
      <c r="K390" s="113"/>
      <c r="O390" s="113"/>
      <c r="R390" s="20"/>
    </row>
    <row r="391" spans="3:19">
      <c r="C391" s="113"/>
      <c r="D391" s="113"/>
      <c r="H391" s="113"/>
      <c r="J391" s="113"/>
      <c r="K391" s="113"/>
      <c r="O391" s="113"/>
    </row>
    <row r="392" spans="3:19">
      <c r="C392" s="113"/>
      <c r="D392" s="113"/>
      <c r="H392" s="113"/>
      <c r="J392" s="113"/>
      <c r="K392" s="113"/>
      <c r="O392" s="113"/>
    </row>
    <row r="393" spans="3:19">
      <c r="C393" s="113"/>
      <c r="D393" s="113"/>
      <c r="H393" s="113"/>
      <c r="J393" s="113"/>
      <c r="K393" s="113"/>
      <c r="O393" s="113"/>
    </row>
    <row r="394" spans="3:19">
      <c r="C394" s="113"/>
      <c r="D394" s="113"/>
      <c r="H394" s="113"/>
      <c r="J394" s="113"/>
      <c r="K394" s="113"/>
      <c r="O394" s="113"/>
    </row>
    <row r="395" spans="3:19">
      <c r="C395" s="113"/>
      <c r="D395" s="113"/>
      <c r="H395" s="113"/>
      <c r="J395" s="113"/>
      <c r="K395" s="113"/>
      <c r="O395" s="113"/>
    </row>
    <row r="396" spans="3:19">
      <c r="C396" s="113"/>
      <c r="D396" s="113"/>
      <c r="H396" s="113"/>
      <c r="J396" s="113"/>
      <c r="K396" s="113"/>
      <c r="O396" s="113"/>
    </row>
    <row r="397" spans="3:19">
      <c r="C397" s="113"/>
      <c r="D397" s="113"/>
      <c r="H397" s="113"/>
      <c r="J397" s="113"/>
      <c r="K397" s="113"/>
      <c r="O397" s="113"/>
    </row>
    <row r="398" spans="3:19">
      <c r="C398" s="113"/>
      <c r="D398" s="113"/>
      <c r="H398" s="113"/>
      <c r="J398" s="113"/>
      <c r="K398" s="113"/>
      <c r="O398" s="113"/>
      <c r="S398" s="20"/>
    </row>
    <row r="399" spans="3:19">
      <c r="C399" s="113"/>
      <c r="D399" s="113"/>
      <c r="H399" s="113"/>
      <c r="J399" s="113"/>
      <c r="K399" s="113"/>
      <c r="O399" s="113"/>
    </row>
    <row r="400" spans="3:19">
      <c r="C400" s="113"/>
      <c r="D400" s="113"/>
      <c r="H400" s="113"/>
      <c r="J400" s="113"/>
      <c r="K400" s="113"/>
      <c r="O400" s="113"/>
    </row>
    <row r="401" spans="3:15">
      <c r="C401" s="113"/>
      <c r="D401" s="113"/>
      <c r="H401" s="113"/>
      <c r="J401" s="113"/>
      <c r="K401" s="113"/>
      <c r="O401" s="113"/>
    </row>
    <row r="402" spans="3:15">
      <c r="C402" s="113"/>
      <c r="D402" s="113"/>
      <c r="H402" s="113"/>
      <c r="J402" s="113"/>
      <c r="K402" s="113"/>
      <c r="O402" s="113"/>
    </row>
    <row r="403" spans="3:15">
      <c r="C403" s="113"/>
      <c r="D403" s="113"/>
      <c r="H403" s="113"/>
      <c r="J403" s="113"/>
      <c r="K403" s="113"/>
      <c r="O403" s="113"/>
    </row>
    <row r="404" spans="3:15">
      <c r="C404" s="113"/>
      <c r="D404" s="113"/>
      <c r="H404" s="113"/>
      <c r="J404" s="113"/>
      <c r="K404" s="113"/>
      <c r="O404" s="113"/>
    </row>
    <row r="405" spans="3:15">
      <c r="C405" s="113"/>
      <c r="D405" s="113"/>
      <c r="H405" s="113"/>
      <c r="J405" s="113"/>
      <c r="K405" s="113"/>
      <c r="O405" s="113"/>
    </row>
    <row r="406" spans="3:15">
      <c r="C406" s="113"/>
      <c r="D406" s="113"/>
      <c r="H406" s="113"/>
      <c r="J406" s="113"/>
      <c r="K406" s="113"/>
      <c r="O406" s="113"/>
    </row>
    <row r="407" spans="3:15">
      <c r="C407" s="113"/>
      <c r="D407" s="113"/>
      <c r="H407" s="113"/>
      <c r="J407" s="113"/>
      <c r="K407" s="113"/>
      <c r="O407" s="113"/>
    </row>
    <row r="408" spans="3:15">
      <c r="C408" s="113"/>
      <c r="D408" s="113"/>
      <c r="H408" s="113"/>
      <c r="J408" s="113"/>
      <c r="K408" s="113"/>
      <c r="O408" s="113"/>
    </row>
    <row r="409" spans="3:15">
      <c r="C409" s="113"/>
      <c r="D409" s="113"/>
      <c r="H409" s="113"/>
      <c r="J409" s="113"/>
      <c r="K409" s="113"/>
      <c r="O409" s="113"/>
    </row>
    <row r="410" spans="3:15">
      <c r="C410" s="113"/>
      <c r="D410" s="113"/>
      <c r="H410" s="113"/>
      <c r="J410" s="113"/>
      <c r="K410" s="113"/>
      <c r="O410" s="113"/>
    </row>
    <row r="411" spans="3:15">
      <c r="C411" s="113"/>
      <c r="D411" s="113"/>
      <c r="H411" s="113"/>
      <c r="J411" s="113"/>
      <c r="K411" s="113"/>
      <c r="O411" s="113"/>
    </row>
    <row r="412" spans="3:15">
      <c r="C412" s="113"/>
      <c r="D412" s="113"/>
      <c r="H412" s="113"/>
      <c r="J412" s="113"/>
      <c r="K412" s="113"/>
      <c r="O412" s="113"/>
    </row>
    <row r="413" spans="3:15">
      <c r="C413" s="113"/>
      <c r="D413" s="113"/>
      <c r="H413" s="113"/>
      <c r="J413" s="113"/>
      <c r="K413" s="113"/>
      <c r="O413" s="113"/>
    </row>
    <row r="414" spans="3:15">
      <c r="C414" s="113"/>
      <c r="D414" s="113"/>
      <c r="H414" s="113"/>
      <c r="J414" s="113"/>
      <c r="K414" s="113"/>
      <c r="O414" s="113"/>
    </row>
    <row r="415" spans="3:15">
      <c r="C415" s="113"/>
      <c r="D415" s="113"/>
      <c r="H415" s="113"/>
      <c r="J415" s="113"/>
      <c r="K415" s="113"/>
      <c r="O415" s="113"/>
    </row>
    <row r="416" spans="3:15">
      <c r="C416" s="113"/>
      <c r="D416" s="113"/>
      <c r="H416" s="113"/>
      <c r="J416" s="113"/>
      <c r="K416" s="113"/>
      <c r="O416" s="113"/>
    </row>
    <row r="417" spans="3:15">
      <c r="C417" s="113"/>
      <c r="D417" s="113"/>
      <c r="H417" s="113"/>
      <c r="J417" s="113"/>
      <c r="K417" s="113"/>
      <c r="O417" s="113"/>
    </row>
    <row r="418" spans="3:15">
      <c r="C418" s="113"/>
      <c r="D418" s="113"/>
      <c r="H418" s="113"/>
      <c r="J418" s="113"/>
      <c r="K418" s="113"/>
      <c r="O418" s="113"/>
    </row>
    <row r="419" spans="3:15">
      <c r="C419" s="113"/>
      <c r="D419" s="113"/>
      <c r="H419" s="113"/>
      <c r="J419" s="113"/>
      <c r="K419" s="113"/>
      <c r="O419" s="113"/>
    </row>
    <row r="420" spans="3:15">
      <c r="C420" s="113"/>
      <c r="D420" s="113"/>
      <c r="H420" s="113"/>
      <c r="J420" s="113"/>
      <c r="K420" s="113"/>
      <c r="O420" s="113"/>
    </row>
    <row r="421" spans="3:15">
      <c r="C421" s="113"/>
      <c r="D421" s="113"/>
      <c r="H421" s="113"/>
      <c r="J421" s="113"/>
      <c r="K421" s="113"/>
      <c r="O421" s="113"/>
    </row>
    <row r="422" spans="3:15">
      <c r="C422" s="113"/>
      <c r="D422" s="113"/>
      <c r="H422" s="113"/>
      <c r="J422" s="113"/>
      <c r="K422" s="113"/>
      <c r="O422" s="113"/>
    </row>
    <row r="423" spans="3:15">
      <c r="C423" s="113"/>
      <c r="D423" s="113"/>
      <c r="H423" s="113"/>
      <c r="J423" s="113"/>
      <c r="K423" s="113"/>
      <c r="O423" s="113"/>
    </row>
    <row r="424" spans="3:15">
      <c r="C424" s="113"/>
      <c r="D424" s="113"/>
      <c r="H424" s="113"/>
      <c r="J424" s="113"/>
      <c r="K424" s="113"/>
      <c r="O424" s="113"/>
    </row>
    <row r="425" spans="3:15">
      <c r="C425" s="113"/>
      <c r="D425" s="113"/>
      <c r="H425" s="113"/>
      <c r="J425" s="113"/>
      <c r="K425" s="113"/>
      <c r="O425" s="113"/>
    </row>
    <row r="426" spans="3:15">
      <c r="C426" s="113"/>
      <c r="D426" s="113"/>
      <c r="H426" s="113"/>
      <c r="J426" s="113"/>
      <c r="K426" s="113"/>
      <c r="O426" s="113"/>
    </row>
    <row r="427" spans="3:15">
      <c r="C427" s="113"/>
      <c r="D427" s="113"/>
      <c r="H427" s="113"/>
      <c r="J427" s="113"/>
      <c r="K427" s="113"/>
      <c r="O427" s="113"/>
    </row>
    <row r="428" spans="3:15">
      <c r="C428" s="113"/>
      <c r="D428" s="113"/>
      <c r="H428" s="113"/>
      <c r="J428" s="113"/>
      <c r="K428" s="113"/>
      <c r="O428" s="113"/>
    </row>
    <row r="429" spans="3:15">
      <c r="C429" s="113"/>
      <c r="D429" s="113"/>
      <c r="H429" s="113"/>
      <c r="J429" s="113"/>
      <c r="K429" s="113"/>
      <c r="O429" s="113"/>
    </row>
    <row r="430" spans="3:15">
      <c r="C430" s="113"/>
      <c r="D430" s="113"/>
      <c r="H430" s="113"/>
      <c r="J430" s="113"/>
      <c r="K430" s="113"/>
      <c r="O430" s="113"/>
    </row>
    <row r="431" spans="3:15">
      <c r="C431" s="113"/>
      <c r="D431" s="113"/>
      <c r="H431" s="113"/>
      <c r="J431" s="113"/>
      <c r="K431" s="113"/>
      <c r="O431" s="113"/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K42" sqref="K42"/>
    </sheetView>
  </sheetViews>
  <sheetFormatPr defaultRowHeight="14.25"/>
  <sheetData/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H71"/>
  <sheetViews>
    <sheetView workbookViewId="0">
      <selection activeCell="C4" sqref="C4"/>
    </sheetView>
  </sheetViews>
  <sheetFormatPr defaultRowHeight="14.25"/>
  <cols>
    <col min="1" max="1" width="27.125" customWidth="1"/>
    <col min="2" max="2" width="34.625" customWidth="1"/>
  </cols>
  <sheetData>
    <row r="1" spans="1:4" s="113" customFormat="1">
      <c r="C1" s="1" t="s">
        <v>1065</v>
      </c>
      <c r="D1" s="148">
        <v>0.1</v>
      </c>
    </row>
    <row r="2" spans="1:4" s="113" customFormat="1">
      <c r="A2" s="18" t="s">
        <v>1063</v>
      </c>
      <c r="B2" s="1" t="s">
        <v>1072</v>
      </c>
      <c r="C2" s="1" t="s">
        <v>1064</v>
      </c>
    </row>
    <row r="3" spans="1:4" s="113" customFormat="1">
      <c r="A3" s="113">
        <v>500000</v>
      </c>
      <c r="B3" s="113">
        <v>250</v>
      </c>
      <c r="C3" s="113">
        <f>B3*(1+$D$1)</f>
        <v>275</v>
      </c>
    </row>
    <row r="4" spans="1:4" s="113" customFormat="1">
      <c r="A4" s="113">
        <v>1000000</v>
      </c>
      <c r="B4" s="113">
        <v>487</v>
      </c>
      <c r="C4" s="113">
        <f t="shared" ref="C4:C6" si="0">B4*(1+$D$1)</f>
        <v>535.70000000000005</v>
      </c>
    </row>
    <row r="5" spans="1:4" s="113" customFormat="1">
      <c r="A5" s="113">
        <v>1500000</v>
      </c>
      <c r="B5" s="113">
        <v>582</v>
      </c>
      <c r="C5" s="113">
        <f t="shared" si="0"/>
        <v>640.20000000000005</v>
      </c>
    </row>
    <row r="6" spans="1:4" s="113" customFormat="1">
      <c r="A6" s="113">
        <v>30000000</v>
      </c>
      <c r="B6" s="113">
        <v>921</v>
      </c>
      <c r="C6" s="113">
        <f t="shared" si="0"/>
        <v>1013.1000000000001</v>
      </c>
    </row>
    <row r="7" spans="1:4" s="113" customFormat="1"/>
    <row r="8" spans="1:4" s="113" customFormat="1">
      <c r="A8" s="18" t="s">
        <v>1066</v>
      </c>
      <c r="B8" s="1" t="s">
        <v>1073</v>
      </c>
    </row>
    <row r="9" spans="1:4" s="113" customFormat="1">
      <c r="A9" s="149" t="s">
        <v>1067</v>
      </c>
      <c r="B9" s="151">
        <v>198</v>
      </c>
    </row>
    <row r="10" spans="1:4" s="113" customFormat="1">
      <c r="A10" s="149" t="s">
        <v>1068</v>
      </c>
      <c r="B10" s="151">
        <v>385</v>
      </c>
    </row>
    <row r="11" spans="1:4" s="113" customFormat="1">
      <c r="A11" s="1" t="s">
        <v>1069</v>
      </c>
      <c r="B11" s="152">
        <v>2.8000000000000001E-2</v>
      </c>
    </row>
    <row r="12" spans="1:4" s="113" customFormat="1">
      <c r="A12" s="1" t="s">
        <v>270</v>
      </c>
      <c r="B12" s="152">
        <v>1.0999999999999999E-2</v>
      </c>
    </row>
    <row r="15" spans="1:4" ht="15">
      <c r="A15" s="84" t="s">
        <v>202</v>
      </c>
    </row>
    <row r="16" spans="1:4">
      <c r="B16" s="1"/>
    </row>
    <row r="17" spans="1:2" ht="15.75" thickBot="1">
      <c r="A17" s="75" t="s">
        <v>203</v>
      </c>
    </row>
    <row r="18" spans="1:2" ht="15.75" thickBot="1">
      <c r="A18" s="77" t="s">
        <v>204</v>
      </c>
      <c r="B18" s="78" t="s">
        <v>205</v>
      </c>
    </row>
    <row r="19" spans="1:2" ht="15.75" thickBot="1">
      <c r="A19" s="79" t="s">
        <v>206</v>
      </c>
      <c r="B19" s="76" t="s">
        <v>207</v>
      </c>
    </row>
    <row r="20" spans="1:2" ht="15.75" thickBot="1">
      <c r="A20" s="79" t="s">
        <v>208</v>
      </c>
      <c r="B20" s="76" t="s">
        <v>209</v>
      </c>
    </row>
    <row r="21" spans="1:2" ht="15.75" thickBot="1">
      <c r="A21" s="79" t="s">
        <v>210</v>
      </c>
      <c r="B21" s="76" t="s">
        <v>211</v>
      </c>
    </row>
    <row r="22" spans="1:2" ht="15.75" thickBot="1">
      <c r="A22" s="79" t="s">
        <v>212</v>
      </c>
      <c r="B22" s="76" t="s">
        <v>213</v>
      </c>
    </row>
    <row r="23" spans="1:2" ht="15.75" thickBot="1">
      <c r="A23" s="80" t="s">
        <v>214</v>
      </c>
      <c r="B23" s="81" t="s">
        <v>215</v>
      </c>
    </row>
    <row r="24" spans="1:2" ht="15.75" thickBot="1">
      <c r="A24" s="82" t="s">
        <v>216</v>
      </c>
      <c r="B24" s="83" t="s">
        <v>217</v>
      </c>
    </row>
    <row r="25" spans="1:2" ht="15.75" thickBot="1">
      <c r="A25" s="79" t="s">
        <v>218</v>
      </c>
      <c r="B25" s="76" t="s">
        <v>219</v>
      </c>
    </row>
    <row r="26" spans="1:2" ht="15.75" thickBot="1">
      <c r="A26" s="79" t="s">
        <v>220</v>
      </c>
      <c r="B26" s="76" t="s">
        <v>221</v>
      </c>
    </row>
    <row r="27" spans="1:2" ht="15.75" thickBot="1">
      <c r="A27" s="75" t="s">
        <v>222</v>
      </c>
    </row>
    <row r="28" spans="1:2" ht="15.75" thickBot="1">
      <c r="A28" s="77" t="s">
        <v>204</v>
      </c>
      <c r="B28" s="78" t="s">
        <v>205</v>
      </c>
    </row>
    <row r="29" spans="1:2" ht="15.75" thickBot="1">
      <c r="A29" s="79" t="s">
        <v>208</v>
      </c>
      <c r="B29" s="76" t="s">
        <v>209</v>
      </c>
    </row>
    <row r="30" spans="1:2" ht="15.75" thickBot="1">
      <c r="A30" s="79" t="s">
        <v>210</v>
      </c>
      <c r="B30" s="76" t="s">
        <v>223</v>
      </c>
    </row>
    <row r="31" spans="1:2" ht="15.75" thickBot="1">
      <c r="A31" s="79" t="s">
        <v>212</v>
      </c>
      <c r="B31" s="76" t="s">
        <v>224</v>
      </c>
    </row>
    <row r="32" spans="1:2" ht="15.75" thickBot="1">
      <c r="A32" s="80" t="s">
        <v>225</v>
      </c>
      <c r="B32" s="81" t="s">
        <v>226</v>
      </c>
    </row>
    <row r="35" spans="1:8" ht="15">
      <c r="A35" s="84" t="s">
        <v>227</v>
      </c>
    </row>
    <row r="36" spans="1:8" ht="15" thickBot="1"/>
    <row r="37" spans="1:8" ht="15.75" thickBot="1">
      <c r="A37" s="77" t="s">
        <v>228</v>
      </c>
      <c r="B37" s="78" t="s">
        <v>194</v>
      </c>
    </row>
    <row r="38" spans="1:8" ht="15.75" thickBot="1">
      <c r="A38" s="79" t="s">
        <v>208</v>
      </c>
      <c r="B38" s="76" t="s">
        <v>229</v>
      </c>
    </row>
    <row r="39" spans="1:8" ht="15.75" thickBot="1">
      <c r="A39" s="79" t="s">
        <v>210</v>
      </c>
      <c r="B39" s="76" t="s">
        <v>230</v>
      </c>
    </row>
    <row r="40" spans="1:8" ht="15.75" thickBot="1">
      <c r="A40" s="79" t="s">
        <v>231</v>
      </c>
      <c r="B40" s="76" t="s">
        <v>232</v>
      </c>
    </row>
    <row r="41" spans="1:8" ht="15.75" thickBot="1">
      <c r="A41" s="79" t="s">
        <v>212</v>
      </c>
      <c r="B41" s="76" t="s">
        <v>233</v>
      </c>
    </row>
    <row r="42" spans="1:8" ht="15.75" thickBot="1">
      <c r="A42" s="79" t="s">
        <v>214</v>
      </c>
      <c r="B42" s="76" t="s">
        <v>234</v>
      </c>
    </row>
    <row r="43" spans="1:8" ht="15.75" thickBot="1">
      <c r="A43" s="79" t="s">
        <v>235</v>
      </c>
      <c r="B43" s="76" t="s">
        <v>236</v>
      </c>
    </row>
    <row r="44" spans="1:8" ht="15">
      <c r="A44" s="86" t="s">
        <v>237</v>
      </c>
      <c r="B44" s="242" t="s">
        <v>239</v>
      </c>
    </row>
    <row r="45" spans="1:8" ht="30.75" thickBot="1">
      <c r="A45" s="79" t="s">
        <v>238</v>
      </c>
      <c r="B45" s="243"/>
    </row>
    <row r="47" spans="1:8" ht="15" thickBot="1"/>
    <row r="48" spans="1:8" ht="15" thickBot="1">
      <c r="A48" s="244" t="s">
        <v>188</v>
      </c>
      <c r="B48" s="245"/>
      <c r="C48" s="248" t="s">
        <v>240</v>
      </c>
      <c r="D48" s="249"/>
      <c r="E48" s="249"/>
      <c r="F48" s="249"/>
      <c r="G48" s="250"/>
      <c r="H48" s="92"/>
    </row>
    <row r="49" spans="1:8" ht="15" thickBot="1">
      <c r="A49" s="246"/>
      <c r="B49" s="247"/>
      <c r="C49" s="251" t="s">
        <v>241</v>
      </c>
      <c r="D49" s="252"/>
      <c r="E49" s="87" t="s">
        <v>242</v>
      </c>
      <c r="F49" s="253" t="s">
        <v>243</v>
      </c>
      <c r="G49" s="254"/>
    </row>
    <row r="50" spans="1:8" ht="15" thickBot="1">
      <c r="A50" s="93" t="s">
        <v>244</v>
      </c>
      <c r="B50" s="88" t="s">
        <v>245</v>
      </c>
      <c r="C50" s="88" t="s">
        <v>246</v>
      </c>
      <c r="D50" s="89" t="s">
        <v>245</v>
      </c>
      <c r="E50" s="89" t="s">
        <v>246</v>
      </c>
      <c r="F50" s="87" t="s">
        <v>246</v>
      </c>
      <c r="G50" s="90" t="s">
        <v>245</v>
      </c>
      <c r="H50" s="90" t="s">
        <v>246</v>
      </c>
    </row>
    <row r="51" spans="1:8" ht="28.5" customHeight="1" thickBot="1">
      <c r="A51" s="94" t="s">
        <v>247</v>
      </c>
      <c r="B51" s="239" t="s">
        <v>248</v>
      </c>
      <c r="C51" s="240"/>
      <c r="D51" s="239" t="s">
        <v>249</v>
      </c>
      <c r="E51" s="241"/>
      <c r="F51" s="241"/>
      <c r="G51" s="241"/>
      <c r="H51" s="240"/>
    </row>
    <row r="52" spans="1:8" ht="43.5" thickBot="1">
      <c r="A52" s="94" t="s">
        <v>250</v>
      </c>
      <c r="B52" s="239" t="s">
        <v>251</v>
      </c>
      <c r="C52" s="240"/>
      <c r="D52" s="91" t="s">
        <v>252</v>
      </c>
      <c r="E52" s="91" t="s">
        <v>253</v>
      </c>
      <c r="F52" s="91" t="s">
        <v>253</v>
      </c>
      <c r="G52" s="91" t="s">
        <v>252</v>
      </c>
      <c r="H52" s="91" t="s">
        <v>253</v>
      </c>
    </row>
    <row r="53" spans="1:8" ht="15" thickBot="1">
      <c r="A53" s="94" t="s">
        <v>254</v>
      </c>
      <c r="B53" s="239" t="s">
        <v>255</v>
      </c>
      <c r="C53" s="240"/>
      <c r="D53" s="239" t="s">
        <v>241</v>
      </c>
      <c r="E53" s="240"/>
      <c r="F53" s="91" t="s">
        <v>256</v>
      </c>
      <c r="G53" s="239" t="s">
        <v>257</v>
      </c>
      <c r="H53" s="240"/>
    </row>
    <row r="54" spans="1:8" ht="15" thickBot="1">
      <c r="A54" s="94" t="s">
        <v>194</v>
      </c>
      <c r="B54" s="239" t="s">
        <v>258</v>
      </c>
      <c r="C54" s="241"/>
      <c r="D54" s="241"/>
      <c r="E54" s="241"/>
      <c r="F54" s="240"/>
      <c r="G54" s="239" t="s">
        <v>259</v>
      </c>
      <c r="H54" s="240"/>
    </row>
    <row r="55" spans="1:8" ht="42.75">
      <c r="A55" s="150" t="s">
        <v>1069</v>
      </c>
      <c r="B55" s="85" t="s">
        <v>261</v>
      </c>
      <c r="C55" s="242" t="s">
        <v>264</v>
      </c>
      <c r="D55" s="85" t="s">
        <v>261</v>
      </c>
      <c r="E55" s="242" t="s">
        <v>264</v>
      </c>
      <c r="F55" s="242" t="s">
        <v>264</v>
      </c>
      <c r="G55" s="85" t="s">
        <v>267</v>
      </c>
      <c r="H55" s="242" t="s">
        <v>264</v>
      </c>
    </row>
    <row r="56" spans="1:8" ht="42.75">
      <c r="A56" s="95" t="s">
        <v>260</v>
      </c>
      <c r="B56" s="96" t="s">
        <v>1071</v>
      </c>
      <c r="C56" s="255"/>
      <c r="D56" s="85" t="s">
        <v>265</v>
      </c>
      <c r="E56" s="255"/>
      <c r="F56" s="255"/>
      <c r="G56" s="85" t="s">
        <v>268</v>
      </c>
      <c r="H56" s="255"/>
    </row>
    <row r="57" spans="1:8" ht="42.75">
      <c r="A57" s="95"/>
      <c r="B57" s="85" t="s">
        <v>262</v>
      </c>
      <c r="C57" s="255"/>
      <c r="D57" s="85" t="s">
        <v>262</v>
      </c>
      <c r="E57" s="255"/>
      <c r="F57" s="255"/>
      <c r="G57" s="85" t="s">
        <v>269</v>
      </c>
      <c r="H57" s="255"/>
    </row>
    <row r="58" spans="1:8" ht="15" thickBot="1">
      <c r="A58" s="94"/>
      <c r="B58" s="91" t="s">
        <v>263</v>
      </c>
      <c r="C58" s="243"/>
      <c r="D58" s="91" t="s">
        <v>266</v>
      </c>
      <c r="E58" s="243"/>
      <c r="F58" s="243"/>
      <c r="G58" s="91"/>
      <c r="H58" s="243"/>
    </row>
    <row r="59" spans="1:8" ht="42.75">
      <c r="A59" s="150" t="s">
        <v>1070</v>
      </c>
      <c r="B59" s="242" t="s">
        <v>264</v>
      </c>
      <c r="C59" s="256">
        <v>1.0999999999999999E-2</v>
      </c>
      <c r="D59" s="242" t="s">
        <v>264</v>
      </c>
      <c r="E59" s="259">
        <v>1.0999999999999999E-2</v>
      </c>
      <c r="F59" s="259">
        <v>3.9E-2</v>
      </c>
      <c r="G59" s="242" t="s">
        <v>264</v>
      </c>
      <c r="H59" s="85" t="s">
        <v>267</v>
      </c>
    </row>
    <row r="60" spans="1:8" ht="42.75">
      <c r="A60" s="95" t="s">
        <v>260</v>
      </c>
      <c r="B60" s="255"/>
      <c r="C60" s="257"/>
      <c r="D60" s="255"/>
      <c r="E60" s="260"/>
      <c r="F60" s="260"/>
      <c r="G60" s="255"/>
      <c r="H60" s="85" t="s">
        <v>268</v>
      </c>
    </row>
    <row r="61" spans="1:8" ht="43.5" thickBot="1">
      <c r="A61" s="94"/>
      <c r="B61" s="243"/>
      <c r="C61" s="258"/>
      <c r="D61" s="243"/>
      <c r="E61" s="261"/>
      <c r="F61" s="261"/>
      <c r="G61" s="243"/>
      <c r="H61" s="91" t="s">
        <v>269</v>
      </c>
    </row>
    <row r="62" spans="1:8" ht="127.5" customHeight="1">
      <c r="A62" s="95" t="s">
        <v>271</v>
      </c>
      <c r="B62" s="242" t="s">
        <v>264</v>
      </c>
      <c r="C62" s="270" t="s">
        <v>273</v>
      </c>
      <c r="D62" s="242" t="s">
        <v>264</v>
      </c>
      <c r="E62" s="242" t="s">
        <v>264</v>
      </c>
      <c r="F62" s="242" t="s">
        <v>264</v>
      </c>
      <c r="G62" s="242" t="s">
        <v>264</v>
      </c>
      <c r="H62" s="242" t="s">
        <v>274</v>
      </c>
    </row>
    <row r="63" spans="1:8" ht="15" thickBot="1">
      <c r="A63" s="94" t="s">
        <v>272</v>
      </c>
      <c r="B63" s="243"/>
      <c r="C63" s="271"/>
      <c r="D63" s="243"/>
      <c r="E63" s="243"/>
      <c r="F63" s="243"/>
      <c r="G63" s="243"/>
      <c r="H63" s="243"/>
    </row>
    <row r="64" spans="1:8" ht="15" thickBot="1">
      <c r="A64" s="94" t="s">
        <v>275</v>
      </c>
      <c r="B64" s="239" t="s">
        <v>276</v>
      </c>
      <c r="C64" s="241"/>
      <c r="D64" s="241"/>
      <c r="E64" s="241"/>
      <c r="F64" s="241"/>
      <c r="G64" s="241"/>
      <c r="H64" s="240"/>
    </row>
    <row r="65" spans="1:8" ht="14.25" customHeight="1">
      <c r="A65" s="262" t="s">
        <v>277</v>
      </c>
      <c r="B65" s="264" t="s">
        <v>278</v>
      </c>
      <c r="C65" s="265"/>
      <c r="D65" s="265"/>
      <c r="E65" s="265"/>
      <c r="F65" s="265"/>
      <c r="G65" s="265"/>
      <c r="H65" s="266"/>
    </row>
    <row r="66" spans="1:8" ht="15" thickBot="1">
      <c r="A66" s="263"/>
      <c r="B66" s="267" t="s">
        <v>279</v>
      </c>
      <c r="C66" s="268"/>
      <c r="D66" s="268"/>
      <c r="E66" s="268"/>
      <c r="F66" s="268"/>
      <c r="G66" s="268"/>
      <c r="H66" s="269"/>
    </row>
    <row r="67" spans="1:8" ht="14.25" customHeight="1">
      <c r="A67" s="262" t="s">
        <v>280</v>
      </c>
      <c r="B67" s="264" t="s">
        <v>281</v>
      </c>
      <c r="C67" s="265"/>
      <c r="D67" s="265"/>
      <c r="E67" s="265"/>
      <c r="F67" s="265"/>
      <c r="G67" s="265"/>
      <c r="H67" s="266"/>
    </row>
    <row r="68" spans="1:8" ht="15" thickBot="1">
      <c r="A68" s="263"/>
      <c r="B68" s="267" t="s">
        <v>282</v>
      </c>
      <c r="C68" s="268"/>
      <c r="D68" s="268"/>
      <c r="E68" s="268"/>
      <c r="F68" s="268"/>
      <c r="G68" s="268"/>
      <c r="H68" s="269"/>
    </row>
    <row r="69" spans="1:8" ht="28.5" customHeight="1">
      <c r="A69" s="262" t="s">
        <v>283</v>
      </c>
      <c r="B69" s="264" t="s">
        <v>284</v>
      </c>
      <c r="C69" s="265"/>
      <c r="D69" s="266"/>
      <c r="E69" s="264" t="s">
        <v>285</v>
      </c>
      <c r="F69" s="265"/>
      <c r="G69" s="265"/>
      <c r="H69" s="266"/>
    </row>
    <row r="70" spans="1:8" ht="28.5" customHeight="1">
      <c r="A70" s="272"/>
      <c r="B70" s="273"/>
      <c r="C70" s="274"/>
      <c r="D70" s="275"/>
      <c r="E70" s="273" t="s">
        <v>286</v>
      </c>
      <c r="F70" s="274"/>
      <c r="G70" s="274"/>
      <c r="H70" s="275"/>
    </row>
    <row r="71" spans="1:8" ht="28.5" customHeight="1" thickBot="1">
      <c r="A71" s="263"/>
      <c r="B71" s="267"/>
      <c r="C71" s="268"/>
      <c r="D71" s="269"/>
      <c r="E71" s="267" t="s">
        <v>287</v>
      </c>
      <c r="F71" s="268"/>
      <c r="G71" s="268"/>
      <c r="H71" s="269"/>
    </row>
  </sheetData>
  <mergeCells count="42">
    <mergeCell ref="A69:A71"/>
    <mergeCell ref="B69:D71"/>
    <mergeCell ref="E69:H69"/>
    <mergeCell ref="E70:H70"/>
    <mergeCell ref="E71:H71"/>
    <mergeCell ref="A67:A68"/>
    <mergeCell ref="B67:H67"/>
    <mergeCell ref="B68:H68"/>
    <mergeCell ref="B62:B63"/>
    <mergeCell ref="C62:C63"/>
    <mergeCell ref="D62:D63"/>
    <mergeCell ref="E62:E63"/>
    <mergeCell ref="F62:F63"/>
    <mergeCell ref="G62:G63"/>
    <mergeCell ref="H62:H63"/>
    <mergeCell ref="B64:H64"/>
    <mergeCell ref="A65:A66"/>
    <mergeCell ref="B65:H65"/>
    <mergeCell ref="B66:H66"/>
    <mergeCell ref="C55:C58"/>
    <mergeCell ref="E55:E58"/>
    <mergeCell ref="F55:F58"/>
    <mergeCell ref="H55:H58"/>
    <mergeCell ref="B59:B61"/>
    <mergeCell ref="C59:C61"/>
    <mergeCell ref="D59:D61"/>
    <mergeCell ref="E59:E61"/>
    <mergeCell ref="F59:F61"/>
    <mergeCell ref="G59:G61"/>
    <mergeCell ref="B52:C52"/>
    <mergeCell ref="B53:C53"/>
    <mergeCell ref="D53:E53"/>
    <mergeCell ref="G53:H53"/>
    <mergeCell ref="B54:F54"/>
    <mergeCell ref="G54:H54"/>
    <mergeCell ref="B51:C51"/>
    <mergeCell ref="D51:H51"/>
    <mergeCell ref="B44:B45"/>
    <mergeCell ref="A48:B49"/>
    <mergeCell ref="C48:G48"/>
    <mergeCell ref="C49:D49"/>
    <mergeCell ref="F49:G49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2"/>
  <dimension ref="A1"/>
  <sheetViews>
    <sheetView workbookViewId="0">
      <selection activeCell="T42" sqref="T42"/>
    </sheetView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J598"/>
  <sheetViews>
    <sheetView showGridLines="0" zoomScaleNormal="100" workbookViewId="0">
      <selection activeCell="K37" sqref="K37"/>
    </sheetView>
  </sheetViews>
  <sheetFormatPr defaultRowHeight="14.25"/>
  <cols>
    <col min="5" max="5" width="7" customWidth="1"/>
    <col min="8" max="8" width="26.5" customWidth="1"/>
  </cols>
  <sheetData>
    <row r="1" spans="1:10">
      <c r="A1" s="113" t="s">
        <v>382</v>
      </c>
      <c r="B1" s="113" t="s">
        <v>383</v>
      </c>
      <c r="C1" s="113" t="s">
        <v>384</v>
      </c>
      <c r="D1" s="113" t="s">
        <v>385</v>
      </c>
      <c r="E1" s="113" t="s">
        <v>386</v>
      </c>
      <c r="F1" s="113" t="s">
        <v>387</v>
      </c>
      <c r="G1" s="113" t="s">
        <v>388</v>
      </c>
      <c r="H1" s="113" t="s">
        <v>389</v>
      </c>
      <c r="I1" s="113" t="s">
        <v>390</v>
      </c>
    </row>
    <row r="2" spans="1:10">
      <c r="A2" s="113" t="s">
        <v>421</v>
      </c>
      <c r="B2" s="113" t="s">
        <v>391</v>
      </c>
      <c r="C2" s="113" t="s">
        <v>396</v>
      </c>
      <c r="D2" s="113" t="s">
        <v>393</v>
      </c>
      <c r="E2">
        <v>2929</v>
      </c>
      <c r="F2" s="113" t="s">
        <v>422</v>
      </c>
      <c r="G2" s="113" t="s">
        <v>402</v>
      </c>
      <c r="H2" s="113" t="s">
        <v>395</v>
      </c>
      <c r="I2">
        <v>144</v>
      </c>
    </row>
    <row r="3" spans="1:10">
      <c r="A3" s="113" t="s">
        <v>421</v>
      </c>
      <c r="B3" s="113" t="s">
        <v>391</v>
      </c>
      <c r="C3" s="113" t="s">
        <v>403</v>
      </c>
      <c r="D3" s="113" t="s">
        <v>393</v>
      </c>
      <c r="E3">
        <v>3031</v>
      </c>
      <c r="F3" s="113" t="s">
        <v>423</v>
      </c>
      <c r="G3" s="113" t="s">
        <v>394</v>
      </c>
      <c r="H3" s="113" t="s">
        <v>400</v>
      </c>
      <c r="I3">
        <v>150</v>
      </c>
    </row>
    <row r="4" spans="1:10">
      <c r="A4" s="113" t="s">
        <v>421</v>
      </c>
      <c r="B4" s="113" t="s">
        <v>391</v>
      </c>
      <c r="C4" s="113" t="s">
        <v>396</v>
      </c>
      <c r="D4" s="113" t="s">
        <v>393</v>
      </c>
      <c r="E4">
        <v>6778</v>
      </c>
      <c r="F4" s="113" t="s">
        <v>424</v>
      </c>
      <c r="G4" s="113" t="s">
        <v>402</v>
      </c>
      <c r="H4" s="113" t="s">
        <v>419</v>
      </c>
      <c r="I4">
        <v>149</v>
      </c>
    </row>
    <row r="5" spans="1:10">
      <c r="A5" s="113" t="s">
        <v>421</v>
      </c>
      <c r="B5" s="113" t="s">
        <v>391</v>
      </c>
      <c r="C5" s="113" t="s">
        <v>392</v>
      </c>
      <c r="D5" s="113" t="s">
        <v>393</v>
      </c>
      <c r="E5">
        <v>9632</v>
      </c>
      <c r="F5" s="113" t="s">
        <v>425</v>
      </c>
      <c r="G5" s="113" t="s">
        <v>394</v>
      </c>
      <c r="H5" s="113" t="s">
        <v>399</v>
      </c>
      <c r="I5">
        <v>213</v>
      </c>
    </row>
    <row r="6" spans="1:10">
      <c r="A6" s="113" t="s">
        <v>426</v>
      </c>
      <c r="B6" s="113" t="s">
        <v>614</v>
      </c>
      <c r="C6" s="113" t="s">
        <v>396</v>
      </c>
      <c r="D6" s="113" t="s">
        <v>393</v>
      </c>
      <c r="E6">
        <v>3662</v>
      </c>
      <c r="F6" s="113" t="s">
        <v>434</v>
      </c>
      <c r="G6" s="113" t="s">
        <v>394</v>
      </c>
      <c r="H6" s="113" t="s">
        <v>405</v>
      </c>
      <c r="I6">
        <v>224</v>
      </c>
    </row>
    <row r="7" spans="1:10">
      <c r="A7" s="113" t="s">
        <v>426</v>
      </c>
      <c r="B7" s="113" t="s">
        <v>391</v>
      </c>
      <c r="C7" s="113" t="s">
        <v>392</v>
      </c>
      <c r="D7" s="113" t="s">
        <v>393</v>
      </c>
      <c r="E7">
        <v>1928</v>
      </c>
      <c r="F7" s="113" t="s">
        <v>427</v>
      </c>
      <c r="G7" s="113" t="s">
        <v>394</v>
      </c>
      <c r="H7" s="113" t="s">
        <v>428</v>
      </c>
      <c r="I7" s="113" t="s">
        <v>429</v>
      </c>
      <c r="J7" s="113" t="s">
        <v>1082</v>
      </c>
    </row>
    <row r="8" spans="1:10">
      <c r="A8" s="113" t="s">
        <v>426</v>
      </c>
      <c r="B8" s="113" t="s">
        <v>391</v>
      </c>
      <c r="C8" s="113" t="s">
        <v>396</v>
      </c>
      <c r="D8" s="113" t="s">
        <v>393</v>
      </c>
      <c r="E8">
        <v>2353</v>
      </c>
      <c r="F8" s="113" t="s">
        <v>430</v>
      </c>
      <c r="G8" s="113" t="s">
        <v>394</v>
      </c>
      <c r="H8" s="113" t="s">
        <v>420</v>
      </c>
      <c r="I8">
        <v>585</v>
      </c>
    </row>
    <row r="9" spans="1:10">
      <c r="A9" s="113" t="s">
        <v>426</v>
      </c>
      <c r="B9" s="113" t="s">
        <v>391</v>
      </c>
      <c r="C9" s="113" t="s">
        <v>401</v>
      </c>
      <c r="D9" s="113" t="s">
        <v>393</v>
      </c>
      <c r="E9">
        <v>2373</v>
      </c>
      <c r="F9" s="113" t="s">
        <v>431</v>
      </c>
      <c r="G9" s="113" t="s">
        <v>398</v>
      </c>
      <c r="H9" s="113" t="s">
        <v>399</v>
      </c>
      <c r="I9">
        <v>87</v>
      </c>
    </row>
    <row r="10" spans="1:10">
      <c r="A10" s="113" t="s">
        <v>426</v>
      </c>
      <c r="B10" s="113" t="s">
        <v>391</v>
      </c>
      <c r="C10" s="113" t="s">
        <v>396</v>
      </c>
      <c r="D10" s="113" t="s">
        <v>397</v>
      </c>
      <c r="E10">
        <v>3193</v>
      </c>
      <c r="F10" s="113" t="s">
        <v>432</v>
      </c>
      <c r="G10" s="113" t="s">
        <v>394</v>
      </c>
      <c r="H10" s="113" t="s">
        <v>404</v>
      </c>
      <c r="I10">
        <v>223</v>
      </c>
    </row>
    <row r="11" spans="1:10">
      <c r="A11" s="113" t="s">
        <v>426</v>
      </c>
      <c r="B11" s="113" t="s">
        <v>391</v>
      </c>
      <c r="C11" s="113" t="s">
        <v>392</v>
      </c>
      <c r="D11" s="113" t="s">
        <v>393</v>
      </c>
      <c r="E11">
        <v>3657</v>
      </c>
      <c r="F11" s="113" t="s">
        <v>433</v>
      </c>
      <c r="G11" s="113" t="s">
        <v>394</v>
      </c>
      <c r="H11" s="113" t="s">
        <v>405</v>
      </c>
      <c r="I11">
        <v>419</v>
      </c>
    </row>
    <row r="12" spans="1:10">
      <c r="A12" s="113" t="s">
        <v>426</v>
      </c>
      <c r="B12" s="113" t="s">
        <v>391</v>
      </c>
      <c r="C12" s="113" t="s">
        <v>401</v>
      </c>
      <c r="D12" s="113" t="s">
        <v>397</v>
      </c>
      <c r="E12">
        <v>3733</v>
      </c>
      <c r="F12" s="113" t="s">
        <v>435</v>
      </c>
      <c r="G12" s="113" t="s">
        <v>398</v>
      </c>
      <c r="H12" s="113" t="s">
        <v>405</v>
      </c>
      <c r="I12">
        <v>645</v>
      </c>
    </row>
    <row r="13" spans="1:10">
      <c r="A13" s="113" t="s">
        <v>426</v>
      </c>
      <c r="B13" s="113" t="s">
        <v>391</v>
      </c>
      <c r="C13" s="113" t="s">
        <v>396</v>
      </c>
      <c r="D13" s="113" t="s">
        <v>393</v>
      </c>
      <c r="E13">
        <v>3854</v>
      </c>
      <c r="F13" s="113" t="s">
        <v>436</v>
      </c>
      <c r="G13" s="113" t="s">
        <v>394</v>
      </c>
      <c r="H13" s="113" t="s">
        <v>405</v>
      </c>
      <c r="I13">
        <v>397</v>
      </c>
    </row>
    <row r="14" spans="1:10">
      <c r="A14" s="113" t="s">
        <v>426</v>
      </c>
      <c r="B14" s="113" t="s">
        <v>391</v>
      </c>
      <c r="C14" s="113" t="s">
        <v>403</v>
      </c>
      <c r="D14" s="113" t="s">
        <v>393</v>
      </c>
      <c r="E14">
        <v>3903</v>
      </c>
      <c r="F14" s="113" t="s">
        <v>437</v>
      </c>
      <c r="G14" s="113" t="s">
        <v>394</v>
      </c>
      <c r="H14" s="113" t="s">
        <v>405</v>
      </c>
      <c r="I14">
        <v>233</v>
      </c>
    </row>
    <row r="15" spans="1:10">
      <c r="A15" s="113" t="s">
        <v>426</v>
      </c>
      <c r="B15" s="113" t="s">
        <v>391</v>
      </c>
      <c r="C15" s="113" t="s">
        <v>392</v>
      </c>
      <c r="D15" s="113" t="s">
        <v>393</v>
      </c>
      <c r="E15">
        <v>4334</v>
      </c>
      <c r="F15" s="113" t="s">
        <v>438</v>
      </c>
      <c r="G15" s="113" t="s">
        <v>398</v>
      </c>
      <c r="H15" s="113" t="s">
        <v>405</v>
      </c>
      <c r="I15">
        <v>62</v>
      </c>
    </row>
    <row r="16" spans="1:10">
      <c r="A16" s="113" t="s">
        <v>426</v>
      </c>
      <c r="B16" s="113" t="s">
        <v>391</v>
      </c>
      <c r="C16" s="113" t="s">
        <v>403</v>
      </c>
      <c r="D16" s="113" t="s">
        <v>397</v>
      </c>
      <c r="E16">
        <v>4382</v>
      </c>
      <c r="F16" s="113" t="s">
        <v>439</v>
      </c>
      <c r="G16" s="113" t="s">
        <v>406</v>
      </c>
      <c r="H16" s="113" t="s">
        <v>405</v>
      </c>
      <c r="I16" s="113">
        <v>844</v>
      </c>
      <c r="J16" s="113"/>
    </row>
    <row r="17" spans="1:10">
      <c r="A17" s="113" t="s">
        <v>426</v>
      </c>
      <c r="B17" s="113" t="s">
        <v>391</v>
      </c>
      <c r="C17" s="113" t="s">
        <v>396</v>
      </c>
      <c r="D17" s="113" t="s">
        <v>393</v>
      </c>
      <c r="E17">
        <v>6040</v>
      </c>
      <c r="F17" s="113" t="s">
        <v>440</v>
      </c>
      <c r="G17" s="113" t="s">
        <v>406</v>
      </c>
      <c r="H17" s="113" t="s">
        <v>399</v>
      </c>
      <c r="I17" s="113">
        <v>138</v>
      </c>
      <c r="J17" s="113"/>
    </row>
    <row r="18" spans="1:10">
      <c r="A18" s="113" t="s">
        <v>426</v>
      </c>
      <c r="B18" s="113" t="s">
        <v>391</v>
      </c>
      <c r="C18" s="113" t="s">
        <v>401</v>
      </c>
      <c r="D18" s="113" t="s">
        <v>393</v>
      </c>
      <c r="E18">
        <v>6309</v>
      </c>
      <c r="F18" s="113" t="s">
        <v>441</v>
      </c>
      <c r="G18" s="113" t="s">
        <v>394</v>
      </c>
      <c r="H18" s="113" t="s">
        <v>415</v>
      </c>
      <c r="I18">
        <v>238</v>
      </c>
    </row>
    <row r="19" spans="1:10">
      <c r="A19" s="113" t="s">
        <v>426</v>
      </c>
      <c r="B19" s="113" t="s">
        <v>391</v>
      </c>
      <c r="C19" s="113" t="s">
        <v>403</v>
      </c>
      <c r="D19" s="113" t="s">
        <v>393</v>
      </c>
      <c r="E19">
        <v>6656</v>
      </c>
      <c r="F19" s="113" t="s">
        <v>442</v>
      </c>
      <c r="G19" s="113" t="s">
        <v>402</v>
      </c>
      <c r="H19" s="113" t="s">
        <v>419</v>
      </c>
      <c r="I19">
        <v>49</v>
      </c>
    </row>
    <row r="20" spans="1:10">
      <c r="A20" s="113" t="s">
        <v>426</v>
      </c>
      <c r="B20" s="113" t="s">
        <v>391</v>
      </c>
      <c r="C20" s="113" t="s">
        <v>392</v>
      </c>
      <c r="D20" s="113" t="s">
        <v>393</v>
      </c>
      <c r="E20">
        <v>6898</v>
      </c>
      <c r="F20" s="113" t="s">
        <v>443</v>
      </c>
      <c r="G20" s="113" t="s">
        <v>398</v>
      </c>
      <c r="H20" s="113" t="s">
        <v>419</v>
      </c>
      <c r="I20">
        <v>14</v>
      </c>
    </row>
    <row r="21" spans="1:10">
      <c r="A21" s="113" t="s">
        <v>426</v>
      </c>
      <c r="B21" s="113" t="s">
        <v>391</v>
      </c>
      <c r="C21" s="113" t="s">
        <v>401</v>
      </c>
      <c r="D21" s="113" t="s">
        <v>397</v>
      </c>
      <c r="E21">
        <v>7265</v>
      </c>
      <c r="F21" s="113" t="s">
        <v>444</v>
      </c>
      <c r="G21" s="113" t="s">
        <v>398</v>
      </c>
      <c r="H21" s="113" t="s">
        <v>445</v>
      </c>
      <c r="I21" s="113">
        <v>32</v>
      </c>
      <c r="J21" s="113"/>
    </row>
    <row r="22" spans="1:10">
      <c r="A22" s="113" t="s">
        <v>426</v>
      </c>
      <c r="B22" s="113" t="s">
        <v>391</v>
      </c>
      <c r="C22" s="113" t="s">
        <v>401</v>
      </c>
      <c r="D22" s="113" t="s">
        <v>393</v>
      </c>
      <c r="E22">
        <v>7640</v>
      </c>
      <c r="F22" s="113" t="s">
        <v>446</v>
      </c>
      <c r="G22" s="113" t="s">
        <v>394</v>
      </c>
      <c r="H22" s="113" t="s">
        <v>404</v>
      </c>
      <c r="I22" s="113">
        <v>43</v>
      </c>
      <c r="J22" s="113"/>
    </row>
    <row r="23" spans="1:10">
      <c r="A23" s="113" t="s">
        <v>426</v>
      </c>
      <c r="B23" s="113" t="s">
        <v>391</v>
      </c>
      <c r="C23" s="113" t="s">
        <v>392</v>
      </c>
      <c r="D23" s="113" t="s">
        <v>397</v>
      </c>
      <c r="E23">
        <v>7878</v>
      </c>
      <c r="F23" s="113" t="s">
        <v>447</v>
      </c>
      <c r="G23" s="113" t="s">
        <v>398</v>
      </c>
      <c r="H23" s="113" t="s">
        <v>416</v>
      </c>
      <c r="I23">
        <v>10</v>
      </c>
    </row>
    <row r="24" spans="1:10">
      <c r="A24" s="113" t="s">
        <v>426</v>
      </c>
      <c r="B24" s="113" t="s">
        <v>391</v>
      </c>
      <c r="C24" s="113" t="s">
        <v>401</v>
      </c>
      <c r="D24" s="113" t="s">
        <v>393</v>
      </c>
      <c r="E24">
        <v>9678</v>
      </c>
      <c r="F24" s="113" t="s">
        <v>448</v>
      </c>
      <c r="G24" s="113" t="s">
        <v>394</v>
      </c>
      <c r="H24" s="113" t="s">
        <v>399</v>
      </c>
      <c r="I24" s="113" t="s">
        <v>449</v>
      </c>
      <c r="J24" s="113" t="s">
        <v>1052</v>
      </c>
    </row>
    <row r="25" spans="1:10">
      <c r="A25" s="113" t="s">
        <v>426</v>
      </c>
      <c r="B25" s="113" t="s">
        <v>391</v>
      </c>
      <c r="C25" s="113" t="s">
        <v>392</v>
      </c>
      <c r="D25" s="113" t="s">
        <v>397</v>
      </c>
      <c r="E25">
        <v>9734</v>
      </c>
      <c r="F25" s="113" t="s">
        <v>450</v>
      </c>
      <c r="G25" s="113" t="s">
        <v>398</v>
      </c>
      <c r="H25" s="113" t="s">
        <v>399</v>
      </c>
      <c r="I25">
        <v>30</v>
      </c>
    </row>
    <row r="26" spans="1:10">
      <c r="A26" s="113" t="s">
        <v>426</v>
      </c>
      <c r="B26" s="113" t="s">
        <v>391</v>
      </c>
      <c r="C26" s="113" t="s">
        <v>392</v>
      </c>
      <c r="D26" s="113" t="s">
        <v>393</v>
      </c>
      <c r="E26">
        <v>9743</v>
      </c>
      <c r="F26" s="113" t="s">
        <v>451</v>
      </c>
      <c r="G26" s="113" t="s">
        <v>394</v>
      </c>
      <c r="H26" s="113" t="s">
        <v>399</v>
      </c>
      <c r="I26">
        <v>616</v>
      </c>
    </row>
    <row r="27" spans="1:10">
      <c r="A27" s="113" t="s">
        <v>452</v>
      </c>
      <c r="B27" s="113" t="s">
        <v>453</v>
      </c>
      <c r="C27" s="113" t="s">
        <v>392</v>
      </c>
      <c r="D27" s="113" t="s">
        <v>397</v>
      </c>
      <c r="E27">
        <v>2163</v>
      </c>
      <c r="F27" s="113" t="s">
        <v>454</v>
      </c>
      <c r="G27" s="113" t="s">
        <v>394</v>
      </c>
      <c r="H27" s="113" t="s">
        <v>399</v>
      </c>
      <c r="I27">
        <v>82</v>
      </c>
    </row>
    <row r="28" spans="1:10">
      <c r="A28" s="113" t="s">
        <v>452</v>
      </c>
      <c r="B28" s="113" t="s">
        <v>391</v>
      </c>
      <c r="C28" s="113" t="s">
        <v>401</v>
      </c>
      <c r="D28" s="113" t="s">
        <v>397</v>
      </c>
      <c r="E28">
        <v>2301</v>
      </c>
      <c r="F28" s="113" t="s">
        <v>455</v>
      </c>
      <c r="G28" s="113" t="s">
        <v>394</v>
      </c>
      <c r="H28" s="113" t="s">
        <v>399</v>
      </c>
      <c r="I28">
        <v>248</v>
      </c>
    </row>
    <row r="29" spans="1:10">
      <c r="A29" s="113" t="s">
        <v>452</v>
      </c>
      <c r="B29" s="113" t="s">
        <v>391</v>
      </c>
      <c r="C29" s="113" t="s">
        <v>392</v>
      </c>
      <c r="D29" s="113" t="s">
        <v>393</v>
      </c>
      <c r="E29">
        <v>3071</v>
      </c>
      <c r="F29" s="113" t="s">
        <v>456</v>
      </c>
      <c r="G29" s="113" t="s">
        <v>402</v>
      </c>
      <c r="H29" s="113" t="s">
        <v>404</v>
      </c>
      <c r="I29">
        <v>25</v>
      </c>
    </row>
    <row r="30" spans="1:10">
      <c r="A30" s="113" t="s">
        <v>452</v>
      </c>
      <c r="B30" s="113" t="s">
        <v>391</v>
      </c>
      <c r="C30" s="113" t="s">
        <v>403</v>
      </c>
      <c r="D30" s="113" t="s">
        <v>393</v>
      </c>
      <c r="E30">
        <v>3180</v>
      </c>
      <c r="F30" s="113" t="s">
        <v>457</v>
      </c>
      <c r="G30" s="113" t="s">
        <v>394</v>
      </c>
      <c r="H30" s="113" t="s">
        <v>400</v>
      </c>
      <c r="I30">
        <v>139</v>
      </c>
    </row>
    <row r="31" spans="1:10">
      <c r="A31" s="113" t="s">
        <v>452</v>
      </c>
      <c r="B31" s="113" t="s">
        <v>391</v>
      </c>
      <c r="C31" s="113" t="s">
        <v>401</v>
      </c>
      <c r="D31" s="113" t="s">
        <v>393</v>
      </c>
      <c r="E31">
        <v>3491</v>
      </c>
      <c r="F31" s="113" t="s">
        <v>458</v>
      </c>
      <c r="G31" s="113" t="s">
        <v>406</v>
      </c>
      <c r="H31" s="113" t="s">
        <v>420</v>
      </c>
      <c r="I31">
        <v>397</v>
      </c>
    </row>
    <row r="32" spans="1:10">
      <c r="A32" s="113" t="s">
        <v>452</v>
      </c>
      <c r="B32" s="113" t="s">
        <v>391</v>
      </c>
      <c r="C32" s="113" t="s">
        <v>403</v>
      </c>
      <c r="D32" s="113" t="s">
        <v>393</v>
      </c>
      <c r="E32">
        <v>3524</v>
      </c>
      <c r="F32" s="113" t="s">
        <v>459</v>
      </c>
      <c r="G32" s="113" t="s">
        <v>394</v>
      </c>
      <c r="H32" s="113" t="s">
        <v>460</v>
      </c>
      <c r="I32">
        <v>43</v>
      </c>
    </row>
    <row r="33" spans="1:10">
      <c r="A33" s="113" t="s">
        <v>452</v>
      </c>
      <c r="B33" s="113" t="s">
        <v>391</v>
      </c>
      <c r="C33" s="113" t="s">
        <v>392</v>
      </c>
      <c r="D33" s="113" t="s">
        <v>393</v>
      </c>
      <c r="E33">
        <v>3955</v>
      </c>
      <c r="F33" s="113" t="s">
        <v>461</v>
      </c>
      <c r="G33" s="113" t="s">
        <v>402</v>
      </c>
      <c r="H33" s="113" t="s">
        <v>462</v>
      </c>
      <c r="I33" s="113">
        <v>63</v>
      </c>
      <c r="J33" s="113"/>
    </row>
    <row r="34" spans="1:10">
      <c r="A34" s="113" t="s">
        <v>452</v>
      </c>
      <c r="B34" s="113" t="s">
        <v>391</v>
      </c>
      <c r="C34" s="113" t="s">
        <v>392</v>
      </c>
      <c r="D34" s="113" t="s">
        <v>393</v>
      </c>
      <c r="E34">
        <v>4238</v>
      </c>
      <c r="F34" s="113" t="s">
        <v>463</v>
      </c>
      <c r="G34" s="113" t="s">
        <v>394</v>
      </c>
      <c r="H34" s="113" t="s">
        <v>407</v>
      </c>
      <c r="I34">
        <v>136</v>
      </c>
    </row>
    <row r="35" spans="1:10">
      <c r="A35" s="113" t="s">
        <v>452</v>
      </c>
      <c r="B35" s="113" t="s">
        <v>391</v>
      </c>
      <c r="C35" s="113" t="s">
        <v>403</v>
      </c>
      <c r="D35" s="113" t="s">
        <v>393</v>
      </c>
      <c r="E35">
        <v>6065</v>
      </c>
      <c r="F35" s="113" t="s">
        <v>464</v>
      </c>
      <c r="G35" s="113" t="s">
        <v>394</v>
      </c>
      <c r="H35" s="113" t="s">
        <v>399</v>
      </c>
      <c r="I35">
        <v>93</v>
      </c>
    </row>
    <row r="36" spans="1:10">
      <c r="A36" s="113" t="s">
        <v>452</v>
      </c>
      <c r="B36" s="113" t="s">
        <v>391</v>
      </c>
      <c r="C36" s="113" t="s">
        <v>392</v>
      </c>
      <c r="D36" s="113" t="s">
        <v>393</v>
      </c>
      <c r="E36">
        <v>7196</v>
      </c>
      <c r="F36" s="113" t="s">
        <v>465</v>
      </c>
      <c r="G36" s="113" t="s">
        <v>394</v>
      </c>
      <c r="H36" s="113" t="s">
        <v>466</v>
      </c>
      <c r="I36">
        <v>137</v>
      </c>
    </row>
    <row r="37" spans="1:10">
      <c r="A37" s="113" t="s">
        <v>452</v>
      </c>
      <c r="B37" s="113" t="s">
        <v>391</v>
      </c>
      <c r="C37" s="113" t="s">
        <v>401</v>
      </c>
      <c r="D37" s="113" t="s">
        <v>397</v>
      </c>
      <c r="E37">
        <v>7804</v>
      </c>
      <c r="F37" s="113" t="s">
        <v>467</v>
      </c>
      <c r="G37" s="113" t="s">
        <v>406</v>
      </c>
      <c r="H37" s="113" t="s">
        <v>416</v>
      </c>
      <c r="I37">
        <v>42</v>
      </c>
    </row>
    <row r="38" spans="1:10">
      <c r="A38" s="113" t="s">
        <v>452</v>
      </c>
      <c r="B38" s="113" t="s">
        <v>391</v>
      </c>
      <c r="C38" s="113" t="s">
        <v>401</v>
      </c>
      <c r="D38" s="113" t="s">
        <v>393</v>
      </c>
      <c r="E38">
        <v>7856</v>
      </c>
      <c r="F38" s="113" t="s">
        <v>468</v>
      </c>
      <c r="G38" s="113" t="s">
        <v>394</v>
      </c>
      <c r="H38" s="113" t="s">
        <v>416</v>
      </c>
      <c r="I38">
        <v>243</v>
      </c>
    </row>
    <row r="39" spans="1:10">
      <c r="A39" s="113" t="s">
        <v>452</v>
      </c>
      <c r="B39" s="113" t="s">
        <v>391</v>
      </c>
      <c r="C39" s="113" t="s">
        <v>401</v>
      </c>
      <c r="D39" s="113" t="s">
        <v>393</v>
      </c>
      <c r="E39">
        <v>9824</v>
      </c>
      <c r="F39" s="113" t="s">
        <v>469</v>
      </c>
      <c r="G39" s="113" t="s">
        <v>394</v>
      </c>
      <c r="H39" s="113" t="s">
        <v>400</v>
      </c>
      <c r="I39">
        <v>310</v>
      </c>
    </row>
    <row r="40" spans="1:10">
      <c r="A40" s="113" t="s">
        <v>470</v>
      </c>
      <c r="B40" s="113" t="s">
        <v>391</v>
      </c>
      <c r="C40" s="113" t="s">
        <v>392</v>
      </c>
      <c r="D40" s="113" t="s">
        <v>393</v>
      </c>
      <c r="E40">
        <v>1433</v>
      </c>
      <c r="F40" s="113" t="s">
        <v>471</v>
      </c>
      <c r="G40" s="113" t="s">
        <v>394</v>
      </c>
      <c r="H40" s="113" t="s">
        <v>428</v>
      </c>
      <c r="I40">
        <v>106</v>
      </c>
    </row>
    <row r="41" spans="1:10">
      <c r="A41" s="113" t="s">
        <v>470</v>
      </c>
      <c r="B41" s="113" t="s">
        <v>391</v>
      </c>
      <c r="C41" s="113" t="s">
        <v>396</v>
      </c>
      <c r="D41" s="113" t="s">
        <v>393</v>
      </c>
      <c r="E41">
        <v>1844</v>
      </c>
      <c r="F41" s="113" t="s">
        <v>472</v>
      </c>
      <c r="G41" s="113" t="s">
        <v>402</v>
      </c>
      <c r="H41" s="113" t="s">
        <v>428</v>
      </c>
      <c r="I41">
        <v>32</v>
      </c>
    </row>
    <row r="42" spans="1:10">
      <c r="A42" s="113" t="s">
        <v>470</v>
      </c>
      <c r="B42" s="113" t="s">
        <v>391</v>
      </c>
      <c r="C42" s="113" t="s">
        <v>403</v>
      </c>
      <c r="D42" s="113" t="s">
        <v>397</v>
      </c>
      <c r="E42">
        <v>2438</v>
      </c>
      <c r="F42" s="113" t="s">
        <v>473</v>
      </c>
      <c r="G42" s="113" t="s">
        <v>406</v>
      </c>
      <c r="H42" s="113" t="s">
        <v>399</v>
      </c>
      <c r="I42">
        <v>270</v>
      </c>
    </row>
    <row r="43" spans="1:10">
      <c r="A43" s="113" t="s">
        <v>470</v>
      </c>
      <c r="B43" s="113" t="s">
        <v>391</v>
      </c>
      <c r="C43" s="113" t="s">
        <v>403</v>
      </c>
      <c r="D43" s="113" t="s">
        <v>393</v>
      </c>
      <c r="E43">
        <v>2751</v>
      </c>
      <c r="F43" s="113" t="s">
        <v>474</v>
      </c>
      <c r="G43" s="113" t="s">
        <v>398</v>
      </c>
      <c r="H43" s="113" t="s">
        <v>400</v>
      </c>
      <c r="I43">
        <v>317</v>
      </c>
    </row>
    <row r="44" spans="1:10">
      <c r="A44" s="113" t="s">
        <v>470</v>
      </c>
      <c r="B44" s="113" t="s">
        <v>391</v>
      </c>
      <c r="C44" s="113" t="s">
        <v>403</v>
      </c>
      <c r="D44" s="113" t="s">
        <v>393</v>
      </c>
      <c r="E44">
        <v>2923</v>
      </c>
      <c r="F44" s="113" t="s">
        <v>475</v>
      </c>
      <c r="G44" s="113" t="s">
        <v>402</v>
      </c>
      <c r="H44" s="113" t="s">
        <v>395</v>
      </c>
      <c r="I44">
        <v>183</v>
      </c>
    </row>
    <row r="45" spans="1:10">
      <c r="A45" s="113" t="s">
        <v>470</v>
      </c>
      <c r="B45" s="113" t="s">
        <v>391</v>
      </c>
      <c r="C45" s="113" t="s">
        <v>392</v>
      </c>
      <c r="D45" s="113" t="s">
        <v>393</v>
      </c>
      <c r="E45">
        <v>3070</v>
      </c>
      <c r="F45" s="113" t="s">
        <v>476</v>
      </c>
      <c r="G45" s="113" t="s">
        <v>398</v>
      </c>
      <c r="H45" s="113" t="s">
        <v>400</v>
      </c>
      <c r="I45">
        <v>7</v>
      </c>
    </row>
    <row r="46" spans="1:10">
      <c r="A46" s="113" t="s">
        <v>470</v>
      </c>
      <c r="B46" s="113" t="s">
        <v>391</v>
      </c>
      <c r="C46" s="113" t="s">
        <v>401</v>
      </c>
      <c r="D46" s="113" t="s">
        <v>393</v>
      </c>
      <c r="E46">
        <v>3248</v>
      </c>
      <c r="F46" s="113" t="s">
        <v>477</v>
      </c>
      <c r="G46" s="113" t="s">
        <v>402</v>
      </c>
      <c r="H46" s="113" t="s">
        <v>420</v>
      </c>
      <c r="I46">
        <v>22</v>
      </c>
    </row>
    <row r="47" spans="1:10">
      <c r="A47" s="113" t="s">
        <v>470</v>
      </c>
      <c r="B47" s="113" t="s">
        <v>391</v>
      </c>
      <c r="C47" s="113" t="s">
        <v>392</v>
      </c>
      <c r="D47" s="113" t="s">
        <v>397</v>
      </c>
      <c r="E47">
        <v>3399</v>
      </c>
      <c r="F47" s="113" t="s">
        <v>478</v>
      </c>
      <c r="G47" s="113" t="s">
        <v>398</v>
      </c>
      <c r="H47" s="113" t="s">
        <v>404</v>
      </c>
      <c r="I47">
        <v>47</v>
      </c>
    </row>
    <row r="48" spans="1:10">
      <c r="A48" s="113" t="s">
        <v>470</v>
      </c>
      <c r="B48" s="113" t="s">
        <v>391</v>
      </c>
      <c r="C48" s="113" t="s">
        <v>401</v>
      </c>
      <c r="D48" s="113" t="s">
        <v>393</v>
      </c>
      <c r="E48">
        <v>3475</v>
      </c>
      <c r="F48" s="113" t="s">
        <v>479</v>
      </c>
      <c r="G48" s="113" t="s">
        <v>394</v>
      </c>
      <c r="H48" s="113" t="s">
        <v>420</v>
      </c>
      <c r="I48">
        <v>137</v>
      </c>
    </row>
    <row r="49" spans="1:10">
      <c r="A49" s="113" t="s">
        <v>470</v>
      </c>
      <c r="B49" s="113" t="s">
        <v>391</v>
      </c>
      <c r="C49" s="113" t="s">
        <v>401</v>
      </c>
      <c r="D49" s="113" t="s">
        <v>397</v>
      </c>
      <c r="E49">
        <v>3476</v>
      </c>
      <c r="F49" s="113" t="s">
        <v>480</v>
      </c>
      <c r="G49" s="113" t="s">
        <v>481</v>
      </c>
      <c r="H49" s="113" t="s">
        <v>482</v>
      </c>
      <c r="I49">
        <v>951</v>
      </c>
    </row>
    <row r="50" spans="1:10">
      <c r="A50" s="113" t="s">
        <v>470</v>
      </c>
      <c r="B50" s="113" t="s">
        <v>391</v>
      </c>
      <c r="C50" s="113" t="s">
        <v>396</v>
      </c>
      <c r="D50" s="113" t="s">
        <v>393</v>
      </c>
      <c r="E50">
        <v>3988</v>
      </c>
      <c r="F50" s="113" t="s">
        <v>483</v>
      </c>
      <c r="G50" s="113" t="s">
        <v>398</v>
      </c>
      <c r="H50" s="113" t="s">
        <v>405</v>
      </c>
      <c r="I50" s="113">
        <v>29</v>
      </c>
      <c r="J50" s="113"/>
    </row>
    <row r="51" spans="1:10">
      <c r="A51" s="113" t="s">
        <v>470</v>
      </c>
      <c r="B51" s="113" t="s">
        <v>391</v>
      </c>
      <c r="C51" s="113" t="s">
        <v>401</v>
      </c>
      <c r="D51" s="113" t="s">
        <v>397</v>
      </c>
      <c r="E51">
        <v>4441</v>
      </c>
      <c r="F51" s="113" t="s">
        <v>484</v>
      </c>
      <c r="G51" s="113" t="s">
        <v>406</v>
      </c>
      <c r="H51" s="113" t="s">
        <v>405</v>
      </c>
      <c r="I51" s="113">
        <v>249</v>
      </c>
      <c r="J51" s="113"/>
    </row>
    <row r="52" spans="1:10">
      <c r="A52" s="113" t="s">
        <v>470</v>
      </c>
      <c r="B52" s="113" t="s">
        <v>391</v>
      </c>
      <c r="C52" s="113" t="s">
        <v>396</v>
      </c>
      <c r="D52" s="113" t="s">
        <v>397</v>
      </c>
      <c r="E52">
        <v>6387</v>
      </c>
      <c r="F52" s="113" t="s">
        <v>485</v>
      </c>
      <c r="G52" s="113" t="s">
        <v>394</v>
      </c>
      <c r="H52" s="113" t="s">
        <v>415</v>
      </c>
      <c r="I52">
        <v>96</v>
      </c>
    </row>
    <row r="53" spans="1:10">
      <c r="A53" s="113" t="s">
        <v>470</v>
      </c>
      <c r="B53" s="113" t="s">
        <v>391</v>
      </c>
      <c r="C53" s="113" t="s">
        <v>392</v>
      </c>
      <c r="D53" s="113" t="s">
        <v>393</v>
      </c>
      <c r="E53">
        <v>6696</v>
      </c>
      <c r="F53" s="113" t="s">
        <v>486</v>
      </c>
      <c r="G53" s="113" t="s">
        <v>406</v>
      </c>
      <c r="H53" s="113" t="s">
        <v>419</v>
      </c>
      <c r="I53">
        <v>40</v>
      </c>
    </row>
    <row r="54" spans="1:10">
      <c r="A54" s="113" t="s">
        <v>470</v>
      </c>
      <c r="B54" s="113" t="s">
        <v>391</v>
      </c>
      <c r="C54" s="113" t="s">
        <v>403</v>
      </c>
      <c r="D54" s="113" t="s">
        <v>397</v>
      </c>
      <c r="E54">
        <v>7901</v>
      </c>
      <c r="F54" s="113" t="s">
        <v>487</v>
      </c>
      <c r="G54" s="113" t="s">
        <v>398</v>
      </c>
      <c r="H54" s="113" t="s">
        <v>416</v>
      </c>
      <c r="I54">
        <v>9</v>
      </c>
    </row>
    <row r="55" spans="1:10">
      <c r="A55" s="113" t="s">
        <v>470</v>
      </c>
      <c r="B55" s="113" t="s">
        <v>391</v>
      </c>
      <c r="C55" s="113" t="s">
        <v>392</v>
      </c>
      <c r="D55" s="113" t="s">
        <v>393</v>
      </c>
      <c r="E55">
        <v>8142</v>
      </c>
      <c r="F55" s="113" t="s">
        <v>488</v>
      </c>
      <c r="G55" s="113" t="s">
        <v>394</v>
      </c>
      <c r="H55" s="113" t="s">
        <v>400</v>
      </c>
      <c r="I55">
        <v>206</v>
      </c>
    </row>
    <row r="56" spans="1:10">
      <c r="A56" s="113" t="s">
        <v>470</v>
      </c>
      <c r="B56" s="113" t="s">
        <v>391</v>
      </c>
      <c r="C56" s="113" t="s">
        <v>396</v>
      </c>
      <c r="D56" s="113" t="s">
        <v>397</v>
      </c>
      <c r="E56">
        <v>9262</v>
      </c>
      <c r="F56" s="113" t="s">
        <v>489</v>
      </c>
      <c r="G56" s="113" t="s">
        <v>406</v>
      </c>
      <c r="H56" s="113" t="s">
        <v>404</v>
      </c>
      <c r="I56">
        <v>323</v>
      </c>
    </row>
    <row r="57" spans="1:10">
      <c r="A57" s="113" t="s">
        <v>470</v>
      </c>
      <c r="B57" s="113" t="s">
        <v>391</v>
      </c>
      <c r="C57" s="113" t="s">
        <v>392</v>
      </c>
      <c r="D57" s="113" t="s">
        <v>397</v>
      </c>
      <c r="E57">
        <v>9636</v>
      </c>
      <c r="F57" s="113" t="s">
        <v>490</v>
      </c>
      <c r="G57" s="113" t="s">
        <v>402</v>
      </c>
      <c r="H57" s="113" t="s">
        <v>399</v>
      </c>
      <c r="I57">
        <v>97</v>
      </c>
    </row>
    <row r="58" spans="1:10">
      <c r="A58" s="113" t="s">
        <v>470</v>
      </c>
      <c r="B58" s="113" t="s">
        <v>391</v>
      </c>
      <c r="C58" s="113" t="s">
        <v>392</v>
      </c>
      <c r="D58" s="113" t="s">
        <v>393</v>
      </c>
      <c r="E58">
        <v>9692</v>
      </c>
      <c r="F58" s="113" t="s">
        <v>491</v>
      </c>
      <c r="G58" s="113" t="s">
        <v>394</v>
      </c>
      <c r="H58" s="113" t="s">
        <v>405</v>
      </c>
      <c r="I58">
        <v>859</v>
      </c>
    </row>
    <row r="59" spans="1:10">
      <c r="A59" s="113" t="s">
        <v>492</v>
      </c>
      <c r="B59" s="113" t="s">
        <v>391</v>
      </c>
      <c r="C59" s="113" t="s">
        <v>392</v>
      </c>
      <c r="D59" s="113" t="s">
        <v>397</v>
      </c>
      <c r="E59">
        <v>1758</v>
      </c>
      <c r="F59" s="113" t="s">
        <v>493</v>
      </c>
      <c r="G59" s="113" t="s">
        <v>398</v>
      </c>
      <c r="H59" s="113" t="s">
        <v>428</v>
      </c>
      <c r="I59">
        <v>44</v>
      </c>
    </row>
    <row r="60" spans="1:10">
      <c r="A60" s="113" t="s">
        <v>492</v>
      </c>
      <c r="B60" s="113" t="s">
        <v>391</v>
      </c>
      <c r="C60" s="113" t="s">
        <v>403</v>
      </c>
      <c r="D60" s="113" t="s">
        <v>393</v>
      </c>
      <c r="E60">
        <v>3134</v>
      </c>
      <c r="F60" s="113" t="s">
        <v>494</v>
      </c>
      <c r="G60" s="113" t="s">
        <v>394</v>
      </c>
      <c r="H60" s="113" t="s">
        <v>404</v>
      </c>
      <c r="I60">
        <v>215</v>
      </c>
    </row>
    <row r="61" spans="1:10">
      <c r="A61" s="113" t="s">
        <v>492</v>
      </c>
      <c r="B61" s="113" t="s">
        <v>391</v>
      </c>
      <c r="C61" s="113" t="s">
        <v>403</v>
      </c>
      <c r="D61" s="113" t="s">
        <v>393</v>
      </c>
      <c r="E61">
        <v>3161</v>
      </c>
      <c r="F61" s="113" t="s">
        <v>495</v>
      </c>
      <c r="G61" s="113" t="s">
        <v>402</v>
      </c>
      <c r="H61" s="113" t="s">
        <v>400</v>
      </c>
      <c r="I61">
        <v>36</v>
      </c>
    </row>
    <row r="62" spans="1:10">
      <c r="A62" s="113" t="s">
        <v>492</v>
      </c>
      <c r="B62" s="113" t="s">
        <v>391</v>
      </c>
      <c r="C62" s="113" t="s">
        <v>392</v>
      </c>
      <c r="D62" s="113" t="s">
        <v>393</v>
      </c>
      <c r="E62">
        <v>3320</v>
      </c>
      <c r="F62" s="113" t="s">
        <v>496</v>
      </c>
      <c r="G62" s="113" t="s">
        <v>402</v>
      </c>
      <c r="H62" s="113" t="s">
        <v>400</v>
      </c>
      <c r="I62">
        <v>57</v>
      </c>
    </row>
    <row r="63" spans="1:10">
      <c r="A63" s="113" t="s">
        <v>492</v>
      </c>
      <c r="B63" s="113" t="s">
        <v>391</v>
      </c>
      <c r="C63" s="113" t="s">
        <v>403</v>
      </c>
      <c r="D63" s="113" t="s">
        <v>393</v>
      </c>
      <c r="E63">
        <v>3444</v>
      </c>
      <c r="F63" s="113" t="s">
        <v>497</v>
      </c>
      <c r="G63" s="113" t="s">
        <v>398</v>
      </c>
      <c r="H63" s="113" t="s">
        <v>409</v>
      </c>
      <c r="I63">
        <v>96</v>
      </c>
    </row>
    <row r="64" spans="1:10">
      <c r="A64" s="113" t="s">
        <v>492</v>
      </c>
      <c r="B64" s="113" t="s">
        <v>391</v>
      </c>
      <c r="C64" s="113" t="s">
        <v>396</v>
      </c>
      <c r="D64" s="113" t="s">
        <v>393</v>
      </c>
      <c r="E64">
        <v>3458</v>
      </c>
      <c r="F64" s="113" t="s">
        <v>498</v>
      </c>
      <c r="G64" s="113" t="s">
        <v>394</v>
      </c>
      <c r="H64" s="113" t="s">
        <v>420</v>
      </c>
      <c r="I64">
        <v>278</v>
      </c>
    </row>
    <row r="65" spans="1:10">
      <c r="A65" s="113" t="s">
        <v>492</v>
      </c>
      <c r="B65" s="113" t="s">
        <v>391</v>
      </c>
      <c r="C65" s="113" t="s">
        <v>396</v>
      </c>
      <c r="D65" s="113" t="s">
        <v>393</v>
      </c>
      <c r="E65">
        <v>3539</v>
      </c>
      <c r="F65" s="113" t="s">
        <v>499</v>
      </c>
      <c r="G65" s="113" t="s">
        <v>394</v>
      </c>
      <c r="H65" s="113" t="s">
        <v>404</v>
      </c>
      <c r="I65">
        <v>580</v>
      </c>
    </row>
    <row r="66" spans="1:10">
      <c r="A66" s="113" t="s">
        <v>492</v>
      </c>
      <c r="B66" s="113" t="s">
        <v>391</v>
      </c>
      <c r="C66" s="113" t="s">
        <v>392</v>
      </c>
      <c r="D66" s="113" t="s">
        <v>397</v>
      </c>
      <c r="E66">
        <v>3565</v>
      </c>
      <c r="F66" s="113" t="s">
        <v>500</v>
      </c>
      <c r="G66" s="113" t="s">
        <v>394</v>
      </c>
      <c r="H66" s="113" t="s">
        <v>400</v>
      </c>
      <c r="I66">
        <v>131</v>
      </c>
    </row>
    <row r="67" spans="1:10">
      <c r="A67" s="113" t="s">
        <v>492</v>
      </c>
      <c r="B67" s="113" t="s">
        <v>391</v>
      </c>
      <c r="C67" s="113" t="s">
        <v>403</v>
      </c>
      <c r="D67" s="113" t="s">
        <v>397</v>
      </c>
      <c r="E67">
        <v>4026</v>
      </c>
      <c r="F67" s="113" t="s">
        <v>501</v>
      </c>
      <c r="G67" s="113" t="s">
        <v>402</v>
      </c>
      <c r="H67" s="113" t="s">
        <v>502</v>
      </c>
      <c r="I67">
        <v>78</v>
      </c>
    </row>
    <row r="68" spans="1:10">
      <c r="A68" s="113" t="s">
        <v>492</v>
      </c>
      <c r="B68" s="113" t="s">
        <v>391</v>
      </c>
      <c r="C68" s="113" t="s">
        <v>392</v>
      </c>
      <c r="D68" s="113" t="s">
        <v>397</v>
      </c>
      <c r="E68">
        <v>7064</v>
      </c>
      <c r="F68" s="113" t="s">
        <v>503</v>
      </c>
      <c r="G68" s="113" t="s">
        <v>406</v>
      </c>
      <c r="H68" s="113" t="s">
        <v>399</v>
      </c>
      <c r="I68">
        <v>37</v>
      </c>
    </row>
    <row r="69" spans="1:10">
      <c r="A69" s="113" t="s">
        <v>504</v>
      </c>
      <c r="B69" s="113" t="s">
        <v>391</v>
      </c>
      <c r="C69" s="113" t="s">
        <v>401</v>
      </c>
      <c r="D69" s="113" t="s">
        <v>393</v>
      </c>
      <c r="E69">
        <v>2695</v>
      </c>
      <c r="F69" s="113" t="s">
        <v>505</v>
      </c>
      <c r="G69" s="113" t="s">
        <v>394</v>
      </c>
      <c r="H69" s="113" t="s">
        <v>404</v>
      </c>
      <c r="I69" s="113" t="s">
        <v>449</v>
      </c>
      <c r="J69" s="113" t="s">
        <v>1083</v>
      </c>
    </row>
    <row r="70" spans="1:10">
      <c r="A70" s="113" t="s">
        <v>504</v>
      </c>
      <c r="B70" s="113" t="s">
        <v>391</v>
      </c>
      <c r="C70" s="113" t="s">
        <v>403</v>
      </c>
      <c r="D70" s="113" t="s">
        <v>397</v>
      </c>
      <c r="E70">
        <v>3075</v>
      </c>
      <c r="F70" s="113" t="s">
        <v>506</v>
      </c>
      <c r="G70" s="113" t="s">
        <v>398</v>
      </c>
      <c r="H70" s="113" t="s">
        <v>404</v>
      </c>
      <c r="I70">
        <v>184</v>
      </c>
    </row>
    <row r="71" spans="1:10">
      <c r="A71" s="113" t="s">
        <v>504</v>
      </c>
      <c r="B71" s="113" t="s">
        <v>391</v>
      </c>
      <c r="C71" s="113" t="s">
        <v>392</v>
      </c>
      <c r="D71" s="113" t="s">
        <v>393</v>
      </c>
      <c r="E71">
        <v>3169</v>
      </c>
      <c r="F71" s="113" t="s">
        <v>507</v>
      </c>
      <c r="G71" s="113" t="s">
        <v>394</v>
      </c>
      <c r="H71" s="113" t="s">
        <v>404</v>
      </c>
      <c r="I71">
        <v>60</v>
      </c>
    </row>
    <row r="72" spans="1:10">
      <c r="A72" s="113" t="s">
        <v>504</v>
      </c>
      <c r="B72" s="113" t="s">
        <v>391</v>
      </c>
      <c r="C72" s="113" t="s">
        <v>403</v>
      </c>
      <c r="D72" s="113" t="s">
        <v>393</v>
      </c>
      <c r="E72">
        <v>3361</v>
      </c>
      <c r="F72" s="113" t="s">
        <v>508</v>
      </c>
      <c r="G72" s="113" t="s">
        <v>394</v>
      </c>
      <c r="H72" s="113" t="s">
        <v>404</v>
      </c>
      <c r="I72">
        <v>158</v>
      </c>
    </row>
    <row r="73" spans="1:10">
      <c r="A73" s="113" t="s">
        <v>504</v>
      </c>
      <c r="B73" s="113" t="s">
        <v>391</v>
      </c>
      <c r="C73" s="113" t="s">
        <v>396</v>
      </c>
      <c r="D73" s="113" t="s">
        <v>393</v>
      </c>
      <c r="E73">
        <v>3418</v>
      </c>
      <c r="F73" s="113" t="s">
        <v>509</v>
      </c>
      <c r="G73" s="113" t="s">
        <v>406</v>
      </c>
      <c r="H73" s="113" t="s">
        <v>404</v>
      </c>
      <c r="I73">
        <v>109</v>
      </c>
    </row>
    <row r="74" spans="1:10">
      <c r="A74" s="113" t="s">
        <v>504</v>
      </c>
      <c r="B74" s="113" t="s">
        <v>391</v>
      </c>
      <c r="C74" s="113" t="s">
        <v>403</v>
      </c>
      <c r="D74" s="113" t="s">
        <v>393</v>
      </c>
      <c r="E74">
        <v>3549</v>
      </c>
      <c r="F74" s="113" t="s">
        <v>510</v>
      </c>
      <c r="G74" s="113" t="s">
        <v>394</v>
      </c>
      <c r="H74" s="113" t="s">
        <v>404</v>
      </c>
      <c r="I74" s="113" t="s">
        <v>417</v>
      </c>
      <c r="J74" s="113" t="s">
        <v>1084</v>
      </c>
    </row>
    <row r="75" spans="1:10">
      <c r="A75" s="113" t="s">
        <v>504</v>
      </c>
      <c r="B75" s="113" t="s">
        <v>391</v>
      </c>
      <c r="C75" s="113" t="s">
        <v>401</v>
      </c>
      <c r="D75" s="113" t="s">
        <v>393</v>
      </c>
      <c r="E75">
        <v>3974</v>
      </c>
      <c r="F75" s="113" t="s">
        <v>511</v>
      </c>
      <c r="G75" s="113" t="s">
        <v>398</v>
      </c>
      <c r="H75" s="113" t="s">
        <v>405</v>
      </c>
      <c r="I75">
        <v>24</v>
      </c>
    </row>
    <row r="76" spans="1:10">
      <c r="A76" s="113" t="s">
        <v>504</v>
      </c>
      <c r="B76" s="113" t="s">
        <v>391</v>
      </c>
      <c r="C76" s="113" t="s">
        <v>401</v>
      </c>
      <c r="D76" s="113" t="s">
        <v>393</v>
      </c>
      <c r="E76">
        <v>3976</v>
      </c>
      <c r="F76" s="113" t="s">
        <v>512</v>
      </c>
      <c r="G76" s="113" t="s">
        <v>406</v>
      </c>
      <c r="H76" s="113" t="s">
        <v>405</v>
      </c>
      <c r="I76">
        <v>20</v>
      </c>
    </row>
    <row r="77" spans="1:10">
      <c r="A77" s="113" t="s">
        <v>504</v>
      </c>
      <c r="B77" s="113" t="s">
        <v>391</v>
      </c>
      <c r="C77" s="113" t="s">
        <v>396</v>
      </c>
      <c r="D77" s="113" t="s">
        <v>397</v>
      </c>
      <c r="E77">
        <v>4384</v>
      </c>
      <c r="F77" s="113" t="s">
        <v>513</v>
      </c>
      <c r="G77" s="113" t="s">
        <v>394</v>
      </c>
      <c r="H77" s="113" t="s">
        <v>405</v>
      </c>
      <c r="I77">
        <v>989</v>
      </c>
    </row>
    <row r="78" spans="1:10">
      <c r="A78" s="113" t="s">
        <v>504</v>
      </c>
      <c r="B78" s="113" t="s">
        <v>391</v>
      </c>
      <c r="C78" s="113" t="s">
        <v>396</v>
      </c>
      <c r="D78" s="113" t="s">
        <v>393</v>
      </c>
      <c r="E78">
        <v>4422</v>
      </c>
      <c r="F78" s="113" t="s">
        <v>514</v>
      </c>
      <c r="G78" s="113" t="s">
        <v>406</v>
      </c>
      <c r="H78" s="113" t="s">
        <v>405</v>
      </c>
      <c r="I78">
        <v>64</v>
      </c>
    </row>
    <row r="79" spans="1:10">
      <c r="A79" s="113" t="s">
        <v>504</v>
      </c>
      <c r="B79" s="113" t="s">
        <v>391</v>
      </c>
      <c r="C79" s="113" t="s">
        <v>401</v>
      </c>
      <c r="D79" s="113" t="s">
        <v>397</v>
      </c>
      <c r="E79">
        <v>4880</v>
      </c>
      <c r="F79" s="113" t="s">
        <v>515</v>
      </c>
      <c r="G79" s="113" t="s">
        <v>406</v>
      </c>
      <c r="H79" s="113" t="s">
        <v>516</v>
      </c>
      <c r="I79">
        <v>230</v>
      </c>
    </row>
    <row r="80" spans="1:10">
      <c r="A80" s="113" t="s">
        <v>504</v>
      </c>
      <c r="B80" s="113" t="s">
        <v>391</v>
      </c>
      <c r="C80" s="113" t="s">
        <v>401</v>
      </c>
      <c r="D80" s="113" t="s">
        <v>393</v>
      </c>
      <c r="E80">
        <v>5218</v>
      </c>
      <c r="F80" s="113" t="s">
        <v>517</v>
      </c>
      <c r="G80" s="113" t="s">
        <v>394</v>
      </c>
      <c r="H80" s="113" t="s">
        <v>502</v>
      </c>
      <c r="I80">
        <v>371</v>
      </c>
    </row>
    <row r="81" spans="1:10">
      <c r="A81" s="113" t="s">
        <v>504</v>
      </c>
      <c r="B81" s="113" t="s">
        <v>391</v>
      </c>
      <c r="C81" s="113" t="s">
        <v>396</v>
      </c>
      <c r="D81" s="113" t="s">
        <v>397</v>
      </c>
      <c r="E81">
        <v>6037</v>
      </c>
      <c r="F81" s="113" t="s">
        <v>518</v>
      </c>
      <c r="G81" s="113" t="s">
        <v>394</v>
      </c>
      <c r="H81" s="113" t="s">
        <v>399</v>
      </c>
      <c r="I81">
        <v>73</v>
      </c>
    </row>
    <row r="82" spans="1:10">
      <c r="A82" s="113" t="s">
        <v>504</v>
      </c>
      <c r="B82" s="113" t="s">
        <v>391</v>
      </c>
      <c r="C82" s="113" t="s">
        <v>392</v>
      </c>
      <c r="D82" s="113" t="s">
        <v>393</v>
      </c>
      <c r="E82">
        <v>6184</v>
      </c>
      <c r="F82" s="113" t="s">
        <v>519</v>
      </c>
      <c r="G82" s="113" t="s">
        <v>394</v>
      </c>
      <c r="H82" s="113" t="s">
        <v>399</v>
      </c>
      <c r="I82">
        <v>793</v>
      </c>
    </row>
    <row r="83" spans="1:10">
      <c r="A83" s="113" t="s">
        <v>504</v>
      </c>
      <c r="B83" s="113" t="s">
        <v>391</v>
      </c>
      <c r="C83" s="113" t="s">
        <v>392</v>
      </c>
      <c r="D83" s="113" t="s">
        <v>393</v>
      </c>
      <c r="E83">
        <v>6336</v>
      </c>
      <c r="F83" s="113" t="s">
        <v>520</v>
      </c>
      <c r="G83" s="113" t="s">
        <v>402</v>
      </c>
      <c r="H83" s="113" t="s">
        <v>415</v>
      </c>
      <c r="I83">
        <v>65</v>
      </c>
    </row>
    <row r="84" spans="1:10">
      <c r="A84" s="113" t="s">
        <v>504</v>
      </c>
      <c r="B84" s="113" t="s">
        <v>391</v>
      </c>
      <c r="C84" s="113" t="s">
        <v>396</v>
      </c>
      <c r="D84" s="113" t="s">
        <v>393</v>
      </c>
      <c r="E84">
        <v>6535</v>
      </c>
      <c r="F84" s="113" t="s">
        <v>521</v>
      </c>
      <c r="G84" s="113" t="s">
        <v>394</v>
      </c>
      <c r="H84" s="113" t="s">
        <v>399</v>
      </c>
      <c r="I84">
        <v>173</v>
      </c>
    </row>
    <row r="85" spans="1:10">
      <c r="A85" s="113" t="s">
        <v>504</v>
      </c>
      <c r="B85" s="113" t="s">
        <v>391</v>
      </c>
      <c r="C85" s="113" t="s">
        <v>392</v>
      </c>
      <c r="D85" s="113" t="s">
        <v>393</v>
      </c>
      <c r="E85">
        <v>6966</v>
      </c>
      <c r="F85" s="113" t="s">
        <v>522</v>
      </c>
      <c r="G85" s="113" t="s">
        <v>394</v>
      </c>
      <c r="H85" s="113" t="s">
        <v>419</v>
      </c>
      <c r="I85">
        <v>814</v>
      </c>
    </row>
    <row r="86" spans="1:10">
      <c r="A86" s="113" t="s">
        <v>504</v>
      </c>
      <c r="B86" s="113" t="s">
        <v>391</v>
      </c>
      <c r="C86" s="113" t="s">
        <v>403</v>
      </c>
      <c r="D86" s="113" t="s">
        <v>393</v>
      </c>
      <c r="E86">
        <v>7050</v>
      </c>
      <c r="F86" s="113" t="s">
        <v>523</v>
      </c>
      <c r="G86" s="113" t="s">
        <v>406</v>
      </c>
      <c r="H86" s="113" t="s">
        <v>399</v>
      </c>
      <c r="I86">
        <v>106</v>
      </c>
    </row>
    <row r="87" spans="1:10">
      <c r="A87" s="113" t="s">
        <v>504</v>
      </c>
      <c r="B87" s="113" t="s">
        <v>391</v>
      </c>
      <c r="C87" s="113" t="s">
        <v>392</v>
      </c>
      <c r="D87" s="113" t="s">
        <v>393</v>
      </c>
      <c r="E87">
        <v>7614</v>
      </c>
      <c r="F87" s="113" t="s">
        <v>524</v>
      </c>
      <c r="G87" s="113" t="s">
        <v>398</v>
      </c>
      <c r="H87" s="113" t="s">
        <v>404</v>
      </c>
      <c r="I87">
        <v>87</v>
      </c>
    </row>
    <row r="88" spans="1:10">
      <c r="A88" s="113" t="s">
        <v>504</v>
      </c>
      <c r="B88" s="113" t="s">
        <v>391</v>
      </c>
      <c r="C88" s="113" t="s">
        <v>403</v>
      </c>
      <c r="D88" s="113" t="s">
        <v>393</v>
      </c>
      <c r="E88">
        <v>7623</v>
      </c>
      <c r="F88" s="113" t="s">
        <v>525</v>
      </c>
      <c r="G88" s="113" t="s">
        <v>398</v>
      </c>
      <c r="H88" s="113" t="s">
        <v>404</v>
      </c>
      <c r="I88">
        <v>11</v>
      </c>
    </row>
    <row r="89" spans="1:10">
      <c r="A89" s="113" t="s">
        <v>504</v>
      </c>
      <c r="B89" s="113" t="s">
        <v>391</v>
      </c>
      <c r="C89" s="113" t="s">
        <v>401</v>
      </c>
      <c r="D89" s="113" t="s">
        <v>393</v>
      </c>
      <c r="E89">
        <v>8077</v>
      </c>
      <c r="F89" s="113" t="s">
        <v>526</v>
      </c>
      <c r="G89" s="113" t="s">
        <v>394</v>
      </c>
      <c r="H89" s="113" t="s">
        <v>400</v>
      </c>
      <c r="I89">
        <v>83</v>
      </c>
    </row>
    <row r="90" spans="1:10">
      <c r="A90" s="113" t="s">
        <v>504</v>
      </c>
      <c r="B90" s="113" t="s">
        <v>391</v>
      </c>
      <c r="C90" s="113" t="s">
        <v>401</v>
      </c>
      <c r="D90" s="113" t="s">
        <v>397</v>
      </c>
      <c r="E90">
        <v>8894</v>
      </c>
      <c r="F90" s="113" t="s">
        <v>527</v>
      </c>
      <c r="G90" s="113" t="s">
        <v>402</v>
      </c>
      <c r="H90" s="113" t="s">
        <v>420</v>
      </c>
      <c r="I90">
        <v>85</v>
      </c>
    </row>
    <row r="91" spans="1:10">
      <c r="A91" s="113" t="s">
        <v>504</v>
      </c>
      <c r="B91" s="113" t="s">
        <v>391</v>
      </c>
      <c r="C91" s="113" t="s">
        <v>403</v>
      </c>
      <c r="D91" s="113" t="s">
        <v>397</v>
      </c>
      <c r="E91">
        <v>9425</v>
      </c>
      <c r="F91" s="113" t="s">
        <v>528</v>
      </c>
      <c r="G91" s="113" t="s">
        <v>398</v>
      </c>
      <c r="H91" s="113" t="s">
        <v>405</v>
      </c>
      <c r="I91">
        <v>18</v>
      </c>
    </row>
    <row r="92" spans="1:10">
      <c r="A92" s="113" t="s">
        <v>504</v>
      </c>
      <c r="B92" s="113" t="s">
        <v>391</v>
      </c>
      <c r="C92" s="113" t="s">
        <v>401</v>
      </c>
      <c r="D92" s="113" t="s">
        <v>393</v>
      </c>
      <c r="E92">
        <v>9603</v>
      </c>
      <c r="F92" s="113" t="s">
        <v>529</v>
      </c>
      <c r="G92" s="113" t="s">
        <v>394</v>
      </c>
      <c r="H92" s="113" t="s">
        <v>399</v>
      </c>
      <c r="I92" s="113" t="s">
        <v>417</v>
      </c>
      <c r="J92" s="113" t="s">
        <v>1085</v>
      </c>
    </row>
    <row r="93" spans="1:10">
      <c r="A93" s="113" t="s">
        <v>504</v>
      </c>
      <c r="B93" s="113" t="s">
        <v>391</v>
      </c>
      <c r="C93" s="113" t="s">
        <v>392</v>
      </c>
      <c r="D93" s="113" t="s">
        <v>393</v>
      </c>
      <c r="E93">
        <v>9681</v>
      </c>
      <c r="F93" s="113" t="s">
        <v>530</v>
      </c>
      <c r="G93" s="113" t="s">
        <v>394</v>
      </c>
      <c r="H93" s="113" t="s">
        <v>399</v>
      </c>
      <c r="I93">
        <v>980</v>
      </c>
    </row>
    <row r="94" spans="1:10">
      <c r="A94" s="113" t="s">
        <v>531</v>
      </c>
      <c r="B94" s="113" t="s">
        <v>418</v>
      </c>
      <c r="C94" s="113" t="s">
        <v>392</v>
      </c>
      <c r="D94" s="113" t="s">
        <v>397</v>
      </c>
      <c r="E94">
        <v>4380</v>
      </c>
      <c r="F94" s="113" t="s">
        <v>532</v>
      </c>
      <c r="G94" s="113" t="s">
        <v>406</v>
      </c>
      <c r="H94" s="113" t="s">
        <v>405</v>
      </c>
      <c r="I94">
        <v>40</v>
      </c>
    </row>
    <row r="95" spans="1:10">
      <c r="A95" s="113" t="s">
        <v>531</v>
      </c>
      <c r="B95" s="113" t="s">
        <v>391</v>
      </c>
      <c r="C95" s="113" t="s">
        <v>401</v>
      </c>
      <c r="D95" s="113" t="s">
        <v>393</v>
      </c>
      <c r="E95">
        <v>1383</v>
      </c>
      <c r="F95" s="113" t="s">
        <v>533</v>
      </c>
      <c r="G95" s="113" t="s">
        <v>398</v>
      </c>
      <c r="H95" s="113" t="s">
        <v>534</v>
      </c>
      <c r="I95" s="113">
        <v>31</v>
      </c>
      <c r="J95" s="113"/>
    </row>
    <row r="96" spans="1:10">
      <c r="A96" s="113" t="s">
        <v>531</v>
      </c>
      <c r="B96" s="113" t="s">
        <v>391</v>
      </c>
      <c r="C96" s="113" t="s">
        <v>403</v>
      </c>
      <c r="D96" s="113" t="s">
        <v>397</v>
      </c>
      <c r="E96">
        <v>1436</v>
      </c>
      <c r="F96" s="113" t="s">
        <v>535</v>
      </c>
      <c r="G96" s="113" t="s">
        <v>406</v>
      </c>
      <c r="H96" s="113" t="s">
        <v>428</v>
      </c>
      <c r="I96">
        <v>24</v>
      </c>
    </row>
    <row r="97" spans="1:10">
      <c r="A97" s="113" t="s">
        <v>531</v>
      </c>
      <c r="B97" s="113" t="s">
        <v>391</v>
      </c>
      <c r="C97" s="113" t="s">
        <v>401</v>
      </c>
      <c r="D97" s="113" t="s">
        <v>393</v>
      </c>
      <c r="E97">
        <v>1840</v>
      </c>
      <c r="F97" s="113" t="s">
        <v>536</v>
      </c>
      <c r="G97" s="113" t="s">
        <v>402</v>
      </c>
      <c r="H97" s="113" t="s">
        <v>428</v>
      </c>
      <c r="I97">
        <v>63</v>
      </c>
    </row>
    <row r="98" spans="1:10">
      <c r="A98" s="113" t="s">
        <v>531</v>
      </c>
      <c r="B98" s="113" t="s">
        <v>391</v>
      </c>
      <c r="C98" s="113" t="s">
        <v>401</v>
      </c>
      <c r="D98" s="113" t="s">
        <v>393</v>
      </c>
      <c r="E98">
        <v>1873</v>
      </c>
      <c r="F98" s="113" t="s">
        <v>537</v>
      </c>
      <c r="G98" s="113" t="s">
        <v>394</v>
      </c>
      <c r="H98" s="113" t="s">
        <v>428</v>
      </c>
      <c r="I98">
        <v>222</v>
      </c>
    </row>
    <row r="99" spans="1:10">
      <c r="A99" s="113" t="s">
        <v>531</v>
      </c>
      <c r="B99" s="113" t="s">
        <v>391</v>
      </c>
      <c r="C99" s="113" t="s">
        <v>403</v>
      </c>
      <c r="D99" s="113" t="s">
        <v>393</v>
      </c>
      <c r="E99">
        <v>2159</v>
      </c>
      <c r="F99" s="113" t="s">
        <v>538</v>
      </c>
      <c r="G99" s="113" t="s">
        <v>402</v>
      </c>
      <c r="H99" s="113" t="s">
        <v>399</v>
      </c>
      <c r="I99">
        <v>82</v>
      </c>
    </row>
    <row r="100" spans="1:10">
      <c r="A100" s="113" t="s">
        <v>531</v>
      </c>
      <c r="B100" s="113" t="s">
        <v>391</v>
      </c>
      <c r="C100" s="113" t="s">
        <v>401</v>
      </c>
      <c r="D100" s="113" t="s">
        <v>393</v>
      </c>
      <c r="E100">
        <v>2198</v>
      </c>
      <c r="F100" s="113" t="s">
        <v>539</v>
      </c>
      <c r="G100" s="113" t="s">
        <v>394</v>
      </c>
      <c r="H100" s="113" t="s">
        <v>399</v>
      </c>
      <c r="I100" s="113">
        <v>215</v>
      </c>
      <c r="J100" s="113"/>
    </row>
    <row r="101" spans="1:10">
      <c r="A101" s="113" t="s">
        <v>531</v>
      </c>
      <c r="B101" s="113" t="s">
        <v>391</v>
      </c>
      <c r="C101" s="113" t="s">
        <v>401</v>
      </c>
      <c r="D101" s="113" t="s">
        <v>397</v>
      </c>
      <c r="E101">
        <v>2345</v>
      </c>
      <c r="F101" s="113" t="s">
        <v>540</v>
      </c>
      <c r="G101" s="113" t="s">
        <v>402</v>
      </c>
      <c r="H101" s="113" t="s">
        <v>405</v>
      </c>
      <c r="I101" s="113">
        <v>35</v>
      </c>
      <c r="J101" s="113"/>
    </row>
    <row r="102" spans="1:10">
      <c r="A102" s="113" t="s">
        <v>531</v>
      </c>
      <c r="B102" s="113" t="s">
        <v>391</v>
      </c>
      <c r="C102" s="113" t="s">
        <v>396</v>
      </c>
      <c r="D102" s="113" t="s">
        <v>397</v>
      </c>
      <c r="E102">
        <v>2424</v>
      </c>
      <c r="F102" s="113" t="s">
        <v>541</v>
      </c>
      <c r="G102" s="113" t="s">
        <v>394</v>
      </c>
      <c r="H102" s="113" t="s">
        <v>399</v>
      </c>
      <c r="I102">
        <v>43</v>
      </c>
    </row>
    <row r="103" spans="1:10">
      <c r="A103" s="113" t="s">
        <v>531</v>
      </c>
      <c r="B103" s="113" t="s">
        <v>391</v>
      </c>
      <c r="C103" s="113" t="s">
        <v>392</v>
      </c>
      <c r="D103" s="113" t="s">
        <v>393</v>
      </c>
      <c r="E103">
        <v>2776</v>
      </c>
      <c r="F103" s="113" t="s">
        <v>542</v>
      </c>
      <c r="G103" s="113" t="s">
        <v>398</v>
      </c>
      <c r="H103" s="113" t="s">
        <v>400</v>
      </c>
      <c r="I103" s="113">
        <v>20</v>
      </c>
      <c r="J103" s="113"/>
    </row>
    <row r="104" spans="1:10">
      <c r="A104" s="113" t="s">
        <v>531</v>
      </c>
      <c r="B104" s="113" t="s">
        <v>391</v>
      </c>
      <c r="C104" s="113" t="s">
        <v>396</v>
      </c>
      <c r="D104" s="113" t="s">
        <v>397</v>
      </c>
      <c r="E104">
        <v>2978</v>
      </c>
      <c r="F104" s="113" t="s">
        <v>543</v>
      </c>
      <c r="G104" s="113" t="s">
        <v>406</v>
      </c>
      <c r="H104" s="113" t="s">
        <v>420</v>
      </c>
      <c r="I104" s="113">
        <v>159</v>
      </c>
      <c r="J104" s="113"/>
    </row>
    <row r="105" spans="1:10">
      <c r="A105" s="113" t="s">
        <v>531</v>
      </c>
      <c r="B105" s="113" t="s">
        <v>391</v>
      </c>
      <c r="C105" s="113" t="s">
        <v>401</v>
      </c>
      <c r="D105" s="113" t="s">
        <v>393</v>
      </c>
      <c r="E105">
        <v>3038</v>
      </c>
      <c r="F105" s="113" t="s">
        <v>544</v>
      </c>
      <c r="G105" s="113" t="s">
        <v>394</v>
      </c>
      <c r="H105" s="113" t="s">
        <v>400</v>
      </c>
      <c r="I105" s="113" t="s">
        <v>545</v>
      </c>
      <c r="J105" s="113" t="s">
        <v>1086</v>
      </c>
    </row>
    <row r="106" spans="1:10">
      <c r="A106" s="113" t="s">
        <v>531</v>
      </c>
      <c r="B106" s="113" t="s">
        <v>391</v>
      </c>
      <c r="C106" s="113" t="s">
        <v>392</v>
      </c>
      <c r="D106" s="113" t="s">
        <v>393</v>
      </c>
      <c r="E106">
        <v>3159</v>
      </c>
      <c r="F106" s="113" t="s">
        <v>546</v>
      </c>
      <c r="G106" s="113" t="s">
        <v>394</v>
      </c>
      <c r="H106" s="113" t="s">
        <v>404</v>
      </c>
      <c r="I106">
        <v>348</v>
      </c>
    </row>
    <row r="107" spans="1:10">
      <c r="A107" s="113" t="s">
        <v>531</v>
      </c>
      <c r="B107" s="113" t="s">
        <v>391</v>
      </c>
      <c r="C107" s="113" t="s">
        <v>401</v>
      </c>
      <c r="D107" s="113" t="s">
        <v>393</v>
      </c>
      <c r="E107">
        <v>3195</v>
      </c>
      <c r="F107" s="113" t="s">
        <v>547</v>
      </c>
      <c r="G107" s="113" t="s">
        <v>406</v>
      </c>
      <c r="H107" s="113" t="s">
        <v>404</v>
      </c>
      <c r="I107">
        <v>47</v>
      </c>
    </row>
    <row r="108" spans="1:10">
      <c r="A108" s="113" t="s">
        <v>531</v>
      </c>
      <c r="B108" s="113" t="s">
        <v>391</v>
      </c>
      <c r="C108" s="113" t="s">
        <v>401</v>
      </c>
      <c r="D108" s="113" t="s">
        <v>397</v>
      </c>
      <c r="E108">
        <v>3309</v>
      </c>
      <c r="F108" s="113" t="s">
        <v>548</v>
      </c>
      <c r="G108" s="113" t="s">
        <v>481</v>
      </c>
      <c r="H108" s="113" t="s">
        <v>482</v>
      </c>
      <c r="I108" s="113" t="s">
        <v>545</v>
      </c>
      <c r="J108" s="113" t="s">
        <v>1087</v>
      </c>
    </row>
    <row r="109" spans="1:10">
      <c r="A109" s="113" t="s">
        <v>531</v>
      </c>
      <c r="B109" s="113" t="s">
        <v>391</v>
      </c>
      <c r="C109" s="113" t="s">
        <v>396</v>
      </c>
      <c r="D109" s="113" t="s">
        <v>393</v>
      </c>
      <c r="E109">
        <v>3421</v>
      </c>
      <c r="F109" s="113" t="s">
        <v>549</v>
      </c>
      <c r="G109" s="113" t="s">
        <v>394</v>
      </c>
      <c r="H109" s="113" t="s">
        <v>409</v>
      </c>
      <c r="I109">
        <v>260</v>
      </c>
    </row>
    <row r="110" spans="1:10">
      <c r="A110" s="113" t="s">
        <v>531</v>
      </c>
      <c r="B110" s="113" t="s">
        <v>391</v>
      </c>
      <c r="C110" s="113" t="s">
        <v>401</v>
      </c>
      <c r="D110" s="113" t="s">
        <v>393</v>
      </c>
      <c r="E110">
        <v>3480</v>
      </c>
      <c r="F110" s="113" t="s">
        <v>550</v>
      </c>
      <c r="G110" s="113" t="s">
        <v>394</v>
      </c>
      <c r="H110" s="113" t="s">
        <v>420</v>
      </c>
      <c r="I110">
        <v>229</v>
      </c>
    </row>
    <row r="111" spans="1:10">
      <c r="A111" s="113" t="s">
        <v>531</v>
      </c>
      <c r="B111" s="113" t="s">
        <v>391</v>
      </c>
      <c r="C111" s="113" t="s">
        <v>396</v>
      </c>
      <c r="D111" s="113" t="s">
        <v>397</v>
      </c>
      <c r="E111">
        <v>3497</v>
      </c>
      <c r="F111" s="113" t="s">
        <v>551</v>
      </c>
      <c r="G111" s="113" t="s">
        <v>406</v>
      </c>
      <c r="H111" s="113" t="s">
        <v>420</v>
      </c>
      <c r="I111">
        <v>37</v>
      </c>
    </row>
    <row r="112" spans="1:10">
      <c r="A112" s="113" t="s">
        <v>531</v>
      </c>
      <c r="B112" s="113" t="s">
        <v>391</v>
      </c>
      <c r="C112" s="113" t="s">
        <v>401</v>
      </c>
      <c r="D112" s="113" t="s">
        <v>393</v>
      </c>
      <c r="E112">
        <v>3653</v>
      </c>
      <c r="F112" s="113" t="s">
        <v>552</v>
      </c>
      <c r="G112" s="113" t="s">
        <v>406</v>
      </c>
      <c r="H112" s="113" t="s">
        <v>405</v>
      </c>
      <c r="I112">
        <v>165</v>
      </c>
    </row>
    <row r="113" spans="1:10">
      <c r="A113" s="113" t="s">
        <v>531</v>
      </c>
      <c r="B113" s="113" t="s">
        <v>391</v>
      </c>
      <c r="C113" s="113" t="s">
        <v>392</v>
      </c>
      <c r="D113" s="113" t="s">
        <v>397</v>
      </c>
      <c r="E113">
        <v>3665</v>
      </c>
      <c r="F113" s="113" t="s">
        <v>553</v>
      </c>
      <c r="G113" s="113" t="s">
        <v>394</v>
      </c>
      <c r="H113" s="113" t="s">
        <v>405</v>
      </c>
      <c r="I113">
        <v>442</v>
      </c>
    </row>
    <row r="114" spans="1:10">
      <c r="A114" s="113" t="s">
        <v>531</v>
      </c>
      <c r="B114" s="113" t="s">
        <v>391</v>
      </c>
      <c r="C114" s="113" t="s">
        <v>403</v>
      </c>
      <c r="D114" s="113" t="s">
        <v>393</v>
      </c>
      <c r="E114">
        <v>3843</v>
      </c>
      <c r="F114" s="113" t="s">
        <v>554</v>
      </c>
      <c r="G114" s="113" t="s">
        <v>394</v>
      </c>
      <c r="H114" s="113" t="s">
        <v>405</v>
      </c>
      <c r="I114">
        <v>215</v>
      </c>
    </row>
    <row r="115" spans="1:10">
      <c r="A115" s="113" t="s">
        <v>531</v>
      </c>
      <c r="B115" s="113" t="s">
        <v>391</v>
      </c>
      <c r="C115" s="113" t="s">
        <v>392</v>
      </c>
      <c r="D115" s="113" t="s">
        <v>397</v>
      </c>
      <c r="E115">
        <v>3921</v>
      </c>
      <c r="F115" s="113" t="s">
        <v>555</v>
      </c>
      <c r="G115" s="113" t="s">
        <v>394</v>
      </c>
      <c r="H115" s="113" t="s">
        <v>405</v>
      </c>
      <c r="I115">
        <v>154</v>
      </c>
    </row>
    <row r="116" spans="1:10">
      <c r="A116" s="113" t="s">
        <v>531</v>
      </c>
      <c r="B116" s="113" t="s">
        <v>391</v>
      </c>
      <c r="C116" s="113" t="s">
        <v>392</v>
      </c>
      <c r="D116" s="113" t="s">
        <v>393</v>
      </c>
      <c r="E116">
        <v>3931</v>
      </c>
      <c r="F116" s="113" t="s">
        <v>556</v>
      </c>
      <c r="G116" s="113" t="s">
        <v>406</v>
      </c>
      <c r="H116" s="113" t="s">
        <v>405</v>
      </c>
      <c r="I116">
        <v>23</v>
      </c>
    </row>
    <row r="117" spans="1:10">
      <c r="A117" s="113" t="s">
        <v>531</v>
      </c>
      <c r="B117" s="113" t="s">
        <v>391</v>
      </c>
      <c r="C117" s="113" t="s">
        <v>392</v>
      </c>
      <c r="D117" s="113" t="s">
        <v>393</v>
      </c>
      <c r="E117">
        <v>3995</v>
      </c>
      <c r="F117" s="113" t="s">
        <v>557</v>
      </c>
      <c r="G117" s="113" t="s">
        <v>406</v>
      </c>
      <c r="H117" s="113" t="s">
        <v>405</v>
      </c>
      <c r="I117">
        <v>76</v>
      </c>
    </row>
    <row r="118" spans="1:10">
      <c r="A118" s="113" t="s">
        <v>531</v>
      </c>
      <c r="B118" s="113" t="s">
        <v>391</v>
      </c>
      <c r="C118" s="113" t="s">
        <v>392</v>
      </c>
      <c r="D118" s="113" t="s">
        <v>393</v>
      </c>
      <c r="E118">
        <v>4287</v>
      </c>
      <c r="F118" s="113" t="s">
        <v>558</v>
      </c>
      <c r="G118" s="113" t="s">
        <v>398</v>
      </c>
      <c r="H118" s="113" t="s">
        <v>405</v>
      </c>
      <c r="I118" s="113">
        <v>66</v>
      </c>
      <c r="J118" s="113"/>
    </row>
    <row r="119" spans="1:10">
      <c r="A119" s="113" t="s">
        <v>531</v>
      </c>
      <c r="B119" s="113" t="s">
        <v>391</v>
      </c>
      <c r="C119" s="113" t="s">
        <v>403</v>
      </c>
      <c r="D119" s="113" t="s">
        <v>397</v>
      </c>
      <c r="E119">
        <v>4431</v>
      </c>
      <c r="F119" s="113" t="s">
        <v>559</v>
      </c>
      <c r="G119" s="113" t="s">
        <v>406</v>
      </c>
      <c r="H119" s="113" t="s">
        <v>405</v>
      </c>
      <c r="I119" s="113">
        <v>287</v>
      </c>
      <c r="J119" s="113"/>
    </row>
    <row r="120" spans="1:10">
      <c r="A120" s="113" t="s">
        <v>531</v>
      </c>
      <c r="B120" s="113" t="s">
        <v>391</v>
      </c>
      <c r="C120" s="113" t="s">
        <v>392</v>
      </c>
      <c r="D120" s="113" t="s">
        <v>393</v>
      </c>
      <c r="E120">
        <v>4592</v>
      </c>
      <c r="F120" s="113" t="s">
        <v>560</v>
      </c>
      <c r="G120" s="113" t="s">
        <v>406</v>
      </c>
      <c r="H120" s="113" t="s">
        <v>516</v>
      </c>
      <c r="I120" s="113" t="s">
        <v>417</v>
      </c>
      <c r="J120" s="113" t="s">
        <v>1088</v>
      </c>
    </row>
    <row r="121" spans="1:10">
      <c r="A121" s="113" t="s">
        <v>531</v>
      </c>
      <c r="B121" s="113" t="s">
        <v>391</v>
      </c>
      <c r="C121" s="113" t="s">
        <v>396</v>
      </c>
      <c r="D121" s="113" t="s">
        <v>397</v>
      </c>
      <c r="E121">
        <v>4599</v>
      </c>
      <c r="F121" s="113" t="s">
        <v>561</v>
      </c>
      <c r="G121" s="113" t="s">
        <v>406</v>
      </c>
      <c r="H121" s="113" t="s">
        <v>516</v>
      </c>
      <c r="I121">
        <v>483</v>
      </c>
    </row>
    <row r="122" spans="1:10">
      <c r="A122" s="113" t="s">
        <v>531</v>
      </c>
      <c r="B122" s="113" t="s">
        <v>391</v>
      </c>
      <c r="C122" s="113" t="s">
        <v>401</v>
      </c>
      <c r="D122" s="113" t="s">
        <v>393</v>
      </c>
      <c r="E122">
        <v>4627</v>
      </c>
      <c r="F122" s="113" t="s">
        <v>562</v>
      </c>
      <c r="G122" s="113" t="s">
        <v>398</v>
      </c>
      <c r="H122" s="113" t="s">
        <v>407</v>
      </c>
      <c r="I122">
        <v>99</v>
      </c>
    </row>
    <row r="123" spans="1:10">
      <c r="A123" s="113" t="s">
        <v>531</v>
      </c>
      <c r="B123" s="113" t="s">
        <v>391</v>
      </c>
      <c r="C123" s="113" t="s">
        <v>401</v>
      </c>
      <c r="D123" s="113" t="s">
        <v>393</v>
      </c>
      <c r="E123">
        <v>4996</v>
      </c>
      <c r="F123" s="113" t="s">
        <v>563</v>
      </c>
      <c r="G123" s="113" t="s">
        <v>394</v>
      </c>
      <c r="H123" s="113" t="s">
        <v>407</v>
      </c>
      <c r="I123" s="113" t="s">
        <v>449</v>
      </c>
      <c r="J123" s="113" t="s">
        <v>1089</v>
      </c>
    </row>
    <row r="124" spans="1:10">
      <c r="A124" s="113" t="s">
        <v>531</v>
      </c>
      <c r="B124" s="113" t="s">
        <v>391</v>
      </c>
      <c r="C124" s="113" t="s">
        <v>401</v>
      </c>
      <c r="D124" s="113" t="s">
        <v>397</v>
      </c>
      <c r="E124">
        <v>6049</v>
      </c>
      <c r="F124" s="113" t="s">
        <v>564</v>
      </c>
      <c r="G124" s="113" t="s">
        <v>406</v>
      </c>
      <c r="H124" s="113" t="s">
        <v>399</v>
      </c>
      <c r="I124">
        <v>418</v>
      </c>
    </row>
    <row r="125" spans="1:10">
      <c r="A125" s="113" t="s">
        <v>531</v>
      </c>
      <c r="B125" s="113" t="s">
        <v>391</v>
      </c>
      <c r="C125" s="113" t="s">
        <v>396</v>
      </c>
      <c r="D125" s="113" t="s">
        <v>393</v>
      </c>
      <c r="E125">
        <v>6091</v>
      </c>
      <c r="F125" s="113" t="s">
        <v>565</v>
      </c>
      <c r="G125" s="113" t="s">
        <v>402</v>
      </c>
      <c r="H125" s="113" t="s">
        <v>399</v>
      </c>
      <c r="I125">
        <v>74</v>
      </c>
    </row>
    <row r="126" spans="1:10">
      <c r="A126" s="113" t="s">
        <v>531</v>
      </c>
      <c r="B126" s="113" t="s">
        <v>391</v>
      </c>
      <c r="C126" s="113" t="s">
        <v>403</v>
      </c>
      <c r="D126" s="113" t="s">
        <v>393</v>
      </c>
      <c r="E126">
        <v>6192</v>
      </c>
      <c r="F126" s="113" t="s">
        <v>566</v>
      </c>
      <c r="G126" s="113" t="s">
        <v>406</v>
      </c>
      <c r="H126" s="113" t="s">
        <v>399</v>
      </c>
      <c r="I126">
        <v>80</v>
      </c>
    </row>
    <row r="127" spans="1:10">
      <c r="A127" s="113" t="s">
        <v>531</v>
      </c>
      <c r="B127" s="113" t="s">
        <v>391</v>
      </c>
      <c r="C127" s="113" t="s">
        <v>396</v>
      </c>
      <c r="D127" s="113" t="s">
        <v>393</v>
      </c>
      <c r="E127">
        <v>6577</v>
      </c>
      <c r="F127" s="113" t="s">
        <v>567</v>
      </c>
      <c r="G127" s="113" t="s">
        <v>406</v>
      </c>
      <c r="H127" s="113" t="s">
        <v>399</v>
      </c>
      <c r="I127">
        <v>42</v>
      </c>
    </row>
    <row r="128" spans="1:10">
      <c r="A128" s="113" t="s">
        <v>531</v>
      </c>
      <c r="B128" s="113" t="s">
        <v>391</v>
      </c>
      <c r="C128" s="113" t="s">
        <v>403</v>
      </c>
      <c r="D128" s="113" t="s">
        <v>393</v>
      </c>
      <c r="E128">
        <v>6630</v>
      </c>
      <c r="F128" s="113" t="s">
        <v>568</v>
      </c>
      <c r="G128" s="113" t="s">
        <v>394</v>
      </c>
      <c r="H128" s="113" t="s">
        <v>419</v>
      </c>
      <c r="I128">
        <v>403</v>
      </c>
    </row>
    <row r="129" spans="1:10">
      <c r="A129" s="113" t="s">
        <v>531</v>
      </c>
      <c r="B129" s="113" t="s">
        <v>391</v>
      </c>
      <c r="C129" s="113" t="s">
        <v>396</v>
      </c>
      <c r="D129" s="113" t="s">
        <v>393</v>
      </c>
      <c r="E129">
        <v>6721</v>
      </c>
      <c r="F129" s="113" t="s">
        <v>569</v>
      </c>
      <c r="G129" s="113" t="s">
        <v>402</v>
      </c>
      <c r="H129" s="113" t="s">
        <v>419</v>
      </c>
      <c r="I129">
        <v>81</v>
      </c>
    </row>
    <row r="130" spans="1:10">
      <c r="A130" s="113" t="s">
        <v>531</v>
      </c>
      <c r="B130" s="113" t="s">
        <v>391</v>
      </c>
      <c r="C130" s="113" t="s">
        <v>401</v>
      </c>
      <c r="D130" s="113" t="s">
        <v>393</v>
      </c>
      <c r="E130">
        <v>7033</v>
      </c>
      <c r="F130" s="113" t="s">
        <v>570</v>
      </c>
      <c r="G130" s="113" t="s">
        <v>394</v>
      </c>
      <c r="H130" s="113" t="s">
        <v>399</v>
      </c>
      <c r="I130">
        <v>121</v>
      </c>
    </row>
    <row r="131" spans="1:10">
      <c r="A131" s="113" t="s">
        <v>531</v>
      </c>
      <c r="B131" s="113" t="s">
        <v>391</v>
      </c>
      <c r="C131" s="113" t="s">
        <v>392</v>
      </c>
      <c r="D131" s="113" t="s">
        <v>393</v>
      </c>
      <c r="E131">
        <v>7073</v>
      </c>
      <c r="F131" s="113" t="s">
        <v>571</v>
      </c>
      <c r="G131" s="113" t="s">
        <v>406</v>
      </c>
      <c r="H131" s="113" t="s">
        <v>399</v>
      </c>
      <c r="I131" s="113">
        <v>83</v>
      </c>
      <c r="J131" s="113"/>
    </row>
    <row r="132" spans="1:10">
      <c r="A132" s="113" t="s">
        <v>531</v>
      </c>
      <c r="B132" s="113" t="s">
        <v>391</v>
      </c>
      <c r="C132" s="113" t="s">
        <v>401</v>
      </c>
      <c r="D132" s="113" t="s">
        <v>393</v>
      </c>
      <c r="E132">
        <v>7279</v>
      </c>
      <c r="F132" s="113" t="s">
        <v>572</v>
      </c>
      <c r="G132" s="113" t="s">
        <v>402</v>
      </c>
      <c r="H132" s="113" t="s">
        <v>445</v>
      </c>
      <c r="I132" s="113">
        <v>709</v>
      </c>
      <c r="J132" s="113"/>
    </row>
    <row r="133" spans="1:10">
      <c r="A133" s="113" t="s">
        <v>531</v>
      </c>
      <c r="B133" s="113" t="s">
        <v>391</v>
      </c>
      <c r="C133" s="113" t="s">
        <v>403</v>
      </c>
      <c r="D133" s="113" t="s">
        <v>393</v>
      </c>
      <c r="E133">
        <v>7604</v>
      </c>
      <c r="F133" s="113" t="s">
        <v>573</v>
      </c>
      <c r="G133" s="113" t="s">
        <v>402</v>
      </c>
      <c r="H133" s="113" t="s">
        <v>404</v>
      </c>
      <c r="I133">
        <v>206</v>
      </c>
    </row>
    <row r="134" spans="1:10">
      <c r="A134" s="113" t="s">
        <v>531</v>
      </c>
      <c r="B134" s="113" t="s">
        <v>391</v>
      </c>
      <c r="C134" s="113" t="s">
        <v>401</v>
      </c>
      <c r="D134" s="113" t="s">
        <v>397</v>
      </c>
      <c r="E134">
        <v>7605</v>
      </c>
      <c r="F134" s="113" t="s">
        <v>574</v>
      </c>
      <c r="G134" s="113" t="s">
        <v>394</v>
      </c>
      <c r="H134" s="113" t="s">
        <v>404</v>
      </c>
      <c r="I134" s="113">
        <v>250</v>
      </c>
      <c r="J134" s="113"/>
    </row>
    <row r="135" spans="1:10">
      <c r="A135" s="113" t="s">
        <v>531</v>
      </c>
      <c r="B135" s="113" t="s">
        <v>391</v>
      </c>
      <c r="C135" s="113" t="s">
        <v>396</v>
      </c>
      <c r="D135" s="113" t="s">
        <v>397</v>
      </c>
      <c r="E135">
        <v>7682</v>
      </c>
      <c r="F135" s="113" t="s">
        <v>575</v>
      </c>
      <c r="G135" s="113" t="s">
        <v>398</v>
      </c>
      <c r="H135" s="113" t="s">
        <v>404</v>
      </c>
      <c r="I135" s="113">
        <v>26</v>
      </c>
      <c r="J135" s="113"/>
    </row>
    <row r="136" spans="1:10">
      <c r="A136" s="113" t="s">
        <v>531</v>
      </c>
      <c r="B136" s="113" t="s">
        <v>391</v>
      </c>
      <c r="C136" s="113" t="s">
        <v>392</v>
      </c>
      <c r="D136" s="113" t="s">
        <v>393</v>
      </c>
      <c r="E136">
        <v>7683</v>
      </c>
      <c r="F136" s="113" t="s">
        <v>576</v>
      </c>
      <c r="G136" s="113" t="s">
        <v>406</v>
      </c>
      <c r="H136" s="113" t="s">
        <v>404</v>
      </c>
      <c r="I136">
        <v>210</v>
      </c>
    </row>
    <row r="137" spans="1:10">
      <c r="A137" s="113" t="s">
        <v>531</v>
      </c>
      <c r="B137" s="113" t="s">
        <v>391</v>
      </c>
      <c r="C137" s="113" t="s">
        <v>396</v>
      </c>
      <c r="D137" s="113" t="s">
        <v>393</v>
      </c>
      <c r="E137">
        <v>7803</v>
      </c>
      <c r="F137" s="113" t="s">
        <v>577</v>
      </c>
      <c r="G137" s="113" t="s">
        <v>406</v>
      </c>
      <c r="H137" s="113" t="s">
        <v>416</v>
      </c>
      <c r="I137">
        <v>652</v>
      </c>
    </row>
    <row r="138" spans="1:10">
      <c r="A138" s="113" t="s">
        <v>531</v>
      </c>
      <c r="B138" s="113" t="s">
        <v>391</v>
      </c>
      <c r="C138" s="113" t="s">
        <v>401</v>
      </c>
      <c r="D138" s="113" t="s">
        <v>397</v>
      </c>
      <c r="E138">
        <v>7805</v>
      </c>
      <c r="F138" s="113" t="s">
        <v>578</v>
      </c>
      <c r="G138" s="113" t="s">
        <v>398</v>
      </c>
      <c r="H138" s="113" t="s">
        <v>416</v>
      </c>
      <c r="I138">
        <v>32</v>
      </c>
    </row>
    <row r="139" spans="1:10">
      <c r="A139" s="113" t="s">
        <v>531</v>
      </c>
      <c r="B139" s="113" t="s">
        <v>391</v>
      </c>
      <c r="C139" s="113" t="s">
        <v>396</v>
      </c>
      <c r="D139" s="113" t="s">
        <v>393</v>
      </c>
      <c r="E139">
        <v>7810</v>
      </c>
      <c r="F139" s="113" t="s">
        <v>579</v>
      </c>
      <c r="G139" s="113" t="s">
        <v>398</v>
      </c>
      <c r="H139" s="113" t="s">
        <v>416</v>
      </c>
      <c r="I139">
        <v>63</v>
      </c>
    </row>
    <row r="140" spans="1:10">
      <c r="A140" s="113" t="s">
        <v>531</v>
      </c>
      <c r="B140" s="113" t="s">
        <v>391</v>
      </c>
      <c r="C140" s="113" t="s">
        <v>401</v>
      </c>
      <c r="D140" s="113" t="s">
        <v>397</v>
      </c>
      <c r="E140">
        <v>7827</v>
      </c>
      <c r="F140" s="113" t="s">
        <v>580</v>
      </c>
      <c r="G140" s="113" t="s">
        <v>398</v>
      </c>
      <c r="H140" s="113" t="s">
        <v>416</v>
      </c>
      <c r="I140">
        <v>14</v>
      </c>
    </row>
    <row r="141" spans="1:10">
      <c r="A141" s="113" t="s">
        <v>531</v>
      </c>
      <c r="B141" s="113" t="s">
        <v>391</v>
      </c>
      <c r="C141" s="113" t="s">
        <v>396</v>
      </c>
      <c r="D141" s="113" t="s">
        <v>393</v>
      </c>
      <c r="E141">
        <v>7850</v>
      </c>
      <c r="F141" s="113" t="s">
        <v>581</v>
      </c>
      <c r="G141" s="113" t="s">
        <v>398</v>
      </c>
      <c r="H141" s="113" t="s">
        <v>416</v>
      </c>
      <c r="I141">
        <v>22</v>
      </c>
    </row>
    <row r="142" spans="1:10">
      <c r="A142" s="113" t="s">
        <v>531</v>
      </c>
      <c r="B142" s="113" t="s">
        <v>391</v>
      </c>
      <c r="C142" s="113" t="s">
        <v>403</v>
      </c>
      <c r="D142" s="113" t="s">
        <v>393</v>
      </c>
      <c r="E142">
        <v>7899</v>
      </c>
      <c r="F142" s="113" t="s">
        <v>582</v>
      </c>
      <c r="G142" s="113" t="s">
        <v>398</v>
      </c>
      <c r="H142" s="113" t="s">
        <v>407</v>
      </c>
      <c r="I142">
        <v>19</v>
      </c>
    </row>
    <row r="143" spans="1:10">
      <c r="A143" s="113" t="s">
        <v>531</v>
      </c>
      <c r="B143" s="113" t="s">
        <v>391</v>
      </c>
      <c r="C143" s="113" t="s">
        <v>401</v>
      </c>
      <c r="D143" s="113" t="s">
        <v>393</v>
      </c>
      <c r="E143">
        <v>7983</v>
      </c>
      <c r="F143" s="113" t="s">
        <v>583</v>
      </c>
      <c r="G143" s="113" t="s">
        <v>402</v>
      </c>
      <c r="H143" s="113" t="s">
        <v>416</v>
      </c>
      <c r="I143">
        <v>63</v>
      </c>
    </row>
    <row r="144" spans="1:10">
      <c r="A144" s="113" t="s">
        <v>531</v>
      </c>
      <c r="B144" s="113" t="s">
        <v>391</v>
      </c>
      <c r="C144" s="113" t="s">
        <v>392</v>
      </c>
      <c r="D144" s="113" t="s">
        <v>393</v>
      </c>
      <c r="E144">
        <v>8013</v>
      </c>
      <c r="F144" s="113" t="s">
        <v>584</v>
      </c>
      <c r="G144" s="113" t="s">
        <v>394</v>
      </c>
      <c r="H144" s="113" t="s">
        <v>460</v>
      </c>
      <c r="I144">
        <v>36</v>
      </c>
    </row>
    <row r="145" spans="1:10">
      <c r="A145" s="113" t="s">
        <v>531</v>
      </c>
      <c r="B145" s="113" t="s">
        <v>391</v>
      </c>
      <c r="C145" s="113" t="s">
        <v>401</v>
      </c>
      <c r="D145" s="113" t="s">
        <v>393</v>
      </c>
      <c r="E145">
        <v>8079</v>
      </c>
      <c r="F145" s="113" t="s">
        <v>585</v>
      </c>
      <c r="G145" s="113" t="s">
        <v>394</v>
      </c>
      <c r="H145" s="113" t="s">
        <v>400</v>
      </c>
      <c r="I145">
        <v>581</v>
      </c>
    </row>
    <row r="146" spans="1:10">
      <c r="A146" s="113" t="s">
        <v>531</v>
      </c>
      <c r="B146" s="113" t="s">
        <v>391</v>
      </c>
      <c r="C146" s="113" t="s">
        <v>401</v>
      </c>
      <c r="D146" s="113" t="s">
        <v>393</v>
      </c>
      <c r="E146">
        <v>8917</v>
      </c>
      <c r="F146" s="113" t="s">
        <v>586</v>
      </c>
      <c r="G146" s="113" t="s">
        <v>394</v>
      </c>
      <c r="H146" s="113" t="s">
        <v>420</v>
      </c>
      <c r="I146" s="113">
        <v>221</v>
      </c>
      <c r="J146" s="113"/>
    </row>
    <row r="147" spans="1:10">
      <c r="A147" s="113" t="s">
        <v>531</v>
      </c>
      <c r="B147" s="113" t="s">
        <v>391</v>
      </c>
      <c r="C147" s="113" t="s">
        <v>396</v>
      </c>
      <c r="D147" s="113" t="s">
        <v>393</v>
      </c>
      <c r="E147">
        <v>8925</v>
      </c>
      <c r="F147" s="113" t="s">
        <v>587</v>
      </c>
      <c r="G147" s="113" t="s">
        <v>402</v>
      </c>
      <c r="H147" s="113" t="s">
        <v>420</v>
      </c>
      <c r="I147" s="113">
        <v>202</v>
      </c>
      <c r="J147" s="113"/>
    </row>
    <row r="148" spans="1:10">
      <c r="A148" s="113" t="s">
        <v>531</v>
      </c>
      <c r="B148" s="113" t="s">
        <v>391</v>
      </c>
      <c r="C148" s="113" t="s">
        <v>396</v>
      </c>
      <c r="D148" s="113" t="s">
        <v>393</v>
      </c>
      <c r="E148">
        <v>8927</v>
      </c>
      <c r="F148" s="113" t="s">
        <v>588</v>
      </c>
      <c r="G148" s="113" t="s">
        <v>398</v>
      </c>
      <c r="H148" s="113" t="s">
        <v>420</v>
      </c>
      <c r="I148">
        <v>66</v>
      </c>
    </row>
    <row r="149" spans="1:10">
      <c r="A149" s="113" t="s">
        <v>531</v>
      </c>
      <c r="B149" s="113" t="s">
        <v>391</v>
      </c>
      <c r="C149" s="113" t="s">
        <v>401</v>
      </c>
      <c r="D149" s="113" t="s">
        <v>397</v>
      </c>
      <c r="E149">
        <v>8975</v>
      </c>
      <c r="F149" s="113" t="s">
        <v>589</v>
      </c>
      <c r="G149" s="113" t="s">
        <v>481</v>
      </c>
      <c r="H149" s="113" t="s">
        <v>482</v>
      </c>
      <c r="I149" s="113" t="s">
        <v>449</v>
      </c>
      <c r="J149" s="113" t="s">
        <v>1005</v>
      </c>
    </row>
    <row r="150" spans="1:10">
      <c r="A150" s="113" t="s">
        <v>531</v>
      </c>
      <c r="B150" s="113" t="s">
        <v>391</v>
      </c>
      <c r="C150" s="113" t="s">
        <v>401</v>
      </c>
      <c r="D150" s="113" t="s">
        <v>397</v>
      </c>
      <c r="E150">
        <v>8979</v>
      </c>
      <c r="F150" s="113" t="s">
        <v>590</v>
      </c>
      <c r="G150" s="113" t="s">
        <v>481</v>
      </c>
      <c r="H150" s="113" t="s">
        <v>482</v>
      </c>
      <c r="I150" s="113">
        <v>511</v>
      </c>
      <c r="J150" s="113"/>
    </row>
    <row r="151" spans="1:10">
      <c r="A151" s="113" t="s">
        <v>531</v>
      </c>
      <c r="B151" s="113" t="s">
        <v>391</v>
      </c>
      <c r="C151" s="113" t="s">
        <v>401</v>
      </c>
      <c r="D151" s="113" t="s">
        <v>393</v>
      </c>
      <c r="E151">
        <v>9279</v>
      </c>
      <c r="F151" s="113" t="s">
        <v>591</v>
      </c>
      <c r="G151" s="113" t="s">
        <v>406</v>
      </c>
      <c r="H151" s="113" t="s">
        <v>404</v>
      </c>
      <c r="I151">
        <v>232</v>
      </c>
    </row>
    <row r="152" spans="1:10">
      <c r="A152" s="113" t="s">
        <v>531</v>
      </c>
      <c r="B152" s="113" t="s">
        <v>391</v>
      </c>
      <c r="C152" s="113" t="s">
        <v>392</v>
      </c>
      <c r="D152" s="113" t="s">
        <v>393</v>
      </c>
      <c r="E152">
        <v>9637</v>
      </c>
      <c r="F152" s="113" t="s">
        <v>592</v>
      </c>
      <c r="G152" s="113" t="s">
        <v>402</v>
      </c>
      <c r="H152" s="113" t="s">
        <v>399</v>
      </c>
      <c r="I152">
        <v>113</v>
      </c>
    </row>
    <row r="153" spans="1:10">
      <c r="A153" s="113" t="s">
        <v>593</v>
      </c>
      <c r="B153" s="113" t="s">
        <v>453</v>
      </c>
      <c r="C153" s="113" t="s">
        <v>401</v>
      </c>
      <c r="D153" s="113" t="s">
        <v>397</v>
      </c>
      <c r="E153">
        <v>7034</v>
      </c>
      <c r="F153" s="113" t="s">
        <v>594</v>
      </c>
      <c r="G153" s="113" t="s">
        <v>406</v>
      </c>
      <c r="H153" s="113" t="s">
        <v>399</v>
      </c>
      <c r="I153">
        <v>448</v>
      </c>
    </row>
    <row r="154" spans="1:10">
      <c r="A154" s="113" t="s">
        <v>593</v>
      </c>
      <c r="B154" s="113" t="s">
        <v>391</v>
      </c>
      <c r="C154" s="113" t="s">
        <v>401</v>
      </c>
      <c r="D154" s="113" t="s">
        <v>397</v>
      </c>
      <c r="E154">
        <v>3287</v>
      </c>
      <c r="F154" s="113" t="s">
        <v>595</v>
      </c>
      <c r="G154" s="113" t="s">
        <v>481</v>
      </c>
      <c r="H154" s="113" t="s">
        <v>482</v>
      </c>
      <c r="I154" s="113" t="s">
        <v>449</v>
      </c>
      <c r="J154" s="113" t="s">
        <v>1088</v>
      </c>
    </row>
    <row r="155" spans="1:10">
      <c r="A155" s="113" t="s">
        <v>593</v>
      </c>
      <c r="B155" s="113" t="s">
        <v>391</v>
      </c>
      <c r="C155" s="113" t="s">
        <v>401</v>
      </c>
      <c r="D155" s="113" t="s">
        <v>397</v>
      </c>
      <c r="E155">
        <v>3298</v>
      </c>
      <c r="F155" s="113" t="s">
        <v>596</v>
      </c>
      <c r="G155" s="113" t="s">
        <v>481</v>
      </c>
      <c r="H155" s="113" t="s">
        <v>482</v>
      </c>
      <c r="I155" s="113" t="s">
        <v>449</v>
      </c>
      <c r="J155" s="113" t="s">
        <v>1090</v>
      </c>
    </row>
    <row r="156" spans="1:10">
      <c r="A156" s="113" t="s">
        <v>593</v>
      </c>
      <c r="B156" s="113" t="s">
        <v>391</v>
      </c>
      <c r="C156" s="113" t="s">
        <v>401</v>
      </c>
      <c r="D156" s="113" t="s">
        <v>397</v>
      </c>
      <c r="E156">
        <v>3451</v>
      </c>
      <c r="F156" s="113" t="s">
        <v>597</v>
      </c>
      <c r="G156" s="113" t="s">
        <v>481</v>
      </c>
      <c r="H156" s="113" t="s">
        <v>482</v>
      </c>
      <c r="I156">
        <v>444</v>
      </c>
    </row>
    <row r="157" spans="1:10">
      <c r="A157" s="113" t="s">
        <v>593</v>
      </c>
      <c r="B157" s="113" t="s">
        <v>391</v>
      </c>
      <c r="C157" s="113" t="s">
        <v>401</v>
      </c>
      <c r="D157" s="113" t="s">
        <v>393</v>
      </c>
      <c r="E157">
        <v>3804</v>
      </c>
      <c r="F157" s="113" t="s">
        <v>598</v>
      </c>
      <c r="G157" s="113" t="s">
        <v>398</v>
      </c>
      <c r="H157" s="113" t="s">
        <v>405</v>
      </c>
      <c r="I157">
        <v>54</v>
      </c>
    </row>
    <row r="158" spans="1:10">
      <c r="A158" s="113" t="s">
        <v>593</v>
      </c>
      <c r="B158" s="113" t="s">
        <v>391</v>
      </c>
      <c r="C158" s="113" t="s">
        <v>401</v>
      </c>
      <c r="D158" s="113" t="s">
        <v>393</v>
      </c>
      <c r="E158">
        <v>4666</v>
      </c>
      <c r="F158" s="113" t="s">
        <v>599</v>
      </c>
      <c r="G158" s="113" t="s">
        <v>394</v>
      </c>
      <c r="H158" s="113" t="s">
        <v>420</v>
      </c>
      <c r="I158" s="113" t="s">
        <v>634</v>
      </c>
      <c r="J158" s="113" t="s">
        <v>1091</v>
      </c>
    </row>
    <row r="159" spans="1:10">
      <c r="A159" s="113" t="s">
        <v>593</v>
      </c>
      <c r="B159" s="113" t="s">
        <v>391</v>
      </c>
      <c r="C159" s="113" t="s">
        <v>401</v>
      </c>
      <c r="D159" s="113" t="s">
        <v>393</v>
      </c>
      <c r="E159">
        <v>7831</v>
      </c>
      <c r="F159" s="113" t="s">
        <v>600</v>
      </c>
      <c r="G159" s="113" t="s">
        <v>402</v>
      </c>
      <c r="H159" s="113" t="s">
        <v>416</v>
      </c>
      <c r="I159">
        <v>38</v>
      </c>
    </row>
    <row r="160" spans="1:10">
      <c r="A160" s="113" t="s">
        <v>601</v>
      </c>
      <c r="B160" s="113" t="s">
        <v>391</v>
      </c>
      <c r="C160" s="113" t="s">
        <v>403</v>
      </c>
      <c r="D160" s="113" t="s">
        <v>393</v>
      </c>
      <c r="E160">
        <v>2678</v>
      </c>
      <c r="F160" s="113" t="s">
        <v>602</v>
      </c>
      <c r="G160" s="113" t="s">
        <v>394</v>
      </c>
      <c r="H160" s="113" t="s">
        <v>404</v>
      </c>
      <c r="I160" s="113" t="s">
        <v>449</v>
      </c>
      <c r="J160" s="113" t="s">
        <v>1046</v>
      </c>
    </row>
    <row r="161" spans="1:10">
      <c r="A161" s="113" t="s">
        <v>601</v>
      </c>
      <c r="B161" s="113" t="s">
        <v>391</v>
      </c>
      <c r="C161" s="113" t="s">
        <v>403</v>
      </c>
      <c r="D161" s="113" t="s">
        <v>393</v>
      </c>
      <c r="E161">
        <v>3391</v>
      </c>
      <c r="F161" s="113" t="s">
        <v>603</v>
      </c>
      <c r="G161" s="113" t="s">
        <v>394</v>
      </c>
      <c r="H161" s="113" t="s">
        <v>404</v>
      </c>
      <c r="I161" s="113" t="s">
        <v>604</v>
      </c>
      <c r="J161" s="113" t="s">
        <v>1006</v>
      </c>
    </row>
    <row r="162" spans="1:10">
      <c r="A162" s="113" t="s">
        <v>601</v>
      </c>
      <c r="B162" s="113" t="s">
        <v>391</v>
      </c>
      <c r="C162" s="113" t="s">
        <v>401</v>
      </c>
      <c r="D162" s="113" t="s">
        <v>397</v>
      </c>
      <c r="E162">
        <v>8956</v>
      </c>
      <c r="F162" s="113" t="s">
        <v>605</v>
      </c>
      <c r="G162" s="113" t="s">
        <v>481</v>
      </c>
      <c r="H162" s="113" t="s">
        <v>482</v>
      </c>
      <c r="I162" s="113" t="s">
        <v>417</v>
      </c>
      <c r="J162" s="113" t="s">
        <v>1092</v>
      </c>
    </row>
    <row r="163" spans="1:10">
      <c r="A163" s="113" t="s">
        <v>606</v>
      </c>
      <c r="B163" s="113" t="s">
        <v>391</v>
      </c>
      <c r="C163" s="113" t="s">
        <v>401</v>
      </c>
      <c r="D163" s="113" t="s">
        <v>393</v>
      </c>
      <c r="E163">
        <v>2315</v>
      </c>
      <c r="F163" s="113" t="s">
        <v>607</v>
      </c>
      <c r="G163" s="113" t="s">
        <v>398</v>
      </c>
      <c r="H163" s="113" t="s">
        <v>405</v>
      </c>
      <c r="I163">
        <v>97</v>
      </c>
    </row>
    <row r="164" spans="1:10">
      <c r="A164" s="113" t="s">
        <v>608</v>
      </c>
      <c r="B164" s="113" t="s">
        <v>391</v>
      </c>
      <c r="C164" s="113" t="s">
        <v>401</v>
      </c>
      <c r="D164" s="113" t="s">
        <v>397</v>
      </c>
      <c r="E164">
        <v>3308</v>
      </c>
      <c r="F164" s="113" t="s">
        <v>609</v>
      </c>
      <c r="G164" s="113" t="s">
        <v>481</v>
      </c>
      <c r="H164" s="113" t="s">
        <v>482</v>
      </c>
      <c r="I164">
        <v>160</v>
      </c>
    </row>
    <row r="165" spans="1:10">
      <c r="A165" s="113" t="s">
        <v>1093</v>
      </c>
      <c r="B165" s="113" t="s">
        <v>391</v>
      </c>
      <c r="C165" s="113" t="s">
        <v>392</v>
      </c>
      <c r="D165" s="113" t="s">
        <v>393</v>
      </c>
      <c r="E165">
        <v>8227</v>
      </c>
      <c r="F165" s="113" t="s">
        <v>983</v>
      </c>
      <c r="G165" s="113" t="s">
        <v>394</v>
      </c>
      <c r="H165" s="113" t="s">
        <v>404</v>
      </c>
      <c r="I165" s="113" t="s">
        <v>634</v>
      </c>
      <c r="J165" s="113" t="s">
        <v>1094</v>
      </c>
    </row>
    <row r="166" spans="1:10">
      <c r="A166" s="113" t="s">
        <v>610</v>
      </c>
      <c r="B166" s="113" t="s">
        <v>418</v>
      </c>
      <c r="C166" s="113" t="s">
        <v>401</v>
      </c>
      <c r="D166" s="113" t="s">
        <v>393</v>
      </c>
      <c r="E166">
        <v>7965</v>
      </c>
      <c r="F166" s="113" t="s">
        <v>1007</v>
      </c>
      <c r="G166" s="113" t="s">
        <v>394</v>
      </c>
      <c r="H166" s="113" t="s">
        <v>419</v>
      </c>
      <c r="I166" s="113" t="s">
        <v>449</v>
      </c>
      <c r="J166" s="113" t="s">
        <v>1095</v>
      </c>
    </row>
    <row r="167" spans="1:10">
      <c r="A167" s="113" t="s">
        <v>610</v>
      </c>
      <c r="B167" s="113" t="s">
        <v>391</v>
      </c>
      <c r="C167" s="113" t="s">
        <v>396</v>
      </c>
      <c r="D167" s="113" t="s">
        <v>393</v>
      </c>
      <c r="E167">
        <v>3035</v>
      </c>
      <c r="F167" s="113" t="s">
        <v>611</v>
      </c>
      <c r="G167" s="113" t="s">
        <v>398</v>
      </c>
      <c r="H167" s="113" t="s">
        <v>400</v>
      </c>
      <c r="I167">
        <v>21</v>
      </c>
    </row>
    <row r="168" spans="1:10">
      <c r="A168" s="113" t="s">
        <v>610</v>
      </c>
      <c r="B168" s="113" t="s">
        <v>391</v>
      </c>
      <c r="C168" s="113" t="s">
        <v>392</v>
      </c>
      <c r="D168" s="113" t="s">
        <v>393</v>
      </c>
      <c r="E168">
        <v>7624</v>
      </c>
      <c r="F168" s="113" t="s">
        <v>612</v>
      </c>
      <c r="G168" s="113" t="s">
        <v>398</v>
      </c>
      <c r="H168" s="113" t="s">
        <v>400</v>
      </c>
      <c r="I168">
        <v>119</v>
      </c>
    </row>
    <row r="169" spans="1:10">
      <c r="A169" s="113" t="s">
        <v>613</v>
      </c>
      <c r="B169" s="113" t="s">
        <v>614</v>
      </c>
      <c r="C169" s="113" t="s">
        <v>401</v>
      </c>
      <c r="D169" s="113" t="s">
        <v>393</v>
      </c>
      <c r="E169">
        <v>6664</v>
      </c>
      <c r="F169" s="113" t="s">
        <v>615</v>
      </c>
      <c r="G169" s="113" t="s">
        <v>398</v>
      </c>
      <c r="H169" s="113" t="s">
        <v>419</v>
      </c>
      <c r="I169">
        <v>43</v>
      </c>
    </row>
    <row r="170" spans="1:10">
      <c r="A170" s="113" t="s">
        <v>613</v>
      </c>
      <c r="B170" s="113" t="s">
        <v>614</v>
      </c>
      <c r="C170" s="113" t="s">
        <v>392</v>
      </c>
      <c r="D170" s="113" t="s">
        <v>397</v>
      </c>
      <c r="E170">
        <v>7611</v>
      </c>
      <c r="F170" s="113" t="s">
        <v>616</v>
      </c>
      <c r="G170" s="113" t="s">
        <v>394</v>
      </c>
      <c r="H170" s="113" t="s">
        <v>404</v>
      </c>
      <c r="I170">
        <v>832</v>
      </c>
    </row>
    <row r="171" spans="1:10">
      <c r="A171" s="113" t="s">
        <v>613</v>
      </c>
      <c r="B171" s="113" t="s">
        <v>391</v>
      </c>
      <c r="C171" s="113" t="s">
        <v>392</v>
      </c>
      <c r="D171" s="113" t="s">
        <v>393</v>
      </c>
      <c r="E171">
        <v>6279</v>
      </c>
      <c r="F171" s="113" t="s">
        <v>617</v>
      </c>
      <c r="G171" s="113" t="s">
        <v>402</v>
      </c>
      <c r="H171" s="113" t="s">
        <v>415</v>
      </c>
      <c r="I171">
        <v>280</v>
      </c>
    </row>
    <row r="172" spans="1:10">
      <c r="A172" s="113" t="s">
        <v>613</v>
      </c>
      <c r="B172" s="113" t="s">
        <v>391</v>
      </c>
      <c r="C172" s="113" t="s">
        <v>403</v>
      </c>
      <c r="D172" s="113" t="s">
        <v>397</v>
      </c>
      <c r="E172">
        <v>7068</v>
      </c>
      <c r="F172" s="113" t="s">
        <v>618</v>
      </c>
      <c r="G172" s="113" t="s">
        <v>406</v>
      </c>
      <c r="H172" s="113" t="s">
        <v>399</v>
      </c>
      <c r="I172">
        <v>121</v>
      </c>
    </row>
    <row r="173" spans="1:10">
      <c r="A173" s="113" t="s">
        <v>613</v>
      </c>
      <c r="B173" s="113" t="s">
        <v>391</v>
      </c>
      <c r="C173" s="113" t="s">
        <v>403</v>
      </c>
      <c r="D173" s="113" t="s">
        <v>393</v>
      </c>
      <c r="E173">
        <v>7921</v>
      </c>
      <c r="F173" s="113" t="s">
        <v>1096</v>
      </c>
      <c r="G173" s="113" t="s">
        <v>394</v>
      </c>
      <c r="H173" s="113" t="s">
        <v>416</v>
      </c>
      <c r="I173">
        <v>217</v>
      </c>
    </row>
    <row r="174" spans="1:10">
      <c r="A174" s="113" t="s">
        <v>613</v>
      </c>
      <c r="B174" s="113" t="s">
        <v>391</v>
      </c>
      <c r="C174" s="113" t="s">
        <v>392</v>
      </c>
      <c r="D174" s="113" t="s">
        <v>393</v>
      </c>
      <c r="E174">
        <v>9982</v>
      </c>
      <c r="F174" s="113" t="s">
        <v>619</v>
      </c>
      <c r="G174" s="113" t="s">
        <v>394</v>
      </c>
      <c r="H174" s="113" t="s">
        <v>400</v>
      </c>
      <c r="I174">
        <v>184</v>
      </c>
    </row>
    <row r="175" spans="1:10">
      <c r="A175" s="113" t="s">
        <v>620</v>
      </c>
      <c r="B175" s="113" t="s">
        <v>391</v>
      </c>
      <c r="C175" s="113" t="s">
        <v>392</v>
      </c>
      <c r="D175" s="113" t="s">
        <v>393</v>
      </c>
      <c r="E175">
        <v>2186</v>
      </c>
      <c r="F175" s="113" t="s">
        <v>621</v>
      </c>
      <c r="G175" s="113" t="s">
        <v>398</v>
      </c>
      <c r="H175" s="113" t="s">
        <v>399</v>
      </c>
      <c r="I175" s="113">
        <v>95</v>
      </c>
      <c r="J175" s="113"/>
    </row>
    <row r="176" spans="1:10">
      <c r="A176" s="113" t="s">
        <v>620</v>
      </c>
      <c r="B176" s="113" t="s">
        <v>391</v>
      </c>
      <c r="C176" s="113" t="s">
        <v>392</v>
      </c>
      <c r="D176" s="113" t="s">
        <v>393</v>
      </c>
      <c r="E176">
        <v>2685</v>
      </c>
      <c r="F176" s="113" t="s">
        <v>622</v>
      </c>
      <c r="G176" s="113" t="s">
        <v>394</v>
      </c>
      <c r="H176" s="113" t="s">
        <v>404</v>
      </c>
      <c r="I176" s="113" t="s">
        <v>449</v>
      </c>
      <c r="J176" s="113" t="s">
        <v>1097</v>
      </c>
    </row>
    <row r="177" spans="1:10">
      <c r="A177" s="113" t="s">
        <v>620</v>
      </c>
      <c r="B177" s="113" t="s">
        <v>391</v>
      </c>
      <c r="C177" s="113" t="s">
        <v>392</v>
      </c>
      <c r="D177" s="113" t="s">
        <v>393</v>
      </c>
      <c r="E177">
        <v>3919</v>
      </c>
      <c r="F177" s="113" t="s">
        <v>623</v>
      </c>
      <c r="G177" s="113" t="s">
        <v>394</v>
      </c>
      <c r="H177" s="113" t="s">
        <v>405</v>
      </c>
      <c r="I177">
        <v>149</v>
      </c>
    </row>
    <row r="178" spans="1:10">
      <c r="A178" s="113" t="s">
        <v>620</v>
      </c>
      <c r="B178" s="113" t="s">
        <v>391</v>
      </c>
      <c r="C178" s="113" t="s">
        <v>396</v>
      </c>
      <c r="D178" s="113" t="s">
        <v>393</v>
      </c>
      <c r="E178">
        <v>7514</v>
      </c>
      <c r="F178" s="113" t="s">
        <v>1009</v>
      </c>
      <c r="G178" s="113" t="s">
        <v>394</v>
      </c>
      <c r="H178" s="113" t="s">
        <v>404</v>
      </c>
      <c r="I178">
        <v>103</v>
      </c>
    </row>
    <row r="179" spans="1:10">
      <c r="A179" s="113" t="s">
        <v>620</v>
      </c>
      <c r="B179" s="113" t="s">
        <v>391</v>
      </c>
      <c r="C179" s="113" t="s">
        <v>403</v>
      </c>
      <c r="D179" s="113" t="s">
        <v>393</v>
      </c>
      <c r="E179">
        <v>9651</v>
      </c>
      <c r="F179" s="113" t="s">
        <v>624</v>
      </c>
      <c r="G179" s="113" t="s">
        <v>398</v>
      </c>
      <c r="H179" s="113" t="s">
        <v>405</v>
      </c>
      <c r="I179">
        <v>92</v>
      </c>
    </row>
    <row r="180" spans="1:10">
      <c r="A180" s="113" t="s">
        <v>625</v>
      </c>
      <c r="B180" s="113" t="s">
        <v>391</v>
      </c>
      <c r="C180" s="113" t="s">
        <v>392</v>
      </c>
      <c r="D180" s="113" t="s">
        <v>393</v>
      </c>
      <c r="E180">
        <v>1712</v>
      </c>
      <c r="F180" s="113" t="s">
        <v>626</v>
      </c>
      <c r="G180" s="113" t="s">
        <v>394</v>
      </c>
      <c r="H180" s="113" t="s">
        <v>428</v>
      </c>
      <c r="I180" s="113">
        <v>168</v>
      </c>
      <c r="J180" s="113"/>
    </row>
    <row r="181" spans="1:10">
      <c r="A181" s="113" t="s">
        <v>625</v>
      </c>
      <c r="B181" s="113" t="s">
        <v>391</v>
      </c>
      <c r="C181" s="113" t="s">
        <v>392</v>
      </c>
      <c r="D181" s="113" t="s">
        <v>393</v>
      </c>
      <c r="E181">
        <v>9793</v>
      </c>
      <c r="F181" s="113" t="s">
        <v>627</v>
      </c>
      <c r="G181" s="113" t="s">
        <v>394</v>
      </c>
      <c r="H181" s="113" t="s">
        <v>399</v>
      </c>
      <c r="I181" s="113" t="s">
        <v>449</v>
      </c>
      <c r="J181" s="113" t="s">
        <v>1098</v>
      </c>
    </row>
    <row r="182" spans="1:10">
      <c r="A182" s="113" t="s">
        <v>628</v>
      </c>
      <c r="B182" s="113" t="s">
        <v>391</v>
      </c>
      <c r="C182" s="113" t="s">
        <v>403</v>
      </c>
      <c r="D182" s="113" t="s">
        <v>393</v>
      </c>
      <c r="E182">
        <v>2792</v>
      </c>
      <c r="F182" s="113" t="s">
        <v>629</v>
      </c>
      <c r="G182" s="113" t="s">
        <v>394</v>
      </c>
      <c r="H182" s="113" t="s">
        <v>404</v>
      </c>
      <c r="I182" s="113">
        <v>395</v>
      </c>
      <c r="J182" s="113"/>
    </row>
    <row r="183" spans="1:10">
      <c r="A183" s="113" t="s">
        <v>630</v>
      </c>
      <c r="B183" s="113" t="s">
        <v>391</v>
      </c>
      <c r="C183" s="113" t="s">
        <v>392</v>
      </c>
      <c r="D183" s="113" t="s">
        <v>393</v>
      </c>
      <c r="E183">
        <v>4714</v>
      </c>
      <c r="F183" s="113" t="s">
        <v>631</v>
      </c>
      <c r="G183" s="113" t="s">
        <v>394</v>
      </c>
      <c r="H183" s="113" t="s">
        <v>399</v>
      </c>
      <c r="I183">
        <v>636</v>
      </c>
    </row>
    <row r="184" spans="1:10">
      <c r="A184" s="113" t="s">
        <v>632</v>
      </c>
      <c r="B184" s="113" t="s">
        <v>391</v>
      </c>
      <c r="C184" s="113" t="s">
        <v>401</v>
      </c>
      <c r="D184" s="113" t="s">
        <v>393</v>
      </c>
      <c r="E184">
        <v>2809</v>
      </c>
      <c r="F184" s="113" t="s">
        <v>633</v>
      </c>
      <c r="G184" s="113" t="s">
        <v>394</v>
      </c>
      <c r="H184" s="113" t="s">
        <v>395</v>
      </c>
      <c r="I184" s="113" t="s">
        <v>634</v>
      </c>
      <c r="J184" s="113" t="s">
        <v>1099</v>
      </c>
    </row>
    <row r="185" spans="1:10">
      <c r="A185" s="113" t="s">
        <v>632</v>
      </c>
      <c r="B185" s="113" t="s">
        <v>391</v>
      </c>
      <c r="C185" s="113" t="s">
        <v>396</v>
      </c>
      <c r="D185" s="113" t="s">
        <v>393</v>
      </c>
      <c r="E185">
        <v>2927</v>
      </c>
      <c r="F185" s="113" t="s">
        <v>635</v>
      </c>
      <c r="G185" s="113" t="s">
        <v>398</v>
      </c>
      <c r="H185" s="113" t="s">
        <v>395</v>
      </c>
      <c r="I185" s="113">
        <v>94</v>
      </c>
      <c r="J185" s="113"/>
    </row>
    <row r="186" spans="1:10">
      <c r="A186" s="113" t="s">
        <v>632</v>
      </c>
      <c r="B186" s="113" t="s">
        <v>391</v>
      </c>
      <c r="C186" s="113" t="s">
        <v>392</v>
      </c>
      <c r="D186" s="113" t="s">
        <v>393</v>
      </c>
      <c r="E186">
        <v>3396</v>
      </c>
      <c r="F186" s="113" t="s">
        <v>636</v>
      </c>
      <c r="G186" s="113" t="s">
        <v>394</v>
      </c>
      <c r="H186" s="113" t="s">
        <v>404</v>
      </c>
      <c r="I186" s="113">
        <v>103</v>
      </c>
      <c r="J186" s="113"/>
    </row>
    <row r="187" spans="1:10">
      <c r="A187" s="113" t="s">
        <v>632</v>
      </c>
      <c r="B187" s="113" t="s">
        <v>391</v>
      </c>
      <c r="C187" s="113" t="s">
        <v>403</v>
      </c>
      <c r="D187" s="113" t="s">
        <v>393</v>
      </c>
      <c r="E187">
        <v>8908</v>
      </c>
      <c r="F187" s="113" t="s">
        <v>637</v>
      </c>
      <c r="G187" s="113" t="s">
        <v>394</v>
      </c>
      <c r="H187" s="113" t="s">
        <v>420</v>
      </c>
      <c r="I187" s="113">
        <v>151</v>
      </c>
      <c r="J187" s="113"/>
    </row>
    <row r="188" spans="1:10">
      <c r="A188" s="113" t="s">
        <v>632</v>
      </c>
      <c r="B188" s="113" t="s">
        <v>391</v>
      </c>
      <c r="C188" s="113" t="s">
        <v>396</v>
      </c>
      <c r="D188" s="113" t="s">
        <v>393</v>
      </c>
      <c r="E188">
        <v>9983</v>
      </c>
      <c r="F188" s="113" t="s">
        <v>638</v>
      </c>
      <c r="G188" s="113" t="s">
        <v>394</v>
      </c>
      <c r="H188" s="113" t="s">
        <v>404</v>
      </c>
      <c r="I188" s="113" t="s">
        <v>1100</v>
      </c>
      <c r="J188" s="113" t="s">
        <v>1101</v>
      </c>
    </row>
    <row r="189" spans="1:10">
      <c r="A189" s="113" t="s">
        <v>639</v>
      </c>
      <c r="B189" s="113" t="s">
        <v>614</v>
      </c>
      <c r="C189" s="113" t="s">
        <v>392</v>
      </c>
      <c r="D189" s="113" t="s">
        <v>393</v>
      </c>
      <c r="E189">
        <v>3093</v>
      </c>
      <c r="F189" s="113" t="s">
        <v>1102</v>
      </c>
      <c r="G189" s="113" t="s">
        <v>394</v>
      </c>
      <c r="H189" s="113" t="s">
        <v>404</v>
      </c>
      <c r="I189" s="113">
        <v>131</v>
      </c>
      <c r="J189" s="113"/>
    </row>
    <row r="190" spans="1:10">
      <c r="A190" s="113" t="s">
        <v>639</v>
      </c>
      <c r="B190" s="113" t="s">
        <v>614</v>
      </c>
      <c r="C190" s="113" t="s">
        <v>403</v>
      </c>
      <c r="D190" s="113" t="s">
        <v>393</v>
      </c>
      <c r="E190">
        <v>6567</v>
      </c>
      <c r="F190" s="113" t="s">
        <v>640</v>
      </c>
      <c r="G190" s="113" t="s">
        <v>406</v>
      </c>
      <c r="H190" s="113" t="s">
        <v>399</v>
      </c>
      <c r="I190">
        <v>22</v>
      </c>
    </row>
    <row r="191" spans="1:10">
      <c r="A191" s="113" t="s">
        <v>639</v>
      </c>
      <c r="B191" s="113" t="s">
        <v>391</v>
      </c>
      <c r="C191" s="113" t="s">
        <v>392</v>
      </c>
      <c r="D191" s="113" t="s">
        <v>393</v>
      </c>
      <c r="E191">
        <v>2337</v>
      </c>
      <c r="F191" s="113" t="s">
        <v>1103</v>
      </c>
      <c r="G191" s="113" t="s">
        <v>394</v>
      </c>
      <c r="H191" s="113" t="s">
        <v>420</v>
      </c>
      <c r="I191" s="113" t="s">
        <v>417</v>
      </c>
      <c r="J191" s="113" t="s">
        <v>1104</v>
      </c>
    </row>
    <row r="192" spans="1:10">
      <c r="A192" s="113" t="s">
        <v>639</v>
      </c>
      <c r="B192" s="113" t="s">
        <v>391</v>
      </c>
      <c r="C192" s="113" t="s">
        <v>392</v>
      </c>
      <c r="D192" s="113" t="s">
        <v>393</v>
      </c>
      <c r="E192">
        <v>2338</v>
      </c>
      <c r="F192" s="113" t="s">
        <v>641</v>
      </c>
      <c r="G192" s="113" t="s">
        <v>402</v>
      </c>
      <c r="H192" s="113" t="s">
        <v>405</v>
      </c>
      <c r="I192">
        <v>26</v>
      </c>
    </row>
    <row r="193" spans="1:10">
      <c r="A193" s="113" t="s">
        <v>639</v>
      </c>
      <c r="B193" s="113" t="s">
        <v>391</v>
      </c>
      <c r="C193" s="113" t="s">
        <v>392</v>
      </c>
      <c r="D193" s="113" t="s">
        <v>393</v>
      </c>
      <c r="E193">
        <v>2651</v>
      </c>
      <c r="F193" s="113" t="s">
        <v>642</v>
      </c>
      <c r="G193" s="113" t="s">
        <v>394</v>
      </c>
      <c r="H193" s="113" t="s">
        <v>404</v>
      </c>
      <c r="I193" s="113" t="s">
        <v>604</v>
      </c>
      <c r="J193" s="113" t="s">
        <v>1011</v>
      </c>
    </row>
    <row r="194" spans="1:10">
      <c r="A194" s="113" t="s">
        <v>639</v>
      </c>
      <c r="B194" s="113" t="s">
        <v>391</v>
      </c>
      <c r="C194" s="113" t="s">
        <v>392</v>
      </c>
      <c r="D194" s="113" t="s">
        <v>397</v>
      </c>
      <c r="E194">
        <v>2706</v>
      </c>
      <c r="F194" s="113" t="s">
        <v>643</v>
      </c>
      <c r="G194" s="113" t="s">
        <v>398</v>
      </c>
      <c r="H194" s="113" t="s">
        <v>416</v>
      </c>
      <c r="I194">
        <v>117</v>
      </c>
    </row>
    <row r="195" spans="1:10">
      <c r="A195" s="113" t="s">
        <v>639</v>
      </c>
      <c r="B195" s="113" t="s">
        <v>391</v>
      </c>
      <c r="C195" s="113" t="s">
        <v>403</v>
      </c>
      <c r="D195" s="113" t="s">
        <v>393</v>
      </c>
      <c r="E195">
        <v>3349</v>
      </c>
      <c r="F195" s="113" t="s">
        <v>1105</v>
      </c>
      <c r="G195" s="113" t="s">
        <v>394</v>
      </c>
      <c r="H195" s="113" t="s">
        <v>404</v>
      </c>
      <c r="I195" s="113" t="s">
        <v>545</v>
      </c>
      <c r="J195" s="113" t="s">
        <v>1106</v>
      </c>
    </row>
    <row r="196" spans="1:10">
      <c r="A196" s="113" t="s">
        <v>639</v>
      </c>
      <c r="B196" s="113" t="s">
        <v>391</v>
      </c>
      <c r="C196" s="113" t="s">
        <v>392</v>
      </c>
      <c r="D196" s="113" t="s">
        <v>393</v>
      </c>
      <c r="E196">
        <v>3546</v>
      </c>
      <c r="F196" s="113" t="s">
        <v>644</v>
      </c>
      <c r="G196" s="113" t="s">
        <v>394</v>
      </c>
      <c r="H196" s="113" t="s">
        <v>404</v>
      </c>
      <c r="I196">
        <v>266</v>
      </c>
    </row>
    <row r="197" spans="1:10">
      <c r="A197" s="113" t="s">
        <v>639</v>
      </c>
      <c r="B197" s="113" t="s">
        <v>391</v>
      </c>
      <c r="C197" s="113" t="s">
        <v>392</v>
      </c>
      <c r="D197" s="113" t="s">
        <v>393</v>
      </c>
      <c r="E197">
        <v>3922</v>
      </c>
      <c r="F197" s="113" t="s">
        <v>645</v>
      </c>
      <c r="G197" s="113" t="s">
        <v>394</v>
      </c>
      <c r="H197" s="113" t="s">
        <v>405</v>
      </c>
      <c r="I197">
        <v>157</v>
      </c>
    </row>
    <row r="198" spans="1:10">
      <c r="A198" s="113" t="s">
        <v>639</v>
      </c>
      <c r="B198" s="113" t="s">
        <v>391</v>
      </c>
      <c r="C198" s="113" t="s">
        <v>392</v>
      </c>
      <c r="D198" s="113" t="s">
        <v>393</v>
      </c>
      <c r="E198">
        <v>4530</v>
      </c>
      <c r="F198" s="113" t="s">
        <v>1107</v>
      </c>
      <c r="G198" s="113" t="s">
        <v>394</v>
      </c>
      <c r="H198" s="113" t="s">
        <v>516</v>
      </c>
      <c r="I198" s="113" t="s">
        <v>545</v>
      </c>
      <c r="J198" s="113" t="s">
        <v>1108</v>
      </c>
    </row>
    <row r="199" spans="1:10">
      <c r="A199" s="113" t="s">
        <v>639</v>
      </c>
      <c r="B199" s="113" t="s">
        <v>391</v>
      </c>
      <c r="C199" s="113" t="s">
        <v>403</v>
      </c>
      <c r="D199" s="113" t="s">
        <v>393</v>
      </c>
      <c r="E199">
        <v>4829</v>
      </c>
      <c r="F199" s="113" t="s">
        <v>646</v>
      </c>
      <c r="G199" s="113" t="s">
        <v>394</v>
      </c>
      <c r="H199" s="113" t="s">
        <v>405</v>
      </c>
      <c r="I199">
        <v>92</v>
      </c>
    </row>
    <row r="200" spans="1:10">
      <c r="A200" s="113" t="s">
        <v>639</v>
      </c>
      <c r="B200" s="113" t="s">
        <v>391</v>
      </c>
      <c r="C200" s="113" t="s">
        <v>392</v>
      </c>
      <c r="D200" s="113" t="s">
        <v>393</v>
      </c>
      <c r="E200">
        <v>6058</v>
      </c>
      <c r="F200" s="113" t="s">
        <v>647</v>
      </c>
      <c r="G200" s="113" t="s">
        <v>394</v>
      </c>
      <c r="H200" s="113" t="s">
        <v>399</v>
      </c>
      <c r="I200">
        <v>551</v>
      </c>
    </row>
    <row r="201" spans="1:10">
      <c r="A201" s="113" t="s">
        <v>639</v>
      </c>
      <c r="B201" s="113" t="s">
        <v>391</v>
      </c>
      <c r="C201" s="113" t="s">
        <v>401</v>
      </c>
      <c r="D201" s="113" t="s">
        <v>393</v>
      </c>
      <c r="E201">
        <v>6492</v>
      </c>
      <c r="F201" s="113" t="s">
        <v>648</v>
      </c>
      <c r="G201" s="113" t="s">
        <v>402</v>
      </c>
      <c r="H201" s="113" t="s">
        <v>415</v>
      </c>
      <c r="I201" s="113">
        <v>35</v>
      </c>
      <c r="J201" s="113"/>
    </row>
    <row r="202" spans="1:10">
      <c r="A202" s="113" t="s">
        <v>639</v>
      </c>
      <c r="B202" s="113" t="s">
        <v>391</v>
      </c>
      <c r="C202" s="113" t="s">
        <v>392</v>
      </c>
      <c r="D202" s="113" t="s">
        <v>397</v>
      </c>
      <c r="E202">
        <v>6532</v>
      </c>
      <c r="F202" s="113" t="s">
        <v>649</v>
      </c>
      <c r="G202" s="113" t="s">
        <v>394</v>
      </c>
      <c r="H202" s="113" t="s">
        <v>399</v>
      </c>
      <c r="I202">
        <v>914</v>
      </c>
    </row>
    <row r="203" spans="1:10">
      <c r="A203" s="113" t="s">
        <v>639</v>
      </c>
      <c r="B203" s="113" t="s">
        <v>391</v>
      </c>
      <c r="C203" s="113" t="s">
        <v>403</v>
      </c>
      <c r="D203" s="113" t="s">
        <v>393</v>
      </c>
      <c r="E203">
        <v>7420</v>
      </c>
      <c r="F203" s="113" t="s">
        <v>1109</v>
      </c>
      <c r="G203" s="113" t="s">
        <v>394</v>
      </c>
      <c r="H203" s="113" t="s">
        <v>400</v>
      </c>
      <c r="I203">
        <v>165</v>
      </c>
    </row>
    <row r="204" spans="1:10">
      <c r="A204" s="113" t="s">
        <v>639</v>
      </c>
      <c r="B204" s="113" t="s">
        <v>391</v>
      </c>
      <c r="C204" s="113" t="s">
        <v>392</v>
      </c>
      <c r="D204" s="113" t="s">
        <v>393</v>
      </c>
      <c r="E204">
        <v>7453</v>
      </c>
      <c r="F204" s="113" t="s">
        <v>1110</v>
      </c>
      <c r="G204" s="113" t="s">
        <v>394</v>
      </c>
      <c r="H204" s="113" t="s">
        <v>404</v>
      </c>
      <c r="I204" s="113" t="s">
        <v>604</v>
      </c>
      <c r="J204" s="113" t="s">
        <v>1111</v>
      </c>
    </row>
    <row r="205" spans="1:10">
      <c r="A205" s="113" t="s">
        <v>639</v>
      </c>
      <c r="B205" s="113" t="s">
        <v>391</v>
      </c>
      <c r="C205" s="113" t="s">
        <v>403</v>
      </c>
      <c r="D205" s="113" t="s">
        <v>393</v>
      </c>
      <c r="E205">
        <v>7713</v>
      </c>
      <c r="F205" s="113" t="s">
        <v>1112</v>
      </c>
      <c r="G205" s="113" t="s">
        <v>398</v>
      </c>
      <c r="H205" s="113" t="s">
        <v>661</v>
      </c>
      <c r="I205" s="113">
        <v>139</v>
      </c>
      <c r="J205" s="113"/>
    </row>
    <row r="206" spans="1:10">
      <c r="A206" s="113" t="s">
        <v>639</v>
      </c>
      <c r="B206" s="113" t="s">
        <v>391</v>
      </c>
      <c r="C206" s="113" t="s">
        <v>401</v>
      </c>
      <c r="D206" s="113" t="s">
        <v>393</v>
      </c>
      <c r="E206">
        <v>8923</v>
      </c>
      <c r="F206" s="113" t="s">
        <v>650</v>
      </c>
      <c r="G206" s="113" t="s">
        <v>394</v>
      </c>
      <c r="H206" s="113" t="s">
        <v>420</v>
      </c>
      <c r="I206" s="113">
        <v>704</v>
      </c>
      <c r="J206" s="113"/>
    </row>
    <row r="207" spans="1:10">
      <c r="A207" s="113" t="s">
        <v>639</v>
      </c>
      <c r="B207" s="113" t="s">
        <v>391</v>
      </c>
      <c r="C207" s="113" t="s">
        <v>392</v>
      </c>
      <c r="D207" s="113" t="s">
        <v>393</v>
      </c>
      <c r="E207">
        <v>9381</v>
      </c>
      <c r="F207" s="113" t="s">
        <v>1113</v>
      </c>
      <c r="G207" s="113" t="s">
        <v>394</v>
      </c>
      <c r="H207" s="113" t="s">
        <v>911</v>
      </c>
      <c r="I207">
        <v>227</v>
      </c>
    </row>
    <row r="208" spans="1:10">
      <c r="A208" s="113" t="s">
        <v>651</v>
      </c>
      <c r="B208" s="113" t="s">
        <v>1114</v>
      </c>
      <c r="C208" s="113" t="s">
        <v>392</v>
      </c>
      <c r="D208" s="113" t="s">
        <v>397</v>
      </c>
      <c r="E208">
        <v>3415</v>
      </c>
      <c r="F208" s="113" t="s">
        <v>1115</v>
      </c>
      <c r="G208" s="113" t="s">
        <v>394</v>
      </c>
      <c r="H208" s="113" t="s">
        <v>404</v>
      </c>
      <c r="I208" s="113">
        <v>339</v>
      </c>
      <c r="J208" s="113"/>
    </row>
    <row r="209" spans="1:10">
      <c r="A209" s="113" t="s">
        <v>651</v>
      </c>
      <c r="B209" s="113" t="s">
        <v>391</v>
      </c>
      <c r="C209" s="113" t="s">
        <v>401</v>
      </c>
      <c r="D209" s="113" t="s">
        <v>393</v>
      </c>
      <c r="E209">
        <v>2471</v>
      </c>
      <c r="F209" s="113" t="s">
        <v>652</v>
      </c>
      <c r="G209" s="113" t="s">
        <v>394</v>
      </c>
      <c r="H209" s="113" t="s">
        <v>399</v>
      </c>
      <c r="I209" s="113">
        <v>576</v>
      </c>
      <c r="J209" s="113"/>
    </row>
    <row r="210" spans="1:10">
      <c r="A210" s="113" t="s">
        <v>651</v>
      </c>
      <c r="B210" s="113" t="s">
        <v>391</v>
      </c>
      <c r="C210" s="113" t="s">
        <v>392</v>
      </c>
      <c r="D210" s="113" t="s">
        <v>397</v>
      </c>
      <c r="E210">
        <v>2930</v>
      </c>
      <c r="F210" s="113" t="s">
        <v>653</v>
      </c>
      <c r="G210" s="113" t="s">
        <v>394</v>
      </c>
      <c r="H210" s="113" t="s">
        <v>395</v>
      </c>
      <c r="I210" s="113" t="s">
        <v>449</v>
      </c>
      <c r="J210" s="113" t="s">
        <v>1116</v>
      </c>
    </row>
    <row r="211" spans="1:10">
      <c r="A211" s="113" t="s">
        <v>651</v>
      </c>
      <c r="B211" s="113" t="s">
        <v>391</v>
      </c>
      <c r="C211" s="113" t="s">
        <v>392</v>
      </c>
      <c r="D211" s="113" t="s">
        <v>397</v>
      </c>
      <c r="E211">
        <v>3030</v>
      </c>
      <c r="F211" s="113" t="s">
        <v>654</v>
      </c>
      <c r="G211" s="113" t="s">
        <v>394</v>
      </c>
      <c r="H211" s="113" t="s">
        <v>404</v>
      </c>
      <c r="I211">
        <v>116</v>
      </c>
    </row>
    <row r="212" spans="1:10">
      <c r="A212" s="113" t="s">
        <v>651</v>
      </c>
      <c r="B212" s="113" t="s">
        <v>391</v>
      </c>
      <c r="C212" s="113" t="s">
        <v>392</v>
      </c>
      <c r="D212" s="113" t="s">
        <v>393</v>
      </c>
      <c r="E212">
        <v>3479</v>
      </c>
      <c r="F212" s="113" t="s">
        <v>655</v>
      </c>
      <c r="G212" s="113" t="s">
        <v>406</v>
      </c>
      <c r="H212" s="113" t="s">
        <v>420</v>
      </c>
      <c r="I212" s="113" t="s">
        <v>449</v>
      </c>
      <c r="J212" s="113" t="s">
        <v>1117</v>
      </c>
    </row>
    <row r="213" spans="1:10">
      <c r="A213" s="113" t="s">
        <v>651</v>
      </c>
      <c r="B213" s="113" t="s">
        <v>391</v>
      </c>
      <c r="C213" s="113" t="s">
        <v>392</v>
      </c>
      <c r="D213" s="113" t="s">
        <v>393</v>
      </c>
      <c r="E213">
        <v>3562</v>
      </c>
      <c r="F213" s="113" t="s">
        <v>656</v>
      </c>
      <c r="G213" s="113" t="s">
        <v>398</v>
      </c>
      <c r="H213" s="113" t="s">
        <v>400</v>
      </c>
      <c r="I213" s="113">
        <v>38</v>
      </c>
      <c r="J213" s="113"/>
    </row>
    <row r="214" spans="1:10">
      <c r="A214" s="113" t="s">
        <v>651</v>
      </c>
      <c r="B214" s="113" t="s">
        <v>391</v>
      </c>
      <c r="C214" s="113" t="s">
        <v>392</v>
      </c>
      <c r="D214" s="113" t="s">
        <v>393</v>
      </c>
      <c r="E214">
        <v>3678</v>
      </c>
      <c r="F214" s="113" t="s">
        <v>657</v>
      </c>
      <c r="G214" s="113" t="s">
        <v>394</v>
      </c>
      <c r="H214" s="113" t="s">
        <v>405</v>
      </c>
      <c r="I214">
        <v>541</v>
      </c>
    </row>
    <row r="215" spans="1:10">
      <c r="A215" s="113" t="s">
        <v>651</v>
      </c>
      <c r="B215" s="113" t="s">
        <v>391</v>
      </c>
      <c r="C215" s="113" t="s">
        <v>396</v>
      </c>
      <c r="D215" s="113" t="s">
        <v>393</v>
      </c>
      <c r="E215">
        <v>4668</v>
      </c>
      <c r="F215" s="113" t="s">
        <v>658</v>
      </c>
      <c r="G215" s="113" t="s">
        <v>394</v>
      </c>
      <c r="H215" s="113" t="s">
        <v>399</v>
      </c>
      <c r="I215" s="113">
        <v>286</v>
      </c>
      <c r="J215" s="113"/>
    </row>
    <row r="216" spans="1:10">
      <c r="A216" s="113" t="s">
        <v>651</v>
      </c>
      <c r="B216" s="113" t="s">
        <v>391</v>
      </c>
      <c r="C216" s="113" t="s">
        <v>392</v>
      </c>
      <c r="D216" s="113" t="s">
        <v>393</v>
      </c>
      <c r="E216">
        <v>6814</v>
      </c>
      <c r="F216" s="113" t="s">
        <v>659</v>
      </c>
      <c r="G216" s="113" t="s">
        <v>394</v>
      </c>
      <c r="H216" s="113" t="s">
        <v>419</v>
      </c>
      <c r="I216" s="113">
        <v>420</v>
      </c>
      <c r="J216" s="113"/>
    </row>
    <row r="217" spans="1:10">
      <c r="A217" s="113" t="s">
        <v>651</v>
      </c>
      <c r="B217" s="113" t="s">
        <v>391</v>
      </c>
      <c r="C217" s="113" t="s">
        <v>392</v>
      </c>
      <c r="D217" s="113" t="s">
        <v>393</v>
      </c>
      <c r="E217">
        <v>7719</v>
      </c>
      <c r="F217" s="113" t="s">
        <v>660</v>
      </c>
      <c r="G217" s="113" t="s">
        <v>402</v>
      </c>
      <c r="H217" s="113" t="s">
        <v>661</v>
      </c>
      <c r="I217">
        <v>18</v>
      </c>
    </row>
    <row r="218" spans="1:10">
      <c r="A218" s="113" t="s">
        <v>651</v>
      </c>
      <c r="B218" s="113" t="s">
        <v>391</v>
      </c>
      <c r="C218" s="113" t="s">
        <v>392</v>
      </c>
      <c r="D218" s="113" t="s">
        <v>393</v>
      </c>
      <c r="E218">
        <v>9602</v>
      </c>
      <c r="F218" s="113" t="s">
        <v>662</v>
      </c>
      <c r="G218" s="113" t="s">
        <v>394</v>
      </c>
      <c r="H218" s="113" t="s">
        <v>405</v>
      </c>
      <c r="I218" s="113" t="s">
        <v>663</v>
      </c>
      <c r="J218" s="113" t="s">
        <v>1041</v>
      </c>
    </row>
    <row r="219" spans="1:10">
      <c r="A219" s="113" t="s">
        <v>651</v>
      </c>
      <c r="B219" s="113" t="s">
        <v>391</v>
      </c>
      <c r="C219" s="113" t="s">
        <v>392</v>
      </c>
      <c r="D219" s="113" t="s">
        <v>393</v>
      </c>
      <c r="E219">
        <v>9945</v>
      </c>
      <c r="F219" s="113" t="s">
        <v>1118</v>
      </c>
      <c r="G219" s="113" t="s">
        <v>394</v>
      </c>
      <c r="H219" s="113" t="s">
        <v>404</v>
      </c>
      <c r="I219">
        <v>854</v>
      </c>
    </row>
    <row r="220" spans="1:10">
      <c r="A220" s="113" t="s">
        <v>664</v>
      </c>
      <c r="B220" s="113" t="s">
        <v>391</v>
      </c>
      <c r="C220" s="113" t="s">
        <v>401</v>
      </c>
      <c r="D220" s="113" t="s">
        <v>393</v>
      </c>
      <c r="E220">
        <v>3907</v>
      </c>
      <c r="F220" s="113" t="s">
        <v>665</v>
      </c>
      <c r="G220" s="113" t="s">
        <v>406</v>
      </c>
      <c r="H220" s="113" t="s">
        <v>405</v>
      </c>
      <c r="I220">
        <v>52</v>
      </c>
    </row>
    <row r="221" spans="1:10">
      <c r="A221" s="113" t="s">
        <v>664</v>
      </c>
      <c r="B221" s="113" t="s">
        <v>391</v>
      </c>
      <c r="C221" s="113" t="s">
        <v>392</v>
      </c>
      <c r="D221" s="113" t="s">
        <v>393</v>
      </c>
      <c r="E221">
        <v>6578</v>
      </c>
      <c r="F221" s="113" t="s">
        <v>666</v>
      </c>
      <c r="G221" s="113" t="s">
        <v>402</v>
      </c>
      <c r="H221" s="113" t="s">
        <v>399</v>
      </c>
      <c r="I221">
        <v>28</v>
      </c>
    </row>
    <row r="222" spans="1:10">
      <c r="A222" s="113" t="s">
        <v>664</v>
      </c>
      <c r="B222" s="113" t="s">
        <v>391</v>
      </c>
      <c r="C222" s="113" t="s">
        <v>392</v>
      </c>
      <c r="D222" s="113" t="s">
        <v>397</v>
      </c>
      <c r="E222">
        <v>7610</v>
      </c>
      <c r="F222" s="113" t="s">
        <v>667</v>
      </c>
      <c r="G222" s="113" t="s">
        <v>398</v>
      </c>
      <c r="H222" s="113" t="s">
        <v>404</v>
      </c>
      <c r="I222">
        <v>24</v>
      </c>
    </row>
    <row r="223" spans="1:10">
      <c r="A223" s="113" t="s">
        <v>668</v>
      </c>
      <c r="B223" s="113" t="s">
        <v>391</v>
      </c>
      <c r="C223" s="113" t="s">
        <v>401</v>
      </c>
      <c r="D223" s="113" t="s">
        <v>397</v>
      </c>
      <c r="E223">
        <v>3279</v>
      </c>
      <c r="F223" s="113" t="s">
        <v>669</v>
      </c>
      <c r="G223" s="113" t="s">
        <v>481</v>
      </c>
      <c r="H223" s="113" t="s">
        <v>482</v>
      </c>
      <c r="I223" s="113" t="s">
        <v>545</v>
      </c>
      <c r="J223" s="113" t="s">
        <v>1119</v>
      </c>
    </row>
    <row r="224" spans="1:10">
      <c r="A224" s="113" t="s">
        <v>668</v>
      </c>
      <c r="B224" s="113" t="s">
        <v>391</v>
      </c>
      <c r="C224" s="113" t="s">
        <v>401</v>
      </c>
      <c r="D224" s="113" t="s">
        <v>393</v>
      </c>
      <c r="E224">
        <v>6634</v>
      </c>
      <c r="F224" s="113" t="s">
        <v>670</v>
      </c>
      <c r="G224" s="113" t="s">
        <v>398</v>
      </c>
      <c r="H224" s="113" t="s">
        <v>419</v>
      </c>
      <c r="I224">
        <v>31</v>
      </c>
    </row>
    <row r="225" spans="1:10">
      <c r="A225" s="113" t="s">
        <v>668</v>
      </c>
      <c r="B225" s="113" t="s">
        <v>391</v>
      </c>
      <c r="C225" s="113" t="s">
        <v>401</v>
      </c>
      <c r="D225" s="113" t="s">
        <v>397</v>
      </c>
      <c r="E225">
        <v>7501</v>
      </c>
      <c r="F225" s="113" t="s">
        <v>671</v>
      </c>
      <c r="G225" s="113" t="s">
        <v>398</v>
      </c>
      <c r="H225" s="113" t="s">
        <v>400</v>
      </c>
      <c r="I225">
        <v>19</v>
      </c>
    </row>
    <row r="226" spans="1:10">
      <c r="A226" s="113" t="s">
        <v>672</v>
      </c>
      <c r="B226" s="113" t="s">
        <v>391</v>
      </c>
      <c r="C226" s="113" t="s">
        <v>392</v>
      </c>
      <c r="D226" s="113" t="s">
        <v>393</v>
      </c>
      <c r="E226">
        <v>6146</v>
      </c>
      <c r="F226" s="113" t="s">
        <v>673</v>
      </c>
      <c r="G226" s="113" t="s">
        <v>394</v>
      </c>
      <c r="H226" s="113" t="s">
        <v>415</v>
      </c>
      <c r="I226" s="113" t="s">
        <v>663</v>
      </c>
      <c r="J226" s="113" t="s">
        <v>1120</v>
      </c>
    </row>
    <row r="227" spans="1:10">
      <c r="A227" s="113" t="s">
        <v>672</v>
      </c>
      <c r="B227" s="113" t="s">
        <v>391</v>
      </c>
      <c r="C227" s="113" t="s">
        <v>401</v>
      </c>
      <c r="D227" s="113" t="s">
        <v>397</v>
      </c>
      <c r="E227">
        <v>8977</v>
      </c>
      <c r="F227" s="113" t="s">
        <v>1121</v>
      </c>
      <c r="G227" s="113" t="s">
        <v>481</v>
      </c>
      <c r="H227" s="113" t="s">
        <v>482</v>
      </c>
      <c r="I227" s="113" t="s">
        <v>449</v>
      </c>
      <c r="J227" s="113" t="s">
        <v>1122</v>
      </c>
    </row>
    <row r="228" spans="1:10">
      <c r="A228" s="113" t="s">
        <v>674</v>
      </c>
      <c r="B228" s="113" t="s">
        <v>391</v>
      </c>
      <c r="C228" s="113" t="s">
        <v>392</v>
      </c>
      <c r="D228" s="113" t="s">
        <v>393</v>
      </c>
      <c r="E228">
        <v>9433</v>
      </c>
      <c r="F228" s="113" t="s">
        <v>675</v>
      </c>
      <c r="G228" s="113" t="s">
        <v>394</v>
      </c>
      <c r="H228" s="113" t="s">
        <v>405</v>
      </c>
      <c r="I228" s="113" t="s">
        <v>676</v>
      </c>
      <c r="J228" s="113" t="s">
        <v>1123</v>
      </c>
    </row>
    <row r="229" spans="1:10">
      <c r="A229" s="113" t="s">
        <v>677</v>
      </c>
      <c r="B229" s="113" t="s">
        <v>614</v>
      </c>
      <c r="C229" s="113" t="s">
        <v>392</v>
      </c>
      <c r="D229" s="113" t="s">
        <v>397</v>
      </c>
      <c r="E229">
        <v>4973</v>
      </c>
      <c r="F229" s="113" t="s">
        <v>678</v>
      </c>
      <c r="G229" s="113" t="s">
        <v>394</v>
      </c>
      <c r="H229" s="113" t="s">
        <v>407</v>
      </c>
      <c r="I229">
        <v>165</v>
      </c>
    </row>
    <row r="230" spans="1:10">
      <c r="A230" s="113" t="s">
        <v>679</v>
      </c>
      <c r="B230" s="113" t="s">
        <v>391</v>
      </c>
      <c r="C230" s="113" t="s">
        <v>392</v>
      </c>
      <c r="D230" s="113" t="s">
        <v>393</v>
      </c>
      <c r="E230">
        <v>4462</v>
      </c>
      <c r="F230" s="113" t="s">
        <v>680</v>
      </c>
      <c r="G230" s="113" t="s">
        <v>394</v>
      </c>
      <c r="H230" s="113" t="s">
        <v>407</v>
      </c>
      <c r="I230">
        <v>155</v>
      </c>
    </row>
    <row r="231" spans="1:10">
      <c r="A231" s="113" t="s">
        <v>681</v>
      </c>
      <c r="B231" s="113" t="s">
        <v>391</v>
      </c>
      <c r="C231" s="113" t="s">
        <v>392</v>
      </c>
      <c r="D231" s="113" t="s">
        <v>393</v>
      </c>
      <c r="E231">
        <v>9039</v>
      </c>
      <c r="F231" s="113" t="s">
        <v>682</v>
      </c>
      <c r="G231" s="113" t="s">
        <v>394</v>
      </c>
      <c r="H231" s="113" t="s">
        <v>683</v>
      </c>
      <c r="I231" s="113" t="s">
        <v>449</v>
      </c>
      <c r="J231" s="113" t="s">
        <v>1124</v>
      </c>
    </row>
    <row r="232" spans="1:10">
      <c r="A232" s="113" t="s">
        <v>684</v>
      </c>
      <c r="B232" s="113" t="s">
        <v>1125</v>
      </c>
      <c r="C232" s="113" t="s">
        <v>392</v>
      </c>
      <c r="D232" s="113" t="s">
        <v>393</v>
      </c>
      <c r="E232">
        <v>6470</v>
      </c>
      <c r="F232" s="113" t="s">
        <v>1126</v>
      </c>
      <c r="G232" s="113" t="s">
        <v>394</v>
      </c>
      <c r="H232" s="113" t="s">
        <v>415</v>
      </c>
      <c r="I232">
        <v>249</v>
      </c>
    </row>
    <row r="233" spans="1:10">
      <c r="A233" s="113" t="s">
        <v>684</v>
      </c>
      <c r="B233" s="113" t="s">
        <v>614</v>
      </c>
      <c r="C233" s="113" t="s">
        <v>392</v>
      </c>
      <c r="D233" s="113" t="s">
        <v>393</v>
      </c>
      <c r="E233">
        <v>2802</v>
      </c>
      <c r="F233" s="113" t="s">
        <v>1127</v>
      </c>
      <c r="G233" s="113" t="s">
        <v>394</v>
      </c>
      <c r="H233" s="113" t="s">
        <v>395</v>
      </c>
      <c r="I233" s="113" t="s">
        <v>686</v>
      </c>
      <c r="J233" s="113" t="s">
        <v>1128</v>
      </c>
    </row>
    <row r="234" spans="1:10">
      <c r="A234" s="113" t="s">
        <v>684</v>
      </c>
      <c r="B234" s="113" t="s">
        <v>391</v>
      </c>
      <c r="C234" s="113" t="s">
        <v>392</v>
      </c>
      <c r="D234" s="113" t="s">
        <v>393</v>
      </c>
      <c r="E234">
        <v>1878</v>
      </c>
      <c r="F234" s="113" t="s">
        <v>685</v>
      </c>
      <c r="G234" s="113" t="s">
        <v>394</v>
      </c>
      <c r="H234" s="113" t="s">
        <v>428</v>
      </c>
      <c r="I234" s="113" t="s">
        <v>686</v>
      </c>
      <c r="J234" s="113" t="s">
        <v>1045</v>
      </c>
    </row>
    <row r="235" spans="1:10">
      <c r="A235" s="113" t="s">
        <v>684</v>
      </c>
      <c r="B235" s="113" t="s">
        <v>391</v>
      </c>
      <c r="C235" s="113" t="s">
        <v>392</v>
      </c>
      <c r="D235" s="113" t="s">
        <v>393</v>
      </c>
      <c r="E235">
        <v>2127</v>
      </c>
      <c r="F235" s="113" t="s">
        <v>1014</v>
      </c>
      <c r="G235" s="113" t="s">
        <v>394</v>
      </c>
      <c r="H235" s="113" t="s">
        <v>399</v>
      </c>
      <c r="I235" s="113" t="s">
        <v>604</v>
      </c>
      <c r="J235" s="113" t="s">
        <v>1129</v>
      </c>
    </row>
    <row r="236" spans="1:10">
      <c r="A236" s="113" t="s">
        <v>684</v>
      </c>
      <c r="B236" s="113" t="s">
        <v>391</v>
      </c>
      <c r="C236" s="113" t="s">
        <v>392</v>
      </c>
      <c r="D236" s="113" t="s">
        <v>393</v>
      </c>
      <c r="E236">
        <v>2412</v>
      </c>
      <c r="F236" s="113" t="s">
        <v>1015</v>
      </c>
      <c r="G236" s="113" t="s">
        <v>394</v>
      </c>
      <c r="H236" s="113" t="s">
        <v>399</v>
      </c>
      <c r="I236" s="113" t="s">
        <v>634</v>
      </c>
      <c r="J236" s="113" t="s">
        <v>1130</v>
      </c>
    </row>
    <row r="237" spans="1:10">
      <c r="A237" s="113" t="s">
        <v>684</v>
      </c>
      <c r="B237" s="113" t="s">
        <v>391</v>
      </c>
      <c r="C237" s="113" t="s">
        <v>392</v>
      </c>
      <c r="D237" s="113" t="s">
        <v>393</v>
      </c>
      <c r="E237">
        <v>2737</v>
      </c>
      <c r="F237" s="113" t="s">
        <v>687</v>
      </c>
      <c r="G237" s="113" t="s">
        <v>394</v>
      </c>
      <c r="H237" s="113" t="s">
        <v>400</v>
      </c>
      <c r="I237" s="113">
        <v>193</v>
      </c>
      <c r="J237" s="113"/>
    </row>
    <row r="238" spans="1:10">
      <c r="A238" s="113" t="s">
        <v>684</v>
      </c>
      <c r="B238" s="113" t="s">
        <v>391</v>
      </c>
      <c r="C238" s="113" t="s">
        <v>401</v>
      </c>
      <c r="D238" s="113" t="s">
        <v>393</v>
      </c>
      <c r="E238">
        <v>3003</v>
      </c>
      <c r="F238" s="113" t="s">
        <v>1131</v>
      </c>
      <c r="G238" s="113" t="s">
        <v>394</v>
      </c>
      <c r="H238" s="113" t="s">
        <v>420</v>
      </c>
      <c r="I238" s="113" t="s">
        <v>663</v>
      </c>
      <c r="J238" s="113" t="s">
        <v>1012</v>
      </c>
    </row>
    <row r="239" spans="1:10">
      <c r="A239" s="113" t="s">
        <v>684</v>
      </c>
      <c r="B239" s="113" t="s">
        <v>391</v>
      </c>
      <c r="C239" s="113" t="s">
        <v>392</v>
      </c>
      <c r="D239" s="113" t="s">
        <v>393</v>
      </c>
      <c r="E239">
        <v>3167</v>
      </c>
      <c r="F239" s="113" t="s">
        <v>1132</v>
      </c>
      <c r="G239" s="113" t="s">
        <v>394</v>
      </c>
      <c r="H239" s="113" t="s">
        <v>400</v>
      </c>
      <c r="I239" s="113" t="s">
        <v>449</v>
      </c>
      <c r="J239" s="113" t="s">
        <v>1133</v>
      </c>
    </row>
    <row r="240" spans="1:10">
      <c r="A240" s="113" t="s">
        <v>684</v>
      </c>
      <c r="B240" s="113" t="s">
        <v>391</v>
      </c>
      <c r="C240" s="113" t="s">
        <v>392</v>
      </c>
      <c r="D240" s="113" t="s">
        <v>393</v>
      </c>
      <c r="E240">
        <v>3388</v>
      </c>
      <c r="F240" s="113" t="s">
        <v>1134</v>
      </c>
      <c r="G240" s="113" t="s">
        <v>394</v>
      </c>
      <c r="H240" s="113" t="s">
        <v>400</v>
      </c>
      <c r="I240" s="113">
        <v>190</v>
      </c>
      <c r="J240" s="113"/>
    </row>
    <row r="241" spans="1:10">
      <c r="A241" s="113" t="s">
        <v>684</v>
      </c>
      <c r="B241" s="113" t="s">
        <v>391</v>
      </c>
      <c r="C241" s="113" t="s">
        <v>392</v>
      </c>
      <c r="D241" s="113" t="s">
        <v>393</v>
      </c>
      <c r="E241">
        <v>3640</v>
      </c>
      <c r="F241" s="113" t="s">
        <v>1135</v>
      </c>
      <c r="G241" s="113" t="s">
        <v>394</v>
      </c>
      <c r="H241" s="113" t="s">
        <v>405</v>
      </c>
      <c r="I241" s="113">
        <v>128</v>
      </c>
      <c r="J241" s="113"/>
    </row>
    <row r="242" spans="1:10">
      <c r="A242" s="113" t="s">
        <v>684</v>
      </c>
      <c r="B242" s="113" t="s">
        <v>391</v>
      </c>
      <c r="C242" s="113" t="s">
        <v>392</v>
      </c>
      <c r="D242" s="113" t="s">
        <v>393</v>
      </c>
      <c r="E242">
        <v>8771</v>
      </c>
      <c r="F242" s="113" t="s">
        <v>688</v>
      </c>
      <c r="G242" s="113" t="s">
        <v>394</v>
      </c>
      <c r="H242" s="113" t="s">
        <v>466</v>
      </c>
      <c r="I242" s="113">
        <v>601</v>
      </c>
      <c r="J242" s="113"/>
    </row>
    <row r="243" spans="1:10">
      <c r="A243" s="113" t="s">
        <v>684</v>
      </c>
      <c r="B243" s="113" t="s">
        <v>391</v>
      </c>
      <c r="C243" s="113" t="s">
        <v>392</v>
      </c>
      <c r="D243" s="113" t="s">
        <v>393</v>
      </c>
      <c r="E243">
        <v>9020</v>
      </c>
      <c r="F243" s="113" t="s">
        <v>1136</v>
      </c>
      <c r="G243" s="113" t="s">
        <v>394</v>
      </c>
      <c r="H243" s="113" t="s">
        <v>683</v>
      </c>
      <c r="I243" s="113" t="s">
        <v>1137</v>
      </c>
      <c r="J243" s="113" t="s">
        <v>1138</v>
      </c>
    </row>
    <row r="244" spans="1:10">
      <c r="A244" s="113" t="s">
        <v>684</v>
      </c>
      <c r="B244" s="113" t="s">
        <v>391</v>
      </c>
      <c r="C244" s="113" t="s">
        <v>392</v>
      </c>
      <c r="D244" s="113" t="s">
        <v>393</v>
      </c>
      <c r="E244">
        <v>9037</v>
      </c>
      <c r="F244" s="113" t="s">
        <v>689</v>
      </c>
      <c r="G244" s="113" t="s">
        <v>394</v>
      </c>
      <c r="H244" s="113" t="s">
        <v>683</v>
      </c>
      <c r="I244" s="113">
        <v>671</v>
      </c>
      <c r="J244" s="113"/>
    </row>
    <row r="245" spans="1:10">
      <c r="A245" s="113" t="s">
        <v>684</v>
      </c>
      <c r="B245" s="113" t="s">
        <v>391</v>
      </c>
      <c r="C245" s="113" t="s">
        <v>392</v>
      </c>
      <c r="D245" s="113" t="s">
        <v>393</v>
      </c>
      <c r="E245">
        <v>9995</v>
      </c>
      <c r="F245" s="113" t="s">
        <v>690</v>
      </c>
      <c r="G245" s="113" t="s">
        <v>394</v>
      </c>
      <c r="H245" s="113" t="s">
        <v>400</v>
      </c>
      <c r="I245" s="113">
        <v>119</v>
      </c>
      <c r="J245" s="113"/>
    </row>
    <row r="246" spans="1:10">
      <c r="A246" s="113" t="s">
        <v>691</v>
      </c>
      <c r="B246" s="113" t="s">
        <v>614</v>
      </c>
      <c r="C246" s="113" t="s">
        <v>392</v>
      </c>
      <c r="D246" s="113" t="s">
        <v>393</v>
      </c>
      <c r="E246">
        <v>3433</v>
      </c>
      <c r="F246" s="113" t="s">
        <v>1139</v>
      </c>
      <c r="G246" s="113" t="s">
        <v>394</v>
      </c>
      <c r="H246" s="113" t="s">
        <v>409</v>
      </c>
      <c r="I246" s="113">
        <v>684</v>
      </c>
      <c r="J246" s="113"/>
    </row>
    <row r="247" spans="1:10">
      <c r="A247" s="113" t="s">
        <v>691</v>
      </c>
      <c r="B247" s="113" t="s">
        <v>391</v>
      </c>
      <c r="C247" s="113" t="s">
        <v>392</v>
      </c>
      <c r="D247" s="113" t="s">
        <v>393</v>
      </c>
      <c r="E247">
        <v>2175</v>
      </c>
      <c r="F247" s="113" t="s">
        <v>1016</v>
      </c>
      <c r="G247" s="113" t="s">
        <v>394</v>
      </c>
      <c r="H247" s="113" t="s">
        <v>399</v>
      </c>
      <c r="I247" s="113" t="s">
        <v>417</v>
      </c>
      <c r="J247" s="113" t="s">
        <v>1140</v>
      </c>
    </row>
    <row r="248" spans="1:10">
      <c r="A248" s="113" t="s">
        <v>691</v>
      </c>
      <c r="B248" s="113" t="s">
        <v>391</v>
      </c>
      <c r="C248" s="113" t="s">
        <v>392</v>
      </c>
      <c r="D248" s="113" t="s">
        <v>393</v>
      </c>
      <c r="E248">
        <v>2220</v>
      </c>
      <c r="F248" s="113" t="s">
        <v>1017</v>
      </c>
      <c r="G248" s="113" t="s">
        <v>394</v>
      </c>
      <c r="H248" s="113" t="s">
        <v>395</v>
      </c>
      <c r="I248" s="113" t="s">
        <v>449</v>
      </c>
      <c r="J248" s="113" t="s">
        <v>1141</v>
      </c>
    </row>
    <row r="249" spans="1:10">
      <c r="A249" s="113" t="s">
        <v>691</v>
      </c>
      <c r="B249" s="113" t="s">
        <v>391</v>
      </c>
      <c r="C249" s="113" t="s">
        <v>392</v>
      </c>
      <c r="D249" s="113" t="s">
        <v>393</v>
      </c>
      <c r="E249">
        <v>2331</v>
      </c>
      <c r="F249" s="113" t="s">
        <v>1018</v>
      </c>
      <c r="G249" s="113" t="s">
        <v>394</v>
      </c>
      <c r="H249" s="113" t="s">
        <v>399</v>
      </c>
      <c r="I249" s="113" t="s">
        <v>411</v>
      </c>
      <c r="J249" s="113" t="s">
        <v>1142</v>
      </c>
    </row>
    <row r="250" spans="1:10">
      <c r="A250" s="113" t="s">
        <v>691</v>
      </c>
      <c r="B250" s="113" t="s">
        <v>391</v>
      </c>
      <c r="C250" s="113" t="s">
        <v>392</v>
      </c>
      <c r="D250" s="113" t="s">
        <v>393</v>
      </c>
      <c r="E250">
        <v>2497</v>
      </c>
      <c r="F250" s="113" t="s">
        <v>1143</v>
      </c>
      <c r="G250" s="113" t="s">
        <v>406</v>
      </c>
      <c r="H250" s="113" t="s">
        <v>399</v>
      </c>
      <c r="I250">
        <v>347</v>
      </c>
    </row>
    <row r="251" spans="1:10">
      <c r="A251" s="113" t="s">
        <v>691</v>
      </c>
      <c r="B251" s="113" t="s">
        <v>391</v>
      </c>
      <c r="C251" s="113" t="s">
        <v>392</v>
      </c>
      <c r="D251" s="113" t="s">
        <v>393</v>
      </c>
      <c r="E251">
        <v>2715</v>
      </c>
      <c r="F251" s="113" t="s">
        <v>692</v>
      </c>
      <c r="G251" s="113" t="s">
        <v>394</v>
      </c>
      <c r="H251" s="113" t="s">
        <v>400</v>
      </c>
      <c r="I251">
        <v>452</v>
      </c>
    </row>
    <row r="252" spans="1:10">
      <c r="A252" s="113" t="s">
        <v>691</v>
      </c>
      <c r="B252" s="113" t="s">
        <v>391</v>
      </c>
      <c r="C252" s="113" t="s">
        <v>392</v>
      </c>
      <c r="D252" s="113" t="s">
        <v>397</v>
      </c>
      <c r="E252">
        <v>2892</v>
      </c>
      <c r="F252" s="113" t="s">
        <v>693</v>
      </c>
      <c r="G252" s="113" t="s">
        <v>402</v>
      </c>
      <c r="H252" s="113" t="s">
        <v>395</v>
      </c>
      <c r="I252">
        <v>85</v>
      </c>
    </row>
    <row r="253" spans="1:10">
      <c r="A253" s="113" t="s">
        <v>691</v>
      </c>
      <c r="B253" s="113" t="s">
        <v>391</v>
      </c>
      <c r="C253" s="113" t="s">
        <v>392</v>
      </c>
      <c r="D253" s="113" t="s">
        <v>393</v>
      </c>
      <c r="E253">
        <v>3023</v>
      </c>
      <c r="F253" s="113" t="s">
        <v>694</v>
      </c>
      <c r="G253" s="113" t="s">
        <v>394</v>
      </c>
      <c r="H253" s="113" t="s">
        <v>400</v>
      </c>
      <c r="I253" s="113">
        <v>114</v>
      </c>
      <c r="J253" s="113"/>
    </row>
    <row r="254" spans="1:10">
      <c r="A254" s="113" t="s">
        <v>691</v>
      </c>
      <c r="B254" s="113" t="s">
        <v>391</v>
      </c>
      <c r="C254" s="113" t="s">
        <v>392</v>
      </c>
      <c r="D254" s="113" t="s">
        <v>393</v>
      </c>
      <c r="E254">
        <v>3092</v>
      </c>
      <c r="F254" s="113" t="s">
        <v>1144</v>
      </c>
      <c r="G254" s="113" t="s">
        <v>394</v>
      </c>
      <c r="H254" s="113" t="s">
        <v>404</v>
      </c>
      <c r="I254" s="113" t="s">
        <v>604</v>
      </c>
      <c r="J254" s="113" t="s">
        <v>1145</v>
      </c>
    </row>
    <row r="255" spans="1:10">
      <c r="A255" s="113" t="s">
        <v>691</v>
      </c>
      <c r="B255" s="113" t="s">
        <v>391</v>
      </c>
      <c r="C255" s="113" t="s">
        <v>392</v>
      </c>
      <c r="D255" s="113" t="s">
        <v>393</v>
      </c>
      <c r="E255">
        <v>3098</v>
      </c>
      <c r="F255" s="113" t="s">
        <v>1146</v>
      </c>
      <c r="G255" s="113" t="s">
        <v>394</v>
      </c>
      <c r="H255" s="113" t="s">
        <v>404</v>
      </c>
      <c r="I255" s="113" t="s">
        <v>449</v>
      </c>
      <c r="J255" s="113" t="s">
        <v>1147</v>
      </c>
    </row>
    <row r="256" spans="1:10">
      <c r="A256" s="113" t="s">
        <v>691</v>
      </c>
      <c r="B256" s="113" t="s">
        <v>391</v>
      </c>
      <c r="C256" s="113" t="s">
        <v>392</v>
      </c>
      <c r="D256" s="113" t="s">
        <v>397</v>
      </c>
      <c r="E256">
        <v>3137</v>
      </c>
      <c r="F256" s="113" t="s">
        <v>1148</v>
      </c>
      <c r="G256" s="113" t="s">
        <v>406</v>
      </c>
      <c r="H256" s="113" t="s">
        <v>404</v>
      </c>
      <c r="I256" s="113">
        <v>74</v>
      </c>
      <c r="J256" s="113"/>
    </row>
    <row r="257" spans="1:10">
      <c r="A257" s="113" t="s">
        <v>691</v>
      </c>
      <c r="B257" s="113" t="s">
        <v>391</v>
      </c>
      <c r="C257" s="113" t="s">
        <v>392</v>
      </c>
      <c r="D257" s="113" t="s">
        <v>393</v>
      </c>
      <c r="E257">
        <v>3513</v>
      </c>
      <c r="F257" s="113" t="s">
        <v>1149</v>
      </c>
      <c r="G257" s="113" t="s">
        <v>394</v>
      </c>
      <c r="H257" s="113" t="s">
        <v>460</v>
      </c>
      <c r="I257">
        <v>73</v>
      </c>
    </row>
    <row r="258" spans="1:10">
      <c r="A258" s="113" t="s">
        <v>691</v>
      </c>
      <c r="B258" s="113" t="s">
        <v>391</v>
      </c>
      <c r="C258" s="113" t="s">
        <v>392</v>
      </c>
      <c r="D258" s="113" t="s">
        <v>393</v>
      </c>
      <c r="E258">
        <v>3591</v>
      </c>
      <c r="F258" s="113" t="s">
        <v>1150</v>
      </c>
      <c r="G258" s="113" t="s">
        <v>394</v>
      </c>
      <c r="H258" s="113" t="s">
        <v>460</v>
      </c>
      <c r="I258" s="113" t="s">
        <v>417</v>
      </c>
      <c r="J258" s="113" t="s">
        <v>1151</v>
      </c>
    </row>
    <row r="259" spans="1:10">
      <c r="A259" s="113" t="s">
        <v>691</v>
      </c>
      <c r="B259" s="113" t="s">
        <v>391</v>
      </c>
      <c r="C259" s="113" t="s">
        <v>392</v>
      </c>
      <c r="D259" s="113" t="s">
        <v>393</v>
      </c>
      <c r="E259">
        <v>3666</v>
      </c>
      <c r="F259" s="113" t="s">
        <v>1152</v>
      </c>
      <c r="G259" s="113" t="s">
        <v>394</v>
      </c>
      <c r="H259" s="113" t="s">
        <v>405</v>
      </c>
      <c r="I259">
        <v>105</v>
      </c>
    </row>
    <row r="260" spans="1:10">
      <c r="A260" s="113" t="s">
        <v>691</v>
      </c>
      <c r="B260" s="113" t="s">
        <v>391</v>
      </c>
      <c r="C260" s="113" t="s">
        <v>392</v>
      </c>
      <c r="D260" s="113" t="s">
        <v>393</v>
      </c>
      <c r="E260">
        <v>3762</v>
      </c>
      <c r="F260" s="113" t="s">
        <v>695</v>
      </c>
      <c r="G260" s="113" t="s">
        <v>394</v>
      </c>
      <c r="H260" s="113" t="s">
        <v>405</v>
      </c>
      <c r="I260" s="113">
        <v>530</v>
      </c>
      <c r="J260" s="113"/>
    </row>
    <row r="261" spans="1:10">
      <c r="A261" s="113" t="s">
        <v>691</v>
      </c>
      <c r="B261" s="113" t="s">
        <v>391</v>
      </c>
      <c r="C261" s="113" t="s">
        <v>392</v>
      </c>
      <c r="D261" s="113" t="s">
        <v>397</v>
      </c>
      <c r="E261">
        <v>3841</v>
      </c>
      <c r="F261" s="113" t="s">
        <v>696</v>
      </c>
      <c r="G261" s="113" t="s">
        <v>398</v>
      </c>
      <c r="H261" s="113" t="s">
        <v>405</v>
      </c>
      <c r="I261" s="113">
        <v>22</v>
      </c>
      <c r="J261" s="113"/>
    </row>
    <row r="262" spans="1:10">
      <c r="A262" s="113" t="s">
        <v>691</v>
      </c>
      <c r="B262" s="113" t="s">
        <v>391</v>
      </c>
      <c r="C262" s="113" t="s">
        <v>392</v>
      </c>
      <c r="D262" s="113" t="s">
        <v>393</v>
      </c>
      <c r="E262">
        <v>4310</v>
      </c>
      <c r="F262" s="113" t="s">
        <v>697</v>
      </c>
      <c r="G262" s="113" t="s">
        <v>394</v>
      </c>
      <c r="H262" s="113" t="s">
        <v>399</v>
      </c>
      <c r="I262" s="113">
        <v>173</v>
      </c>
      <c r="J262" s="113"/>
    </row>
    <row r="263" spans="1:10">
      <c r="A263" s="113" t="s">
        <v>691</v>
      </c>
      <c r="B263" s="113" t="s">
        <v>391</v>
      </c>
      <c r="C263" s="113" t="s">
        <v>392</v>
      </c>
      <c r="D263" s="113" t="s">
        <v>393</v>
      </c>
      <c r="E263">
        <v>4368</v>
      </c>
      <c r="F263" s="113" t="s">
        <v>698</v>
      </c>
      <c r="G263" s="113" t="s">
        <v>394</v>
      </c>
      <c r="H263" s="113" t="s">
        <v>407</v>
      </c>
      <c r="I263" s="113" t="s">
        <v>449</v>
      </c>
      <c r="J263" s="113" t="s">
        <v>1153</v>
      </c>
    </row>
    <row r="264" spans="1:10">
      <c r="A264" s="113" t="s">
        <v>691</v>
      </c>
      <c r="B264" s="113" t="s">
        <v>391</v>
      </c>
      <c r="C264" s="113" t="s">
        <v>392</v>
      </c>
      <c r="D264" s="113" t="s">
        <v>393</v>
      </c>
      <c r="E264">
        <v>4816</v>
      </c>
      <c r="F264" s="113" t="s">
        <v>1154</v>
      </c>
      <c r="G264" s="113" t="s">
        <v>398</v>
      </c>
      <c r="H264" s="113" t="s">
        <v>405</v>
      </c>
      <c r="I264" s="113" t="s">
        <v>417</v>
      </c>
      <c r="J264" s="113" t="s">
        <v>1023</v>
      </c>
    </row>
    <row r="265" spans="1:10">
      <c r="A265" s="113" t="s">
        <v>691</v>
      </c>
      <c r="B265" s="113" t="s">
        <v>391</v>
      </c>
      <c r="C265" s="113" t="s">
        <v>392</v>
      </c>
      <c r="D265" s="113" t="s">
        <v>393</v>
      </c>
      <c r="E265">
        <v>5332</v>
      </c>
      <c r="F265" s="113" t="s">
        <v>1155</v>
      </c>
      <c r="G265" s="113" t="s">
        <v>394</v>
      </c>
      <c r="H265" s="113" t="s">
        <v>502</v>
      </c>
      <c r="I265" s="113" t="s">
        <v>663</v>
      </c>
      <c r="J265" s="113" t="s">
        <v>1048</v>
      </c>
    </row>
    <row r="266" spans="1:10">
      <c r="A266" s="113" t="s">
        <v>691</v>
      </c>
      <c r="B266" s="113" t="s">
        <v>391</v>
      </c>
      <c r="C266" s="113" t="s">
        <v>392</v>
      </c>
      <c r="D266" s="113" t="s">
        <v>393</v>
      </c>
      <c r="E266">
        <v>5727</v>
      </c>
      <c r="F266" s="113" t="s">
        <v>699</v>
      </c>
      <c r="G266" s="113" t="s">
        <v>394</v>
      </c>
      <c r="H266" s="113" t="s">
        <v>700</v>
      </c>
      <c r="I266" s="113">
        <v>682</v>
      </c>
      <c r="J266" s="113"/>
    </row>
    <row r="267" spans="1:10">
      <c r="A267" s="113" t="s">
        <v>691</v>
      </c>
      <c r="B267" s="113" t="s">
        <v>391</v>
      </c>
      <c r="C267" s="113" t="s">
        <v>403</v>
      </c>
      <c r="D267" s="113" t="s">
        <v>393</v>
      </c>
      <c r="E267">
        <v>6028</v>
      </c>
      <c r="F267" s="113" t="s">
        <v>1019</v>
      </c>
      <c r="G267" s="113" t="s">
        <v>394</v>
      </c>
      <c r="H267" s="113" t="s">
        <v>399</v>
      </c>
      <c r="I267" s="113" t="s">
        <v>417</v>
      </c>
      <c r="J267" s="113" t="s">
        <v>1156</v>
      </c>
    </row>
    <row r="268" spans="1:10">
      <c r="A268" s="113" t="s">
        <v>691</v>
      </c>
      <c r="B268" s="113" t="s">
        <v>391</v>
      </c>
      <c r="C268" s="113" t="s">
        <v>392</v>
      </c>
      <c r="D268" s="113" t="s">
        <v>393</v>
      </c>
      <c r="E268">
        <v>6322</v>
      </c>
      <c r="F268" s="113" t="s">
        <v>701</v>
      </c>
      <c r="G268" s="113" t="s">
        <v>402</v>
      </c>
      <c r="H268" s="113" t="s">
        <v>415</v>
      </c>
      <c r="I268" s="113">
        <v>127</v>
      </c>
      <c r="J268" s="113"/>
    </row>
    <row r="269" spans="1:10">
      <c r="A269" s="113" t="s">
        <v>691</v>
      </c>
      <c r="B269" s="113" t="s">
        <v>391</v>
      </c>
      <c r="C269" s="113" t="s">
        <v>392</v>
      </c>
      <c r="D269" s="113" t="s">
        <v>393</v>
      </c>
      <c r="E269">
        <v>6659</v>
      </c>
      <c r="F269" s="113" t="s">
        <v>702</v>
      </c>
      <c r="G269" s="113" t="s">
        <v>398</v>
      </c>
      <c r="H269" s="113" t="s">
        <v>419</v>
      </c>
      <c r="I269">
        <v>18</v>
      </c>
    </row>
    <row r="270" spans="1:10">
      <c r="A270" s="113" t="s">
        <v>691</v>
      </c>
      <c r="B270" s="113" t="s">
        <v>391</v>
      </c>
      <c r="C270" s="113" t="s">
        <v>392</v>
      </c>
      <c r="D270" s="113" t="s">
        <v>393</v>
      </c>
      <c r="E270">
        <v>6925</v>
      </c>
      <c r="F270" s="113" t="s">
        <v>703</v>
      </c>
      <c r="G270" s="113" t="s">
        <v>394</v>
      </c>
      <c r="H270" s="113" t="s">
        <v>419</v>
      </c>
      <c r="I270" s="113" t="s">
        <v>417</v>
      </c>
      <c r="J270" s="113" t="s">
        <v>1157</v>
      </c>
    </row>
    <row r="271" spans="1:10">
      <c r="A271" s="113" t="s">
        <v>691</v>
      </c>
      <c r="B271" s="113" t="s">
        <v>391</v>
      </c>
      <c r="C271" s="113" t="s">
        <v>392</v>
      </c>
      <c r="D271" s="113" t="s">
        <v>393</v>
      </c>
      <c r="E271">
        <v>7282</v>
      </c>
      <c r="F271" s="113" t="s">
        <v>704</v>
      </c>
      <c r="G271" s="113" t="s">
        <v>394</v>
      </c>
      <c r="H271" s="113" t="s">
        <v>445</v>
      </c>
      <c r="I271" s="113" t="s">
        <v>634</v>
      </c>
      <c r="J271" s="113" t="s">
        <v>1158</v>
      </c>
    </row>
    <row r="272" spans="1:10">
      <c r="A272" s="113" t="s">
        <v>691</v>
      </c>
      <c r="B272" s="113" t="s">
        <v>391</v>
      </c>
      <c r="C272" s="113" t="s">
        <v>392</v>
      </c>
      <c r="D272" s="113" t="s">
        <v>393</v>
      </c>
      <c r="E272">
        <v>7510</v>
      </c>
      <c r="F272" s="113" t="s">
        <v>705</v>
      </c>
      <c r="G272" s="113" t="s">
        <v>394</v>
      </c>
      <c r="H272" s="113" t="s">
        <v>400</v>
      </c>
      <c r="I272" s="113">
        <v>212</v>
      </c>
      <c r="J272" s="113"/>
    </row>
    <row r="273" spans="1:10">
      <c r="A273" s="113" t="s">
        <v>691</v>
      </c>
      <c r="B273" s="113" t="s">
        <v>391</v>
      </c>
      <c r="C273" s="113" t="s">
        <v>392</v>
      </c>
      <c r="D273" s="113" t="s">
        <v>393</v>
      </c>
      <c r="E273">
        <v>7600</v>
      </c>
      <c r="F273" s="113" t="s">
        <v>706</v>
      </c>
      <c r="G273" s="113" t="s">
        <v>394</v>
      </c>
      <c r="H273" s="113" t="s">
        <v>661</v>
      </c>
      <c r="I273" s="113">
        <v>616</v>
      </c>
      <c r="J273" s="113"/>
    </row>
    <row r="274" spans="1:10">
      <c r="A274" s="113" t="s">
        <v>691</v>
      </c>
      <c r="B274" s="113" t="s">
        <v>391</v>
      </c>
      <c r="C274" s="113" t="s">
        <v>392</v>
      </c>
      <c r="D274" s="113" t="s">
        <v>393</v>
      </c>
      <c r="E274">
        <v>7838</v>
      </c>
      <c r="F274" s="113" t="s">
        <v>707</v>
      </c>
      <c r="G274" s="113" t="s">
        <v>394</v>
      </c>
      <c r="H274" s="113" t="s">
        <v>416</v>
      </c>
      <c r="I274">
        <v>79</v>
      </c>
    </row>
    <row r="275" spans="1:10">
      <c r="A275" s="113" t="s">
        <v>691</v>
      </c>
      <c r="B275" s="113" t="s">
        <v>391</v>
      </c>
      <c r="C275" s="113" t="s">
        <v>392</v>
      </c>
      <c r="D275" s="113" t="s">
        <v>393</v>
      </c>
      <c r="E275">
        <v>7925</v>
      </c>
      <c r="F275" s="113" t="s">
        <v>708</v>
      </c>
      <c r="G275" s="113" t="s">
        <v>394</v>
      </c>
      <c r="H275" s="113" t="s">
        <v>407</v>
      </c>
      <c r="I275" s="113">
        <v>187</v>
      </c>
      <c r="J275" s="113"/>
    </row>
    <row r="276" spans="1:10">
      <c r="A276" s="113" t="s">
        <v>691</v>
      </c>
      <c r="B276" s="113" t="s">
        <v>391</v>
      </c>
      <c r="C276" s="113" t="s">
        <v>392</v>
      </c>
      <c r="D276" s="113" t="s">
        <v>393</v>
      </c>
      <c r="E276">
        <v>8806</v>
      </c>
      <c r="F276" s="113" t="s">
        <v>709</v>
      </c>
      <c r="G276" s="113" t="s">
        <v>394</v>
      </c>
      <c r="H276" s="113" t="s">
        <v>420</v>
      </c>
      <c r="I276" s="113" t="s">
        <v>449</v>
      </c>
      <c r="J276" s="113" t="s">
        <v>807</v>
      </c>
    </row>
    <row r="277" spans="1:10">
      <c r="A277" s="113" t="s">
        <v>710</v>
      </c>
      <c r="B277" s="113" t="s">
        <v>391</v>
      </c>
      <c r="C277" s="113" t="s">
        <v>392</v>
      </c>
      <c r="D277" s="113" t="s">
        <v>397</v>
      </c>
      <c r="E277">
        <v>1379</v>
      </c>
      <c r="F277" s="113" t="s">
        <v>711</v>
      </c>
      <c r="G277" s="113" t="s">
        <v>394</v>
      </c>
      <c r="H277" s="113" t="s">
        <v>534</v>
      </c>
      <c r="I277" s="113">
        <v>664</v>
      </c>
      <c r="J277" s="113"/>
    </row>
    <row r="278" spans="1:10">
      <c r="A278" s="113" t="s">
        <v>710</v>
      </c>
      <c r="B278" s="113" t="s">
        <v>391</v>
      </c>
      <c r="C278" s="113" t="s">
        <v>392</v>
      </c>
      <c r="D278" s="113" t="s">
        <v>393</v>
      </c>
      <c r="E278">
        <v>2676</v>
      </c>
      <c r="F278" s="113" t="s">
        <v>1159</v>
      </c>
      <c r="G278" s="113" t="s">
        <v>394</v>
      </c>
      <c r="H278" s="113" t="s">
        <v>400</v>
      </c>
      <c r="I278">
        <v>111</v>
      </c>
    </row>
    <row r="279" spans="1:10">
      <c r="A279" s="113" t="s">
        <v>710</v>
      </c>
      <c r="B279" s="113" t="s">
        <v>391</v>
      </c>
      <c r="C279" s="113" t="s">
        <v>392</v>
      </c>
      <c r="D279" s="113" t="s">
        <v>393</v>
      </c>
      <c r="E279">
        <v>2907</v>
      </c>
      <c r="F279" s="113" t="s">
        <v>712</v>
      </c>
      <c r="G279" s="113" t="s">
        <v>402</v>
      </c>
      <c r="H279" s="113" t="s">
        <v>395</v>
      </c>
      <c r="I279">
        <v>63</v>
      </c>
    </row>
    <row r="280" spans="1:10">
      <c r="A280" s="113" t="s">
        <v>710</v>
      </c>
      <c r="B280" s="113" t="s">
        <v>391</v>
      </c>
      <c r="C280" s="113" t="s">
        <v>392</v>
      </c>
      <c r="D280" s="113" t="s">
        <v>393</v>
      </c>
      <c r="E280">
        <v>3024</v>
      </c>
      <c r="F280" s="113" t="s">
        <v>1160</v>
      </c>
      <c r="G280" s="113" t="s">
        <v>398</v>
      </c>
      <c r="H280" s="113" t="s">
        <v>400</v>
      </c>
      <c r="I280" s="113">
        <v>28</v>
      </c>
      <c r="J280" s="113"/>
    </row>
    <row r="281" spans="1:10">
      <c r="A281" s="113" t="s">
        <v>710</v>
      </c>
      <c r="B281" s="113" t="s">
        <v>391</v>
      </c>
      <c r="C281" s="113" t="s">
        <v>392</v>
      </c>
      <c r="D281" s="113" t="s">
        <v>397</v>
      </c>
      <c r="E281">
        <v>3484</v>
      </c>
      <c r="F281" s="113" t="s">
        <v>1161</v>
      </c>
      <c r="G281" s="113" t="s">
        <v>394</v>
      </c>
      <c r="H281" s="113" t="s">
        <v>420</v>
      </c>
      <c r="I281" s="113">
        <v>195</v>
      </c>
      <c r="J281" s="113"/>
    </row>
    <row r="282" spans="1:10">
      <c r="A282" s="113" t="s">
        <v>710</v>
      </c>
      <c r="B282" s="113" t="s">
        <v>391</v>
      </c>
      <c r="C282" s="113" t="s">
        <v>392</v>
      </c>
      <c r="D282" s="113" t="s">
        <v>393</v>
      </c>
      <c r="E282">
        <v>3612</v>
      </c>
      <c r="F282" s="113" t="s">
        <v>713</v>
      </c>
      <c r="G282" s="113" t="s">
        <v>394</v>
      </c>
      <c r="H282" s="113" t="s">
        <v>460</v>
      </c>
      <c r="I282">
        <v>960</v>
      </c>
    </row>
    <row r="283" spans="1:10">
      <c r="A283" s="113" t="s">
        <v>710</v>
      </c>
      <c r="B283" s="113" t="s">
        <v>391</v>
      </c>
      <c r="C283" s="113" t="s">
        <v>392</v>
      </c>
      <c r="D283" s="113" t="s">
        <v>393</v>
      </c>
      <c r="E283">
        <v>4521</v>
      </c>
      <c r="F283" s="113" t="s">
        <v>1162</v>
      </c>
      <c r="G283" s="113" t="s">
        <v>394</v>
      </c>
      <c r="H283" s="113" t="s">
        <v>516</v>
      </c>
      <c r="I283" s="113" t="s">
        <v>417</v>
      </c>
      <c r="J283" s="113" t="s">
        <v>1163</v>
      </c>
    </row>
    <row r="284" spans="1:10">
      <c r="A284" s="113" t="s">
        <v>710</v>
      </c>
      <c r="B284" s="113" t="s">
        <v>391</v>
      </c>
      <c r="C284" s="113" t="s">
        <v>403</v>
      </c>
      <c r="D284" s="113" t="s">
        <v>393</v>
      </c>
      <c r="E284">
        <v>6920</v>
      </c>
      <c r="F284" s="113" t="s">
        <v>1021</v>
      </c>
      <c r="G284" s="113" t="s">
        <v>394</v>
      </c>
      <c r="H284" s="113" t="s">
        <v>419</v>
      </c>
      <c r="I284" s="113" t="s">
        <v>545</v>
      </c>
      <c r="J284" s="113" t="s">
        <v>1164</v>
      </c>
    </row>
    <row r="285" spans="1:10">
      <c r="A285" s="113" t="s">
        <v>710</v>
      </c>
      <c r="B285" s="113" t="s">
        <v>391</v>
      </c>
      <c r="C285" s="113" t="s">
        <v>392</v>
      </c>
      <c r="D285" s="113" t="s">
        <v>397</v>
      </c>
      <c r="E285">
        <v>7506</v>
      </c>
      <c r="F285" s="113" t="s">
        <v>714</v>
      </c>
      <c r="G285" s="113" t="s">
        <v>394</v>
      </c>
      <c r="H285" s="113" t="s">
        <v>404</v>
      </c>
      <c r="I285" s="113">
        <v>78</v>
      </c>
      <c r="J285" s="113"/>
    </row>
    <row r="286" spans="1:10">
      <c r="A286" s="113" t="s">
        <v>710</v>
      </c>
      <c r="B286" s="113" t="s">
        <v>391</v>
      </c>
      <c r="C286" s="113" t="s">
        <v>392</v>
      </c>
      <c r="D286" s="113" t="s">
        <v>393</v>
      </c>
      <c r="E286">
        <v>7859</v>
      </c>
      <c r="F286" s="113" t="s">
        <v>715</v>
      </c>
      <c r="G286" s="113" t="s">
        <v>402</v>
      </c>
      <c r="H286" s="113" t="s">
        <v>416</v>
      </c>
      <c r="I286">
        <v>25</v>
      </c>
    </row>
    <row r="287" spans="1:10">
      <c r="A287" s="113" t="s">
        <v>710</v>
      </c>
      <c r="B287" s="113" t="s">
        <v>391</v>
      </c>
      <c r="C287" s="113" t="s">
        <v>392</v>
      </c>
      <c r="D287" s="113" t="s">
        <v>393</v>
      </c>
      <c r="E287">
        <v>9008</v>
      </c>
      <c r="F287" s="113" t="s">
        <v>1165</v>
      </c>
      <c r="G287" s="113" t="s">
        <v>394</v>
      </c>
      <c r="H287" s="113" t="s">
        <v>683</v>
      </c>
      <c r="I287" s="113" t="s">
        <v>663</v>
      </c>
      <c r="J287" s="113" t="s">
        <v>1166</v>
      </c>
    </row>
    <row r="288" spans="1:10">
      <c r="A288" s="113" t="s">
        <v>716</v>
      </c>
      <c r="B288" s="113" t="s">
        <v>614</v>
      </c>
      <c r="C288" s="113" t="s">
        <v>392</v>
      </c>
      <c r="D288" s="113" t="s">
        <v>393</v>
      </c>
      <c r="E288">
        <v>2607</v>
      </c>
      <c r="F288" s="113" t="s">
        <v>1167</v>
      </c>
      <c r="G288" s="113" t="s">
        <v>394</v>
      </c>
      <c r="H288" s="113" t="s">
        <v>395</v>
      </c>
      <c r="I288" s="113" t="s">
        <v>417</v>
      </c>
      <c r="J288" s="113" t="s">
        <v>1010</v>
      </c>
    </row>
    <row r="289" spans="1:10">
      <c r="A289" s="113" t="s">
        <v>716</v>
      </c>
      <c r="B289" s="113" t="s">
        <v>614</v>
      </c>
      <c r="C289" s="113" t="s">
        <v>392</v>
      </c>
      <c r="D289" s="113" t="s">
        <v>393</v>
      </c>
      <c r="E289">
        <v>4502</v>
      </c>
      <c r="F289" s="113" t="s">
        <v>717</v>
      </c>
      <c r="G289" s="113" t="s">
        <v>394</v>
      </c>
      <c r="H289" s="113" t="s">
        <v>516</v>
      </c>
      <c r="I289" s="113" t="s">
        <v>1168</v>
      </c>
      <c r="J289" s="113" t="s">
        <v>1169</v>
      </c>
    </row>
    <row r="290" spans="1:10">
      <c r="A290" s="113" t="s">
        <v>716</v>
      </c>
      <c r="B290" s="113" t="s">
        <v>391</v>
      </c>
      <c r="C290" s="113" t="s">
        <v>392</v>
      </c>
      <c r="D290" s="113" t="s">
        <v>393</v>
      </c>
      <c r="E290">
        <v>2117</v>
      </c>
      <c r="F290" s="113" t="s">
        <v>1022</v>
      </c>
      <c r="G290" s="113" t="s">
        <v>394</v>
      </c>
      <c r="H290" s="113" t="s">
        <v>395</v>
      </c>
      <c r="I290" s="113">
        <v>458</v>
      </c>
      <c r="J290" s="113"/>
    </row>
    <row r="291" spans="1:10">
      <c r="A291" s="113" t="s">
        <v>716</v>
      </c>
      <c r="B291" s="113" t="s">
        <v>391</v>
      </c>
      <c r="C291" s="113" t="s">
        <v>401</v>
      </c>
      <c r="D291" s="113" t="s">
        <v>397</v>
      </c>
      <c r="E291">
        <v>2268</v>
      </c>
      <c r="F291" s="113" t="s">
        <v>718</v>
      </c>
      <c r="G291" s="113" t="s">
        <v>398</v>
      </c>
      <c r="H291" s="113" t="s">
        <v>395</v>
      </c>
      <c r="I291" s="113">
        <v>388</v>
      </c>
      <c r="J291" s="113"/>
    </row>
    <row r="292" spans="1:10">
      <c r="A292" s="113" t="s">
        <v>716</v>
      </c>
      <c r="B292" s="113" t="s">
        <v>391</v>
      </c>
      <c r="C292" s="113" t="s">
        <v>403</v>
      </c>
      <c r="D292" s="113" t="s">
        <v>397</v>
      </c>
      <c r="E292">
        <v>2428</v>
      </c>
      <c r="F292" s="113" t="s">
        <v>1170</v>
      </c>
      <c r="G292" s="113" t="s">
        <v>394</v>
      </c>
      <c r="H292" s="113" t="s">
        <v>399</v>
      </c>
      <c r="I292" s="113">
        <v>159</v>
      </c>
      <c r="J292" s="113"/>
    </row>
    <row r="293" spans="1:10">
      <c r="A293" s="113" t="s">
        <v>716</v>
      </c>
      <c r="B293" s="113" t="s">
        <v>391</v>
      </c>
      <c r="C293" s="113" t="s">
        <v>392</v>
      </c>
      <c r="D293" s="113" t="s">
        <v>393</v>
      </c>
      <c r="E293">
        <v>2871</v>
      </c>
      <c r="F293" s="113" t="s">
        <v>1171</v>
      </c>
      <c r="G293" s="113" t="s">
        <v>394</v>
      </c>
      <c r="H293" s="113" t="s">
        <v>395</v>
      </c>
      <c r="I293" s="113" t="s">
        <v>634</v>
      </c>
      <c r="J293" s="113" t="s">
        <v>1164</v>
      </c>
    </row>
    <row r="294" spans="1:10">
      <c r="A294" s="113" t="s">
        <v>716</v>
      </c>
      <c r="B294" s="113" t="s">
        <v>391</v>
      </c>
      <c r="C294" s="113" t="s">
        <v>392</v>
      </c>
      <c r="D294" s="113" t="s">
        <v>393</v>
      </c>
      <c r="E294">
        <v>6151</v>
      </c>
      <c r="F294" s="113" t="s">
        <v>719</v>
      </c>
      <c r="G294" s="113" t="s">
        <v>394</v>
      </c>
      <c r="H294" s="113" t="s">
        <v>415</v>
      </c>
      <c r="I294">
        <v>473</v>
      </c>
    </row>
    <row r="295" spans="1:10">
      <c r="A295" s="113" t="s">
        <v>716</v>
      </c>
      <c r="B295" s="113" t="s">
        <v>391</v>
      </c>
      <c r="C295" s="113" t="s">
        <v>392</v>
      </c>
      <c r="D295" s="113" t="s">
        <v>393</v>
      </c>
      <c r="E295">
        <v>7419</v>
      </c>
      <c r="F295" s="113" t="s">
        <v>720</v>
      </c>
      <c r="G295" s="113" t="s">
        <v>394</v>
      </c>
      <c r="H295" s="113" t="s">
        <v>404</v>
      </c>
      <c r="I295" s="113" t="s">
        <v>449</v>
      </c>
      <c r="J295" s="113" t="s">
        <v>1172</v>
      </c>
    </row>
    <row r="296" spans="1:10">
      <c r="A296" s="113" t="s">
        <v>716</v>
      </c>
      <c r="B296" s="113" t="s">
        <v>391</v>
      </c>
      <c r="C296" s="113" t="s">
        <v>403</v>
      </c>
      <c r="D296" s="113" t="s">
        <v>393</v>
      </c>
      <c r="E296">
        <v>8945</v>
      </c>
      <c r="F296" s="113" t="s">
        <v>1024</v>
      </c>
      <c r="G296" s="113" t="s">
        <v>394</v>
      </c>
      <c r="H296" s="113" t="s">
        <v>420</v>
      </c>
      <c r="I296">
        <v>130</v>
      </c>
    </row>
    <row r="297" spans="1:10">
      <c r="A297" s="113" t="s">
        <v>721</v>
      </c>
      <c r="B297" s="113" t="s">
        <v>391</v>
      </c>
      <c r="C297" s="113" t="s">
        <v>392</v>
      </c>
      <c r="D297" s="113" t="s">
        <v>393</v>
      </c>
      <c r="E297">
        <v>2130</v>
      </c>
      <c r="F297" s="113" t="s">
        <v>722</v>
      </c>
      <c r="G297" s="113" t="s">
        <v>394</v>
      </c>
      <c r="H297" s="113" t="s">
        <v>399</v>
      </c>
      <c r="I297" s="113">
        <v>307</v>
      </c>
      <c r="J297" s="113"/>
    </row>
    <row r="298" spans="1:10">
      <c r="A298" s="113" t="s">
        <v>721</v>
      </c>
      <c r="B298" s="113" t="s">
        <v>391</v>
      </c>
      <c r="C298" s="113" t="s">
        <v>392</v>
      </c>
      <c r="D298" s="113" t="s">
        <v>397</v>
      </c>
      <c r="E298">
        <v>3464</v>
      </c>
      <c r="F298" s="113" t="s">
        <v>881</v>
      </c>
      <c r="G298" s="113" t="s">
        <v>394</v>
      </c>
      <c r="H298" s="113" t="s">
        <v>420</v>
      </c>
      <c r="I298" s="113">
        <v>83</v>
      </c>
      <c r="J298" s="113"/>
    </row>
    <row r="299" spans="1:10">
      <c r="A299" s="113" t="s">
        <v>721</v>
      </c>
      <c r="B299" s="113" t="s">
        <v>391</v>
      </c>
      <c r="C299" s="113" t="s">
        <v>392</v>
      </c>
      <c r="D299" s="113" t="s">
        <v>397</v>
      </c>
      <c r="E299">
        <v>6678</v>
      </c>
      <c r="F299" s="113" t="s">
        <v>723</v>
      </c>
      <c r="G299" s="113" t="s">
        <v>394</v>
      </c>
      <c r="H299" s="113" t="s">
        <v>419</v>
      </c>
      <c r="I299" s="113">
        <v>182</v>
      </c>
      <c r="J299" s="113"/>
    </row>
    <row r="300" spans="1:10">
      <c r="A300" s="113" t="s">
        <v>721</v>
      </c>
      <c r="B300" s="113" t="s">
        <v>391</v>
      </c>
      <c r="C300" s="113" t="s">
        <v>392</v>
      </c>
      <c r="D300" s="113" t="s">
        <v>393</v>
      </c>
      <c r="E300">
        <v>6875</v>
      </c>
      <c r="F300" s="113" t="s">
        <v>724</v>
      </c>
      <c r="G300" s="113" t="s">
        <v>394</v>
      </c>
      <c r="H300" s="113" t="s">
        <v>419</v>
      </c>
      <c r="I300">
        <v>555</v>
      </c>
    </row>
    <row r="301" spans="1:10">
      <c r="A301" s="113" t="s">
        <v>721</v>
      </c>
      <c r="B301" s="113" t="s">
        <v>391</v>
      </c>
      <c r="C301" s="113" t="s">
        <v>403</v>
      </c>
      <c r="D301" s="113" t="s">
        <v>393</v>
      </c>
      <c r="E301">
        <v>7532</v>
      </c>
      <c r="F301" s="113" t="s">
        <v>1025</v>
      </c>
      <c r="G301" s="113" t="s">
        <v>394</v>
      </c>
      <c r="H301" s="113" t="s">
        <v>404</v>
      </c>
      <c r="I301" s="113" t="s">
        <v>821</v>
      </c>
      <c r="J301" s="113" t="s">
        <v>1173</v>
      </c>
    </row>
    <row r="302" spans="1:10">
      <c r="A302" s="113" t="s">
        <v>725</v>
      </c>
      <c r="B302" s="113" t="s">
        <v>614</v>
      </c>
      <c r="C302" s="113" t="s">
        <v>401</v>
      </c>
      <c r="D302" s="113" t="s">
        <v>393</v>
      </c>
      <c r="E302">
        <v>2914</v>
      </c>
      <c r="F302" s="113" t="s">
        <v>1026</v>
      </c>
      <c r="G302" s="113" t="s">
        <v>394</v>
      </c>
      <c r="H302" s="113" t="s">
        <v>395</v>
      </c>
      <c r="I302" s="113" t="s">
        <v>1174</v>
      </c>
      <c r="J302" s="113" t="s">
        <v>1175</v>
      </c>
    </row>
    <row r="303" spans="1:10">
      <c r="A303" s="113" t="s">
        <v>725</v>
      </c>
      <c r="B303" s="113" t="s">
        <v>614</v>
      </c>
      <c r="C303" s="113" t="s">
        <v>403</v>
      </c>
      <c r="D303" s="113" t="s">
        <v>393</v>
      </c>
      <c r="E303">
        <v>4385</v>
      </c>
      <c r="F303" s="113" t="s">
        <v>1176</v>
      </c>
      <c r="G303" s="113" t="s">
        <v>406</v>
      </c>
      <c r="H303" s="113" t="s">
        <v>405</v>
      </c>
      <c r="I303" s="113" t="s">
        <v>634</v>
      </c>
      <c r="J303" s="113" t="s">
        <v>826</v>
      </c>
    </row>
    <row r="304" spans="1:10">
      <c r="A304" s="113" t="s">
        <v>725</v>
      </c>
      <c r="B304" s="113" t="s">
        <v>391</v>
      </c>
      <c r="C304" s="113" t="s">
        <v>392</v>
      </c>
      <c r="D304" s="113" t="s">
        <v>393</v>
      </c>
      <c r="E304">
        <v>2372</v>
      </c>
      <c r="F304" s="113" t="s">
        <v>726</v>
      </c>
      <c r="G304" s="113" t="s">
        <v>394</v>
      </c>
      <c r="H304" s="113" t="s">
        <v>399</v>
      </c>
      <c r="I304" s="113">
        <v>177</v>
      </c>
      <c r="J304" s="113"/>
    </row>
    <row r="305" spans="1:10">
      <c r="A305" s="113" t="s">
        <v>725</v>
      </c>
      <c r="B305" s="113" t="s">
        <v>391</v>
      </c>
      <c r="C305" s="113" t="s">
        <v>392</v>
      </c>
      <c r="D305" s="113" t="s">
        <v>393</v>
      </c>
      <c r="E305">
        <v>2487</v>
      </c>
      <c r="F305" s="113" t="s">
        <v>1177</v>
      </c>
      <c r="G305" s="113" t="s">
        <v>394</v>
      </c>
      <c r="H305" s="113" t="s">
        <v>399</v>
      </c>
      <c r="I305">
        <v>88</v>
      </c>
    </row>
    <row r="306" spans="1:10">
      <c r="A306" s="113" t="s">
        <v>725</v>
      </c>
      <c r="B306" s="113" t="s">
        <v>391</v>
      </c>
      <c r="C306" s="113" t="s">
        <v>403</v>
      </c>
      <c r="D306" s="113" t="s">
        <v>393</v>
      </c>
      <c r="E306">
        <v>3242</v>
      </c>
      <c r="F306" s="113" t="s">
        <v>727</v>
      </c>
      <c r="G306" s="113" t="s">
        <v>398</v>
      </c>
      <c r="H306" s="113" t="s">
        <v>420</v>
      </c>
      <c r="I306" s="113">
        <v>89</v>
      </c>
      <c r="J306" s="113"/>
    </row>
    <row r="307" spans="1:10">
      <c r="A307" s="113" t="s">
        <v>725</v>
      </c>
      <c r="B307" s="113" t="s">
        <v>391</v>
      </c>
      <c r="C307" s="113" t="s">
        <v>392</v>
      </c>
      <c r="D307" s="113" t="s">
        <v>397</v>
      </c>
      <c r="E307">
        <v>3634</v>
      </c>
      <c r="F307" s="113" t="s">
        <v>1178</v>
      </c>
      <c r="G307" s="113" t="s">
        <v>406</v>
      </c>
      <c r="H307" s="113" t="s">
        <v>405</v>
      </c>
      <c r="I307" s="113">
        <v>30</v>
      </c>
      <c r="J307" s="113"/>
    </row>
    <row r="308" spans="1:10">
      <c r="A308" s="113" t="s">
        <v>725</v>
      </c>
      <c r="B308" s="113" t="s">
        <v>391</v>
      </c>
      <c r="C308" s="113" t="s">
        <v>392</v>
      </c>
      <c r="D308" s="113" t="s">
        <v>397</v>
      </c>
      <c r="E308">
        <v>3837</v>
      </c>
      <c r="F308" s="113" t="s">
        <v>1179</v>
      </c>
      <c r="G308" s="113" t="s">
        <v>394</v>
      </c>
      <c r="H308" s="113" t="s">
        <v>405</v>
      </c>
      <c r="I308">
        <v>218</v>
      </c>
    </row>
    <row r="309" spans="1:10">
      <c r="A309" s="113" t="s">
        <v>725</v>
      </c>
      <c r="B309" s="113" t="s">
        <v>391</v>
      </c>
      <c r="C309" s="113" t="s">
        <v>392</v>
      </c>
      <c r="D309" s="113" t="s">
        <v>393</v>
      </c>
      <c r="E309">
        <v>4626</v>
      </c>
      <c r="F309" s="113" t="s">
        <v>728</v>
      </c>
      <c r="G309" s="113" t="s">
        <v>394</v>
      </c>
      <c r="H309" s="113" t="s">
        <v>407</v>
      </c>
      <c r="I309" s="113" t="s">
        <v>449</v>
      </c>
      <c r="J309" s="113" t="s">
        <v>1180</v>
      </c>
    </row>
    <row r="310" spans="1:10">
      <c r="A310" s="113" t="s">
        <v>725</v>
      </c>
      <c r="B310" s="113" t="s">
        <v>391</v>
      </c>
      <c r="C310" s="113" t="s">
        <v>392</v>
      </c>
      <c r="D310" s="113" t="s">
        <v>393</v>
      </c>
      <c r="E310">
        <v>6569</v>
      </c>
      <c r="F310" s="113" t="s">
        <v>729</v>
      </c>
      <c r="G310" s="113" t="s">
        <v>394</v>
      </c>
      <c r="H310" s="113" t="s">
        <v>399</v>
      </c>
      <c r="I310" s="113">
        <v>367</v>
      </c>
      <c r="J310" s="113"/>
    </row>
    <row r="311" spans="1:10">
      <c r="A311" s="113" t="s">
        <v>725</v>
      </c>
      <c r="B311" s="113" t="s">
        <v>391</v>
      </c>
      <c r="C311" s="113" t="s">
        <v>392</v>
      </c>
      <c r="D311" s="113" t="s">
        <v>393</v>
      </c>
      <c r="E311">
        <v>7703</v>
      </c>
      <c r="F311" s="113" t="s">
        <v>730</v>
      </c>
      <c r="G311" s="113" t="s">
        <v>402</v>
      </c>
      <c r="H311" s="113" t="s">
        <v>661</v>
      </c>
      <c r="I311">
        <v>209</v>
      </c>
    </row>
    <row r="312" spans="1:10">
      <c r="A312" s="113" t="s">
        <v>725</v>
      </c>
      <c r="B312" s="113" t="s">
        <v>391</v>
      </c>
      <c r="C312" s="113" t="s">
        <v>392</v>
      </c>
      <c r="D312" s="113" t="s">
        <v>393</v>
      </c>
      <c r="E312">
        <v>7952</v>
      </c>
      <c r="F312" s="113" t="s">
        <v>731</v>
      </c>
      <c r="G312" s="113" t="s">
        <v>394</v>
      </c>
      <c r="H312" s="113" t="s">
        <v>416</v>
      </c>
      <c r="I312">
        <v>330</v>
      </c>
    </row>
    <row r="313" spans="1:10">
      <c r="A313" s="113" t="s">
        <v>732</v>
      </c>
      <c r="B313" s="113" t="s">
        <v>614</v>
      </c>
      <c r="C313" s="113" t="s">
        <v>392</v>
      </c>
      <c r="D313" s="113" t="s">
        <v>393</v>
      </c>
      <c r="E313">
        <v>8093</v>
      </c>
      <c r="F313" s="113" t="s">
        <v>1181</v>
      </c>
      <c r="G313" s="113" t="s">
        <v>394</v>
      </c>
      <c r="H313" s="113" t="s">
        <v>400</v>
      </c>
      <c r="I313">
        <v>143</v>
      </c>
    </row>
    <row r="314" spans="1:10">
      <c r="A314" s="113" t="s">
        <v>732</v>
      </c>
      <c r="B314" s="113" t="s">
        <v>391</v>
      </c>
      <c r="C314" s="113" t="s">
        <v>392</v>
      </c>
      <c r="D314" s="113" t="s">
        <v>393</v>
      </c>
      <c r="E314">
        <v>1801</v>
      </c>
      <c r="F314" s="113" t="s">
        <v>733</v>
      </c>
      <c r="G314" s="113" t="s">
        <v>394</v>
      </c>
      <c r="H314" s="113" t="s">
        <v>428</v>
      </c>
      <c r="I314" s="113" t="s">
        <v>734</v>
      </c>
      <c r="J314" s="113" t="s">
        <v>1182</v>
      </c>
    </row>
    <row r="315" spans="1:10">
      <c r="A315" s="113" t="s">
        <v>732</v>
      </c>
      <c r="B315" s="113" t="s">
        <v>391</v>
      </c>
      <c r="C315" s="113" t="s">
        <v>392</v>
      </c>
      <c r="D315" s="113" t="s">
        <v>393</v>
      </c>
      <c r="E315">
        <v>1813</v>
      </c>
      <c r="F315" s="113" t="s">
        <v>735</v>
      </c>
      <c r="G315" s="113" t="s">
        <v>394</v>
      </c>
      <c r="H315" s="113" t="s">
        <v>428</v>
      </c>
      <c r="I315">
        <v>258</v>
      </c>
    </row>
    <row r="316" spans="1:10">
      <c r="A316" s="113" t="s">
        <v>732</v>
      </c>
      <c r="B316" s="113" t="s">
        <v>391</v>
      </c>
      <c r="C316" s="113" t="s">
        <v>392</v>
      </c>
      <c r="D316" s="113" t="s">
        <v>393</v>
      </c>
      <c r="E316">
        <v>1835</v>
      </c>
      <c r="F316" s="113" t="s">
        <v>736</v>
      </c>
      <c r="G316" s="113" t="s">
        <v>394</v>
      </c>
      <c r="H316" s="113" t="s">
        <v>428</v>
      </c>
      <c r="I316" s="113" t="s">
        <v>449</v>
      </c>
      <c r="J316" s="113" t="s">
        <v>1183</v>
      </c>
    </row>
    <row r="317" spans="1:10">
      <c r="A317" s="113" t="s">
        <v>732</v>
      </c>
      <c r="B317" s="113" t="s">
        <v>391</v>
      </c>
      <c r="C317" s="113" t="s">
        <v>392</v>
      </c>
      <c r="D317" s="113" t="s">
        <v>397</v>
      </c>
      <c r="E317">
        <v>1853</v>
      </c>
      <c r="F317" s="113" t="s">
        <v>737</v>
      </c>
      <c r="G317" s="113" t="s">
        <v>402</v>
      </c>
      <c r="H317" s="113" t="s">
        <v>428</v>
      </c>
      <c r="I317" s="113">
        <v>104</v>
      </c>
      <c r="J317" s="113"/>
    </row>
    <row r="318" spans="1:10">
      <c r="A318" s="113" t="s">
        <v>732</v>
      </c>
      <c r="B318" s="113" t="s">
        <v>391</v>
      </c>
      <c r="C318" s="113" t="s">
        <v>392</v>
      </c>
      <c r="D318" s="113" t="s">
        <v>393</v>
      </c>
      <c r="E318">
        <v>1909</v>
      </c>
      <c r="F318" s="113" t="s">
        <v>738</v>
      </c>
      <c r="G318" s="113" t="s">
        <v>394</v>
      </c>
      <c r="H318" s="113" t="s">
        <v>415</v>
      </c>
      <c r="I318">
        <v>113</v>
      </c>
    </row>
    <row r="319" spans="1:10">
      <c r="A319" s="113" t="s">
        <v>732</v>
      </c>
      <c r="B319" s="113" t="s">
        <v>391</v>
      </c>
      <c r="C319" s="113" t="s">
        <v>392</v>
      </c>
      <c r="D319" s="113" t="s">
        <v>393</v>
      </c>
      <c r="E319">
        <v>1961</v>
      </c>
      <c r="F319" s="113" t="s">
        <v>739</v>
      </c>
      <c r="G319" s="113" t="s">
        <v>394</v>
      </c>
      <c r="H319" s="113" t="s">
        <v>428</v>
      </c>
      <c r="I319" s="113">
        <v>904</v>
      </c>
      <c r="J319" s="113"/>
    </row>
    <row r="320" spans="1:10">
      <c r="A320" s="113" t="s">
        <v>732</v>
      </c>
      <c r="B320" s="113" t="s">
        <v>391</v>
      </c>
      <c r="C320" s="113" t="s">
        <v>392</v>
      </c>
      <c r="D320" s="113" t="s">
        <v>393</v>
      </c>
      <c r="E320">
        <v>1969</v>
      </c>
      <c r="F320" s="113" t="s">
        <v>740</v>
      </c>
      <c r="G320" s="113" t="s">
        <v>394</v>
      </c>
      <c r="H320" s="113" t="s">
        <v>428</v>
      </c>
      <c r="I320" s="113" t="s">
        <v>449</v>
      </c>
      <c r="J320" s="113" t="s">
        <v>1184</v>
      </c>
    </row>
    <row r="321" spans="1:10">
      <c r="A321" s="113" t="s">
        <v>732</v>
      </c>
      <c r="B321" s="113" t="s">
        <v>391</v>
      </c>
      <c r="C321" s="113" t="s">
        <v>392</v>
      </c>
      <c r="D321" s="113" t="s">
        <v>393</v>
      </c>
      <c r="E321">
        <v>2307</v>
      </c>
      <c r="F321" s="113" t="s">
        <v>1185</v>
      </c>
      <c r="G321" s="113" t="s">
        <v>394</v>
      </c>
      <c r="H321" s="113" t="s">
        <v>405</v>
      </c>
      <c r="I321">
        <v>96</v>
      </c>
    </row>
    <row r="322" spans="1:10">
      <c r="A322" s="113" t="s">
        <v>732</v>
      </c>
      <c r="B322" s="113" t="s">
        <v>391</v>
      </c>
      <c r="C322" s="113" t="s">
        <v>392</v>
      </c>
      <c r="D322" s="113" t="s">
        <v>393</v>
      </c>
      <c r="E322">
        <v>2475</v>
      </c>
      <c r="F322" s="113" t="s">
        <v>1186</v>
      </c>
      <c r="G322" s="113" t="s">
        <v>394</v>
      </c>
      <c r="H322" s="113" t="s">
        <v>399</v>
      </c>
      <c r="I322" s="113">
        <v>512</v>
      </c>
      <c r="J322" s="113"/>
    </row>
    <row r="323" spans="1:10">
      <c r="A323" s="113" t="s">
        <v>732</v>
      </c>
      <c r="B323" s="113" t="s">
        <v>391</v>
      </c>
      <c r="C323" s="113" t="s">
        <v>392</v>
      </c>
      <c r="D323" s="113" t="s">
        <v>393</v>
      </c>
      <c r="E323">
        <v>2480</v>
      </c>
      <c r="F323" s="113" t="s">
        <v>1187</v>
      </c>
      <c r="G323" s="113" t="s">
        <v>398</v>
      </c>
      <c r="H323" s="113" t="s">
        <v>399</v>
      </c>
      <c r="I323" s="113">
        <v>63</v>
      </c>
      <c r="J323" s="113"/>
    </row>
    <row r="324" spans="1:10">
      <c r="A324" s="113" t="s">
        <v>732</v>
      </c>
      <c r="B324" s="113" t="s">
        <v>391</v>
      </c>
      <c r="C324" s="113" t="s">
        <v>392</v>
      </c>
      <c r="D324" s="113" t="s">
        <v>393</v>
      </c>
      <c r="E324">
        <v>2815</v>
      </c>
      <c r="F324" s="113" t="s">
        <v>741</v>
      </c>
      <c r="G324" s="113" t="s">
        <v>394</v>
      </c>
      <c r="H324" s="113" t="s">
        <v>395</v>
      </c>
      <c r="I324" s="113" t="s">
        <v>417</v>
      </c>
      <c r="J324" s="113" t="s">
        <v>1188</v>
      </c>
    </row>
    <row r="325" spans="1:10">
      <c r="A325" s="113" t="s">
        <v>732</v>
      </c>
      <c r="B325" s="113" t="s">
        <v>391</v>
      </c>
      <c r="C325" s="113" t="s">
        <v>392</v>
      </c>
      <c r="D325" s="113" t="s">
        <v>393</v>
      </c>
      <c r="E325">
        <v>2911</v>
      </c>
      <c r="F325" s="113" t="s">
        <v>1189</v>
      </c>
      <c r="G325" s="113" t="s">
        <v>402</v>
      </c>
      <c r="H325" s="113" t="s">
        <v>395</v>
      </c>
      <c r="I325">
        <v>38</v>
      </c>
    </row>
    <row r="326" spans="1:10">
      <c r="A326" s="113" t="s">
        <v>732</v>
      </c>
      <c r="B326" s="113" t="s">
        <v>391</v>
      </c>
      <c r="C326" s="113" t="s">
        <v>392</v>
      </c>
      <c r="D326" s="113" t="s">
        <v>393</v>
      </c>
      <c r="E326">
        <v>3109</v>
      </c>
      <c r="F326" s="113" t="s">
        <v>742</v>
      </c>
      <c r="G326" s="113" t="s">
        <v>394</v>
      </c>
      <c r="H326" s="113" t="s">
        <v>460</v>
      </c>
      <c r="I326">
        <v>112</v>
      </c>
    </row>
    <row r="327" spans="1:10">
      <c r="A327" s="113" t="s">
        <v>732</v>
      </c>
      <c r="B327" s="113" t="s">
        <v>391</v>
      </c>
      <c r="C327" s="113" t="s">
        <v>401</v>
      </c>
      <c r="D327" s="113" t="s">
        <v>393</v>
      </c>
      <c r="E327">
        <v>3482</v>
      </c>
      <c r="F327" s="113" t="s">
        <v>1190</v>
      </c>
      <c r="G327" s="113" t="s">
        <v>406</v>
      </c>
      <c r="H327" s="113" t="s">
        <v>420</v>
      </c>
      <c r="I327" s="113">
        <v>204</v>
      </c>
      <c r="J327" s="113"/>
    </row>
    <row r="328" spans="1:10">
      <c r="A328" s="113" t="s">
        <v>732</v>
      </c>
      <c r="B328" s="113" t="s">
        <v>391</v>
      </c>
      <c r="C328" s="113" t="s">
        <v>396</v>
      </c>
      <c r="D328" s="113" t="s">
        <v>393</v>
      </c>
      <c r="E328">
        <v>3690</v>
      </c>
      <c r="F328" s="113" t="s">
        <v>1191</v>
      </c>
      <c r="G328" s="113" t="s">
        <v>406</v>
      </c>
      <c r="H328" s="113" t="s">
        <v>405</v>
      </c>
      <c r="I328">
        <v>80</v>
      </c>
    </row>
    <row r="329" spans="1:10">
      <c r="A329" s="113" t="s">
        <v>732</v>
      </c>
      <c r="B329" s="113" t="s">
        <v>391</v>
      </c>
      <c r="C329" s="113" t="s">
        <v>392</v>
      </c>
      <c r="D329" s="113" t="s">
        <v>393</v>
      </c>
      <c r="E329">
        <v>3766</v>
      </c>
      <c r="F329" s="113" t="s">
        <v>743</v>
      </c>
      <c r="G329" s="113" t="s">
        <v>398</v>
      </c>
      <c r="H329" s="113" t="s">
        <v>405</v>
      </c>
      <c r="I329">
        <v>25</v>
      </c>
    </row>
    <row r="330" spans="1:10">
      <c r="A330" s="113" t="s">
        <v>732</v>
      </c>
      <c r="B330" s="113" t="s">
        <v>391</v>
      </c>
      <c r="C330" s="113" t="s">
        <v>392</v>
      </c>
      <c r="D330" s="113" t="s">
        <v>393</v>
      </c>
      <c r="E330">
        <v>4540</v>
      </c>
      <c r="F330" s="113" t="s">
        <v>744</v>
      </c>
      <c r="G330" s="113" t="s">
        <v>394</v>
      </c>
      <c r="H330" s="113" t="s">
        <v>516</v>
      </c>
      <c r="I330" s="113" t="s">
        <v>417</v>
      </c>
      <c r="J330" s="113" t="s">
        <v>1192</v>
      </c>
    </row>
    <row r="331" spans="1:10">
      <c r="A331" s="113" t="s">
        <v>732</v>
      </c>
      <c r="B331" s="113" t="s">
        <v>391</v>
      </c>
      <c r="C331" s="113" t="s">
        <v>401</v>
      </c>
      <c r="D331" s="113" t="s">
        <v>397</v>
      </c>
      <c r="E331">
        <v>4588</v>
      </c>
      <c r="F331" s="113" t="s">
        <v>745</v>
      </c>
      <c r="G331" s="113" t="s">
        <v>406</v>
      </c>
      <c r="H331" s="113" t="s">
        <v>516</v>
      </c>
      <c r="I331">
        <v>274</v>
      </c>
    </row>
    <row r="332" spans="1:10">
      <c r="A332" s="113" t="s">
        <v>732</v>
      </c>
      <c r="B332" s="113" t="s">
        <v>391</v>
      </c>
      <c r="C332" s="113" t="s">
        <v>392</v>
      </c>
      <c r="D332" s="113" t="s">
        <v>393</v>
      </c>
      <c r="E332">
        <v>4777</v>
      </c>
      <c r="F332" s="113" t="s">
        <v>746</v>
      </c>
      <c r="G332" s="113" t="s">
        <v>398</v>
      </c>
      <c r="H332" s="113" t="s">
        <v>405</v>
      </c>
      <c r="I332" s="113">
        <v>52</v>
      </c>
      <c r="J332" s="113"/>
    </row>
    <row r="333" spans="1:10">
      <c r="A333" s="113" t="s">
        <v>732</v>
      </c>
      <c r="B333" s="113" t="s">
        <v>391</v>
      </c>
      <c r="C333" s="113" t="s">
        <v>392</v>
      </c>
      <c r="D333" s="113" t="s">
        <v>397</v>
      </c>
      <c r="E333">
        <v>4970</v>
      </c>
      <c r="F333" s="113" t="s">
        <v>1193</v>
      </c>
      <c r="G333" s="113" t="s">
        <v>398</v>
      </c>
      <c r="H333" s="113" t="s">
        <v>407</v>
      </c>
      <c r="I333">
        <v>287</v>
      </c>
    </row>
    <row r="334" spans="1:10">
      <c r="A334" s="113" t="s">
        <v>732</v>
      </c>
      <c r="B334" s="113" t="s">
        <v>391</v>
      </c>
      <c r="C334" s="113" t="s">
        <v>392</v>
      </c>
      <c r="D334" s="113" t="s">
        <v>393</v>
      </c>
      <c r="E334">
        <v>5602</v>
      </c>
      <c r="F334" s="113" t="s">
        <v>1194</v>
      </c>
      <c r="G334" s="113" t="s">
        <v>394</v>
      </c>
      <c r="H334" s="113" t="s">
        <v>1195</v>
      </c>
      <c r="I334" s="113">
        <v>259</v>
      </c>
      <c r="J334" s="113"/>
    </row>
    <row r="335" spans="1:10">
      <c r="A335" s="113" t="s">
        <v>732</v>
      </c>
      <c r="B335" s="113" t="s">
        <v>391</v>
      </c>
      <c r="C335" s="113" t="s">
        <v>392</v>
      </c>
      <c r="D335" s="113" t="s">
        <v>393</v>
      </c>
      <c r="E335">
        <v>5713</v>
      </c>
      <c r="F335" s="113" t="s">
        <v>747</v>
      </c>
      <c r="G335" s="113" t="s">
        <v>394</v>
      </c>
      <c r="H335" s="113" t="s">
        <v>700</v>
      </c>
      <c r="I335" s="113" t="s">
        <v>734</v>
      </c>
      <c r="J335" s="113" t="s">
        <v>1196</v>
      </c>
    </row>
    <row r="336" spans="1:10">
      <c r="A336" s="113" t="s">
        <v>732</v>
      </c>
      <c r="B336" s="113" t="s">
        <v>391</v>
      </c>
      <c r="C336" s="113" t="s">
        <v>392</v>
      </c>
      <c r="D336" s="113" t="s">
        <v>393</v>
      </c>
      <c r="E336">
        <v>6485</v>
      </c>
      <c r="F336" s="113" t="s">
        <v>748</v>
      </c>
      <c r="G336" s="113" t="s">
        <v>394</v>
      </c>
      <c r="H336" s="113" t="s">
        <v>415</v>
      </c>
      <c r="I336">
        <v>260</v>
      </c>
    </row>
    <row r="337" spans="1:10">
      <c r="A337" s="113" t="s">
        <v>732</v>
      </c>
      <c r="B337" s="113" t="s">
        <v>391</v>
      </c>
      <c r="C337" s="113" t="s">
        <v>401</v>
      </c>
      <c r="D337" s="113" t="s">
        <v>393</v>
      </c>
      <c r="E337">
        <v>6929</v>
      </c>
      <c r="F337" s="113" t="s">
        <v>749</v>
      </c>
      <c r="G337" s="113" t="s">
        <v>394</v>
      </c>
      <c r="H337" s="113" t="s">
        <v>419</v>
      </c>
      <c r="I337" s="113">
        <v>770</v>
      </c>
      <c r="J337" s="113"/>
    </row>
    <row r="338" spans="1:10">
      <c r="A338" s="113" t="s">
        <v>732</v>
      </c>
      <c r="B338" s="113" t="s">
        <v>391</v>
      </c>
      <c r="C338" s="113" t="s">
        <v>392</v>
      </c>
      <c r="D338" s="113" t="s">
        <v>393</v>
      </c>
      <c r="E338">
        <v>7480</v>
      </c>
      <c r="F338" s="113" t="s">
        <v>750</v>
      </c>
      <c r="G338" s="113" t="s">
        <v>394</v>
      </c>
      <c r="H338" s="113" t="s">
        <v>400</v>
      </c>
      <c r="I338">
        <v>214</v>
      </c>
    </row>
    <row r="339" spans="1:10">
      <c r="A339" s="113" t="s">
        <v>732</v>
      </c>
      <c r="B339" s="113" t="s">
        <v>391</v>
      </c>
      <c r="C339" s="113" t="s">
        <v>392</v>
      </c>
      <c r="D339" s="113" t="s">
        <v>393</v>
      </c>
      <c r="E339">
        <v>9880</v>
      </c>
      <c r="F339" s="113" t="s">
        <v>751</v>
      </c>
      <c r="G339" s="113" t="s">
        <v>394</v>
      </c>
      <c r="H339" s="113" t="s">
        <v>400</v>
      </c>
      <c r="I339" s="113">
        <v>167</v>
      </c>
      <c r="J339" s="113"/>
    </row>
    <row r="340" spans="1:10">
      <c r="A340" s="113" t="s">
        <v>732</v>
      </c>
      <c r="B340" s="113" t="s">
        <v>391</v>
      </c>
      <c r="C340" s="113" t="s">
        <v>392</v>
      </c>
      <c r="D340" s="113" t="s">
        <v>393</v>
      </c>
      <c r="E340">
        <v>9994</v>
      </c>
      <c r="F340" s="113" t="s">
        <v>752</v>
      </c>
      <c r="G340" s="113" t="s">
        <v>394</v>
      </c>
      <c r="H340" s="113" t="s">
        <v>404</v>
      </c>
      <c r="I340">
        <v>241</v>
      </c>
    </row>
    <row r="341" spans="1:10">
      <c r="A341" s="113" t="s">
        <v>753</v>
      </c>
      <c r="B341" s="113" t="s">
        <v>391</v>
      </c>
      <c r="C341" s="113" t="s">
        <v>392</v>
      </c>
      <c r="D341" s="113" t="s">
        <v>393</v>
      </c>
      <c r="E341">
        <v>1979</v>
      </c>
      <c r="F341" s="113" t="s">
        <v>754</v>
      </c>
      <c r="G341" s="113" t="s">
        <v>394</v>
      </c>
      <c r="H341" s="113" t="s">
        <v>428</v>
      </c>
      <c r="I341" s="113" t="s">
        <v>449</v>
      </c>
      <c r="J341" s="113" t="s">
        <v>1197</v>
      </c>
    </row>
    <row r="342" spans="1:10">
      <c r="A342" s="113" t="s">
        <v>753</v>
      </c>
      <c r="B342" s="113" t="s">
        <v>391</v>
      </c>
      <c r="C342" s="113" t="s">
        <v>392</v>
      </c>
      <c r="D342" s="113" t="s">
        <v>393</v>
      </c>
      <c r="E342">
        <v>2201</v>
      </c>
      <c r="F342" s="113" t="s">
        <v>1027</v>
      </c>
      <c r="G342" s="113" t="s">
        <v>394</v>
      </c>
      <c r="H342" s="113" t="s">
        <v>395</v>
      </c>
      <c r="I342" s="113" t="s">
        <v>634</v>
      </c>
      <c r="J342" s="113" t="s">
        <v>1198</v>
      </c>
    </row>
    <row r="343" spans="1:10">
      <c r="A343" s="113" t="s">
        <v>753</v>
      </c>
      <c r="B343" s="113" t="s">
        <v>391</v>
      </c>
      <c r="C343" s="113" t="s">
        <v>401</v>
      </c>
      <c r="D343" s="113" t="s">
        <v>393</v>
      </c>
      <c r="E343">
        <v>2384</v>
      </c>
      <c r="F343" s="113" t="s">
        <v>1028</v>
      </c>
      <c r="G343" s="113" t="s">
        <v>394</v>
      </c>
      <c r="H343" s="113" t="s">
        <v>683</v>
      </c>
      <c r="I343">
        <v>778</v>
      </c>
    </row>
    <row r="344" spans="1:10">
      <c r="A344" s="113" t="s">
        <v>753</v>
      </c>
      <c r="B344" s="113" t="s">
        <v>391</v>
      </c>
      <c r="C344" s="113" t="s">
        <v>392</v>
      </c>
      <c r="D344" s="113" t="s">
        <v>393</v>
      </c>
      <c r="E344">
        <v>2398</v>
      </c>
      <c r="F344" s="113" t="s">
        <v>1029</v>
      </c>
      <c r="G344" s="113" t="s">
        <v>394</v>
      </c>
      <c r="H344" s="113" t="s">
        <v>399</v>
      </c>
      <c r="I344" s="113">
        <v>409</v>
      </c>
      <c r="J344" s="113"/>
    </row>
    <row r="345" spans="1:10">
      <c r="A345" s="113" t="s">
        <v>753</v>
      </c>
      <c r="B345" s="113" t="s">
        <v>391</v>
      </c>
      <c r="C345" s="113" t="s">
        <v>392</v>
      </c>
      <c r="D345" s="113" t="s">
        <v>393</v>
      </c>
      <c r="E345">
        <v>6324</v>
      </c>
      <c r="F345" s="113" t="s">
        <v>1199</v>
      </c>
      <c r="G345" s="113" t="s">
        <v>398</v>
      </c>
      <c r="H345" s="113" t="s">
        <v>415</v>
      </c>
      <c r="I345" s="113" t="s">
        <v>545</v>
      </c>
      <c r="J345" s="113" t="s">
        <v>1200</v>
      </c>
    </row>
    <row r="346" spans="1:10">
      <c r="A346" s="113" t="s">
        <v>753</v>
      </c>
      <c r="B346" s="113" t="s">
        <v>391</v>
      </c>
      <c r="C346" s="113" t="s">
        <v>403</v>
      </c>
      <c r="D346" s="113" t="s">
        <v>393</v>
      </c>
      <c r="E346">
        <v>7320</v>
      </c>
      <c r="F346" s="113" t="s">
        <v>1030</v>
      </c>
      <c r="G346" s="113" t="s">
        <v>406</v>
      </c>
      <c r="H346" s="113" t="s">
        <v>466</v>
      </c>
      <c r="I346" s="113">
        <v>59</v>
      </c>
      <c r="J346" s="113"/>
    </row>
    <row r="347" spans="1:10">
      <c r="A347" s="113" t="s">
        <v>753</v>
      </c>
      <c r="B347" s="113" t="s">
        <v>391</v>
      </c>
      <c r="C347" s="113" t="s">
        <v>392</v>
      </c>
      <c r="D347" s="113" t="s">
        <v>393</v>
      </c>
      <c r="E347">
        <v>8108</v>
      </c>
      <c r="F347" s="113" t="s">
        <v>755</v>
      </c>
      <c r="G347" s="113" t="s">
        <v>756</v>
      </c>
      <c r="H347" s="113" t="s">
        <v>400</v>
      </c>
      <c r="I347" s="113">
        <v>267</v>
      </c>
      <c r="J347" s="113"/>
    </row>
    <row r="348" spans="1:10">
      <c r="A348" s="113" t="s">
        <v>757</v>
      </c>
      <c r="B348" s="113" t="s">
        <v>391</v>
      </c>
      <c r="C348" s="113" t="s">
        <v>392</v>
      </c>
      <c r="D348" s="113" t="s">
        <v>393</v>
      </c>
      <c r="E348">
        <v>1762</v>
      </c>
      <c r="F348" s="113" t="s">
        <v>758</v>
      </c>
      <c r="G348" s="113" t="s">
        <v>394</v>
      </c>
      <c r="H348" s="113" t="s">
        <v>428</v>
      </c>
      <c r="I348" s="113" t="s">
        <v>449</v>
      </c>
      <c r="J348" s="113" t="s">
        <v>1201</v>
      </c>
    </row>
    <row r="349" spans="1:10">
      <c r="A349" s="113" t="s">
        <v>757</v>
      </c>
      <c r="B349" s="113" t="s">
        <v>391</v>
      </c>
      <c r="C349" s="113" t="s">
        <v>392</v>
      </c>
      <c r="D349" s="113" t="s">
        <v>393</v>
      </c>
      <c r="E349">
        <v>1821</v>
      </c>
      <c r="F349" s="113" t="s">
        <v>759</v>
      </c>
      <c r="G349" s="113" t="s">
        <v>394</v>
      </c>
      <c r="H349" s="113" t="s">
        <v>428</v>
      </c>
      <c r="I349" s="113">
        <v>992</v>
      </c>
      <c r="J349" s="113"/>
    </row>
    <row r="350" spans="1:10">
      <c r="A350" s="113" t="s">
        <v>757</v>
      </c>
      <c r="B350" s="113" t="s">
        <v>391</v>
      </c>
      <c r="C350" s="113" t="s">
        <v>392</v>
      </c>
      <c r="D350" s="113" t="s">
        <v>393</v>
      </c>
      <c r="E350">
        <v>2196</v>
      </c>
      <c r="F350" s="113" t="s">
        <v>1032</v>
      </c>
      <c r="G350" s="113" t="s">
        <v>394</v>
      </c>
      <c r="H350" s="113" t="s">
        <v>399</v>
      </c>
      <c r="I350" s="113">
        <v>95</v>
      </c>
      <c r="J350" s="113"/>
    </row>
    <row r="351" spans="1:10">
      <c r="A351" s="113" t="s">
        <v>757</v>
      </c>
      <c r="B351" s="113" t="s">
        <v>391</v>
      </c>
      <c r="C351" s="113" t="s">
        <v>401</v>
      </c>
      <c r="D351" s="113" t="s">
        <v>393</v>
      </c>
      <c r="E351">
        <v>2436</v>
      </c>
      <c r="F351" s="113" t="s">
        <v>1033</v>
      </c>
      <c r="G351" s="113" t="s">
        <v>398</v>
      </c>
      <c r="H351" s="113" t="s">
        <v>399</v>
      </c>
      <c r="I351" s="113">
        <v>60</v>
      </c>
      <c r="J351" s="113"/>
    </row>
    <row r="352" spans="1:10">
      <c r="A352" s="113" t="s">
        <v>757</v>
      </c>
      <c r="B352" s="113" t="s">
        <v>391</v>
      </c>
      <c r="C352" s="113" t="s">
        <v>392</v>
      </c>
      <c r="D352" s="113" t="s">
        <v>393</v>
      </c>
      <c r="E352">
        <v>2705</v>
      </c>
      <c r="F352" s="113" t="s">
        <v>760</v>
      </c>
      <c r="G352" s="113" t="s">
        <v>398</v>
      </c>
      <c r="H352" s="113" t="s">
        <v>404</v>
      </c>
      <c r="I352" s="113">
        <v>175</v>
      </c>
      <c r="J352" s="113"/>
    </row>
    <row r="353" spans="1:10">
      <c r="A353" s="113" t="s">
        <v>757</v>
      </c>
      <c r="B353" s="113" t="s">
        <v>391</v>
      </c>
      <c r="C353" s="113" t="s">
        <v>401</v>
      </c>
      <c r="D353" s="113" t="s">
        <v>393</v>
      </c>
      <c r="E353">
        <v>3784</v>
      </c>
      <c r="F353" s="113" t="s">
        <v>1202</v>
      </c>
      <c r="G353" s="113" t="s">
        <v>394</v>
      </c>
      <c r="H353" s="113" t="s">
        <v>405</v>
      </c>
      <c r="I353" s="113">
        <v>224</v>
      </c>
      <c r="J353" s="113"/>
    </row>
    <row r="354" spans="1:10">
      <c r="A354" s="113" t="s">
        <v>757</v>
      </c>
      <c r="B354" s="113" t="s">
        <v>391</v>
      </c>
      <c r="C354" s="113" t="s">
        <v>392</v>
      </c>
      <c r="D354" s="113" t="s">
        <v>393</v>
      </c>
      <c r="E354">
        <v>5714</v>
      </c>
      <c r="F354" s="113" t="s">
        <v>761</v>
      </c>
      <c r="G354" s="113" t="s">
        <v>394</v>
      </c>
      <c r="H354" s="113" t="s">
        <v>700</v>
      </c>
      <c r="I354" s="113" t="s">
        <v>417</v>
      </c>
      <c r="J354" s="113" t="s">
        <v>1203</v>
      </c>
    </row>
    <row r="355" spans="1:10">
      <c r="A355" s="113" t="s">
        <v>757</v>
      </c>
      <c r="B355" s="113" t="s">
        <v>391</v>
      </c>
      <c r="C355" s="113" t="s">
        <v>401</v>
      </c>
      <c r="D355" s="113" t="s">
        <v>393</v>
      </c>
      <c r="E355">
        <v>6627</v>
      </c>
      <c r="F355" s="113" t="s">
        <v>1204</v>
      </c>
      <c r="G355" s="113" t="s">
        <v>406</v>
      </c>
      <c r="H355" s="113" t="s">
        <v>419</v>
      </c>
      <c r="I355" s="113">
        <v>72</v>
      </c>
      <c r="J355" s="113"/>
    </row>
    <row r="356" spans="1:10">
      <c r="A356" s="113" t="s">
        <v>757</v>
      </c>
      <c r="B356" s="113" t="s">
        <v>391</v>
      </c>
      <c r="C356" s="113" t="s">
        <v>392</v>
      </c>
      <c r="D356" s="113" t="s">
        <v>393</v>
      </c>
      <c r="E356">
        <v>7294</v>
      </c>
      <c r="F356" s="113" t="s">
        <v>762</v>
      </c>
      <c r="G356" s="113" t="s">
        <v>394</v>
      </c>
      <c r="H356" s="113" t="s">
        <v>445</v>
      </c>
      <c r="I356" s="113">
        <v>364</v>
      </c>
      <c r="J356" s="113"/>
    </row>
    <row r="357" spans="1:10">
      <c r="A357" s="113" t="s">
        <v>757</v>
      </c>
      <c r="B357" s="113" t="s">
        <v>391</v>
      </c>
      <c r="C357" s="113" t="s">
        <v>392</v>
      </c>
      <c r="D357" s="113" t="s">
        <v>393</v>
      </c>
      <c r="E357">
        <v>9964</v>
      </c>
      <c r="F357" s="113" t="s">
        <v>763</v>
      </c>
      <c r="G357" s="113" t="s">
        <v>398</v>
      </c>
      <c r="H357" s="113" t="s">
        <v>400</v>
      </c>
      <c r="I357" s="113">
        <v>201</v>
      </c>
      <c r="J357" s="113"/>
    </row>
    <row r="358" spans="1:10">
      <c r="A358" s="113" t="s">
        <v>764</v>
      </c>
      <c r="B358" s="113" t="s">
        <v>391</v>
      </c>
      <c r="C358" s="113" t="s">
        <v>392</v>
      </c>
      <c r="D358" s="113" t="s">
        <v>393</v>
      </c>
      <c r="E358">
        <v>1384</v>
      </c>
      <c r="F358" s="113" t="s">
        <v>765</v>
      </c>
      <c r="G358" s="113" t="s">
        <v>394</v>
      </c>
      <c r="H358" s="113" t="s">
        <v>534</v>
      </c>
      <c r="I358" s="113">
        <v>56</v>
      </c>
      <c r="J358" s="113"/>
    </row>
    <row r="359" spans="1:10">
      <c r="A359" s="113" t="s">
        <v>764</v>
      </c>
      <c r="B359" s="113" t="s">
        <v>391</v>
      </c>
      <c r="C359" s="113" t="s">
        <v>401</v>
      </c>
      <c r="D359" s="113" t="s">
        <v>393</v>
      </c>
      <c r="E359">
        <v>2150</v>
      </c>
      <c r="F359" s="113" t="s">
        <v>766</v>
      </c>
      <c r="G359" s="113" t="s">
        <v>406</v>
      </c>
      <c r="H359" s="113" t="s">
        <v>399</v>
      </c>
      <c r="I359" s="113">
        <v>88</v>
      </c>
      <c r="J359" s="113"/>
    </row>
    <row r="360" spans="1:10">
      <c r="A360" s="113" t="s">
        <v>764</v>
      </c>
      <c r="B360" s="113" t="s">
        <v>391</v>
      </c>
      <c r="C360" s="113" t="s">
        <v>401</v>
      </c>
      <c r="D360" s="113" t="s">
        <v>393</v>
      </c>
      <c r="E360">
        <v>2170</v>
      </c>
      <c r="F360" s="113" t="s">
        <v>767</v>
      </c>
      <c r="G360" s="113" t="s">
        <v>394</v>
      </c>
      <c r="H360" s="113" t="s">
        <v>399</v>
      </c>
      <c r="I360">
        <v>755</v>
      </c>
    </row>
    <row r="361" spans="1:10">
      <c r="A361" s="113" t="s">
        <v>764</v>
      </c>
      <c r="B361" s="113" t="s">
        <v>391</v>
      </c>
      <c r="C361" s="113" t="s">
        <v>396</v>
      </c>
      <c r="D361" s="113" t="s">
        <v>393</v>
      </c>
      <c r="E361">
        <v>2185</v>
      </c>
      <c r="F361" s="113" t="s">
        <v>1034</v>
      </c>
      <c r="G361" s="113" t="s">
        <v>398</v>
      </c>
      <c r="H361" s="113" t="s">
        <v>399</v>
      </c>
      <c r="I361">
        <v>166</v>
      </c>
    </row>
    <row r="362" spans="1:10">
      <c r="A362" s="113" t="s">
        <v>764</v>
      </c>
      <c r="B362" s="113" t="s">
        <v>391</v>
      </c>
      <c r="C362" s="113" t="s">
        <v>392</v>
      </c>
      <c r="D362" s="113" t="s">
        <v>393</v>
      </c>
      <c r="E362">
        <v>2323</v>
      </c>
      <c r="F362" s="113" t="s">
        <v>1035</v>
      </c>
      <c r="G362" s="113" t="s">
        <v>398</v>
      </c>
      <c r="H362" s="113" t="s">
        <v>405</v>
      </c>
      <c r="I362" s="113">
        <v>14</v>
      </c>
      <c r="J362" s="113"/>
    </row>
    <row r="363" spans="1:10">
      <c r="A363" s="113" t="s">
        <v>764</v>
      </c>
      <c r="B363" s="113" t="s">
        <v>391</v>
      </c>
      <c r="C363" s="113" t="s">
        <v>392</v>
      </c>
      <c r="D363" s="113" t="s">
        <v>393</v>
      </c>
      <c r="E363">
        <v>2654</v>
      </c>
      <c r="F363" s="113" t="s">
        <v>768</v>
      </c>
      <c r="G363" s="113" t="s">
        <v>402</v>
      </c>
      <c r="H363" s="113" t="s">
        <v>404</v>
      </c>
      <c r="I363">
        <v>84</v>
      </c>
    </row>
    <row r="364" spans="1:10">
      <c r="A364" s="113" t="s">
        <v>764</v>
      </c>
      <c r="B364" s="113" t="s">
        <v>391</v>
      </c>
      <c r="C364" s="113" t="s">
        <v>392</v>
      </c>
      <c r="D364" s="113" t="s">
        <v>393</v>
      </c>
      <c r="E364">
        <v>3182</v>
      </c>
      <c r="F364" s="113" t="s">
        <v>769</v>
      </c>
      <c r="G364" s="113" t="s">
        <v>406</v>
      </c>
      <c r="H364" s="113" t="s">
        <v>404</v>
      </c>
      <c r="I364">
        <v>447</v>
      </c>
    </row>
    <row r="365" spans="1:10">
      <c r="A365" s="113" t="s">
        <v>764</v>
      </c>
      <c r="B365" s="113" t="s">
        <v>391</v>
      </c>
      <c r="C365" s="113" t="s">
        <v>392</v>
      </c>
      <c r="D365" s="113" t="s">
        <v>397</v>
      </c>
      <c r="E365">
        <v>3477</v>
      </c>
      <c r="F365" s="113" t="s">
        <v>1205</v>
      </c>
      <c r="G365" s="113" t="s">
        <v>406</v>
      </c>
      <c r="H365" s="113" t="s">
        <v>420</v>
      </c>
      <c r="I365" s="113">
        <v>20</v>
      </c>
      <c r="J365" s="113"/>
    </row>
    <row r="366" spans="1:10">
      <c r="A366" s="113" t="s">
        <v>764</v>
      </c>
      <c r="B366" s="113" t="s">
        <v>391</v>
      </c>
      <c r="C366" s="113" t="s">
        <v>401</v>
      </c>
      <c r="D366" s="113" t="s">
        <v>393</v>
      </c>
      <c r="E366">
        <v>3649</v>
      </c>
      <c r="F366" s="113" t="s">
        <v>1206</v>
      </c>
      <c r="G366" s="113" t="s">
        <v>394</v>
      </c>
      <c r="H366" s="113" t="s">
        <v>405</v>
      </c>
      <c r="I366" s="113">
        <v>348</v>
      </c>
      <c r="J366" s="113"/>
    </row>
    <row r="367" spans="1:10">
      <c r="A367" s="113" t="s">
        <v>764</v>
      </c>
      <c r="B367" s="113" t="s">
        <v>391</v>
      </c>
      <c r="C367" s="113" t="s">
        <v>401</v>
      </c>
      <c r="D367" s="113" t="s">
        <v>393</v>
      </c>
      <c r="E367">
        <v>3664</v>
      </c>
      <c r="F367" s="113" t="s">
        <v>1207</v>
      </c>
      <c r="G367" s="113" t="s">
        <v>406</v>
      </c>
      <c r="H367" s="113" t="s">
        <v>405</v>
      </c>
      <c r="I367" s="113">
        <v>60</v>
      </c>
      <c r="J367" s="113"/>
    </row>
    <row r="368" spans="1:10">
      <c r="A368" s="113" t="s">
        <v>764</v>
      </c>
      <c r="B368" s="113" t="s">
        <v>391</v>
      </c>
      <c r="C368" s="113" t="s">
        <v>392</v>
      </c>
      <c r="D368" s="113" t="s">
        <v>393</v>
      </c>
      <c r="E368">
        <v>3934</v>
      </c>
      <c r="F368" s="113" t="s">
        <v>770</v>
      </c>
      <c r="G368" s="113" t="s">
        <v>394</v>
      </c>
      <c r="H368" s="113" t="s">
        <v>405</v>
      </c>
      <c r="I368">
        <v>88</v>
      </c>
    </row>
    <row r="369" spans="1:10">
      <c r="A369" s="113" t="s">
        <v>764</v>
      </c>
      <c r="B369" s="113" t="s">
        <v>391</v>
      </c>
      <c r="C369" s="113" t="s">
        <v>403</v>
      </c>
      <c r="D369" s="113" t="s">
        <v>393</v>
      </c>
      <c r="E369">
        <v>3960</v>
      </c>
      <c r="F369" s="113" t="s">
        <v>771</v>
      </c>
      <c r="G369" s="113" t="s">
        <v>406</v>
      </c>
      <c r="H369" s="113" t="s">
        <v>405</v>
      </c>
      <c r="I369" s="113">
        <v>27</v>
      </c>
      <c r="J369" s="113"/>
    </row>
    <row r="370" spans="1:10">
      <c r="A370" s="113" t="s">
        <v>764</v>
      </c>
      <c r="B370" s="113" t="s">
        <v>391</v>
      </c>
      <c r="C370" s="113" t="s">
        <v>401</v>
      </c>
      <c r="D370" s="113" t="s">
        <v>393</v>
      </c>
      <c r="E370">
        <v>4755</v>
      </c>
      <c r="F370" s="113" t="s">
        <v>772</v>
      </c>
      <c r="G370" s="113" t="s">
        <v>394</v>
      </c>
      <c r="H370" s="113" t="s">
        <v>399</v>
      </c>
      <c r="I370" s="113" t="s">
        <v>773</v>
      </c>
      <c r="J370" s="113" t="s">
        <v>1208</v>
      </c>
    </row>
    <row r="371" spans="1:10">
      <c r="A371" s="113" t="s">
        <v>764</v>
      </c>
      <c r="B371" s="113" t="s">
        <v>391</v>
      </c>
      <c r="C371" s="113" t="s">
        <v>392</v>
      </c>
      <c r="D371" s="113" t="s">
        <v>393</v>
      </c>
      <c r="E371">
        <v>5304</v>
      </c>
      <c r="F371" s="113" t="s">
        <v>774</v>
      </c>
      <c r="G371" s="113" t="s">
        <v>402</v>
      </c>
      <c r="H371" s="113" t="s">
        <v>502</v>
      </c>
      <c r="I371" s="113">
        <v>373</v>
      </c>
      <c r="J371" s="113"/>
    </row>
    <row r="372" spans="1:10">
      <c r="A372" s="113" t="s">
        <v>764</v>
      </c>
      <c r="B372" s="113" t="s">
        <v>391</v>
      </c>
      <c r="C372" s="113" t="s">
        <v>392</v>
      </c>
      <c r="D372" s="113" t="s">
        <v>393</v>
      </c>
      <c r="E372">
        <v>6033</v>
      </c>
      <c r="F372" s="113" t="s">
        <v>775</v>
      </c>
      <c r="G372" s="113" t="s">
        <v>406</v>
      </c>
      <c r="H372" s="113" t="s">
        <v>399</v>
      </c>
      <c r="I372" s="113">
        <v>112</v>
      </c>
      <c r="J372" s="113"/>
    </row>
    <row r="373" spans="1:10">
      <c r="A373" s="113" t="s">
        <v>764</v>
      </c>
      <c r="B373" s="113" t="s">
        <v>391</v>
      </c>
      <c r="C373" s="113" t="s">
        <v>392</v>
      </c>
      <c r="D373" s="113" t="s">
        <v>393</v>
      </c>
      <c r="E373">
        <v>6125</v>
      </c>
      <c r="F373" s="113" t="s">
        <v>1036</v>
      </c>
      <c r="G373" s="113" t="s">
        <v>402</v>
      </c>
      <c r="H373" s="113" t="s">
        <v>415</v>
      </c>
      <c r="I373">
        <v>148</v>
      </c>
    </row>
    <row r="374" spans="1:10">
      <c r="A374" s="113" t="s">
        <v>764</v>
      </c>
      <c r="B374" s="113" t="s">
        <v>391</v>
      </c>
      <c r="C374" s="113" t="s">
        <v>392</v>
      </c>
      <c r="D374" s="113" t="s">
        <v>393</v>
      </c>
      <c r="E374">
        <v>6303</v>
      </c>
      <c r="F374" s="113" t="s">
        <v>1209</v>
      </c>
      <c r="G374" s="113" t="s">
        <v>402</v>
      </c>
      <c r="H374" s="113" t="s">
        <v>415</v>
      </c>
      <c r="I374" s="113">
        <v>74</v>
      </c>
      <c r="J374" s="113"/>
    </row>
    <row r="375" spans="1:10">
      <c r="A375" s="113" t="s">
        <v>764</v>
      </c>
      <c r="B375" s="113" t="s">
        <v>391</v>
      </c>
      <c r="C375" s="113" t="s">
        <v>392</v>
      </c>
      <c r="D375" s="113" t="s">
        <v>393</v>
      </c>
      <c r="E375">
        <v>7070</v>
      </c>
      <c r="F375" s="113" t="s">
        <v>776</v>
      </c>
      <c r="G375" s="113" t="s">
        <v>398</v>
      </c>
      <c r="H375" s="113" t="s">
        <v>399</v>
      </c>
      <c r="I375">
        <v>42</v>
      </c>
    </row>
    <row r="376" spans="1:10">
      <c r="A376" s="113" t="s">
        <v>764</v>
      </c>
      <c r="B376" s="113" t="s">
        <v>391</v>
      </c>
      <c r="C376" s="113" t="s">
        <v>392</v>
      </c>
      <c r="D376" s="113" t="s">
        <v>393</v>
      </c>
      <c r="E376">
        <v>7780</v>
      </c>
      <c r="F376" s="113" t="s">
        <v>777</v>
      </c>
      <c r="G376" s="113" t="s">
        <v>394</v>
      </c>
      <c r="H376" s="113" t="s">
        <v>661</v>
      </c>
      <c r="I376" s="113" t="s">
        <v>449</v>
      </c>
      <c r="J376" s="113" t="s">
        <v>1210</v>
      </c>
    </row>
    <row r="377" spans="1:10">
      <c r="A377" s="113" t="s">
        <v>764</v>
      </c>
      <c r="B377" s="113" t="s">
        <v>391</v>
      </c>
      <c r="C377" s="113" t="s">
        <v>392</v>
      </c>
      <c r="D377" s="113" t="s">
        <v>393</v>
      </c>
      <c r="E377">
        <v>9707</v>
      </c>
      <c r="F377" s="113" t="s">
        <v>778</v>
      </c>
      <c r="G377" s="113" t="s">
        <v>398</v>
      </c>
      <c r="H377" s="113" t="s">
        <v>399</v>
      </c>
      <c r="I377" s="113">
        <v>131</v>
      </c>
      <c r="J377" s="113"/>
    </row>
    <row r="378" spans="1:10">
      <c r="A378" s="113" t="s">
        <v>779</v>
      </c>
      <c r="B378" s="113" t="s">
        <v>391</v>
      </c>
      <c r="C378" s="113" t="s">
        <v>392</v>
      </c>
      <c r="D378" s="113" t="s">
        <v>393</v>
      </c>
      <c r="E378">
        <v>2181</v>
      </c>
      <c r="F378" s="113" t="s">
        <v>1037</v>
      </c>
      <c r="G378" s="113" t="s">
        <v>394</v>
      </c>
      <c r="H378" s="113" t="s">
        <v>399</v>
      </c>
      <c r="I378" s="113" t="s">
        <v>545</v>
      </c>
      <c r="J378" s="113" t="s">
        <v>1211</v>
      </c>
    </row>
    <row r="379" spans="1:10">
      <c r="A379" s="113" t="s">
        <v>779</v>
      </c>
      <c r="B379" s="113" t="s">
        <v>391</v>
      </c>
      <c r="C379" s="113" t="s">
        <v>392</v>
      </c>
      <c r="D379" s="113" t="s">
        <v>397</v>
      </c>
      <c r="E379">
        <v>2334</v>
      </c>
      <c r="F379" s="113" t="s">
        <v>1038</v>
      </c>
      <c r="G379" s="113" t="s">
        <v>406</v>
      </c>
      <c r="H379" s="113" t="s">
        <v>399</v>
      </c>
      <c r="I379" s="113">
        <v>53</v>
      </c>
      <c r="J379" s="113"/>
    </row>
    <row r="380" spans="1:10">
      <c r="A380" s="113" t="s">
        <v>779</v>
      </c>
      <c r="B380" s="113" t="s">
        <v>391</v>
      </c>
      <c r="C380" s="113" t="s">
        <v>401</v>
      </c>
      <c r="D380" s="113" t="s">
        <v>393</v>
      </c>
      <c r="E380">
        <v>2492</v>
      </c>
      <c r="F380" s="113" t="s">
        <v>1212</v>
      </c>
      <c r="G380" s="113" t="s">
        <v>394</v>
      </c>
      <c r="H380" s="113" t="s">
        <v>399</v>
      </c>
      <c r="I380" s="113" t="s">
        <v>417</v>
      </c>
      <c r="J380" s="113" t="s">
        <v>1213</v>
      </c>
    </row>
    <row r="381" spans="1:10">
      <c r="A381" s="113" t="s">
        <v>779</v>
      </c>
      <c r="B381" s="113" t="s">
        <v>391</v>
      </c>
      <c r="C381" s="113" t="s">
        <v>403</v>
      </c>
      <c r="D381" s="113" t="s">
        <v>393</v>
      </c>
      <c r="E381">
        <v>3135</v>
      </c>
      <c r="F381" s="113" t="s">
        <v>780</v>
      </c>
      <c r="G381" s="113" t="s">
        <v>406</v>
      </c>
      <c r="H381" s="113" t="s">
        <v>404</v>
      </c>
      <c r="I381" s="113">
        <v>171</v>
      </c>
      <c r="J381" s="113"/>
    </row>
    <row r="382" spans="1:10">
      <c r="A382" s="113" t="s">
        <v>779</v>
      </c>
      <c r="B382" s="113" t="s">
        <v>391</v>
      </c>
      <c r="C382" s="113" t="s">
        <v>392</v>
      </c>
      <c r="D382" s="113" t="s">
        <v>393</v>
      </c>
      <c r="E382">
        <v>3184</v>
      </c>
      <c r="F382" s="113" t="s">
        <v>1214</v>
      </c>
      <c r="G382" s="113" t="s">
        <v>402</v>
      </c>
      <c r="H382" s="113" t="s">
        <v>404</v>
      </c>
      <c r="I382" s="113">
        <v>34</v>
      </c>
      <c r="J382" s="113"/>
    </row>
    <row r="383" spans="1:10">
      <c r="A383" s="113" t="s">
        <v>779</v>
      </c>
      <c r="B383" s="113" t="s">
        <v>391</v>
      </c>
      <c r="C383" s="113" t="s">
        <v>392</v>
      </c>
      <c r="D383" s="113" t="s">
        <v>397</v>
      </c>
      <c r="E383">
        <v>3489</v>
      </c>
      <c r="F383" s="113" t="s">
        <v>1215</v>
      </c>
      <c r="G383" s="113" t="s">
        <v>406</v>
      </c>
      <c r="H383" s="113" t="s">
        <v>420</v>
      </c>
      <c r="I383" s="113">
        <v>64</v>
      </c>
      <c r="J383" s="113"/>
    </row>
    <row r="384" spans="1:10">
      <c r="A384" s="113" t="s">
        <v>779</v>
      </c>
      <c r="B384" s="113" t="s">
        <v>391</v>
      </c>
      <c r="C384" s="113" t="s">
        <v>392</v>
      </c>
      <c r="D384" s="113" t="s">
        <v>393</v>
      </c>
      <c r="E384">
        <v>4620</v>
      </c>
      <c r="F384" s="113" t="s">
        <v>781</v>
      </c>
      <c r="G384" s="113" t="s">
        <v>394</v>
      </c>
      <c r="H384" s="113" t="s">
        <v>407</v>
      </c>
      <c r="I384" s="113">
        <v>186</v>
      </c>
      <c r="J384" s="113"/>
    </row>
    <row r="385" spans="1:10">
      <c r="A385" s="113" t="s">
        <v>779</v>
      </c>
      <c r="B385" s="113" t="s">
        <v>391</v>
      </c>
      <c r="C385" s="113" t="s">
        <v>401</v>
      </c>
      <c r="D385" s="113" t="s">
        <v>393</v>
      </c>
      <c r="E385">
        <v>6141</v>
      </c>
      <c r="F385" s="113" t="s">
        <v>782</v>
      </c>
      <c r="G385" s="113" t="s">
        <v>394</v>
      </c>
      <c r="H385" s="113" t="s">
        <v>415</v>
      </c>
      <c r="I385" s="113" t="s">
        <v>417</v>
      </c>
      <c r="J385" s="113" t="s">
        <v>1216</v>
      </c>
    </row>
    <row r="386" spans="1:10">
      <c r="A386" s="113" t="s">
        <v>779</v>
      </c>
      <c r="B386" s="113" t="s">
        <v>391</v>
      </c>
      <c r="C386" s="113" t="s">
        <v>392</v>
      </c>
      <c r="D386" s="113" t="s">
        <v>393</v>
      </c>
      <c r="E386">
        <v>6247</v>
      </c>
      <c r="F386" s="113" t="s">
        <v>783</v>
      </c>
      <c r="G386" s="113" t="s">
        <v>394</v>
      </c>
      <c r="H386" s="113" t="s">
        <v>415</v>
      </c>
      <c r="I386">
        <v>326</v>
      </c>
    </row>
    <row r="387" spans="1:10">
      <c r="A387" s="113" t="s">
        <v>779</v>
      </c>
      <c r="B387" s="113" t="s">
        <v>391</v>
      </c>
      <c r="C387" s="113" t="s">
        <v>392</v>
      </c>
      <c r="D387" s="113" t="s">
        <v>393</v>
      </c>
      <c r="E387">
        <v>7199</v>
      </c>
      <c r="F387" s="113" t="s">
        <v>784</v>
      </c>
      <c r="G387" s="113" t="s">
        <v>394</v>
      </c>
      <c r="H387" s="113" t="s">
        <v>466</v>
      </c>
      <c r="I387">
        <v>308</v>
      </c>
    </row>
    <row r="388" spans="1:10">
      <c r="A388" s="113" t="s">
        <v>785</v>
      </c>
      <c r="B388" s="113" t="s">
        <v>391</v>
      </c>
      <c r="C388" s="113" t="s">
        <v>401</v>
      </c>
      <c r="D388" s="113" t="s">
        <v>397</v>
      </c>
      <c r="E388">
        <v>8985</v>
      </c>
      <c r="F388" s="113" t="s">
        <v>786</v>
      </c>
      <c r="G388" s="113" t="s">
        <v>481</v>
      </c>
      <c r="H388" s="113" t="s">
        <v>482</v>
      </c>
      <c r="I388" s="113" t="s">
        <v>634</v>
      </c>
      <c r="J388" s="113" t="s">
        <v>1217</v>
      </c>
    </row>
    <row r="389" spans="1:10">
      <c r="A389" s="113" t="s">
        <v>1218</v>
      </c>
      <c r="B389" s="113" t="s">
        <v>391</v>
      </c>
      <c r="C389" s="113" t="s">
        <v>392</v>
      </c>
      <c r="D389" s="113" t="s">
        <v>393</v>
      </c>
      <c r="E389">
        <v>2593</v>
      </c>
      <c r="F389" s="113" t="s">
        <v>410</v>
      </c>
      <c r="G389" s="113" t="s">
        <v>394</v>
      </c>
      <c r="H389" s="113" t="s">
        <v>395</v>
      </c>
      <c r="I389" s="113" t="s">
        <v>545</v>
      </c>
      <c r="J389" s="113" t="s">
        <v>1219</v>
      </c>
    </row>
    <row r="390" spans="1:10">
      <c r="A390" s="113" t="s">
        <v>1218</v>
      </c>
      <c r="B390" s="113" t="s">
        <v>391</v>
      </c>
      <c r="C390" s="113" t="s">
        <v>403</v>
      </c>
      <c r="D390" s="113" t="s">
        <v>393</v>
      </c>
      <c r="E390">
        <v>6267</v>
      </c>
      <c r="F390" s="113" t="s">
        <v>414</v>
      </c>
      <c r="G390" s="113" t="s">
        <v>398</v>
      </c>
      <c r="H390" s="113" t="s">
        <v>415</v>
      </c>
      <c r="I390" s="113">
        <v>36</v>
      </c>
      <c r="J390" s="113"/>
    </row>
    <row r="391" spans="1:10">
      <c r="A391" s="113" t="s">
        <v>1220</v>
      </c>
      <c r="B391" s="113" t="s">
        <v>391</v>
      </c>
      <c r="C391" s="113" t="s">
        <v>392</v>
      </c>
      <c r="D391" s="113" t="s">
        <v>393</v>
      </c>
      <c r="E391">
        <v>4750</v>
      </c>
      <c r="F391" s="113" t="s">
        <v>408</v>
      </c>
      <c r="G391" s="113" t="s">
        <v>402</v>
      </c>
      <c r="H391" s="113" t="s">
        <v>399</v>
      </c>
      <c r="I391">
        <v>52</v>
      </c>
    </row>
    <row r="392" spans="1:10">
      <c r="A392" s="113" t="s">
        <v>787</v>
      </c>
      <c r="B392" s="113" t="s">
        <v>391</v>
      </c>
      <c r="C392" s="113" t="s">
        <v>392</v>
      </c>
      <c r="D392" s="113" t="s">
        <v>397</v>
      </c>
      <c r="E392">
        <v>1723</v>
      </c>
      <c r="F392" s="113" t="s">
        <v>788</v>
      </c>
      <c r="G392" s="113" t="s">
        <v>398</v>
      </c>
      <c r="H392" s="113" t="s">
        <v>428</v>
      </c>
      <c r="I392">
        <v>250</v>
      </c>
    </row>
    <row r="393" spans="1:10">
      <c r="A393" s="113" t="s">
        <v>787</v>
      </c>
      <c r="B393" s="113" t="s">
        <v>391</v>
      </c>
      <c r="C393" s="113" t="s">
        <v>392</v>
      </c>
      <c r="D393" s="113" t="s">
        <v>393</v>
      </c>
      <c r="E393">
        <v>1941</v>
      </c>
      <c r="F393" s="113" t="s">
        <v>789</v>
      </c>
      <c r="G393" s="113" t="s">
        <v>394</v>
      </c>
      <c r="H393" s="113" t="s">
        <v>428</v>
      </c>
      <c r="I393" s="113" t="s">
        <v>449</v>
      </c>
      <c r="J393" s="113" t="s">
        <v>1221</v>
      </c>
    </row>
    <row r="394" spans="1:10">
      <c r="A394" s="113" t="s">
        <v>787</v>
      </c>
      <c r="B394" s="113" t="s">
        <v>391</v>
      </c>
      <c r="C394" s="113" t="s">
        <v>392</v>
      </c>
      <c r="D394" s="113" t="s">
        <v>393</v>
      </c>
      <c r="E394">
        <v>1946</v>
      </c>
      <c r="F394" s="113" t="s">
        <v>790</v>
      </c>
      <c r="G394" s="113" t="s">
        <v>394</v>
      </c>
      <c r="H394" s="113" t="s">
        <v>428</v>
      </c>
      <c r="I394" s="113">
        <v>703</v>
      </c>
      <c r="J394" s="113"/>
    </row>
    <row r="395" spans="1:10">
      <c r="A395" s="113" t="s">
        <v>787</v>
      </c>
      <c r="B395" s="113" t="s">
        <v>391</v>
      </c>
      <c r="C395" s="113" t="s">
        <v>392</v>
      </c>
      <c r="D395" s="113" t="s">
        <v>393</v>
      </c>
      <c r="E395">
        <v>1959</v>
      </c>
      <c r="F395" s="113" t="s">
        <v>791</v>
      </c>
      <c r="G395" s="113" t="s">
        <v>394</v>
      </c>
      <c r="H395" s="113" t="s">
        <v>428</v>
      </c>
      <c r="I395" s="113" t="s">
        <v>417</v>
      </c>
      <c r="J395" s="113" t="s">
        <v>1012</v>
      </c>
    </row>
    <row r="396" spans="1:10">
      <c r="A396" s="113" t="s">
        <v>787</v>
      </c>
      <c r="B396" s="113" t="s">
        <v>391</v>
      </c>
      <c r="C396" s="113" t="s">
        <v>392</v>
      </c>
      <c r="D396" s="113" t="s">
        <v>393</v>
      </c>
      <c r="E396">
        <v>2148</v>
      </c>
      <c r="F396" s="113" t="s">
        <v>1039</v>
      </c>
      <c r="G396" s="113" t="s">
        <v>394</v>
      </c>
      <c r="H396" s="113" t="s">
        <v>399</v>
      </c>
      <c r="I396">
        <v>157</v>
      </c>
    </row>
    <row r="397" spans="1:10">
      <c r="A397" s="113" t="s">
        <v>787</v>
      </c>
      <c r="B397" s="113" t="s">
        <v>391</v>
      </c>
      <c r="C397" s="113" t="s">
        <v>392</v>
      </c>
      <c r="D397" s="113" t="s">
        <v>393</v>
      </c>
      <c r="E397">
        <v>2326</v>
      </c>
      <c r="F397" s="113" t="s">
        <v>1040</v>
      </c>
      <c r="G397" s="113" t="s">
        <v>394</v>
      </c>
      <c r="H397" s="113" t="s">
        <v>405</v>
      </c>
      <c r="I397">
        <v>832</v>
      </c>
    </row>
    <row r="398" spans="1:10">
      <c r="A398" s="113" t="s">
        <v>787</v>
      </c>
      <c r="B398" s="113" t="s">
        <v>391</v>
      </c>
      <c r="C398" s="113" t="s">
        <v>392</v>
      </c>
      <c r="D398" s="113" t="s">
        <v>397</v>
      </c>
      <c r="E398">
        <v>2332</v>
      </c>
      <c r="F398" s="113" t="s">
        <v>792</v>
      </c>
      <c r="G398" s="113" t="s">
        <v>398</v>
      </c>
      <c r="H398" s="113" t="s">
        <v>405</v>
      </c>
      <c r="I398" s="113">
        <v>62</v>
      </c>
      <c r="J398" s="113"/>
    </row>
    <row r="399" spans="1:10">
      <c r="A399" s="113" t="s">
        <v>787</v>
      </c>
      <c r="B399" s="113" t="s">
        <v>391</v>
      </c>
      <c r="C399" s="113" t="s">
        <v>392</v>
      </c>
      <c r="D399" s="113" t="s">
        <v>393</v>
      </c>
      <c r="E399">
        <v>3116</v>
      </c>
      <c r="F399" s="113" t="s">
        <v>1222</v>
      </c>
      <c r="G399" s="113" t="s">
        <v>394</v>
      </c>
      <c r="H399" s="113" t="s">
        <v>445</v>
      </c>
      <c r="I399" s="113" t="s">
        <v>634</v>
      </c>
      <c r="J399" s="113" t="s">
        <v>1223</v>
      </c>
    </row>
    <row r="400" spans="1:10">
      <c r="A400" s="113" t="s">
        <v>787</v>
      </c>
      <c r="B400" s="113" t="s">
        <v>391</v>
      </c>
      <c r="C400" s="113" t="s">
        <v>392</v>
      </c>
      <c r="D400" s="113" t="s">
        <v>393</v>
      </c>
      <c r="E400">
        <v>3132</v>
      </c>
      <c r="F400" s="113" t="s">
        <v>1224</v>
      </c>
      <c r="G400" s="113" t="s">
        <v>394</v>
      </c>
      <c r="H400" s="113" t="s">
        <v>400</v>
      </c>
      <c r="I400" s="113" t="s">
        <v>449</v>
      </c>
      <c r="J400" s="113" t="s">
        <v>1225</v>
      </c>
    </row>
    <row r="401" spans="1:10">
      <c r="A401" s="113" t="s">
        <v>787</v>
      </c>
      <c r="B401" s="113" t="s">
        <v>391</v>
      </c>
      <c r="C401" s="113" t="s">
        <v>392</v>
      </c>
      <c r="D401" s="113" t="s">
        <v>397</v>
      </c>
      <c r="E401">
        <v>3177</v>
      </c>
      <c r="F401" s="113" t="s">
        <v>793</v>
      </c>
      <c r="G401" s="113" t="s">
        <v>398</v>
      </c>
      <c r="H401" s="113" t="s">
        <v>404</v>
      </c>
      <c r="I401" s="113">
        <v>22</v>
      </c>
      <c r="J401" s="113"/>
    </row>
    <row r="402" spans="1:10">
      <c r="A402" s="113" t="s">
        <v>787</v>
      </c>
      <c r="B402" s="113" t="s">
        <v>391</v>
      </c>
      <c r="C402" s="113" t="s">
        <v>392</v>
      </c>
      <c r="D402" s="113" t="s">
        <v>393</v>
      </c>
      <c r="E402">
        <v>3231</v>
      </c>
      <c r="F402" s="113" t="s">
        <v>794</v>
      </c>
      <c r="G402" s="113" t="s">
        <v>394</v>
      </c>
      <c r="H402" s="113" t="s">
        <v>420</v>
      </c>
      <c r="I402" s="113" t="s">
        <v>411</v>
      </c>
      <c r="J402" s="113" t="s">
        <v>1226</v>
      </c>
    </row>
    <row r="403" spans="1:10">
      <c r="A403" s="113" t="s">
        <v>787</v>
      </c>
      <c r="B403" s="113" t="s">
        <v>391</v>
      </c>
      <c r="C403" s="113" t="s">
        <v>392</v>
      </c>
      <c r="D403" s="113" t="s">
        <v>397</v>
      </c>
      <c r="E403">
        <v>3564</v>
      </c>
      <c r="F403" s="113" t="s">
        <v>1227</v>
      </c>
      <c r="G403" s="113" t="s">
        <v>394</v>
      </c>
      <c r="H403" s="113" t="s">
        <v>404</v>
      </c>
      <c r="I403">
        <v>867</v>
      </c>
    </row>
    <row r="404" spans="1:10">
      <c r="A404" s="113" t="s">
        <v>787</v>
      </c>
      <c r="B404" s="113" t="s">
        <v>391</v>
      </c>
      <c r="C404" s="113" t="s">
        <v>392</v>
      </c>
      <c r="D404" s="113" t="s">
        <v>397</v>
      </c>
      <c r="E404">
        <v>3658</v>
      </c>
      <c r="F404" s="113" t="s">
        <v>1228</v>
      </c>
      <c r="G404" s="113" t="s">
        <v>394</v>
      </c>
      <c r="H404" s="113" t="s">
        <v>405</v>
      </c>
      <c r="I404">
        <v>112</v>
      </c>
    </row>
    <row r="405" spans="1:10">
      <c r="A405" s="113" t="s">
        <v>787</v>
      </c>
      <c r="B405" s="113" t="s">
        <v>391</v>
      </c>
      <c r="C405" s="113" t="s">
        <v>392</v>
      </c>
      <c r="D405" s="113" t="s">
        <v>393</v>
      </c>
      <c r="E405">
        <v>3778</v>
      </c>
      <c r="F405" s="113" t="s">
        <v>1229</v>
      </c>
      <c r="G405" s="113" t="s">
        <v>394</v>
      </c>
      <c r="H405" s="113" t="s">
        <v>405</v>
      </c>
      <c r="I405">
        <v>251</v>
      </c>
    </row>
    <row r="406" spans="1:10">
      <c r="A406" s="113" t="s">
        <v>787</v>
      </c>
      <c r="B406" s="113" t="s">
        <v>391</v>
      </c>
      <c r="C406" s="113" t="s">
        <v>392</v>
      </c>
      <c r="D406" s="113" t="s">
        <v>397</v>
      </c>
      <c r="E406">
        <v>4333</v>
      </c>
      <c r="F406" s="113" t="s">
        <v>795</v>
      </c>
      <c r="G406" s="113" t="s">
        <v>394</v>
      </c>
      <c r="H406" s="113" t="s">
        <v>405</v>
      </c>
      <c r="I406">
        <v>133</v>
      </c>
    </row>
    <row r="407" spans="1:10">
      <c r="A407" s="113" t="s">
        <v>787</v>
      </c>
      <c r="B407" s="113" t="s">
        <v>391</v>
      </c>
      <c r="C407" s="113" t="s">
        <v>396</v>
      </c>
      <c r="D407" s="113" t="s">
        <v>397</v>
      </c>
      <c r="E407">
        <v>4393</v>
      </c>
      <c r="F407" s="113" t="s">
        <v>796</v>
      </c>
      <c r="G407" s="113" t="s">
        <v>406</v>
      </c>
      <c r="H407" s="113" t="s">
        <v>405</v>
      </c>
      <c r="I407" s="113">
        <v>115</v>
      </c>
      <c r="J407" s="113"/>
    </row>
    <row r="408" spans="1:10">
      <c r="A408" s="113" t="s">
        <v>787</v>
      </c>
      <c r="B408" s="113" t="s">
        <v>391</v>
      </c>
      <c r="C408" s="113" t="s">
        <v>392</v>
      </c>
      <c r="D408" s="113" t="s">
        <v>393</v>
      </c>
      <c r="E408">
        <v>4557</v>
      </c>
      <c r="F408" s="113" t="s">
        <v>797</v>
      </c>
      <c r="G408" s="113" t="s">
        <v>398</v>
      </c>
      <c r="H408" s="113" t="s">
        <v>516</v>
      </c>
      <c r="I408">
        <v>234</v>
      </c>
    </row>
    <row r="409" spans="1:10">
      <c r="A409" s="113" t="s">
        <v>787</v>
      </c>
      <c r="B409" s="113" t="s">
        <v>391</v>
      </c>
      <c r="C409" s="113" t="s">
        <v>392</v>
      </c>
      <c r="D409" s="113" t="s">
        <v>393</v>
      </c>
      <c r="E409">
        <v>4684</v>
      </c>
      <c r="F409" s="113" t="s">
        <v>798</v>
      </c>
      <c r="G409" s="113" t="s">
        <v>394</v>
      </c>
      <c r="H409" s="113" t="s">
        <v>405</v>
      </c>
      <c r="I409" s="113" t="s">
        <v>799</v>
      </c>
      <c r="J409" s="113" t="s">
        <v>1230</v>
      </c>
    </row>
    <row r="410" spans="1:10">
      <c r="A410" s="113" t="s">
        <v>787</v>
      </c>
      <c r="B410" s="113" t="s">
        <v>391</v>
      </c>
      <c r="C410" s="113" t="s">
        <v>392</v>
      </c>
      <c r="D410" s="113" t="s">
        <v>393</v>
      </c>
      <c r="E410">
        <v>4689</v>
      </c>
      <c r="F410" s="113" t="s">
        <v>800</v>
      </c>
      <c r="G410" s="113" t="s">
        <v>394</v>
      </c>
      <c r="H410" s="113" t="s">
        <v>405</v>
      </c>
      <c r="I410" s="113" t="s">
        <v>801</v>
      </c>
      <c r="J410" s="113" t="s">
        <v>1231</v>
      </c>
    </row>
    <row r="411" spans="1:10">
      <c r="A411" s="113" t="s">
        <v>787</v>
      </c>
      <c r="B411" s="113" t="s">
        <v>391</v>
      </c>
      <c r="C411" s="113" t="s">
        <v>392</v>
      </c>
      <c r="D411" s="113" t="s">
        <v>397</v>
      </c>
      <c r="E411">
        <v>6022</v>
      </c>
      <c r="F411" s="113" t="s">
        <v>802</v>
      </c>
      <c r="G411" s="113" t="s">
        <v>402</v>
      </c>
      <c r="H411" s="113" t="s">
        <v>415</v>
      </c>
      <c r="I411">
        <v>28</v>
      </c>
    </row>
    <row r="412" spans="1:10">
      <c r="A412" s="113" t="s">
        <v>787</v>
      </c>
      <c r="B412" s="113" t="s">
        <v>391</v>
      </c>
      <c r="C412" s="113" t="s">
        <v>392</v>
      </c>
      <c r="D412" s="113" t="s">
        <v>393</v>
      </c>
      <c r="E412">
        <v>6201</v>
      </c>
      <c r="F412" s="113" t="s">
        <v>803</v>
      </c>
      <c r="G412" s="113" t="s">
        <v>394</v>
      </c>
      <c r="H412" s="113" t="s">
        <v>445</v>
      </c>
      <c r="I412" s="113" t="s">
        <v>1232</v>
      </c>
      <c r="J412" s="113" t="s">
        <v>1233</v>
      </c>
    </row>
    <row r="413" spans="1:10">
      <c r="A413" s="113" t="s">
        <v>787</v>
      </c>
      <c r="B413" s="113" t="s">
        <v>391</v>
      </c>
      <c r="C413" s="113" t="s">
        <v>392</v>
      </c>
      <c r="D413" s="113" t="s">
        <v>393</v>
      </c>
      <c r="E413">
        <v>6301</v>
      </c>
      <c r="F413" s="113" t="s">
        <v>805</v>
      </c>
      <c r="G413" s="113" t="s">
        <v>394</v>
      </c>
      <c r="H413" s="113" t="s">
        <v>415</v>
      </c>
      <c r="I413" s="113" t="s">
        <v>1234</v>
      </c>
      <c r="J413" s="113" t="s">
        <v>1235</v>
      </c>
    </row>
    <row r="414" spans="1:10">
      <c r="A414" s="113" t="s">
        <v>787</v>
      </c>
      <c r="B414" s="113" t="s">
        <v>391</v>
      </c>
      <c r="C414" s="113" t="s">
        <v>392</v>
      </c>
      <c r="D414" s="113" t="s">
        <v>393</v>
      </c>
      <c r="E414">
        <v>6395</v>
      </c>
      <c r="F414" s="113" t="s">
        <v>806</v>
      </c>
      <c r="G414" s="113" t="s">
        <v>394</v>
      </c>
      <c r="H414" s="113" t="s">
        <v>415</v>
      </c>
      <c r="I414" s="113" t="s">
        <v>449</v>
      </c>
      <c r="J414" s="113" t="s">
        <v>1236</v>
      </c>
    </row>
    <row r="415" spans="1:10">
      <c r="A415" s="113" t="s">
        <v>787</v>
      </c>
      <c r="B415" s="113" t="s">
        <v>391</v>
      </c>
      <c r="C415" s="113" t="s">
        <v>392</v>
      </c>
      <c r="D415" s="113" t="s">
        <v>393</v>
      </c>
      <c r="E415">
        <v>6645</v>
      </c>
      <c r="F415" s="113" t="s">
        <v>808</v>
      </c>
      <c r="G415" s="113" t="s">
        <v>394</v>
      </c>
      <c r="H415" s="113" t="s">
        <v>419</v>
      </c>
      <c r="I415" s="113" t="s">
        <v>773</v>
      </c>
      <c r="J415" s="113" t="s">
        <v>815</v>
      </c>
    </row>
    <row r="416" spans="1:10">
      <c r="A416" s="113" t="s">
        <v>787</v>
      </c>
      <c r="B416" s="113" t="s">
        <v>391</v>
      </c>
      <c r="C416" s="113" t="s">
        <v>392</v>
      </c>
      <c r="D416" s="113" t="s">
        <v>393</v>
      </c>
      <c r="E416">
        <v>6788</v>
      </c>
      <c r="F416" s="113" t="s">
        <v>809</v>
      </c>
      <c r="G416" s="113" t="s">
        <v>394</v>
      </c>
      <c r="H416" s="113" t="s">
        <v>419</v>
      </c>
      <c r="I416">
        <v>419</v>
      </c>
    </row>
    <row r="417" spans="1:10">
      <c r="A417" s="113" t="s">
        <v>787</v>
      </c>
      <c r="B417" s="113" t="s">
        <v>391</v>
      </c>
      <c r="C417" s="113" t="s">
        <v>392</v>
      </c>
      <c r="D417" s="113" t="s">
        <v>393</v>
      </c>
      <c r="E417">
        <v>7278</v>
      </c>
      <c r="F417" s="113" t="s">
        <v>810</v>
      </c>
      <c r="G417" s="113" t="s">
        <v>394</v>
      </c>
      <c r="H417" s="113" t="s">
        <v>445</v>
      </c>
      <c r="I417" s="113" t="s">
        <v>449</v>
      </c>
      <c r="J417" s="113" t="s">
        <v>1237</v>
      </c>
    </row>
    <row r="418" spans="1:10">
      <c r="A418" s="113" t="s">
        <v>787</v>
      </c>
      <c r="B418" s="113" t="s">
        <v>391</v>
      </c>
      <c r="C418" s="113" t="s">
        <v>403</v>
      </c>
      <c r="D418" s="113" t="s">
        <v>397</v>
      </c>
      <c r="E418">
        <v>7500</v>
      </c>
      <c r="F418" s="113" t="s">
        <v>1238</v>
      </c>
      <c r="G418" s="113" t="s">
        <v>398</v>
      </c>
      <c r="H418" s="113" t="s">
        <v>400</v>
      </c>
      <c r="I418">
        <v>147</v>
      </c>
    </row>
    <row r="419" spans="1:10">
      <c r="A419" s="113" t="s">
        <v>787</v>
      </c>
      <c r="B419" s="113" t="s">
        <v>391</v>
      </c>
      <c r="C419" s="113" t="s">
        <v>392</v>
      </c>
      <c r="D419" s="113" t="s">
        <v>393</v>
      </c>
      <c r="E419">
        <v>7995</v>
      </c>
      <c r="F419" s="113" t="s">
        <v>811</v>
      </c>
      <c r="G419" s="113" t="s">
        <v>394</v>
      </c>
      <c r="H419" s="113" t="s">
        <v>407</v>
      </c>
      <c r="I419">
        <v>488</v>
      </c>
    </row>
    <row r="420" spans="1:10">
      <c r="A420" s="113" t="s">
        <v>787</v>
      </c>
      <c r="B420" s="113" t="s">
        <v>391</v>
      </c>
      <c r="C420" s="113" t="s">
        <v>392</v>
      </c>
      <c r="D420" s="113" t="s">
        <v>393</v>
      </c>
      <c r="E420">
        <v>8242</v>
      </c>
      <c r="F420" s="113" t="s">
        <v>812</v>
      </c>
      <c r="G420" s="113" t="s">
        <v>394</v>
      </c>
      <c r="H420" s="113" t="s">
        <v>404</v>
      </c>
      <c r="I420" s="113" t="s">
        <v>449</v>
      </c>
      <c r="J420" s="113" t="s">
        <v>1239</v>
      </c>
    </row>
    <row r="421" spans="1:10">
      <c r="A421" s="113" t="s">
        <v>787</v>
      </c>
      <c r="B421" s="113" t="s">
        <v>391</v>
      </c>
      <c r="C421" s="113" t="s">
        <v>392</v>
      </c>
      <c r="D421" s="113" t="s">
        <v>393</v>
      </c>
      <c r="E421">
        <v>8304</v>
      </c>
      <c r="F421" s="113" t="s">
        <v>813</v>
      </c>
      <c r="G421" s="113" t="s">
        <v>394</v>
      </c>
      <c r="H421" s="113" t="s">
        <v>814</v>
      </c>
      <c r="I421" s="113" t="s">
        <v>634</v>
      </c>
      <c r="J421" s="113" t="s">
        <v>1240</v>
      </c>
    </row>
    <row r="422" spans="1:10">
      <c r="A422" s="113" t="s">
        <v>787</v>
      </c>
      <c r="B422" s="113" t="s">
        <v>391</v>
      </c>
      <c r="C422" s="113" t="s">
        <v>392</v>
      </c>
      <c r="D422" s="113" t="s">
        <v>393</v>
      </c>
      <c r="E422">
        <v>9202</v>
      </c>
      <c r="F422" s="113" t="s">
        <v>816</v>
      </c>
      <c r="G422" s="113" t="s">
        <v>394</v>
      </c>
      <c r="H422" s="113" t="s">
        <v>817</v>
      </c>
      <c r="I422" s="113" t="s">
        <v>900</v>
      </c>
      <c r="J422" s="113" t="s">
        <v>1241</v>
      </c>
    </row>
    <row r="423" spans="1:10">
      <c r="A423" s="113" t="s">
        <v>787</v>
      </c>
      <c r="B423" s="113" t="s">
        <v>391</v>
      </c>
      <c r="C423" s="113" t="s">
        <v>392</v>
      </c>
      <c r="D423" s="113" t="s">
        <v>393</v>
      </c>
      <c r="E423">
        <v>9474</v>
      </c>
      <c r="F423" s="113" t="s">
        <v>818</v>
      </c>
      <c r="G423" s="113" t="s">
        <v>394</v>
      </c>
      <c r="H423" s="113" t="s">
        <v>405</v>
      </c>
      <c r="I423" s="113" t="s">
        <v>449</v>
      </c>
      <c r="J423" s="113" t="s">
        <v>1031</v>
      </c>
    </row>
    <row r="424" spans="1:10">
      <c r="A424" s="113" t="s">
        <v>787</v>
      </c>
      <c r="B424" s="113" t="s">
        <v>391</v>
      </c>
      <c r="C424" s="113" t="s">
        <v>392</v>
      </c>
      <c r="D424" s="113" t="s">
        <v>393</v>
      </c>
      <c r="E424">
        <v>9502</v>
      </c>
      <c r="F424" s="113" t="s">
        <v>819</v>
      </c>
      <c r="G424" s="113" t="s">
        <v>394</v>
      </c>
      <c r="H424" s="113" t="s">
        <v>820</v>
      </c>
      <c r="I424" s="113" t="s">
        <v>821</v>
      </c>
      <c r="J424" s="113" t="s">
        <v>1242</v>
      </c>
    </row>
    <row r="425" spans="1:10">
      <c r="A425" s="113" t="s">
        <v>787</v>
      </c>
      <c r="B425" s="113" t="s">
        <v>391</v>
      </c>
      <c r="C425" s="113" t="s">
        <v>392</v>
      </c>
      <c r="D425" s="113" t="s">
        <v>393</v>
      </c>
      <c r="E425">
        <v>9504</v>
      </c>
      <c r="F425" s="113" t="s">
        <v>822</v>
      </c>
      <c r="G425" s="113" t="s">
        <v>394</v>
      </c>
      <c r="H425" s="113" t="s">
        <v>820</v>
      </c>
      <c r="I425" s="113" t="s">
        <v>411</v>
      </c>
      <c r="J425" s="113" t="s">
        <v>1208</v>
      </c>
    </row>
    <row r="426" spans="1:10">
      <c r="A426" s="113" t="s">
        <v>787</v>
      </c>
      <c r="B426" s="113" t="s">
        <v>391</v>
      </c>
      <c r="C426" s="113" t="s">
        <v>392</v>
      </c>
      <c r="D426" s="113" t="s">
        <v>393</v>
      </c>
      <c r="E426">
        <v>9531</v>
      </c>
      <c r="F426" s="113" t="s">
        <v>823</v>
      </c>
      <c r="G426" s="113" t="s">
        <v>394</v>
      </c>
      <c r="H426" s="113" t="s">
        <v>820</v>
      </c>
      <c r="I426" s="113" t="s">
        <v>821</v>
      </c>
      <c r="J426" s="113" t="s">
        <v>1243</v>
      </c>
    </row>
    <row r="427" spans="1:10">
      <c r="A427" s="113" t="s">
        <v>787</v>
      </c>
      <c r="B427" s="113" t="s">
        <v>391</v>
      </c>
      <c r="C427" s="113" t="s">
        <v>392</v>
      </c>
      <c r="D427" s="113" t="s">
        <v>393</v>
      </c>
      <c r="E427">
        <v>9719</v>
      </c>
      <c r="F427" s="113" t="s">
        <v>824</v>
      </c>
      <c r="G427" s="113" t="s">
        <v>394</v>
      </c>
      <c r="H427" s="113" t="s">
        <v>405</v>
      </c>
      <c r="I427" s="113" t="s">
        <v>604</v>
      </c>
      <c r="J427" s="113" t="s">
        <v>1244</v>
      </c>
    </row>
    <row r="428" spans="1:10">
      <c r="A428" s="113" t="s">
        <v>787</v>
      </c>
      <c r="B428" s="113" t="s">
        <v>391</v>
      </c>
      <c r="C428" s="113" t="s">
        <v>392</v>
      </c>
      <c r="D428" s="113" t="s">
        <v>393</v>
      </c>
      <c r="E428">
        <v>9936</v>
      </c>
      <c r="F428" s="113" t="s">
        <v>825</v>
      </c>
      <c r="G428" s="113" t="s">
        <v>394</v>
      </c>
      <c r="H428" s="113" t="s">
        <v>404</v>
      </c>
      <c r="I428" s="113" t="s">
        <v>449</v>
      </c>
      <c r="J428" s="113" t="s">
        <v>1245</v>
      </c>
    </row>
    <row r="429" spans="1:10">
      <c r="A429" s="113" t="s">
        <v>827</v>
      </c>
      <c r="B429" s="113" t="s">
        <v>391</v>
      </c>
      <c r="C429" s="113" t="s">
        <v>403</v>
      </c>
      <c r="D429" s="113" t="s">
        <v>397</v>
      </c>
      <c r="E429">
        <v>1430</v>
      </c>
      <c r="F429" s="113" t="s">
        <v>828</v>
      </c>
      <c r="G429" s="113" t="s">
        <v>394</v>
      </c>
      <c r="H429" s="113" t="s">
        <v>428</v>
      </c>
      <c r="I429">
        <v>87</v>
      </c>
    </row>
    <row r="430" spans="1:10">
      <c r="A430" s="113" t="s">
        <v>827</v>
      </c>
      <c r="B430" s="113" t="s">
        <v>391</v>
      </c>
      <c r="C430" s="113" t="s">
        <v>401</v>
      </c>
      <c r="D430" s="113" t="s">
        <v>393</v>
      </c>
      <c r="E430">
        <v>2734</v>
      </c>
      <c r="F430" s="113" t="s">
        <v>829</v>
      </c>
      <c r="G430" s="113" t="s">
        <v>394</v>
      </c>
      <c r="H430" s="113" t="s">
        <v>404</v>
      </c>
      <c r="I430">
        <v>411</v>
      </c>
    </row>
    <row r="431" spans="1:10">
      <c r="A431" s="113" t="s">
        <v>827</v>
      </c>
      <c r="B431" s="113" t="s">
        <v>391</v>
      </c>
      <c r="C431" s="113" t="s">
        <v>396</v>
      </c>
      <c r="D431" s="113" t="s">
        <v>393</v>
      </c>
      <c r="E431">
        <v>3168</v>
      </c>
      <c r="F431" s="113" t="s">
        <v>830</v>
      </c>
      <c r="G431" s="113" t="s">
        <v>394</v>
      </c>
      <c r="H431" s="113" t="s">
        <v>400</v>
      </c>
      <c r="I431">
        <v>65</v>
      </c>
    </row>
    <row r="432" spans="1:10">
      <c r="A432" s="113" t="s">
        <v>827</v>
      </c>
      <c r="B432" s="113" t="s">
        <v>391</v>
      </c>
      <c r="C432" s="113" t="s">
        <v>401</v>
      </c>
      <c r="D432" s="113" t="s">
        <v>393</v>
      </c>
      <c r="E432">
        <v>3186</v>
      </c>
      <c r="F432" s="113" t="s">
        <v>831</v>
      </c>
      <c r="G432" s="113" t="s">
        <v>394</v>
      </c>
      <c r="H432" s="113" t="s">
        <v>404</v>
      </c>
      <c r="I432">
        <v>893</v>
      </c>
    </row>
    <row r="433" spans="1:10">
      <c r="A433" s="113" t="s">
        <v>827</v>
      </c>
      <c r="B433" s="113" t="s">
        <v>391</v>
      </c>
      <c r="C433" s="113" t="s">
        <v>392</v>
      </c>
      <c r="D433" s="113" t="s">
        <v>393</v>
      </c>
      <c r="E433">
        <v>3353</v>
      </c>
      <c r="F433" s="113" t="s">
        <v>832</v>
      </c>
      <c r="G433" s="113" t="s">
        <v>398</v>
      </c>
      <c r="H433" s="113" t="s">
        <v>404</v>
      </c>
      <c r="I433" s="113">
        <v>183</v>
      </c>
      <c r="J433" s="113"/>
    </row>
    <row r="434" spans="1:10">
      <c r="A434" s="113" t="s">
        <v>827</v>
      </c>
      <c r="B434" s="113" t="s">
        <v>391</v>
      </c>
      <c r="C434" s="113" t="s">
        <v>392</v>
      </c>
      <c r="D434" s="113" t="s">
        <v>393</v>
      </c>
      <c r="E434">
        <v>3382</v>
      </c>
      <c r="F434" s="113" t="s">
        <v>833</v>
      </c>
      <c r="G434" s="113" t="s">
        <v>394</v>
      </c>
      <c r="H434" s="113" t="s">
        <v>404</v>
      </c>
      <c r="I434" s="113" t="s">
        <v>834</v>
      </c>
      <c r="J434" s="113" t="s">
        <v>1013</v>
      </c>
    </row>
    <row r="435" spans="1:10">
      <c r="A435" s="113" t="s">
        <v>827</v>
      </c>
      <c r="B435" s="113" t="s">
        <v>391</v>
      </c>
      <c r="C435" s="113" t="s">
        <v>401</v>
      </c>
      <c r="D435" s="113" t="s">
        <v>393</v>
      </c>
      <c r="E435">
        <v>3454</v>
      </c>
      <c r="F435" s="113" t="s">
        <v>835</v>
      </c>
      <c r="G435" s="113" t="s">
        <v>394</v>
      </c>
      <c r="H435" s="113" t="s">
        <v>420</v>
      </c>
      <c r="I435" s="113">
        <v>184</v>
      </c>
      <c r="J435" s="113"/>
    </row>
    <row r="436" spans="1:10">
      <c r="A436" s="113" t="s">
        <v>827</v>
      </c>
      <c r="B436" s="113" t="s">
        <v>391</v>
      </c>
      <c r="C436" s="113" t="s">
        <v>392</v>
      </c>
      <c r="D436" s="113" t="s">
        <v>393</v>
      </c>
      <c r="E436">
        <v>4429</v>
      </c>
      <c r="F436" s="113" t="s">
        <v>836</v>
      </c>
      <c r="G436" s="113" t="s">
        <v>406</v>
      </c>
      <c r="H436" s="113" t="s">
        <v>405</v>
      </c>
      <c r="I436">
        <v>242</v>
      </c>
    </row>
    <row r="437" spans="1:10">
      <c r="A437" s="113" t="s">
        <v>827</v>
      </c>
      <c r="B437" s="113" t="s">
        <v>391</v>
      </c>
      <c r="C437" s="113" t="s">
        <v>403</v>
      </c>
      <c r="D437" s="113" t="s">
        <v>397</v>
      </c>
      <c r="E437">
        <v>4430</v>
      </c>
      <c r="F437" s="113" t="s">
        <v>837</v>
      </c>
      <c r="G437" s="113" t="s">
        <v>402</v>
      </c>
      <c r="H437" s="113" t="s">
        <v>405</v>
      </c>
      <c r="I437">
        <v>54</v>
      </c>
    </row>
    <row r="438" spans="1:10">
      <c r="A438" s="113" t="s">
        <v>827</v>
      </c>
      <c r="B438" s="113" t="s">
        <v>391</v>
      </c>
      <c r="C438" s="113" t="s">
        <v>403</v>
      </c>
      <c r="D438" s="113" t="s">
        <v>393</v>
      </c>
      <c r="E438">
        <v>4443</v>
      </c>
      <c r="F438" s="113" t="s">
        <v>838</v>
      </c>
      <c r="G438" s="113" t="s">
        <v>406</v>
      </c>
      <c r="H438" s="113" t="s">
        <v>405</v>
      </c>
      <c r="I438" s="113" t="s">
        <v>449</v>
      </c>
      <c r="J438" s="113" t="s">
        <v>1246</v>
      </c>
    </row>
    <row r="439" spans="1:10">
      <c r="A439" s="113" t="s">
        <v>827</v>
      </c>
      <c r="B439" s="113" t="s">
        <v>391</v>
      </c>
      <c r="C439" s="113" t="s">
        <v>396</v>
      </c>
      <c r="D439" s="113" t="s">
        <v>397</v>
      </c>
      <c r="E439">
        <v>6264</v>
      </c>
      <c r="F439" s="113" t="s">
        <v>840</v>
      </c>
      <c r="G439" s="113" t="s">
        <v>394</v>
      </c>
      <c r="H439" s="113" t="s">
        <v>415</v>
      </c>
      <c r="I439">
        <v>134</v>
      </c>
    </row>
    <row r="440" spans="1:10">
      <c r="A440" s="113" t="s">
        <v>827</v>
      </c>
      <c r="B440" s="113" t="s">
        <v>391</v>
      </c>
      <c r="C440" s="113" t="s">
        <v>396</v>
      </c>
      <c r="D440" s="113" t="s">
        <v>393</v>
      </c>
      <c r="E440">
        <v>6289</v>
      </c>
      <c r="F440" s="113" t="s">
        <v>1247</v>
      </c>
      <c r="G440" s="113" t="s">
        <v>394</v>
      </c>
      <c r="H440" s="113" t="s">
        <v>415</v>
      </c>
      <c r="I440" s="113" t="s">
        <v>449</v>
      </c>
      <c r="J440" s="113" t="s">
        <v>1008</v>
      </c>
    </row>
    <row r="441" spans="1:10">
      <c r="A441" s="113" t="s">
        <v>827</v>
      </c>
      <c r="B441" s="113" t="s">
        <v>391</v>
      </c>
      <c r="C441" s="113" t="s">
        <v>403</v>
      </c>
      <c r="D441" s="113" t="s">
        <v>397</v>
      </c>
      <c r="E441">
        <v>6496</v>
      </c>
      <c r="F441" s="113" t="s">
        <v>841</v>
      </c>
      <c r="G441" s="113" t="s">
        <v>402</v>
      </c>
      <c r="H441" s="113" t="s">
        <v>415</v>
      </c>
      <c r="I441" s="113">
        <v>103</v>
      </c>
      <c r="J441" s="113"/>
    </row>
    <row r="442" spans="1:10">
      <c r="A442" s="113" t="s">
        <v>827</v>
      </c>
      <c r="B442" s="113" t="s">
        <v>391</v>
      </c>
      <c r="C442" s="113" t="s">
        <v>392</v>
      </c>
      <c r="D442" s="113" t="s">
        <v>393</v>
      </c>
      <c r="E442">
        <v>8008</v>
      </c>
      <c r="F442" s="113" t="s">
        <v>842</v>
      </c>
      <c r="G442" s="113" t="s">
        <v>394</v>
      </c>
      <c r="H442" s="113" t="s">
        <v>404</v>
      </c>
      <c r="I442">
        <v>627</v>
      </c>
    </row>
    <row r="443" spans="1:10">
      <c r="A443" s="113" t="s">
        <v>827</v>
      </c>
      <c r="B443" s="113" t="s">
        <v>391</v>
      </c>
      <c r="C443" s="113" t="s">
        <v>392</v>
      </c>
      <c r="D443" s="113" t="s">
        <v>393</v>
      </c>
      <c r="E443">
        <v>8125</v>
      </c>
      <c r="F443" s="113" t="s">
        <v>843</v>
      </c>
      <c r="G443" s="113" t="s">
        <v>394</v>
      </c>
      <c r="H443" s="113" t="s">
        <v>400</v>
      </c>
      <c r="I443">
        <v>563</v>
      </c>
    </row>
    <row r="444" spans="1:10">
      <c r="A444" s="113" t="s">
        <v>844</v>
      </c>
      <c r="B444" s="113" t="s">
        <v>391</v>
      </c>
      <c r="C444" s="113" t="s">
        <v>403</v>
      </c>
      <c r="D444" s="113" t="s">
        <v>393</v>
      </c>
      <c r="E444">
        <v>1377</v>
      </c>
      <c r="F444" s="113" t="s">
        <v>845</v>
      </c>
      <c r="G444" s="113" t="s">
        <v>394</v>
      </c>
      <c r="H444" s="113" t="s">
        <v>534</v>
      </c>
      <c r="I444" s="113" t="s">
        <v>449</v>
      </c>
      <c r="J444" s="113" t="s">
        <v>1248</v>
      </c>
    </row>
    <row r="445" spans="1:10">
      <c r="A445" s="113" t="s">
        <v>844</v>
      </c>
      <c r="B445" s="113" t="s">
        <v>391</v>
      </c>
      <c r="C445" s="113" t="s">
        <v>403</v>
      </c>
      <c r="D445" s="113" t="s">
        <v>393</v>
      </c>
      <c r="E445">
        <v>1887</v>
      </c>
      <c r="F445" s="113" t="s">
        <v>846</v>
      </c>
      <c r="G445" s="113" t="s">
        <v>394</v>
      </c>
      <c r="H445" s="113" t="s">
        <v>428</v>
      </c>
      <c r="I445">
        <v>608</v>
      </c>
    </row>
    <row r="446" spans="1:10">
      <c r="A446" s="113" t="s">
        <v>844</v>
      </c>
      <c r="B446" s="113" t="s">
        <v>391</v>
      </c>
      <c r="C446" s="113" t="s">
        <v>392</v>
      </c>
      <c r="D446" s="113" t="s">
        <v>397</v>
      </c>
      <c r="E446">
        <v>2294</v>
      </c>
      <c r="F446" s="113" t="s">
        <v>847</v>
      </c>
      <c r="G446" s="113" t="s">
        <v>394</v>
      </c>
      <c r="H446" s="113" t="s">
        <v>395</v>
      </c>
      <c r="I446">
        <v>373</v>
      </c>
    </row>
    <row r="447" spans="1:10">
      <c r="A447" s="113" t="s">
        <v>844</v>
      </c>
      <c r="B447" s="113" t="s">
        <v>391</v>
      </c>
      <c r="C447" s="113" t="s">
        <v>403</v>
      </c>
      <c r="D447" s="113" t="s">
        <v>397</v>
      </c>
      <c r="E447">
        <v>2303</v>
      </c>
      <c r="F447" s="113" t="s">
        <v>848</v>
      </c>
      <c r="G447" s="113" t="s">
        <v>398</v>
      </c>
      <c r="H447" s="113" t="s">
        <v>405</v>
      </c>
      <c r="I447">
        <v>51</v>
      </c>
    </row>
    <row r="448" spans="1:10">
      <c r="A448" s="113" t="s">
        <v>844</v>
      </c>
      <c r="B448" s="113" t="s">
        <v>391</v>
      </c>
      <c r="C448" s="113" t="s">
        <v>403</v>
      </c>
      <c r="D448" s="113" t="s">
        <v>393</v>
      </c>
      <c r="E448">
        <v>2462</v>
      </c>
      <c r="F448" s="113" t="s">
        <v>849</v>
      </c>
      <c r="G448" s="113" t="s">
        <v>394</v>
      </c>
      <c r="H448" s="113" t="s">
        <v>399</v>
      </c>
      <c r="I448">
        <v>343</v>
      </c>
    </row>
    <row r="449" spans="1:10">
      <c r="A449" s="113" t="s">
        <v>844</v>
      </c>
      <c r="B449" s="113" t="s">
        <v>391</v>
      </c>
      <c r="C449" s="113" t="s">
        <v>401</v>
      </c>
      <c r="D449" s="113" t="s">
        <v>393</v>
      </c>
      <c r="E449">
        <v>2698</v>
      </c>
      <c r="F449" s="113" t="s">
        <v>850</v>
      </c>
      <c r="G449" s="113" t="s">
        <v>394</v>
      </c>
      <c r="H449" s="113" t="s">
        <v>404</v>
      </c>
      <c r="I449">
        <v>276</v>
      </c>
    </row>
    <row r="450" spans="1:10">
      <c r="A450" s="113" t="s">
        <v>844</v>
      </c>
      <c r="B450" s="113" t="s">
        <v>391</v>
      </c>
      <c r="C450" s="113" t="s">
        <v>403</v>
      </c>
      <c r="D450" s="113" t="s">
        <v>397</v>
      </c>
      <c r="E450">
        <v>3297</v>
      </c>
      <c r="F450" s="113" t="s">
        <v>851</v>
      </c>
      <c r="G450" s="113" t="s">
        <v>398</v>
      </c>
      <c r="H450" s="113" t="s">
        <v>420</v>
      </c>
      <c r="I450" s="113">
        <v>29</v>
      </c>
      <c r="J450" s="113"/>
    </row>
    <row r="451" spans="1:10">
      <c r="A451" s="113" t="s">
        <v>844</v>
      </c>
      <c r="B451" s="113" t="s">
        <v>391</v>
      </c>
      <c r="C451" s="113" t="s">
        <v>401</v>
      </c>
      <c r="D451" s="113" t="s">
        <v>397</v>
      </c>
      <c r="E451">
        <v>3377</v>
      </c>
      <c r="F451" s="113" t="s">
        <v>852</v>
      </c>
      <c r="G451" s="113" t="s">
        <v>402</v>
      </c>
      <c r="H451" s="113" t="s">
        <v>400</v>
      </c>
      <c r="I451" s="113">
        <v>29</v>
      </c>
      <c r="J451" s="113"/>
    </row>
    <row r="452" spans="1:10">
      <c r="A452" s="113" t="s">
        <v>844</v>
      </c>
      <c r="B452" s="113" t="s">
        <v>391</v>
      </c>
      <c r="C452" s="113" t="s">
        <v>392</v>
      </c>
      <c r="D452" s="113" t="s">
        <v>393</v>
      </c>
      <c r="E452">
        <v>3387</v>
      </c>
      <c r="F452" s="113" t="s">
        <v>853</v>
      </c>
      <c r="G452" s="113" t="s">
        <v>394</v>
      </c>
      <c r="H452" s="113" t="s">
        <v>404</v>
      </c>
      <c r="I452" s="113" t="s">
        <v>449</v>
      </c>
      <c r="J452" s="113" t="s">
        <v>1249</v>
      </c>
    </row>
    <row r="453" spans="1:10">
      <c r="A453" s="113" t="s">
        <v>844</v>
      </c>
      <c r="B453" s="113" t="s">
        <v>391</v>
      </c>
      <c r="C453" s="113" t="s">
        <v>392</v>
      </c>
      <c r="D453" s="113" t="s">
        <v>393</v>
      </c>
      <c r="E453">
        <v>3548</v>
      </c>
      <c r="F453" s="113" t="s">
        <v>854</v>
      </c>
      <c r="G453" s="113" t="s">
        <v>394</v>
      </c>
      <c r="H453" s="113" t="s">
        <v>404</v>
      </c>
      <c r="I453">
        <v>346</v>
      </c>
    </row>
    <row r="454" spans="1:10">
      <c r="A454" s="113" t="s">
        <v>844</v>
      </c>
      <c r="B454" s="113" t="s">
        <v>391</v>
      </c>
      <c r="C454" s="113" t="s">
        <v>392</v>
      </c>
      <c r="D454" s="113" t="s">
        <v>397</v>
      </c>
      <c r="E454">
        <v>3557</v>
      </c>
      <c r="F454" s="113" t="s">
        <v>855</v>
      </c>
      <c r="G454" s="113" t="s">
        <v>406</v>
      </c>
      <c r="H454" s="113" t="s">
        <v>404</v>
      </c>
      <c r="I454">
        <v>48</v>
      </c>
    </row>
    <row r="455" spans="1:10">
      <c r="A455" s="113" t="s">
        <v>844</v>
      </c>
      <c r="B455" s="113" t="s">
        <v>391</v>
      </c>
      <c r="C455" s="113" t="s">
        <v>392</v>
      </c>
      <c r="D455" s="113" t="s">
        <v>397</v>
      </c>
      <c r="E455">
        <v>3996</v>
      </c>
      <c r="F455" s="113" t="s">
        <v>856</v>
      </c>
      <c r="G455" s="113" t="s">
        <v>394</v>
      </c>
      <c r="H455" s="113" t="s">
        <v>405</v>
      </c>
      <c r="I455">
        <v>244</v>
      </c>
    </row>
    <row r="456" spans="1:10">
      <c r="A456" s="113" t="s">
        <v>844</v>
      </c>
      <c r="B456" s="113" t="s">
        <v>391</v>
      </c>
      <c r="C456" s="113" t="s">
        <v>396</v>
      </c>
      <c r="D456" s="113" t="s">
        <v>393</v>
      </c>
      <c r="E456">
        <v>4433</v>
      </c>
      <c r="F456" s="113" t="s">
        <v>857</v>
      </c>
      <c r="G456" s="113" t="s">
        <v>394</v>
      </c>
      <c r="H456" s="113" t="s">
        <v>405</v>
      </c>
      <c r="I456">
        <v>285</v>
      </c>
    </row>
    <row r="457" spans="1:10">
      <c r="A457" s="113" t="s">
        <v>844</v>
      </c>
      <c r="B457" s="113" t="s">
        <v>391</v>
      </c>
      <c r="C457" s="113" t="s">
        <v>392</v>
      </c>
      <c r="D457" s="113" t="s">
        <v>397</v>
      </c>
      <c r="E457">
        <v>4434</v>
      </c>
      <c r="F457" s="113" t="s">
        <v>858</v>
      </c>
      <c r="G457" s="113" t="s">
        <v>406</v>
      </c>
      <c r="H457" s="113" t="s">
        <v>405</v>
      </c>
      <c r="I457">
        <v>292</v>
      </c>
    </row>
    <row r="458" spans="1:10">
      <c r="A458" s="113" t="s">
        <v>844</v>
      </c>
      <c r="B458" s="113" t="s">
        <v>391</v>
      </c>
      <c r="C458" s="113" t="s">
        <v>396</v>
      </c>
      <c r="D458" s="113" t="s">
        <v>393</v>
      </c>
      <c r="E458">
        <v>4440</v>
      </c>
      <c r="F458" s="113" t="s">
        <v>859</v>
      </c>
      <c r="G458" s="113" t="s">
        <v>406</v>
      </c>
      <c r="H458" s="113" t="s">
        <v>405</v>
      </c>
      <c r="I458">
        <v>97</v>
      </c>
    </row>
    <row r="459" spans="1:10">
      <c r="A459" s="113" t="s">
        <v>844</v>
      </c>
      <c r="B459" s="113" t="s">
        <v>391</v>
      </c>
      <c r="C459" s="113" t="s">
        <v>403</v>
      </c>
      <c r="D459" s="113" t="s">
        <v>393</v>
      </c>
      <c r="E459">
        <v>5967</v>
      </c>
      <c r="F459" s="113" t="s">
        <v>860</v>
      </c>
      <c r="G459" s="113" t="s">
        <v>402</v>
      </c>
      <c r="H459" s="113" t="s">
        <v>409</v>
      </c>
      <c r="I459">
        <v>61</v>
      </c>
    </row>
    <row r="460" spans="1:10">
      <c r="A460" s="113" t="s">
        <v>844</v>
      </c>
      <c r="B460" s="113" t="s">
        <v>391</v>
      </c>
      <c r="C460" s="113" t="s">
        <v>392</v>
      </c>
      <c r="D460" s="113" t="s">
        <v>393</v>
      </c>
      <c r="E460">
        <v>6173</v>
      </c>
      <c r="F460" s="113" t="s">
        <v>861</v>
      </c>
      <c r="G460" s="113" t="s">
        <v>406</v>
      </c>
      <c r="H460" s="113" t="s">
        <v>399</v>
      </c>
      <c r="I460">
        <v>25</v>
      </c>
    </row>
    <row r="461" spans="1:10">
      <c r="A461" s="113" t="s">
        <v>844</v>
      </c>
      <c r="B461" s="113" t="s">
        <v>391</v>
      </c>
      <c r="C461" s="113" t="s">
        <v>403</v>
      </c>
      <c r="D461" s="113" t="s">
        <v>393</v>
      </c>
      <c r="E461">
        <v>6489</v>
      </c>
      <c r="F461" s="113" t="s">
        <v>862</v>
      </c>
      <c r="G461" s="113" t="s">
        <v>394</v>
      </c>
      <c r="H461" s="113" t="s">
        <v>415</v>
      </c>
      <c r="I461" s="113">
        <v>84</v>
      </c>
      <c r="J461" s="113"/>
    </row>
    <row r="462" spans="1:10">
      <c r="A462" s="113" t="s">
        <v>844</v>
      </c>
      <c r="B462" s="113" t="s">
        <v>391</v>
      </c>
      <c r="C462" s="113" t="s">
        <v>392</v>
      </c>
      <c r="D462" s="113" t="s">
        <v>393</v>
      </c>
      <c r="E462">
        <v>6543</v>
      </c>
      <c r="F462" s="113" t="s">
        <v>863</v>
      </c>
      <c r="G462" s="113" t="s">
        <v>398</v>
      </c>
      <c r="H462" s="113" t="s">
        <v>399</v>
      </c>
      <c r="I462">
        <v>26</v>
      </c>
    </row>
    <row r="463" spans="1:10">
      <c r="A463" s="113" t="s">
        <v>844</v>
      </c>
      <c r="B463" s="113" t="s">
        <v>391</v>
      </c>
      <c r="C463" s="113" t="s">
        <v>392</v>
      </c>
      <c r="D463" s="113" t="s">
        <v>393</v>
      </c>
      <c r="E463">
        <v>7049</v>
      </c>
      <c r="F463" s="113" t="s">
        <v>864</v>
      </c>
      <c r="G463" s="113" t="s">
        <v>406</v>
      </c>
      <c r="H463" s="113" t="s">
        <v>399</v>
      </c>
      <c r="I463" s="113">
        <v>129</v>
      </c>
      <c r="J463" s="113"/>
    </row>
    <row r="464" spans="1:10">
      <c r="A464" s="113" t="s">
        <v>844</v>
      </c>
      <c r="B464" s="113" t="s">
        <v>391</v>
      </c>
      <c r="C464" s="113" t="s">
        <v>392</v>
      </c>
      <c r="D464" s="113" t="s">
        <v>393</v>
      </c>
      <c r="E464">
        <v>7058</v>
      </c>
      <c r="F464" s="113" t="s">
        <v>865</v>
      </c>
      <c r="G464" s="113" t="s">
        <v>398</v>
      </c>
      <c r="H464" s="113" t="s">
        <v>399</v>
      </c>
      <c r="I464" s="113">
        <v>75</v>
      </c>
      <c r="J464" s="113"/>
    </row>
    <row r="465" spans="1:10">
      <c r="A465" s="113" t="s">
        <v>844</v>
      </c>
      <c r="B465" s="113" t="s">
        <v>391</v>
      </c>
      <c r="C465" s="113" t="s">
        <v>396</v>
      </c>
      <c r="D465" s="113" t="s">
        <v>393</v>
      </c>
      <c r="E465">
        <v>7065</v>
      </c>
      <c r="F465" s="113" t="s">
        <v>866</v>
      </c>
      <c r="G465" s="113" t="s">
        <v>402</v>
      </c>
      <c r="H465" s="113" t="s">
        <v>399</v>
      </c>
      <c r="I465">
        <v>190</v>
      </c>
    </row>
    <row r="466" spans="1:10">
      <c r="A466" s="113" t="s">
        <v>844</v>
      </c>
      <c r="B466" s="113" t="s">
        <v>391</v>
      </c>
      <c r="C466" s="113" t="s">
        <v>403</v>
      </c>
      <c r="D466" s="113" t="s">
        <v>397</v>
      </c>
      <c r="E466">
        <v>7673</v>
      </c>
      <c r="F466" s="113" t="s">
        <v>867</v>
      </c>
      <c r="G466" s="113" t="s">
        <v>402</v>
      </c>
      <c r="H466" s="113" t="s">
        <v>400</v>
      </c>
      <c r="I466">
        <v>53</v>
      </c>
    </row>
    <row r="467" spans="1:10">
      <c r="A467" s="113" t="s">
        <v>844</v>
      </c>
      <c r="B467" s="113" t="s">
        <v>391</v>
      </c>
      <c r="C467" s="113" t="s">
        <v>392</v>
      </c>
      <c r="D467" s="113" t="s">
        <v>393</v>
      </c>
      <c r="E467">
        <v>7811</v>
      </c>
      <c r="F467" s="113" t="s">
        <v>868</v>
      </c>
      <c r="G467" s="113" t="s">
        <v>394</v>
      </c>
      <c r="H467" s="113" t="s">
        <v>416</v>
      </c>
      <c r="I467">
        <v>123</v>
      </c>
    </row>
    <row r="468" spans="1:10">
      <c r="A468" s="113" t="s">
        <v>869</v>
      </c>
      <c r="B468" s="113" t="s">
        <v>391</v>
      </c>
      <c r="C468" s="113" t="s">
        <v>392</v>
      </c>
      <c r="D468" s="113" t="s">
        <v>393</v>
      </c>
      <c r="E468">
        <v>1719</v>
      </c>
      <c r="F468" s="113" t="s">
        <v>870</v>
      </c>
      <c r="G468" s="113" t="s">
        <v>394</v>
      </c>
      <c r="H468" s="113" t="s">
        <v>428</v>
      </c>
      <c r="I468" s="113" t="s">
        <v>449</v>
      </c>
      <c r="J468" s="113" t="s">
        <v>1250</v>
      </c>
    </row>
    <row r="469" spans="1:10">
      <c r="A469" s="113" t="s">
        <v>869</v>
      </c>
      <c r="B469" s="113" t="s">
        <v>391</v>
      </c>
      <c r="C469" s="113" t="s">
        <v>392</v>
      </c>
      <c r="D469" s="113" t="s">
        <v>393</v>
      </c>
      <c r="E469">
        <v>1812</v>
      </c>
      <c r="F469" s="113" t="s">
        <v>871</v>
      </c>
      <c r="G469" s="113" t="s">
        <v>394</v>
      </c>
      <c r="H469" s="113" t="s">
        <v>428</v>
      </c>
      <c r="I469" s="113" t="s">
        <v>872</v>
      </c>
      <c r="J469" s="113" t="s">
        <v>1251</v>
      </c>
    </row>
    <row r="470" spans="1:10">
      <c r="A470" s="113" t="s">
        <v>869</v>
      </c>
      <c r="B470" s="113" t="s">
        <v>391</v>
      </c>
      <c r="C470" s="113" t="s">
        <v>392</v>
      </c>
      <c r="D470" s="113" t="s">
        <v>393</v>
      </c>
      <c r="E470">
        <v>1824</v>
      </c>
      <c r="F470" s="113" t="s">
        <v>873</v>
      </c>
      <c r="G470" s="113" t="s">
        <v>394</v>
      </c>
      <c r="H470" s="113" t="s">
        <v>428</v>
      </c>
      <c r="I470" s="113" t="s">
        <v>449</v>
      </c>
      <c r="J470" s="113" t="s">
        <v>1252</v>
      </c>
    </row>
    <row r="471" spans="1:10">
      <c r="A471" s="113" t="s">
        <v>869</v>
      </c>
      <c r="B471" s="113" t="s">
        <v>391</v>
      </c>
      <c r="C471" s="113" t="s">
        <v>392</v>
      </c>
      <c r="D471" s="113" t="s">
        <v>393</v>
      </c>
      <c r="E471">
        <v>1860</v>
      </c>
      <c r="F471" s="113" t="s">
        <v>874</v>
      </c>
      <c r="G471" s="113" t="s">
        <v>394</v>
      </c>
      <c r="H471" s="113" t="s">
        <v>428</v>
      </c>
      <c r="I471" s="113" t="s">
        <v>417</v>
      </c>
      <c r="J471" s="113" t="s">
        <v>1119</v>
      </c>
    </row>
    <row r="472" spans="1:10">
      <c r="A472" s="113" t="s">
        <v>869</v>
      </c>
      <c r="B472" s="113" t="s">
        <v>391</v>
      </c>
      <c r="C472" s="113" t="s">
        <v>392</v>
      </c>
      <c r="D472" s="113" t="s">
        <v>393</v>
      </c>
      <c r="E472">
        <v>1964</v>
      </c>
      <c r="F472" s="113" t="s">
        <v>875</v>
      </c>
      <c r="G472" s="113" t="s">
        <v>394</v>
      </c>
      <c r="H472" s="113" t="s">
        <v>428</v>
      </c>
      <c r="I472">
        <v>134</v>
      </c>
    </row>
    <row r="473" spans="1:10">
      <c r="A473" s="113" t="s">
        <v>869</v>
      </c>
      <c r="B473" s="113" t="s">
        <v>391</v>
      </c>
      <c r="C473" s="113" t="s">
        <v>392</v>
      </c>
      <c r="D473" s="113" t="s">
        <v>393</v>
      </c>
      <c r="E473">
        <v>2108</v>
      </c>
      <c r="F473" s="113" t="s">
        <v>876</v>
      </c>
      <c r="G473" s="113" t="s">
        <v>394</v>
      </c>
      <c r="H473" s="113" t="s">
        <v>395</v>
      </c>
      <c r="I473">
        <v>310</v>
      </c>
    </row>
    <row r="474" spans="1:10">
      <c r="A474" s="113" t="s">
        <v>869</v>
      </c>
      <c r="B474" s="113" t="s">
        <v>391</v>
      </c>
      <c r="C474" s="113" t="s">
        <v>392</v>
      </c>
      <c r="D474" s="113" t="s">
        <v>393</v>
      </c>
      <c r="E474">
        <v>2173</v>
      </c>
      <c r="F474" s="113" t="s">
        <v>1042</v>
      </c>
      <c r="G474" s="113" t="s">
        <v>398</v>
      </c>
      <c r="H474" s="113" t="s">
        <v>399</v>
      </c>
      <c r="I474">
        <v>58</v>
      </c>
    </row>
    <row r="475" spans="1:10">
      <c r="A475" s="113" t="s">
        <v>869</v>
      </c>
      <c r="B475" s="113" t="s">
        <v>391</v>
      </c>
      <c r="C475" s="113" t="s">
        <v>403</v>
      </c>
      <c r="D475" s="113" t="s">
        <v>393</v>
      </c>
      <c r="E475">
        <v>2180</v>
      </c>
      <c r="F475" s="113" t="s">
        <v>877</v>
      </c>
      <c r="G475" s="113" t="s">
        <v>394</v>
      </c>
      <c r="H475" s="113" t="s">
        <v>399</v>
      </c>
      <c r="I475">
        <v>176</v>
      </c>
    </row>
    <row r="476" spans="1:10">
      <c r="A476" s="113" t="s">
        <v>869</v>
      </c>
      <c r="B476" s="113" t="s">
        <v>391</v>
      </c>
      <c r="C476" s="113" t="s">
        <v>392</v>
      </c>
      <c r="D476" s="113" t="s">
        <v>393</v>
      </c>
      <c r="E476">
        <v>2288</v>
      </c>
      <c r="F476" s="113" t="s">
        <v>878</v>
      </c>
      <c r="G476" s="113" t="s">
        <v>394</v>
      </c>
      <c r="H476" s="113" t="s">
        <v>395</v>
      </c>
      <c r="I476">
        <v>626</v>
      </c>
    </row>
    <row r="477" spans="1:10">
      <c r="A477" s="113" t="s">
        <v>869</v>
      </c>
      <c r="B477" s="113" t="s">
        <v>391</v>
      </c>
      <c r="C477" s="113" t="s">
        <v>392</v>
      </c>
      <c r="D477" s="113" t="s">
        <v>393</v>
      </c>
      <c r="E477">
        <v>2349</v>
      </c>
      <c r="F477" s="113" t="s">
        <v>1043</v>
      </c>
      <c r="G477" s="113" t="s">
        <v>398</v>
      </c>
      <c r="H477" s="113" t="s">
        <v>405</v>
      </c>
      <c r="I477">
        <v>177</v>
      </c>
    </row>
    <row r="478" spans="1:10">
      <c r="A478" s="113" t="s">
        <v>869</v>
      </c>
      <c r="B478" s="113" t="s">
        <v>391</v>
      </c>
      <c r="C478" s="113" t="s">
        <v>392</v>
      </c>
      <c r="D478" s="113" t="s">
        <v>393</v>
      </c>
      <c r="E478">
        <v>2454</v>
      </c>
      <c r="F478" s="113" t="s">
        <v>1253</v>
      </c>
      <c r="G478" s="113" t="s">
        <v>398</v>
      </c>
      <c r="H478" s="113" t="s">
        <v>399</v>
      </c>
      <c r="I478">
        <v>96</v>
      </c>
    </row>
    <row r="479" spans="1:10">
      <c r="A479" s="113" t="s">
        <v>869</v>
      </c>
      <c r="B479" s="113" t="s">
        <v>391</v>
      </c>
      <c r="C479" s="113" t="s">
        <v>401</v>
      </c>
      <c r="D479" s="113" t="s">
        <v>393</v>
      </c>
      <c r="E479">
        <v>2675</v>
      </c>
      <c r="F479" s="113" t="s">
        <v>879</v>
      </c>
      <c r="G479" s="113" t="s">
        <v>402</v>
      </c>
      <c r="H479" s="113" t="s">
        <v>404</v>
      </c>
      <c r="I479">
        <v>117</v>
      </c>
    </row>
    <row r="480" spans="1:10">
      <c r="A480" s="113" t="s">
        <v>869</v>
      </c>
      <c r="B480" s="113" t="s">
        <v>391</v>
      </c>
      <c r="C480" s="113" t="s">
        <v>392</v>
      </c>
      <c r="D480" s="113" t="s">
        <v>393</v>
      </c>
      <c r="E480">
        <v>2733</v>
      </c>
      <c r="F480" s="113" t="s">
        <v>1254</v>
      </c>
      <c r="G480" s="113" t="s">
        <v>394</v>
      </c>
      <c r="H480" s="113" t="s">
        <v>400</v>
      </c>
      <c r="I480">
        <v>779</v>
      </c>
    </row>
    <row r="481" spans="1:10">
      <c r="A481" s="113" t="s">
        <v>869</v>
      </c>
      <c r="B481" s="113" t="s">
        <v>391</v>
      </c>
      <c r="C481" s="113" t="s">
        <v>392</v>
      </c>
      <c r="D481" s="113" t="s">
        <v>393</v>
      </c>
      <c r="E481">
        <v>2768</v>
      </c>
      <c r="F481" s="113" t="s">
        <v>1255</v>
      </c>
      <c r="G481" s="113" t="s">
        <v>394</v>
      </c>
      <c r="H481" s="113" t="s">
        <v>400</v>
      </c>
      <c r="I481" s="113" t="s">
        <v>545</v>
      </c>
      <c r="J481" s="113" t="s">
        <v>1256</v>
      </c>
    </row>
    <row r="482" spans="1:10">
      <c r="A482" s="113" t="s">
        <v>869</v>
      </c>
      <c r="B482" s="113" t="s">
        <v>391</v>
      </c>
      <c r="C482" s="113" t="s">
        <v>392</v>
      </c>
      <c r="D482" s="113" t="s">
        <v>393</v>
      </c>
      <c r="E482">
        <v>2812</v>
      </c>
      <c r="F482" s="113" t="s">
        <v>1257</v>
      </c>
      <c r="G482" s="113" t="s">
        <v>394</v>
      </c>
      <c r="H482" s="113" t="s">
        <v>395</v>
      </c>
      <c r="I482">
        <v>136</v>
      </c>
    </row>
    <row r="483" spans="1:10">
      <c r="A483" s="113" t="s">
        <v>869</v>
      </c>
      <c r="B483" s="113" t="s">
        <v>391</v>
      </c>
      <c r="C483" s="113" t="s">
        <v>392</v>
      </c>
      <c r="D483" s="113" t="s">
        <v>393</v>
      </c>
      <c r="E483">
        <v>2903</v>
      </c>
      <c r="F483" s="113" t="s">
        <v>1258</v>
      </c>
      <c r="G483" s="113" t="s">
        <v>402</v>
      </c>
      <c r="H483" s="113" t="s">
        <v>395</v>
      </c>
      <c r="I483">
        <v>94</v>
      </c>
    </row>
    <row r="484" spans="1:10">
      <c r="A484" s="113" t="s">
        <v>869</v>
      </c>
      <c r="B484" s="113" t="s">
        <v>391</v>
      </c>
      <c r="C484" s="113" t="s">
        <v>392</v>
      </c>
      <c r="D484" s="113" t="s">
        <v>393</v>
      </c>
      <c r="E484">
        <v>2915</v>
      </c>
      <c r="F484" s="113" t="s">
        <v>1259</v>
      </c>
      <c r="G484" s="113" t="s">
        <v>394</v>
      </c>
      <c r="H484" s="113" t="s">
        <v>395</v>
      </c>
      <c r="I484">
        <v>424</v>
      </c>
    </row>
    <row r="485" spans="1:10">
      <c r="A485" s="113" t="s">
        <v>869</v>
      </c>
      <c r="B485" s="113" t="s">
        <v>391</v>
      </c>
      <c r="C485" s="113" t="s">
        <v>392</v>
      </c>
      <c r="D485" s="113" t="s">
        <v>393</v>
      </c>
      <c r="E485">
        <v>3284</v>
      </c>
      <c r="F485" s="113" t="s">
        <v>1260</v>
      </c>
      <c r="G485" s="113" t="s">
        <v>394</v>
      </c>
      <c r="H485" s="113" t="s">
        <v>420</v>
      </c>
      <c r="I485">
        <v>413</v>
      </c>
    </row>
    <row r="486" spans="1:10">
      <c r="A486" s="113" t="s">
        <v>869</v>
      </c>
      <c r="B486" s="113" t="s">
        <v>391</v>
      </c>
      <c r="C486" s="113" t="s">
        <v>392</v>
      </c>
      <c r="D486" s="113" t="s">
        <v>393</v>
      </c>
      <c r="E486">
        <v>3289</v>
      </c>
      <c r="F486" s="113" t="s">
        <v>1261</v>
      </c>
      <c r="G486" s="113" t="s">
        <v>394</v>
      </c>
      <c r="H486" s="113" t="s">
        <v>420</v>
      </c>
      <c r="I486" s="113" t="s">
        <v>411</v>
      </c>
      <c r="J486" s="113" t="s">
        <v>1262</v>
      </c>
    </row>
    <row r="487" spans="1:10">
      <c r="A487" s="113" t="s">
        <v>869</v>
      </c>
      <c r="B487" s="113" t="s">
        <v>391</v>
      </c>
      <c r="C487" s="113" t="s">
        <v>392</v>
      </c>
      <c r="D487" s="113" t="s">
        <v>393</v>
      </c>
      <c r="E487">
        <v>3401</v>
      </c>
      <c r="F487" s="113" t="s">
        <v>1263</v>
      </c>
      <c r="G487" s="113" t="s">
        <v>394</v>
      </c>
      <c r="H487" s="113" t="s">
        <v>460</v>
      </c>
      <c r="I487" s="113" t="s">
        <v>545</v>
      </c>
      <c r="J487" s="113" t="s">
        <v>1264</v>
      </c>
    </row>
    <row r="488" spans="1:10">
      <c r="A488" s="113" t="s">
        <v>869</v>
      </c>
      <c r="B488" s="113" t="s">
        <v>391</v>
      </c>
      <c r="C488" s="113" t="s">
        <v>392</v>
      </c>
      <c r="D488" s="113" t="s">
        <v>393</v>
      </c>
      <c r="E488">
        <v>3447</v>
      </c>
      <c r="F488" s="113" t="s">
        <v>880</v>
      </c>
      <c r="G488" s="113" t="s">
        <v>394</v>
      </c>
      <c r="H488" s="113" t="s">
        <v>409</v>
      </c>
      <c r="I488">
        <v>151</v>
      </c>
    </row>
    <row r="489" spans="1:10">
      <c r="A489" s="113" t="s">
        <v>869</v>
      </c>
      <c r="B489" s="113" t="s">
        <v>391</v>
      </c>
      <c r="C489" s="113" t="s">
        <v>392</v>
      </c>
      <c r="D489" s="113" t="s">
        <v>397</v>
      </c>
      <c r="E489">
        <v>3467</v>
      </c>
      <c r="F489" s="113" t="s">
        <v>882</v>
      </c>
      <c r="G489" s="113" t="s">
        <v>394</v>
      </c>
      <c r="H489" s="113" t="s">
        <v>420</v>
      </c>
      <c r="I489">
        <v>30</v>
      </c>
    </row>
    <row r="490" spans="1:10">
      <c r="A490" s="113" t="s">
        <v>869</v>
      </c>
      <c r="B490" s="113" t="s">
        <v>391</v>
      </c>
      <c r="C490" s="113" t="s">
        <v>392</v>
      </c>
      <c r="D490" s="113" t="s">
        <v>393</v>
      </c>
      <c r="E490">
        <v>3571</v>
      </c>
      <c r="F490" s="113" t="s">
        <v>1265</v>
      </c>
      <c r="G490" s="113" t="s">
        <v>394</v>
      </c>
      <c r="H490" s="113" t="s">
        <v>460</v>
      </c>
      <c r="I490" s="113">
        <v>135</v>
      </c>
      <c r="J490" s="113"/>
    </row>
    <row r="491" spans="1:10">
      <c r="A491" s="113" t="s">
        <v>869</v>
      </c>
      <c r="B491" s="113" t="s">
        <v>391</v>
      </c>
      <c r="C491" s="113" t="s">
        <v>392</v>
      </c>
      <c r="D491" s="113" t="s">
        <v>393</v>
      </c>
      <c r="E491">
        <v>3600</v>
      </c>
      <c r="F491" s="113" t="s">
        <v>1266</v>
      </c>
      <c r="G491" s="113" t="s">
        <v>402</v>
      </c>
      <c r="H491" s="113" t="s">
        <v>460</v>
      </c>
      <c r="I491">
        <v>26</v>
      </c>
    </row>
    <row r="492" spans="1:10">
      <c r="A492" s="113" t="s">
        <v>869</v>
      </c>
      <c r="B492" s="113" t="s">
        <v>391</v>
      </c>
      <c r="C492" s="113" t="s">
        <v>392</v>
      </c>
      <c r="D492" s="113" t="s">
        <v>393</v>
      </c>
      <c r="E492">
        <v>3622</v>
      </c>
      <c r="F492" s="113" t="s">
        <v>1267</v>
      </c>
      <c r="G492" s="113" t="s">
        <v>406</v>
      </c>
      <c r="H492" s="113" t="s">
        <v>405</v>
      </c>
      <c r="I492" s="113">
        <v>43</v>
      </c>
      <c r="J492" s="113"/>
    </row>
    <row r="493" spans="1:10">
      <c r="A493" s="113" t="s">
        <v>869</v>
      </c>
      <c r="B493" s="113" t="s">
        <v>391</v>
      </c>
      <c r="C493" s="113" t="s">
        <v>392</v>
      </c>
      <c r="D493" s="113" t="s">
        <v>393</v>
      </c>
      <c r="E493">
        <v>3626</v>
      </c>
      <c r="F493" s="113" t="s">
        <v>1268</v>
      </c>
      <c r="G493" s="113" t="s">
        <v>394</v>
      </c>
      <c r="H493" s="113" t="s">
        <v>405</v>
      </c>
      <c r="I493" s="113" t="s">
        <v>411</v>
      </c>
      <c r="J493" s="113" t="s">
        <v>1269</v>
      </c>
    </row>
    <row r="494" spans="1:10">
      <c r="A494" s="113" t="s">
        <v>869</v>
      </c>
      <c r="B494" s="113" t="s">
        <v>391</v>
      </c>
      <c r="C494" s="113" t="s">
        <v>392</v>
      </c>
      <c r="D494" s="113" t="s">
        <v>397</v>
      </c>
      <c r="E494">
        <v>3741</v>
      </c>
      <c r="F494" s="113" t="s">
        <v>1270</v>
      </c>
      <c r="G494" s="113" t="s">
        <v>394</v>
      </c>
      <c r="H494" s="113" t="s">
        <v>405</v>
      </c>
      <c r="I494">
        <v>199</v>
      </c>
    </row>
    <row r="495" spans="1:10">
      <c r="A495" s="113" t="s">
        <v>869</v>
      </c>
      <c r="B495" s="113" t="s">
        <v>391</v>
      </c>
      <c r="C495" s="113" t="s">
        <v>392</v>
      </c>
      <c r="D495" s="113" t="s">
        <v>393</v>
      </c>
      <c r="E495">
        <v>3943</v>
      </c>
      <c r="F495" s="113" t="s">
        <v>883</v>
      </c>
      <c r="G495" s="113" t="s">
        <v>756</v>
      </c>
      <c r="H495" s="113" t="s">
        <v>462</v>
      </c>
      <c r="I495">
        <v>79</v>
      </c>
    </row>
    <row r="496" spans="1:10">
      <c r="A496" s="113" t="s">
        <v>869</v>
      </c>
      <c r="B496" s="113" t="s">
        <v>391</v>
      </c>
      <c r="C496" s="113" t="s">
        <v>392</v>
      </c>
      <c r="D496" s="113" t="s">
        <v>393</v>
      </c>
      <c r="E496">
        <v>4046</v>
      </c>
      <c r="F496" s="113" t="s">
        <v>884</v>
      </c>
      <c r="G496" s="113" t="s">
        <v>394</v>
      </c>
      <c r="H496" s="113" t="s">
        <v>407</v>
      </c>
      <c r="I496" s="113">
        <v>829</v>
      </c>
      <c r="J496" s="113"/>
    </row>
    <row r="497" spans="1:10">
      <c r="A497" s="113" t="s">
        <v>869</v>
      </c>
      <c r="B497" s="113" t="s">
        <v>391</v>
      </c>
      <c r="C497" s="113" t="s">
        <v>392</v>
      </c>
      <c r="D497" s="113" t="s">
        <v>397</v>
      </c>
      <c r="E497">
        <v>4080</v>
      </c>
      <c r="F497" s="113" t="s">
        <v>885</v>
      </c>
      <c r="G497" s="113" t="s">
        <v>398</v>
      </c>
      <c r="H497" s="113" t="s">
        <v>407</v>
      </c>
      <c r="I497">
        <v>316</v>
      </c>
    </row>
    <row r="498" spans="1:10">
      <c r="A498" s="113" t="s">
        <v>869</v>
      </c>
      <c r="B498" s="113" t="s">
        <v>391</v>
      </c>
      <c r="C498" s="113" t="s">
        <v>396</v>
      </c>
      <c r="D498" s="113" t="s">
        <v>397</v>
      </c>
      <c r="E498">
        <v>4447</v>
      </c>
      <c r="F498" s="113" t="s">
        <v>886</v>
      </c>
      <c r="G498" s="113" t="s">
        <v>756</v>
      </c>
      <c r="H498" s="113" t="s">
        <v>405</v>
      </c>
      <c r="I498">
        <v>25</v>
      </c>
    </row>
    <row r="499" spans="1:10">
      <c r="A499" s="113" t="s">
        <v>869</v>
      </c>
      <c r="B499" s="113" t="s">
        <v>391</v>
      </c>
      <c r="C499" s="113" t="s">
        <v>392</v>
      </c>
      <c r="D499" s="113" t="s">
        <v>393</v>
      </c>
      <c r="E499">
        <v>4548</v>
      </c>
      <c r="F499" s="113" t="s">
        <v>887</v>
      </c>
      <c r="G499" s="113" t="s">
        <v>394</v>
      </c>
      <c r="H499" s="113" t="s">
        <v>516</v>
      </c>
      <c r="I499" s="113">
        <v>715</v>
      </c>
      <c r="J499" s="113"/>
    </row>
    <row r="500" spans="1:10">
      <c r="A500" s="113" t="s">
        <v>869</v>
      </c>
      <c r="B500" s="113" t="s">
        <v>391</v>
      </c>
      <c r="C500" s="113" t="s">
        <v>392</v>
      </c>
      <c r="D500" s="113" t="s">
        <v>393</v>
      </c>
      <c r="E500">
        <v>5192</v>
      </c>
      <c r="F500" s="113" t="s">
        <v>888</v>
      </c>
      <c r="G500" s="113" t="s">
        <v>394</v>
      </c>
      <c r="H500" s="113" t="s">
        <v>889</v>
      </c>
      <c r="I500">
        <v>687</v>
      </c>
    </row>
    <row r="501" spans="1:10">
      <c r="A501" s="113" t="s">
        <v>869</v>
      </c>
      <c r="B501" s="113" t="s">
        <v>391</v>
      </c>
      <c r="C501" s="113" t="s">
        <v>392</v>
      </c>
      <c r="D501" s="113" t="s">
        <v>393</v>
      </c>
      <c r="E501">
        <v>5964</v>
      </c>
      <c r="F501" s="113" t="s">
        <v>890</v>
      </c>
      <c r="G501" s="113" t="s">
        <v>402</v>
      </c>
      <c r="H501" s="113" t="s">
        <v>409</v>
      </c>
      <c r="I501">
        <v>22</v>
      </c>
    </row>
    <row r="502" spans="1:10">
      <c r="A502" s="113" t="s">
        <v>869</v>
      </c>
      <c r="B502" s="113" t="s">
        <v>391</v>
      </c>
      <c r="C502" s="113" t="s">
        <v>392</v>
      </c>
      <c r="D502" s="113" t="s">
        <v>393</v>
      </c>
      <c r="E502">
        <v>5989</v>
      </c>
      <c r="F502" s="113" t="s">
        <v>891</v>
      </c>
      <c r="G502" s="113" t="s">
        <v>394</v>
      </c>
      <c r="H502" s="113" t="s">
        <v>409</v>
      </c>
      <c r="I502">
        <v>245</v>
      </c>
    </row>
    <row r="503" spans="1:10">
      <c r="A503" s="113" t="s">
        <v>869</v>
      </c>
      <c r="B503" s="113" t="s">
        <v>391</v>
      </c>
      <c r="C503" s="113" t="s">
        <v>392</v>
      </c>
      <c r="D503" s="113" t="s">
        <v>393</v>
      </c>
      <c r="E503">
        <v>6240</v>
      </c>
      <c r="F503" s="113" t="s">
        <v>892</v>
      </c>
      <c r="G503" s="113" t="s">
        <v>394</v>
      </c>
      <c r="H503" s="113" t="s">
        <v>415</v>
      </c>
      <c r="I503">
        <v>601</v>
      </c>
    </row>
    <row r="504" spans="1:10">
      <c r="A504" s="113" t="s">
        <v>869</v>
      </c>
      <c r="B504" s="113" t="s">
        <v>391</v>
      </c>
      <c r="C504" s="113" t="s">
        <v>401</v>
      </c>
      <c r="D504" s="113" t="s">
        <v>393</v>
      </c>
      <c r="E504">
        <v>6537</v>
      </c>
      <c r="F504" s="113" t="s">
        <v>893</v>
      </c>
      <c r="G504" s="113" t="s">
        <v>406</v>
      </c>
      <c r="H504" s="113" t="s">
        <v>399</v>
      </c>
      <c r="I504">
        <v>68</v>
      </c>
    </row>
    <row r="505" spans="1:10">
      <c r="A505" s="113" t="s">
        <v>869</v>
      </c>
      <c r="B505" s="113" t="s">
        <v>391</v>
      </c>
      <c r="C505" s="113" t="s">
        <v>403</v>
      </c>
      <c r="D505" s="113" t="s">
        <v>393</v>
      </c>
      <c r="E505">
        <v>6662</v>
      </c>
      <c r="F505" s="113" t="s">
        <v>1044</v>
      </c>
      <c r="G505" s="113" t="s">
        <v>398</v>
      </c>
      <c r="H505" s="113" t="s">
        <v>419</v>
      </c>
      <c r="I505">
        <v>43</v>
      </c>
    </row>
    <row r="506" spans="1:10">
      <c r="A506" s="113" t="s">
        <v>869</v>
      </c>
      <c r="B506" s="113" t="s">
        <v>391</v>
      </c>
      <c r="C506" s="113" t="s">
        <v>392</v>
      </c>
      <c r="D506" s="113" t="s">
        <v>393</v>
      </c>
      <c r="E506">
        <v>6832</v>
      </c>
      <c r="F506" s="113" t="s">
        <v>894</v>
      </c>
      <c r="G506" s="113" t="s">
        <v>402</v>
      </c>
      <c r="H506" s="113" t="s">
        <v>419</v>
      </c>
      <c r="I506">
        <v>301</v>
      </c>
    </row>
    <row r="507" spans="1:10">
      <c r="A507" s="113" t="s">
        <v>869</v>
      </c>
      <c r="B507" s="113" t="s">
        <v>391</v>
      </c>
      <c r="C507" s="113" t="s">
        <v>392</v>
      </c>
      <c r="D507" s="113" t="s">
        <v>393</v>
      </c>
      <c r="E507">
        <v>7057</v>
      </c>
      <c r="F507" s="113" t="s">
        <v>895</v>
      </c>
      <c r="G507" s="113" t="s">
        <v>398</v>
      </c>
      <c r="H507" s="113" t="s">
        <v>399</v>
      </c>
      <c r="I507">
        <v>40</v>
      </c>
    </row>
    <row r="508" spans="1:10">
      <c r="A508" s="113" t="s">
        <v>869</v>
      </c>
      <c r="B508" s="113" t="s">
        <v>391</v>
      </c>
      <c r="C508" s="113" t="s">
        <v>392</v>
      </c>
      <c r="D508" s="113" t="s">
        <v>397</v>
      </c>
      <c r="E508">
        <v>7164</v>
      </c>
      <c r="F508" s="113" t="s">
        <v>896</v>
      </c>
      <c r="G508" s="113" t="s">
        <v>394</v>
      </c>
      <c r="H508" s="113" t="s">
        <v>466</v>
      </c>
      <c r="I508" s="113" t="s">
        <v>634</v>
      </c>
      <c r="J508" s="113" t="s">
        <v>1271</v>
      </c>
    </row>
    <row r="509" spans="1:10">
      <c r="A509" s="113" t="s">
        <v>869</v>
      </c>
      <c r="B509" s="113" t="s">
        <v>391</v>
      </c>
      <c r="C509" s="113" t="s">
        <v>392</v>
      </c>
      <c r="D509" s="113" t="s">
        <v>393</v>
      </c>
      <c r="E509">
        <v>7230</v>
      </c>
      <c r="F509" s="113" t="s">
        <v>897</v>
      </c>
      <c r="G509" s="113" t="s">
        <v>394</v>
      </c>
      <c r="H509" s="113" t="s">
        <v>445</v>
      </c>
      <c r="I509" s="113" t="s">
        <v>449</v>
      </c>
      <c r="J509" s="113" t="s">
        <v>1272</v>
      </c>
    </row>
    <row r="510" spans="1:10">
      <c r="A510" s="113" t="s">
        <v>869</v>
      </c>
      <c r="B510" s="113" t="s">
        <v>391</v>
      </c>
      <c r="C510" s="113" t="s">
        <v>392</v>
      </c>
      <c r="D510" s="113" t="s">
        <v>393</v>
      </c>
      <c r="E510">
        <v>7259</v>
      </c>
      <c r="F510" s="113" t="s">
        <v>899</v>
      </c>
      <c r="G510" s="113" t="s">
        <v>394</v>
      </c>
      <c r="H510" s="113" t="s">
        <v>445</v>
      </c>
      <c r="I510" s="113" t="s">
        <v>900</v>
      </c>
      <c r="J510" s="113" t="s">
        <v>1273</v>
      </c>
    </row>
    <row r="511" spans="1:10">
      <c r="A511" s="113" t="s">
        <v>869</v>
      </c>
      <c r="B511" s="113" t="s">
        <v>391</v>
      </c>
      <c r="C511" s="113" t="s">
        <v>392</v>
      </c>
      <c r="D511" s="113" t="s">
        <v>397</v>
      </c>
      <c r="E511">
        <v>7481</v>
      </c>
      <c r="F511" s="113" t="s">
        <v>901</v>
      </c>
      <c r="G511" s="113" t="s">
        <v>394</v>
      </c>
      <c r="H511" s="113" t="s">
        <v>400</v>
      </c>
      <c r="I511">
        <v>126</v>
      </c>
    </row>
    <row r="512" spans="1:10">
      <c r="A512" s="113" t="s">
        <v>869</v>
      </c>
      <c r="B512" s="113" t="s">
        <v>391</v>
      </c>
      <c r="C512" s="113" t="s">
        <v>392</v>
      </c>
      <c r="D512" s="113" t="s">
        <v>393</v>
      </c>
      <c r="E512">
        <v>7702</v>
      </c>
      <c r="F512" s="113" t="s">
        <v>902</v>
      </c>
      <c r="G512" s="113" t="s">
        <v>394</v>
      </c>
      <c r="H512" s="113" t="s">
        <v>661</v>
      </c>
      <c r="I512">
        <v>190</v>
      </c>
    </row>
    <row r="513" spans="1:10">
      <c r="A513" s="113" t="s">
        <v>869</v>
      </c>
      <c r="B513" s="113" t="s">
        <v>391</v>
      </c>
      <c r="C513" s="113" t="s">
        <v>403</v>
      </c>
      <c r="D513" s="113" t="s">
        <v>393</v>
      </c>
      <c r="E513">
        <v>7813</v>
      </c>
      <c r="F513" s="113" t="s">
        <v>903</v>
      </c>
      <c r="G513" s="113" t="s">
        <v>406</v>
      </c>
      <c r="H513" s="113" t="s">
        <v>416</v>
      </c>
      <c r="I513">
        <v>51</v>
      </c>
    </row>
    <row r="514" spans="1:10">
      <c r="A514" s="113" t="s">
        <v>869</v>
      </c>
      <c r="B514" s="113" t="s">
        <v>391</v>
      </c>
      <c r="C514" s="113" t="s">
        <v>401</v>
      </c>
      <c r="D514" s="113" t="s">
        <v>393</v>
      </c>
      <c r="E514">
        <v>7963</v>
      </c>
      <c r="F514" s="113" t="s">
        <v>904</v>
      </c>
      <c r="G514" s="113" t="s">
        <v>398</v>
      </c>
      <c r="H514" s="113" t="s">
        <v>416</v>
      </c>
      <c r="I514">
        <v>68</v>
      </c>
    </row>
    <row r="515" spans="1:10">
      <c r="A515" s="113" t="s">
        <v>869</v>
      </c>
      <c r="B515" s="113" t="s">
        <v>391</v>
      </c>
      <c r="C515" s="113" t="s">
        <v>392</v>
      </c>
      <c r="D515" s="113" t="s">
        <v>393</v>
      </c>
      <c r="E515">
        <v>8138</v>
      </c>
      <c r="F515" s="113" t="s">
        <v>905</v>
      </c>
      <c r="G515" s="113" t="s">
        <v>402</v>
      </c>
      <c r="H515" s="113" t="s">
        <v>400</v>
      </c>
      <c r="I515">
        <v>43</v>
      </c>
    </row>
    <row r="516" spans="1:10">
      <c r="A516" s="113" t="s">
        <v>869</v>
      </c>
      <c r="B516" s="113" t="s">
        <v>391</v>
      </c>
      <c r="C516" s="113" t="s">
        <v>392</v>
      </c>
      <c r="D516" s="113" t="s">
        <v>393</v>
      </c>
      <c r="E516">
        <v>8153</v>
      </c>
      <c r="F516" s="113" t="s">
        <v>906</v>
      </c>
      <c r="G516" s="113" t="s">
        <v>394</v>
      </c>
      <c r="H516" s="113" t="s">
        <v>400</v>
      </c>
      <c r="I516">
        <v>978</v>
      </c>
    </row>
    <row r="517" spans="1:10">
      <c r="A517" s="113" t="s">
        <v>869</v>
      </c>
      <c r="B517" s="113" t="s">
        <v>391</v>
      </c>
      <c r="C517" s="113" t="s">
        <v>392</v>
      </c>
      <c r="D517" s="113" t="s">
        <v>393</v>
      </c>
      <c r="E517">
        <v>8226</v>
      </c>
      <c r="F517" s="113" t="s">
        <v>907</v>
      </c>
      <c r="G517" s="113" t="s">
        <v>402</v>
      </c>
      <c r="H517" s="113" t="s">
        <v>400</v>
      </c>
      <c r="I517">
        <v>30</v>
      </c>
    </row>
    <row r="518" spans="1:10">
      <c r="A518" s="113" t="s">
        <v>869</v>
      </c>
      <c r="B518" s="113" t="s">
        <v>391</v>
      </c>
      <c r="C518" s="113" t="s">
        <v>392</v>
      </c>
      <c r="D518" s="113" t="s">
        <v>393</v>
      </c>
      <c r="E518">
        <v>8281</v>
      </c>
      <c r="F518" s="113" t="s">
        <v>908</v>
      </c>
      <c r="G518" s="113" t="s">
        <v>394</v>
      </c>
      <c r="H518" s="113" t="s">
        <v>404</v>
      </c>
      <c r="I518">
        <v>629</v>
      </c>
    </row>
    <row r="519" spans="1:10">
      <c r="A519" s="113" t="s">
        <v>869</v>
      </c>
      <c r="B519" s="113" t="s">
        <v>391</v>
      </c>
      <c r="C519" s="113" t="s">
        <v>392</v>
      </c>
      <c r="D519" s="113" t="s">
        <v>393</v>
      </c>
      <c r="E519">
        <v>9001</v>
      </c>
      <c r="F519" s="113" t="s">
        <v>909</v>
      </c>
      <c r="G519" s="113" t="s">
        <v>394</v>
      </c>
      <c r="H519" s="113" t="s">
        <v>683</v>
      </c>
      <c r="I519" s="113" t="s">
        <v>663</v>
      </c>
      <c r="J519" s="113" t="s">
        <v>1274</v>
      </c>
    </row>
    <row r="520" spans="1:10">
      <c r="A520" s="113" t="s">
        <v>869</v>
      </c>
      <c r="B520" s="113" t="s">
        <v>391</v>
      </c>
      <c r="C520" s="113" t="s">
        <v>401</v>
      </c>
      <c r="D520" s="113" t="s">
        <v>397</v>
      </c>
      <c r="E520">
        <v>9284</v>
      </c>
      <c r="F520" s="113" t="s">
        <v>1047</v>
      </c>
      <c r="G520" s="113" t="s">
        <v>481</v>
      </c>
      <c r="H520" s="113" t="s">
        <v>482</v>
      </c>
      <c r="I520">
        <v>286</v>
      </c>
    </row>
    <row r="521" spans="1:10">
      <c r="A521" s="113" t="s">
        <v>869</v>
      </c>
      <c r="B521" s="113" t="s">
        <v>391</v>
      </c>
      <c r="C521" s="113" t="s">
        <v>392</v>
      </c>
      <c r="D521" s="113" t="s">
        <v>393</v>
      </c>
      <c r="E521">
        <v>9364</v>
      </c>
      <c r="F521" s="113" t="s">
        <v>910</v>
      </c>
      <c r="G521" s="113" t="s">
        <v>394</v>
      </c>
      <c r="H521" s="113" t="s">
        <v>911</v>
      </c>
      <c r="I521" s="113" t="s">
        <v>634</v>
      </c>
      <c r="J521" s="113" t="s">
        <v>1275</v>
      </c>
    </row>
    <row r="522" spans="1:10">
      <c r="A522" s="113" t="s">
        <v>869</v>
      </c>
      <c r="B522" s="113" t="s">
        <v>391</v>
      </c>
      <c r="C522" s="113" t="s">
        <v>392</v>
      </c>
      <c r="D522" s="113" t="s">
        <v>393</v>
      </c>
      <c r="E522">
        <v>9613</v>
      </c>
      <c r="F522" s="113" t="s">
        <v>912</v>
      </c>
      <c r="G522" s="113" t="s">
        <v>394</v>
      </c>
      <c r="H522" s="113" t="s">
        <v>405</v>
      </c>
      <c r="I522" s="113" t="s">
        <v>804</v>
      </c>
      <c r="J522" s="113" t="s">
        <v>1089</v>
      </c>
    </row>
    <row r="523" spans="1:10">
      <c r="A523" s="113" t="s">
        <v>869</v>
      </c>
      <c r="B523" s="113" t="s">
        <v>391</v>
      </c>
      <c r="C523" s="113" t="s">
        <v>392</v>
      </c>
      <c r="D523" s="113" t="s">
        <v>393</v>
      </c>
      <c r="E523">
        <v>9671</v>
      </c>
      <c r="F523" s="113" t="s">
        <v>913</v>
      </c>
      <c r="G523" s="113" t="s">
        <v>394</v>
      </c>
      <c r="H523" s="113" t="s">
        <v>399</v>
      </c>
      <c r="I523" s="113">
        <v>382</v>
      </c>
      <c r="J523" s="113"/>
    </row>
    <row r="524" spans="1:10">
      <c r="A524" s="113" t="s">
        <v>869</v>
      </c>
      <c r="B524" s="113" t="s">
        <v>391</v>
      </c>
      <c r="C524" s="113" t="s">
        <v>392</v>
      </c>
      <c r="D524" s="113" t="s">
        <v>393</v>
      </c>
      <c r="E524">
        <v>9887</v>
      </c>
      <c r="F524" s="113" t="s">
        <v>914</v>
      </c>
      <c r="G524" s="113" t="s">
        <v>394</v>
      </c>
      <c r="H524" s="113" t="s">
        <v>404</v>
      </c>
      <c r="I524" s="113">
        <v>871</v>
      </c>
      <c r="J524" s="113"/>
    </row>
    <row r="525" spans="1:10">
      <c r="A525" s="113" t="s">
        <v>869</v>
      </c>
      <c r="B525" s="113" t="s">
        <v>391</v>
      </c>
      <c r="C525" s="113" t="s">
        <v>392</v>
      </c>
      <c r="D525" s="113" t="s">
        <v>393</v>
      </c>
      <c r="E525">
        <v>9896</v>
      </c>
      <c r="F525" s="113" t="s">
        <v>915</v>
      </c>
      <c r="G525" s="113" t="s">
        <v>394</v>
      </c>
      <c r="H525" s="113" t="s">
        <v>400</v>
      </c>
      <c r="I525">
        <v>205</v>
      </c>
    </row>
    <row r="526" spans="1:10">
      <c r="A526" s="113" t="s">
        <v>916</v>
      </c>
      <c r="B526" s="113" t="s">
        <v>391</v>
      </c>
      <c r="C526" s="113" t="s">
        <v>392</v>
      </c>
      <c r="D526" s="113" t="s">
        <v>397</v>
      </c>
      <c r="E526">
        <v>1450</v>
      </c>
      <c r="F526" s="113" t="s">
        <v>917</v>
      </c>
      <c r="G526" s="113" t="s">
        <v>398</v>
      </c>
      <c r="H526" s="113" t="s">
        <v>428</v>
      </c>
      <c r="I526">
        <v>53</v>
      </c>
    </row>
    <row r="527" spans="1:10">
      <c r="A527" s="113" t="s">
        <v>916</v>
      </c>
      <c r="B527" s="113" t="s">
        <v>391</v>
      </c>
      <c r="C527" s="113" t="s">
        <v>392</v>
      </c>
      <c r="D527" s="113" t="s">
        <v>393</v>
      </c>
      <c r="E527">
        <v>1451</v>
      </c>
      <c r="F527" s="113" t="s">
        <v>918</v>
      </c>
      <c r="G527" s="113" t="s">
        <v>402</v>
      </c>
      <c r="H527" s="113" t="s">
        <v>428</v>
      </c>
      <c r="I527" s="113">
        <v>31</v>
      </c>
      <c r="J527" s="113"/>
    </row>
    <row r="528" spans="1:10">
      <c r="A528" s="113" t="s">
        <v>916</v>
      </c>
      <c r="B528" s="113" t="s">
        <v>391</v>
      </c>
      <c r="C528" s="113" t="s">
        <v>401</v>
      </c>
      <c r="D528" s="113" t="s">
        <v>393</v>
      </c>
      <c r="E528">
        <v>1605</v>
      </c>
      <c r="F528" s="113" t="s">
        <v>919</v>
      </c>
      <c r="G528" s="113" t="s">
        <v>394</v>
      </c>
      <c r="H528" s="113" t="s">
        <v>920</v>
      </c>
      <c r="I528" s="113" t="s">
        <v>921</v>
      </c>
      <c r="J528" s="113" t="s">
        <v>898</v>
      </c>
    </row>
    <row r="529" spans="1:10">
      <c r="A529" s="113" t="s">
        <v>916</v>
      </c>
      <c r="B529" s="113" t="s">
        <v>391</v>
      </c>
      <c r="C529" s="113" t="s">
        <v>392</v>
      </c>
      <c r="D529" s="113" t="s">
        <v>393</v>
      </c>
      <c r="E529">
        <v>1866</v>
      </c>
      <c r="F529" s="113" t="s">
        <v>922</v>
      </c>
      <c r="G529" s="113" t="s">
        <v>394</v>
      </c>
      <c r="H529" s="113" t="s">
        <v>428</v>
      </c>
      <c r="I529">
        <v>179</v>
      </c>
    </row>
    <row r="530" spans="1:10">
      <c r="A530" s="113" t="s">
        <v>916</v>
      </c>
      <c r="B530" s="113" t="s">
        <v>391</v>
      </c>
      <c r="C530" s="113" t="s">
        <v>401</v>
      </c>
      <c r="D530" s="113" t="s">
        <v>393</v>
      </c>
      <c r="E530">
        <v>1899</v>
      </c>
      <c r="F530" s="113" t="s">
        <v>923</v>
      </c>
      <c r="G530" s="113" t="s">
        <v>394</v>
      </c>
      <c r="H530" s="113" t="s">
        <v>428</v>
      </c>
      <c r="I530" s="113">
        <v>442</v>
      </c>
      <c r="J530" s="113"/>
    </row>
    <row r="531" spans="1:10">
      <c r="A531" s="113" t="s">
        <v>916</v>
      </c>
      <c r="B531" s="113" t="s">
        <v>391</v>
      </c>
      <c r="C531" s="113" t="s">
        <v>392</v>
      </c>
      <c r="D531" s="113" t="s">
        <v>393</v>
      </c>
      <c r="E531">
        <v>1952</v>
      </c>
      <c r="F531" s="113" t="s">
        <v>924</v>
      </c>
      <c r="G531" s="113" t="s">
        <v>394</v>
      </c>
      <c r="H531" s="113" t="s">
        <v>428</v>
      </c>
      <c r="I531">
        <v>543</v>
      </c>
    </row>
    <row r="532" spans="1:10">
      <c r="A532" s="113" t="s">
        <v>916</v>
      </c>
      <c r="B532" s="113" t="s">
        <v>391</v>
      </c>
      <c r="C532" s="113" t="s">
        <v>392</v>
      </c>
      <c r="D532" s="113" t="s">
        <v>393</v>
      </c>
      <c r="E532">
        <v>2134</v>
      </c>
      <c r="F532" s="113" t="s">
        <v>925</v>
      </c>
      <c r="G532" s="113" t="s">
        <v>398</v>
      </c>
      <c r="H532" s="113" t="s">
        <v>399</v>
      </c>
      <c r="I532">
        <v>45</v>
      </c>
    </row>
    <row r="533" spans="1:10">
      <c r="A533" s="113" t="s">
        <v>916</v>
      </c>
      <c r="B533" s="113" t="s">
        <v>391</v>
      </c>
      <c r="C533" s="113" t="s">
        <v>392</v>
      </c>
      <c r="D533" s="113" t="s">
        <v>393</v>
      </c>
      <c r="E533">
        <v>2831</v>
      </c>
      <c r="F533" s="113" t="s">
        <v>1276</v>
      </c>
      <c r="G533" s="113" t="s">
        <v>402</v>
      </c>
      <c r="H533" s="113" t="s">
        <v>395</v>
      </c>
      <c r="I533">
        <v>270</v>
      </c>
    </row>
    <row r="534" spans="1:10">
      <c r="A534" s="113" t="s">
        <v>916</v>
      </c>
      <c r="B534" s="113" t="s">
        <v>391</v>
      </c>
      <c r="C534" s="113" t="s">
        <v>396</v>
      </c>
      <c r="D534" s="113" t="s">
        <v>393</v>
      </c>
      <c r="E534">
        <v>2974</v>
      </c>
      <c r="F534" s="113" t="s">
        <v>926</v>
      </c>
      <c r="G534" s="113" t="s">
        <v>756</v>
      </c>
      <c r="H534" s="113" t="s">
        <v>420</v>
      </c>
      <c r="I534">
        <v>35</v>
      </c>
    </row>
    <row r="535" spans="1:10">
      <c r="A535" s="113" t="s">
        <v>916</v>
      </c>
      <c r="B535" s="113" t="s">
        <v>391</v>
      </c>
      <c r="C535" s="113" t="s">
        <v>392</v>
      </c>
      <c r="D535" s="113" t="s">
        <v>393</v>
      </c>
      <c r="E535">
        <v>2976</v>
      </c>
      <c r="F535" s="113" t="s">
        <v>927</v>
      </c>
      <c r="G535" s="113" t="s">
        <v>928</v>
      </c>
      <c r="H535" s="113" t="s">
        <v>420</v>
      </c>
      <c r="I535">
        <v>14</v>
      </c>
    </row>
    <row r="536" spans="1:10">
      <c r="A536" s="113" t="s">
        <v>916</v>
      </c>
      <c r="B536" s="113" t="s">
        <v>391</v>
      </c>
      <c r="C536" s="113" t="s">
        <v>392</v>
      </c>
      <c r="D536" s="113" t="s">
        <v>393</v>
      </c>
      <c r="E536">
        <v>3291</v>
      </c>
      <c r="F536" s="113" t="s">
        <v>1277</v>
      </c>
      <c r="G536" s="113" t="s">
        <v>394</v>
      </c>
      <c r="H536" s="113" t="s">
        <v>420</v>
      </c>
      <c r="I536" s="113" t="s">
        <v>411</v>
      </c>
      <c r="J536" s="113" t="s">
        <v>1278</v>
      </c>
    </row>
    <row r="537" spans="1:10">
      <c r="A537" s="113" t="s">
        <v>916</v>
      </c>
      <c r="B537" s="113" t="s">
        <v>391</v>
      </c>
      <c r="C537" s="113" t="s">
        <v>392</v>
      </c>
      <c r="D537" s="113" t="s">
        <v>393</v>
      </c>
      <c r="E537">
        <v>3372</v>
      </c>
      <c r="F537" s="113" t="s">
        <v>1279</v>
      </c>
      <c r="G537" s="113" t="s">
        <v>402</v>
      </c>
      <c r="H537" s="113" t="s">
        <v>404</v>
      </c>
      <c r="I537">
        <v>52</v>
      </c>
    </row>
    <row r="538" spans="1:10">
      <c r="A538" s="113" t="s">
        <v>916</v>
      </c>
      <c r="B538" s="113" t="s">
        <v>391</v>
      </c>
      <c r="C538" s="113" t="s">
        <v>401</v>
      </c>
      <c r="D538" s="113" t="s">
        <v>393</v>
      </c>
      <c r="E538">
        <v>3606</v>
      </c>
      <c r="F538" s="113" t="s">
        <v>929</v>
      </c>
      <c r="G538" s="113" t="s">
        <v>394</v>
      </c>
      <c r="H538" s="113" t="s">
        <v>460</v>
      </c>
      <c r="I538">
        <v>114</v>
      </c>
    </row>
    <row r="539" spans="1:10">
      <c r="A539" s="113" t="s">
        <v>916</v>
      </c>
      <c r="B539" s="113" t="s">
        <v>391</v>
      </c>
      <c r="C539" s="113" t="s">
        <v>392</v>
      </c>
      <c r="D539" s="113" t="s">
        <v>397</v>
      </c>
      <c r="E539">
        <v>3652</v>
      </c>
      <c r="F539" s="113" t="s">
        <v>1280</v>
      </c>
      <c r="G539" s="113" t="s">
        <v>406</v>
      </c>
      <c r="H539" s="113" t="s">
        <v>405</v>
      </c>
      <c r="I539">
        <v>132</v>
      </c>
    </row>
    <row r="540" spans="1:10">
      <c r="A540" s="113" t="s">
        <v>916</v>
      </c>
      <c r="B540" s="113" t="s">
        <v>391</v>
      </c>
      <c r="C540" s="113" t="s">
        <v>401</v>
      </c>
      <c r="D540" s="113" t="s">
        <v>397</v>
      </c>
      <c r="E540">
        <v>3719</v>
      </c>
      <c r="F540" s="113" t="s">
        <v>1281</v>
      </c>
      <c r="G540" s="113" t="s">
        <v>398</v>
      </c>
      <c r="H540" s="113" t="s">
        <v>405</v>
      </c>
      <c r="I540">
        <v>26</v>
      </c>
    </row>
    <row r="541" spans="1:10">
      <c r="A541" s="113" t="s">
        <v>916</v>
      </c>
      <c r="B541" s="113" t="s">
        <v>391</v>
      </c>
      <c r="C541" s="113" t="s">
        <v>403</v>
      </c>
      <c r="D541" s="113" t="s">
        <v>393</v>
      </c>
      <c r="E541">
        <v>3856</v>
      </c>
      <c r="F541" s="113" t="s">
        <v>930</v>
      </c>
      <c r="G541" s="113" t="s">
        <v>402</v>
      </c>
      <c r="H541" s="113" t="s">
        <v>419</v>
      </c>
      <c r="I541">
        <v>30</v>
      </c>
    </row>
    <row r="542" spans="1:10">
      <c r="A542" s="113" t="s">
        <v>916</v>
      </c>
      <c r="B542" s="113" t="s">
        <v>391</v>
      </c>
      <c r="C542" s="113" t="s">
        <v>392</v>
      </c>
      <c r="D542" s="113" t="s">
        <v>393</v>
      </c>
      <c r="E542">
        <v>3896</v>
      </c>
      <c r="F542" s="113" t="s">
        <v>931</v>
      </c>
      <c r="G542" s="113" t="s">
        <v>394</v>
      </c>
      <c r="H542" s="113" t="s">
        <v>462</v>
      </c>
      <c r="I542">
        <v>71</v>
      </c>
    </row>
    <row r="543" spans="1:10">
      <c r="A543" s="113" t="s">
        <v>916</v>
      </c>
      <c r="B543" s="113" t="s">
        <v>391</v>
      </c>
      <c r="C543" s="113" t="s">
        <v>401</v>
      </c>
      <c r="D543" s="113" t="s">
        <v>393</v>
      </c>
      <c r="E543">
        <v>3902</v>
      </c>
      <c r="F543" s="113" t="s">
        <v>932</v>
      </c>
      <c r="G543" s="113" t="s">
        <v>394</v>
      </c>
      <c r="H543" s="113" t="s">
        <v>405</v>
      </c>
      <c r="I543">
        <v>387</v>
      </c>
    </row>
    <row r="544" spans="1:10">
      <c r="A544" s="113" t="s">
        <v>916</v>
      </c>
      <c r="B544" s="113" t="s">
        <v>391</v>
      </c>
      <c r="C544" s="113" t="s">
        <v>392</v>
      </c>
      <c r="D544" s="113" t="s">
        <v>393</v>
      </c>
      <c r="E544">
        <v>3963</v>
      </c>
      <c r="F544" s="113" t="s">
        <v>933</v>
      </c>
      <c r="G544" s="113" t="s">
        <v>394</v>
      </c>
      <c r="H544" s="113" t="s">
        <v>405</v>
      </c>
      <c r="I544">
        <v>143</v>
      </c>
    </row>
    <row r="545" spans="1:10">
      <c r="A545" s="113" t="s">
        <v>916</v>
      </c>
      <c r="B545" s="113" t="s">
        <v>391</v>
      </c>
      <c r="C545" s="113" t="s">
        <v>401</v>
      </c>
      <c r="D545" s="113" t="s">
        <v>393</v>
      </c>
      <c r="E545">
        <v>4245</v>
      </c>
      <c r="F545" s="113" t="s">
        <v>934</v>
      </c>
      <c r="G545" s="113" t="s">
        <v>394</v>
      </c>
      <c r="H545" s="113" t="s">
        <v>407</v>
      </c>
      <c r="I545">
        <v>129</v>
      </c>
    </row>
    <row r="546" spans="1:10">
      <c r="A546" s="113" t="s">
        <v>916</v>
      </c>
      <c r="B546" s="113" t="s">
        <v>391</v>
      </c>
      <c r="C546" s="113" t="s">
        <v>401</v>
      </c>
      <c r="D546" s="113" t="s">
        <v>393</v>
      </c>
      <c r="E546">
        <v>4251</v>
      </c>
      <c r="F546" s="113" t="s">
        <v>935</v>
      </c>
      <c r="G546" s="113" t="s">
        <v>402</v>
      </c>
      <c r="H546" s="113" t="s">
        <v>407</v>
      </c>
      <c r="I546">
        <v>81</v>
      </c>
    </row>
    <row r="547" spans="1:10">
      <c r="A547" s="113" t="s">
        <v>916</v>
      </c>
      <c r="B547" s="113" t="s">
        <v>391</v>
      </c>
      <c r="C547" s="113" t="s">
        <v>392</v>
      </c>
      <c r="D547" s="113" t="s">
        <v>393</v>
      </c>
      <c r="E547">
        <v>4425</v>
      </c>
      <c r="F547" s="113" t="s">
        <v>936</v>
      </c>
      <c r="G547" s="113" t="s">
        <v>406</v>
      </c>
      <c r="H547" s="113" t="s">
        <v>405</v>
      </c>
      <c r="I547">
        <v>622</v>
      </c>
    </row>
    <row r="548" spans="1:10">
      <c r="A548" s="113" t="s">
        <v>916</v>
      </c>
      <c r="B548" s="113" t="s">
        <v>391</v>
      </c>
      <c r="C548" s="113" t="s">
        <v>392</v>
      </c>
      <c r="D548" s="113" t="s">
        <v>397</v>
      </c>
      <c r="E548">
        <v>4435</v>
      </c>
      <c r="F548" s="113" t="s">
        <v>937</v>
      </c>
      <c r="G548" s="113" t="s">
        <v>406</v>
      </c>
      <c r="H548" s="113" t="s">
        <v>405</v>
      </c>
      <c r="I548">
        <v>450</v>
      </c>
    </row>
    <row r="549" spans="1:10">
      <c r="A549" s="113" t="s">
        <v>916</v>
      </c>
      <c r="B549" s="113" t="s">
        <v>391</v>
      </c>
      <c r="C549" s="113" t="s">
        <v>392</v>
      </c>
      <c r="D549" s="113" t="s">
        <v>393</v>
      </c>
      <c r="E549">
        <v>4442</v>
      </c>
      <c r="F549" s="113" t="s">
        <v>938</v>
      </c>
      <c r="G549" s="113" t="s">
        <v>406</v>
      </c>
      <c r="H549" s="113" t="s">
        <v>405</v>
      </c>
      <c r="I549">
        <v>117</v>
      </c>
    </row>
    <row r="550" spans="1:10">
      <c r="A550" s="113" t="s">
        <v>916</v>
      </c>
      <c r="B550" s="113" t="s">
        <v>391</v>
      </c>
      <c r="C550" s="113" t="s">
        <v>401</v>
      </c>
      <c r="D550" s="113" t="s">
        <v>397</v>
      </c>
      <c r="E550">
        <v>4448</v>
      </c>
      <c r="F550" s="113" t="s">
        <v>939</v>
      </c>
      <c r="G550" s="113" t="s">
        <v>406</v>
      </c>
      <c r="H550" s="113" t="s">
        <v>405</v>
      </c>
      <c r="I550">
        <v>422</v>
      </c>
    </row>
    <row r="551" spans="1:10">
      <c r="A551" s="113" t="s">
        <v>916</v>
      </c>
      <c r="B551" s="113" t="s">
        <v>391</v>
      </c>
      <c r="C551" s="113" t="s">
        <v>401</v>
      </c>
      <c r="D551" s="113" t="s">
        <v>393</v>
      </c>
      <c r="E551">
        <v>4449</v>
      </c>
      <c r="F551" s="113" t="s">
        <v>940</v>
      </c>
      <c r="G551" s="113" t="s">
        <v>406</v>
      </c>
      <c r="H551" s="113" t="s">
        <v>405</v>
      </c>
      <c r="I551">
        <v>457</v>
      </c>
    </row>
    <row r="552" spans="1:10">
      <c r="A552" s="113" t="s">
        <v>916</v>
      </c>
      <c r="B552" s="113" t="s">
        <v>391</v>
      </c>
      <c r="C552" s="113" t="s">
        <v>401</v>
      </c>
      <c r="D552" s="113" t="s">
        <v>397</v>
      </c>
      <c r="E552">
        <v>4450</v>
      </c>
      <c r="F552" s="113" t="s">
        <v>941</v>
      </c>
      <c r="G552" s="113" t="s">
        <v>406</v>
      </c>
      <c r="H552" s="113" t="s">
        <v>405</v>
      </c>
      <c r="I552">
        <v>59</v>
      </c>
    </row>
    <row r="553" spans="1:10">
      <c r="A553" s="113" t="s">
        <v>916</v>
      </c>
      <c r="B553" s="113" t="s">
        <v>391</v>
      </c>
      <c r="C553" s="113" t="s">
        <v>396</v>
      </c>
      <c r="D553" s="113" t="s">
        <v>393</v>
      </c>
      <c r="E553">
        <v>4475</v>
      </c>
      <c r="F553" s="113" t="s">
        <v>942</v>
      </c>
      <c r="G553" s="113" t="s">
        <v>406</v>
      </c>
      <c r="H553" s="113" t="s">
        <v>405</v>
      </c>
      <c r="I553">
        <v>269</v>
      </c>
    </row>
    <row r="554" spans="1:10">
      <c r="A554" s="113" t="s">
        <v>916</v>
      </c>
      <c r="B554" s="113" t="s">
        <v>391</v>
      </c>
      <c r="C554" s="113" t="s">
        <v>401</v>
      </c>
      <c r="D554" s="113" t="s">
        <v>397</v>
      </c>
      <c r="E554">
        <v>4476</v>
      </c>
      <c r="F554" s="113" t="s">
        <v>943</v>
      </c>
      <c r="G554" s="113" t="s">
        <v>406</v>
      </c>
      <c r="H554" s="113" t="s">
        <v>405</v>
      </c>
      <c r="I554">
        <v>101</v>
      </c>
    </row>
    <row r="555" spans="1:10">
      <c r="A555" s="113" t="s">
        <v>916</v>
      </c>
      <c r="B555" s="113" t="s">
        <v>391</v>
      </c>
      <c r="C555" s="113" t="s">
        <v>401</v>
      </c>
      <c r="D555" s="113" t="s">
        <v>393</v>
      </c>
      <c r="E555">
        <v>4477</v>
      </c>
      <c r="F555" s="113" t="s">
        <v>944</v>
      </c>
      <c r="G555" s="113" t="s">
        <v>406</v>
      </c>
      <c r="H555" s="113" t="s">
        <v>405</v>
      </c>
      <c r="I555">
        <v>393</v>
      </c>
    </row>
    <row r="556" spans="1:10">
      <c r="A556" s="113" t="s">
        <v>916</v>
      </c>
      <c r="B556" s="113" t="s">
        <v>391</v>
      </c>
      <c r="C556" s="113" t="s">
        <v>401</v>
      </c>
      <c r="D556" s="113" t="s">
        <v>393</v>
      </c>
      <c r="E556">
        <v>4631</v>
      </c>
      <c r="F556" s="113" t="s">
        <v>945</v>
      </c>
      <c r="G556" s="113" t="s">
        <v>394</v>
      </c>
      <c r="H556" s="113" t="s">
        <v>407</v>
      </c>
      <c r="I556" s="113" t="s">
        <v>417</v>
      </c>
      <c r="J556" s="113" t="s">
        <v>1282</v>
      </c>
    </row>
    <row r="557" spans="1:10">
      <c r="A557" s="113" t="s">
        <v>916</v>
      </c>
      <c r="B557" s="113" t="s">
        <v>391</v>
      </c>
      <c r="C557" s="113" t="s">
        <v>392</v>
      </c>
      <c r="D557" s="113" t="s">
        <v>393</v>
      </c>
      <c r="E557">
        <v>4691</v>
      </c>
      <c r="F557" s="113" t="s">
        <v>946</v>
      </c>
      <c r="G557" s="113" t="s">
        <v>402</v>
      </c>
      <c r="H557" s="113" t="s">
        <v>399</v>
      </c>
      <c r="I557">
        <v>167</v>
      </c>
    </row>
    <row r="558" spans="1:10">
      <c r="A558" s="113" t="s">
        <v>916</v>
      </c>
      <c r="B558" s="113" t="s">
        <v>391</v>
      </c>
      <c r="C558" s="113" t="s">
        <v>403</v>
      </c>
      <c r="D558" s="113" t="s">
        <v>393</v>
      </c>
      <c r="E558">
        <v>4845</v>
      </c>
      <c r="F558" s="113" t="s">
        <v>947</v>
      </c>
      <c r="G558" s="113" t="s">
        <v>394</v>
      </c>
      <c r="H558" s="113" t="s">
        <v>405</v>
      </c>
      <c r="I558">
        <v>136</v>
      </c>
    </row>
    <row r="559" spans="1:10">
      <c r="A559" s="113" t="s">
        <v>916</v>
      </c>
      <c r="B559" s="113" t="s">
        <v>391</v>
      </c>
      <c r="C559" s="113" t="s">
        <v>392</v>
      </c>
      <c r="D559" s="113" t="s">
        <v>393</v>
      </c>
      <c r="E559">
        <v>6082</v>
      </c>
      <c r="F559" s="113" t="s">
        <v>948</v>
      </c>
      <c r="G559" s="113" t="s">
        <v>394</v>
      </c>
      <c r="H559" s="113" t="s">
        <v>399</v>
      </c>
      <c r="I559">
        <v>218</v>
      </c>
    </row>
    <row r="560" spans="1:10">
      <c r="A560" s="113" t="s">
        <v>916</v>
      </c>
      <c r="B560" s="113" t="s">
        <v>391</v>
      </c>
      <c r="C560" s="113" t="s">
        <v>392</v>
      </c>
      <c r="D560" s="113" t="s">
        <v>393</v>
      </c>
      <c r="E560">
        <v>6408</v>
      </c>
      <c r="F560" s="113" t="s">
        <v>949</v>
      </c>
      <c r="G560" s="113" t="s">
        <v>398</v>
      </c>
      <c r="H560" s="113" t="s">
        <v>415</v>
      </c>
      <c r="I560">
        <v>48</v>
      </c>
    </row>
    <row r="561" spans="1:9">
      <c r="A561" s="113" t="s">
        <v>916</v>
      </c>
      <c r="B561" s="113" t="s">
        <v>391</v>
      </c>
      <c r="C561" s="113" t="s">
        <v>392</v>
      </c>
      <c r="D561" s="113" t="s">
        <v>393</v>
      </c>
      <c r="E561">
        <v>6424</v>
      </c>
      <c r="F561" s="113" t="s">
        <v>950</v>
      </c>
      <c r="G561" s="113" t="s">
        <v>398</v>
      </c>
      <c r="H561" s="113" t="s">
        <v>415</v>
      </c>
      <c r="I561">
        <v>61</v>
      </c>
    </row>
    <row r="562" spans="1:9">
      <c r="A562" s="113" t="s">
        <v>916</v>
      </c>
      <c r="B562" s="113" t="s">
        <v>391</v>
      </c>
      <c r="C562" s="113" t="s">
        <v>392</v>
      </c>
      <c r="D562" s="113" t="s">
        <v>393</v>
      </c>
      <c r="E562">
        <v>6517</v>
      </c>
      <c r="F562" s="113" t="s">
        <v>951</v>
      </c>
      <c r="G562" s="113" t="s">
        <v>394</v>
      </c>
      <c r="H562" s="113" t="s">
        <v>419</v>
      </c>
      <c r="I562">
        <v>507</v>
      </c>
    </row>
    <row r="563" spans="1:9">
      <c r="A563" s="113" t="s">
        <v>916</v>
      </c>
      <c r="B563" s="113" t="s">
        <v>391</v>
      </c>
      <c r="C563" s="113" t="s">
        <v>392</v>
      </c>
      <c r="D563" s="113" t="s">
        <v>393</v>
      </c>
      <c r="E563">
        <v>6574</v>
      </c>
      <c r="F563" s="113" t="s">
        <v>952</v>
      </c>
      <c r="G563" s="113" t="s">
        <v>406</v>
      </c>
      <c r="H563" s="113" t="s">
        <v>399</v>
      </c>
      <c r="I563">
        <v>32</v>
      </c>
    </row>
    <row r="564" spans="1:9">
      <c r="A564" s="113" t="s">
        <v>916</v>
      </c>
      <c r="B564" s="113" t="s">
        <v>391</v>
      </c>
      <c r="C564" s="113" t="s">
        <v>403</v>
      </c>
      <c r="D564" s="113" t="s">
        <v>397</v>
      </c>
      <c r="E564">
        <v>6597</v>
      </c>
      <c r="F564" s="113" t="s">
        <v>953</v>
      </c>
      <c r="G564" s="113" t="s">
        <v>406</v>
      </c>
      <c r="H564" s="113" t="s">
        <v>419</v>
      </c>
      <c r="I564">
        <v>78</v>
      </c>
    </row>
    <row r="565" spans="1:9">
      <c r="A565" s="113" t="s">
        <v>916</v>
      </c>
      <c r="B565" s="113" t="s">
        <v>391</v>
      </c>
      <c r="C565" s="113" t="s">
        <v>392</v>
      </c>
      <c r="D565" s="113" t="s">
        <v>393</v>
      </c>
      <c r="E565">
        <v>6706</v>
      </c>
      <c r="F565" s="113" t="s">
        <v>954</v>
      </c>
      <c r="G565" s="113" t="s">
        <v>394</v>
      </c>
      <c r="H565" s="113" t="s">
        <v>419</v>
      </c>
      <c r="I565">
        <v>446</v>
      </c>
    </row>
    <row r="566" spans="1:9">
      <c r="A566" s="113" t="s">
        <v>916</v>
      </c>
      <c r="B566" s="113" t="s">
        <v>391</v>
      </c>
      <c r="C566" s="113" t="s">
        <v>392</v>
      </c>
      <c r="D566" s="113" t="s">
        <v>393</v>
      </c>
      <c r="E566">
        <v>6819</v>
      </c>
      <c r="F566" s="113" t="s">
        <v>955</v>
      </c>
      <c r="G566" s="113" t="s">
        <v>398</v>
      </c>
      <c r="H566" s="113" t="s">
        <v>399</v>
      </c>
      <c r="I566">
        <v>36</v>
      </c>
    </row>
    <row r="567" spans="1:9">
      <c r="A567" s="113" t="s">
        <v>916</v>
      </c>
      <c r="B567" s="113" t="s">
        <v>391</v>
      </c>
      <c r="C567" s="113" t="s">
        <v>401</v>
      </c>
      <c r="D567" s="113" t="s">
        <v>393</v>
      </c>
      <c r="E567">
        <v>6870</v>
      </c>
      <c r="F567" s="113" t="s">
        <v>956</v>
      </c>
      <c r="G567" s="113" t="s">
        <v>402</v>
      </c>
      <c r="H567" s="113" t="s">
        <v>419</v>
      </c>
      <c r="I567">
        <v>90</v>
      </c>
    </row>
    <row r="568" spans="1:9">
      <c r="A568" s="113" t="s">
        <v>916</v>
      </c>
      <c r="B568" s="113" t="s">
        <v>391</v>
      </c>
      <c r="C568" s="113" t="s">
        <v>392</v>
      </c>
      <c r="D568" s="113" t="s">
        <v>393</v>
      </c>
      <c r="E568">
        <v>7059</v>
      </c>
      <c r="F568" s="113" t="s">
        <v>1283</v>
      </c>
      <c r="G568" s="113" t="s">
        <v>406</v>
      </c>
      <c r="H568" s="113" t="s">
        <v>399</v>
      </c>
      <c r="I568">
        <v>141</v>
      </c>
    </row>
    <row r="569" spans="1:9">
      <c r="A569" s="113" t="s">
        <v>916</v>
      </c>
      <c r="B569" s="113" t="s">
        <v>391</v>
      </c>
      <c r="C569" s="113" t="s">
        <v>392</v>
      </c>
      <c r="D569" s="113" t="s">
        <v>393</v>
      </c>
      <c r="E569">
        <v>7060</v>
      </c>
      <c r="F569" s="113" t="s">
        <v>957</v>
      </c>
      <c r="G569" s="113" t="s">
        <v>406</v>
      </c>
      <c r="H569" s="113" t="s">
        <v>399</v>
      </c>
      <c r="I569">
        <v>176</v>
      </c>
    </row>
    <row r="570" spans="1:9">
      <c r="A570" s="113" t="s">
        <v>916</v>
      </c>
      <c r="B570" s="113" t="s">
        <v>391</v>
      </c>
      <c r="C570" s="113" t="s">
        <v>403</v>
      </c>
      <c r="D570" s="113" t="s">
        <v>393</v>
      </c>
      <c r="E570">
        <v>7063</v>
      </c>
      <c r="F570" s="113" t="s">
        <v>958</v>
      </c>
      <c r="G570" s="113" t="s">
        <v>406</v>
      </c>
      <c r="H570" s="113" t="s">
        <v>399</v>
      </c>
      <c r="I570">
        <v>67</v>
      </c>
    </row>
    <row r="571" spans="1:9">
      <c r="A571" s="113" t="s">
        <v>916</v>
      </c>
      <c r="B571" s="113" t="s">
        <v>391</v>
      </c>
      <c r="C571" s="113" t="s">
        <v>392</v>
      </c>
      <c r="D571" s="113" t="s">
        <v>393</v>
      </c>
      <c r="E571">
        <v>7067</v>
      </c>
      <c r="F571" s="113" t="s">
        <v>959</v>
      </c>
      <c r="G571" s="113" t="s">
        <v>406</v>
      </c>
      <c r="H571" s="113" t="s">
        <v>399</v>
      </c>
      <c r="I571">
        <v>37</v>
      </c>
    </row>
    <row r="572" spans="1:9">
      <c r="A572" s="113" t="s">
        <v>916</v>
      </c>
      <c r="B572" s="113" t="s">
        <v>391</v>
      </c>
      <c r="C572" s="113" t="s">
        <v>396</v>
      </c>
      <c r="D572" s="113" t="s">
        <v>397</v>
      </c>
      <c r="E572">
        <v>7072</v>
      </c>
      <c r="F572" s="113" t="s">
        <v>960</v>
      </c>
      <c r="G572" s="113" t="s">
        <v>406</v>
      </c>
      <c r="H572" s="113" t="s">
        <v>399</v>
      </c>
      <c r="I572">
        <v>78</v>
      </c>
    </row>
    <row r="573" spans="1:9">
      <c r="A573" s="113" t="s">
        <v>916</v>
      </c>
      <c r="B573" s="113" t="s">
        <v>391</v>
      </c>
      <c r="C573" s="113" t="s">
        <v>392</v>
      </c>
      <c r="D573" s="113" t="s">
        <v>393</v>
      </c>
      <c r="E573">
        <v>7239</v>
      </c>
      <c r="F573" s="113" t="s">
        <v>961</v>
      </c>
      <c r="G573" s="113" t="s">
        <v>394</v>
      </c>
      <c r="H573" s="113" t="s">
        <v>445</v>
      </c>
      <c r="I573">
        <v>513</v>
      </c>
    </row>
    <row r="574" spans="1:9">
      <c r="A574" s="113" t="s">
        <v>916</v>
      </c>
      <c r="B574" s="113" t="s">
        <v>391</v>
      </c>
      <c r="C574" s="113" t="s">
        <v>392</v>
      </c>
      <c r="D574" s="113" t="s">
        <v>393</v>
      </c>
      <c r="E574">
        <v>7242</v>
      </c>
      <c r="F574" s="113" t="s">
        <v>962</v>
      </c>
      <c r="G574" s="113" t="s">
        <v>394</v>
      </c>
      <c r="H574" s="113" t="s">
        <v>445</v>
      </c>
      <c r="I574">
        <v>855</v>
      </c>
    </row>
    <row r="575" spans="1:9">
      <c r="A575" s="113" t="s">
        <v>916</v>
      </c>
      <c r="B575" s="113" t="s">
        <v>391</v>
      </c>
      <c r="C575" s="113" t="s">
        <v>403</v>
      </c>
      <c r="D575" s="113" t="s">
        <v>393</v>
      </c>
      <c r="E575">
        <v>7325</v>
      </c>
      <c r="F575" s="113" t="s">
        <v>1049</v>
      </c>
      <c r="G575" s="113" t="s">
        <v>406</v>
      </c>
      <c r="H575" s="113" t="s">
        <v>1050</v>
      </c>
      <c r="I575">
        <v>116</v>
      </c>
    </row>
    <row r="576" spans="1:9">
      <c r="A576" s="113" t="s">
        <v>916</v>
      </c>
      <c r="B576" s="113" t="s">
        <v>391</v>
      </c>
      <c r="C576" s="113" t="s">
        <v>392</v>
      </c>
      <c r="D576" s="113" t="s">
        <v>393</v>
      </c>
      <c r="E576">
        <v>7593</v>
      </c>
      <c r="F576" s="113" t="s">
        <v>1284</v>
      </c>
      <c r="G576" s="113" t="s">
        <v>394</v>
      </c>
      <c r="H576" s="113" t="s">
        <v>404</v>
      </c>
      <c r="I576">
        <v>566</v>
      </c>
    </row>
    <row r="577" spans="1:10">
      <c r="A577" s="113" t="s">
        <v>916</v>
      </c>
      <c r="B577" s="113" t="s">
        <v>391</v>
      </c>
      <c r="C577" s="113" t="s">
        <v>403</v>
      </c>
      <c r="D577" s="113" t="s">
        <v>397</v>
      </c>
      <c r="E577">
        <v>7674</v>
      </c>
      <c r="F577" s="113" t="s">
        <v>963</v>
      </c>
      <c r="G577" s="113" t="s">
        <v>406</v>
      </c>
      <c r="H577" s="113" t="s">
        <v>404</v>
      </c>
      <c r="I577">
        <v>74</v>
      </c>
    </row>
    <row r="578" spans="1:10">
      <c r="A578" s="113" t="s">
        <v>916</v>
      </c>
      <c r="B578" s="113" t="s">
        <v>391</v>
      </c>
      <c r="C578" s="113" t="s">
        <v>396</v>
      </c>
      <c r="D578" s="113" t="s">
        <v>397</v>
      </c>
      <c r="E578">
        <v>7676</v>
      </c>
      <c r="F578" s="113" t="s">
        <v>964</v>
      </c>
      <c r="G578" s="113" t="s">
        <v>406</v>
      </c>
      <c r="H578" s="113" t="s">
        <v>404</v>
      </c>
      <c r="I578">
        <v>45</v>
      </c>
    </row>
    <row r="579" spans="1:10">
      <c r="A579" s="113" t="s">
        <v>916</v>
      </c>
      <c r="B579" s="113" t="s">
        <v>391</v>
      </c>
      <c r="C579" s="113" t="s">
        <v>392</v>
      </c>
      <c r="D579" s="113" t="s">
        <v>393</v>
      </c>
      <c r="E579">
        <v>7677</v>
      </c>
      <c r="F579" s="113" t="s">
        <v>965</v>
      </c>
      <c r="G579" s="113" t="s">
        <v>402</v>
      </c>
      <c r="H579" s="113" t="s">
        <v>400</v>
      </c>
      <c r="I579">
        <v>52</v>
      </c>
    </row>
    <row r="580" spans="1:10">
      <c r="A580" s="113" t="s">
        <v>916</v>
      </c>
      <c r="B580" s="113" t="s">
        <v>391</v>
      </c>
      <c r="C580" s="113" t="s">
        <v>396</v>
      </c>
      <c r="D580" s="113" t="s">
        <v>393</v>
      </c>
      <c r="E580">
        <v>7681</v>
      </c>
      <c r="F580" s="113" t="s">
        <v>966</v>
      </c>
      <c r="G580" s="113" t="s">
        <v>402</v>
      </c>
      <c r="H580" s="113" t="s">
        <v>400</v>
      </c>
      <c r="I580">
        <v>66</v>
      </c>
    </row>
    <row r="581" spans="1:10">
      <c r="A581" s="113" t="s">
        <v>916</v>
      </c>
      <c r="B581" s="113" t="s">
        <v>391</v>
      </c>
      <c r="C581" s="113" t="s">
        <v>392</v>
      </c>
      <c r="D581" s="113" t="s">
        <v>393</v>
      </c>
      <c r="E581">
        <v>7749</v>
      </c>
      <c r="F581" s="113" t="s">
        <v>967</v>
      </c>
      <c r="G581" s="113" t="s">
        <v>398</v>
      </c>
      <c r="H581" s="113" t="s">
        <v>661</v>
      </c>
      <c r="I581">
        <v>661</v>
      </c>
    </row>
    <row r="582" spans="1:10">
      <c r="A582" s="113" t="s">
        <v>916</v>
      </c>
      <c r="B582" s="113" t="s">
        <v>391</v>
      </c>
      <c r="C582" s="113" t="s">
        <v>396</v>
      </c>
      <c r="D582" s="113" t="s">
        <v>397</v>
      </c>
      <c r="E582">
        <v>7800</v>
      </c>
      <c r="F582" s="113" t="s">
        <v>968</v>
      </c>
      <c r="G582" s="113" t="s">
        <v>398</v>
      </c>
      <c r="H582" s="113" t="s">
        <v>416</v>
      </c>
      <c r="I582">
        <v>33</v>
      </c>
    </row>
    <row r="583" spans="1:10">
      <c r="A583" s="113" t="s">
        <v>916</v>
      </c>
      <c r="B583" s="113" t="s">
        <v>391</v>
      </c>
      <c r="C583" s="113" t="s">
        <v>392</v>
      </c>
      <c r="D583" s="113" t="s">
        <v>393</v>
      </c>
      <c r="E583">
        <v>8152</v>
      </c>
      <c r="F583" s="113" t="s">
        <v>969</v>
      </c>
      <c r="G583" s="113" t="s">
        <v>402</v>
      </c>
      <c r="H583" s="113" t="s">
        <v>400</v>
      </c>
      <c r="I583">
        <v>35</v>
      </c>
    </row>
    <row r="584" spans="1:10">
      <c r="A584" s="113" t="s">
        <v>916</v>
      </c>
      <c r="B584" s="113" t="s">
        <v>391</v>
      </c>
      <c r="C584" s="113" t="s">
        <v>403</v>
      </c>
      <c r="D584" s="113" t="s">
        <v>393</v>
      </c>
      <c r="E584">
        <v>8928</v>
      </c>
      <c r="F584" s="113" t="s">
        <v>1051</v>
      </c>
      <c r="G584" s="113" t="s">
        <v>394</v>
      </c>
      <c r="H584" s="113" t="s">
        <v>420</v>
      </c>
      <c r="I584">
        <v>194</v>
      </c>
    </row>
    <row r="585" spans="1:10">
      <c r="A585" s="113" t="s">
        <v>916</v>
      </c>
      <c r="B585" s="113" t="s">
        <v>391</v>
      </c>
      <c r="C585" s="113" t="s">
        <v>401</v>
      </c>
      <c r="D585" s="113" t="s">
        <v>393</v>
      </c>
      <c r="E585">
        <v>9672</v>
      </c>
      <c r="F585" s="113" t="s">
        <v>970</v>
      </c>
      <c r="G585" s="113" t="s">
        <v>394</v>
      </c>
      <c r="H585" s="113" t="s">
        <v>399</v>
      </c>
      <c r="I585">
        <v>998</v>
      </c>
    </row>
    <row r="586" spans="1:10">
      <c r="A586" s="113" t="s">
        <v>1285</v>
      </c>
      <c r="B586" s="113" t="s">
        <v>391</v>
      </c>
      <c r="C586" s="113" t="s">
        <v>392</v>
      </c>
      <c r="D586" s="113" t="s">
        <v>393</v>
      </c>
      <c r="E586">
        <v>2910</v>
      </c>
      <c r="F586" s="113" t="s">
        <v>412</v>
      </c>
      <c r="G586" s="113" t="s">
        <v>394</v>
      </c>
      <c r="H586" s="113" t="s">
        <v>395</v>
      </c>
      <c r="I586">
        <v>407</v>
      </c>
    </row>
    <row r="587" spans="1:10">
      <c r="A587" s="113" t="s">
        <v>1285</v>
      </c>
      <c r="B587" s="113" t="s">
        <v>391</v>
      </c>
      <c r="C587" s="113" t="s">
        <v>392</v>
      </c>
      <c r="D587" s="113" t="s">
        <v>393</v>
      </c>
      <c r="E587">
        <v>3770</v>
      </c>
      <c r="F587" s="113" t="s">
        <v>413</v>
      </c>
      <c r="G587" s="113" t="s">
        <v>394</v>
      </c>
      <c r="H587" s="113" t="s">
        <v>405</v>
      </c>
      <c r="I587">
        <v>56</v>
      </c>
    </row>
    <row r="588" spans="1:10">
      <c r="A588" s="113" t="s">
        <v>971</v>
      </c>
      <c r="B588" s="113" t="s">
        <v>391</v>
      </c>
      <c r="C588" s="113" t="s">
        <v>401</v>
      </c>
      <c r="D588" s="113" t="s">
        <v>397</v>
      </c>
      <c r="E588">
        <v>3282</v>
      </c>
      <c r="F588" s="113" t="s">
        <v>972</v>
      </c>
      <c r="G588" s="113" t="s">
        <v>481</v>
      </c>
      <c r="H588" s="113" t="s">
        <v>482</v>
      </c>
      <c r="I588" s="113" t="s">
        <v>417</v>
      </c>
      <c r="J588" s="113" t="s">
        <v>1020</v>
      </c>
    </row>
    <row r="589" spans="1:10">
      <c r="A589" s="113" t="s">
        <v>971</v>
      </c>
      <c r="B589" s="113" t="s">
        <v>391</v>
      </c>
      <c r="C589" s="113" t="s">
        <v>401</v>
      </c>
      <c r="D589" s="113" t="s">
        <v>397</v>
      </c>
      <c r="E589">
        <v>3463</v>
      </c>
      <c r="F589" s="113" t="s">
        <v>973</v>
      </c>
      <c r="G589" s="113" t="s">
        <v>481</v>
      </c>
      <c r="H589" s="113" t="s">
        <v>482</v>
      </c>
      <c r="I589">
        <v>338</v>
      </c>
    </row>
    <row r="590" spans="1:10">
      <c r="A590" s="113" t="s">
        <v>974</v>
      </c>
      <c r="B590" s="113" t="s">
        <v>391</v>
      </c>
      <c r="C590" s="113" t="s">
        <v>401</v>
      </c>
      <c r="D590" s="113" t="s">
        <v>397</v>
      </c>
      <c r="E590">
        <v>3281</v>
      </c>
      <c r="F590" s="113" t="s">
        <v>975</v>
      </c>
      <c r="G590" s="113" t="s">
        <v>481</v>
      </c>
      <c r="H590" s="113" t="s">
        <v>482</v>
      </c>
      <c r="I590" s="113" t="s">
        <v>411</v>
      </c>
      <c r="J590" s="113" t="s">
        <v>839</v>
      </c>
    </row>
    <row r="591" spans="1:10">
      <c r="A591" s="113" t="s">
        <v>974</v>
      </c>
      <c r="B591" s="113" t="s">
        <v>391</v>
      </c>
      <c r="C591" s="113" t="s">
        <v>401</v>
      </c>
      <c r="D591" s="113" t="s">
        <v>397</v>
      </c>
      <c r="E591">
        <v>3466</v>
      </c>
      <c r="F591" s="113" t="s">
        <v>976</v>
      </c>
      <c r="G591" s="113" t="s">
        <v>481</v>
      </c>
      <c r="H591" s="113" t="s">
        <v>482</v>
      </c>
      <c r="I591" s="113" t="s">
        <v>417</v>
      </c>
      <c r="J591" s="113" t="s">
        <v>1286</v>
      </c>
    </row>
    <row r="592" spans="1:10">
      <c r="A592" s="113" t="s">
        <v>977</v>
      </c>
      <c r="B592" s="113" t="s">
        <v>391</v>
      </c>
      <c r="C592" s="113" t="s">
        <v>392</v>
      </c>
      <c r="D592" s="113" t="s">
        <v>393</v>
      </c>
      <c r="E592">
        <v>2354</v>
      </c>
      <c r="F592" s="113" t="s">
        <v>978</v>
      </c>
      <c r="G592" s="113" t="s">
        <v>402</v>
      </c>
      <c r="H592" s="113" t="s">
        <v>405</v>
      </c>
      <c r="I592">
        <v>103</v>
      </c>
    </row>
    <row r="593" spans="1:10">
      <c r="A593" s="113" t="s">
        <v>977</v>
      </c>
      <c r="B593" s="113" t="s">
        <v>391</v>
      </c>
      <c r="C593" s="113" t="s">
        <v>403</v>
      </c>
      <c r="D593" s="113" t="s">
        <v>393</v>
      </c>
      <c r="E593">
        <v>3160</v>
      </c>
      <c r="F593" s="113" t="s">
        <v>979</v>
      </c>
      <c r="G593" s="113" t="s">
        <v>394</v>
      </c>
      <c r="H593" s="113" t="s">
        <v>400</v>
      </c>
      <c r="I593">
        <v>91</v>
      </c>
    </row>
    <row r="594" spans="1:10">
      <c r="A594" s="113" t="s">
        <v>977</v>
      </c>
      <c r="B594" s="113" t="s">
        <v>391</v>
      </c>
      <c r="C594" s="113" t="s">
        <v>392</v>
      </c>
      <c r="D594" s="113" t="s">
        <v>393</v>
      </c>
      <c r="E594">
        <v>7630</v>
      </c>
      <c r="F594" s="113" t="s">
        <v>980</v>
      </c>
      <c r="G594" s="113" t="s">
        <v>394</v>
      </c>
      <c r="H594" s="113" t="s">
        <v>404</v>
      </c>
      <c r="I594" s="113" t="s">
        <v>449</v>
      </c>
      <c r="J594" s="113" t="s">
        <v>1287</v>
      </c>
    </row>
    <row r="595" spans="1:10">
      <c r="A595" s="113" t="s">
        <v>977</v>
      </c>
      <c r="B595" s="113" t="s">
        <v>391</v>
      </c>
      <c r="C595" s="113" t="s">
        <v>403</v>
      </c>
      <c r="D595" s="113" t="s">
        <v>397</v>
      </c>
      <c r="E595">
        <v>8155</v>
      </c>
      <c r="F595" s="113" t="s">
        <v>981</v>
      </c>
      <c r="G595" s="113" t="s">
        <v>394</v>
      </c>
      <c r="H595" s="113" t="s">
        <v>409</v>
      </c>
      <c r="I595">
        <v>709</v>
      </c>
    </row>
    <row r="596" spans="1:10">
      <c r="A596" s="113" t="s">
        <v>977</v>
      </c>
      <c r="B596" s="113" t="s">
        <v>391</v>
      </c>
      <c r="C596" s="113" t="s">
        <v>392</v>
      </c>
      <c r="D596" s="113" t="s">
        <v>393</v>
      </c>
      <c r="E596">
        <v>8217</v>
      </c>
      <c r="F596" s="113" t="s">
        <v>982</v>
      </c>
      <c r="G596" s="113" t="s">
        <v>394</v>
      </c>
      <c r="H596" s="113" t="s">
        <v>404</v>
      </c>
      <c r="I596">
        <v>637</v>
      </c>
    </row>
    <row r="597" spans="1:10">
      <c r="A597" s="113" t="s">
        <v>984</v>
      </c>
      <c r="B597" s="113" t="s">
        <v>391</v>
      </c>
      <c r="C597" s="113" t="s">
        <v>392</v>
      </c>
      <c r="D597" s="113" t="s">
        <v>393</v>
      </c>
      <c r="E597">
        <v>6757</v>
      </c>
      <c r="F597" s="113" t="s">
        <v>985</v>
      </c>
      <c r="G597" s="113" t="s">
        <v>398</v>
      </c>
      <c r="H597" s="113" t="s">
        <v>419</v>
      </c>
      <c r="I597">
        <v>127</v>
      </c>
    </row>
    <row r="598" spans="1:10">
      <c r="A598" s="113" t="s">
        <v>986</v>
      </c>
      <c r="B598" s="113" t="s">
        <v>391</v>
      </c>
      <c r="C598" s="113" t="s">
        <v>403</v>
      </c>
      <c r="D598" s="113" t="s">
        <v>393</v>
      </c>
      <c r="E598">
        <v>6905</v>
      </c>
      <c r="F598" s="113" t="s">
        <v>987</v>
      </c>
      <c r="G598" s="113" t="s">
        <v>394</v>
      </c>
      <c r="H598" s="113" t="s">
        <v>419</v>
      </c>
      <c r="I598">
        <v>444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表紙-</vt:lpstr>
      <vt:lpstr>建玉管理</vt:lpstr>
      <vt:lpstr>取引履歴</vt:lpstr>
      <vt:lpstr>資産状況</vt:lpstr>
      <vt:lpstr>損益分析</vt:lpstr>
      <vt:lpstr>監視</vt:lpstr>
      <vt:lpstr>シミュレーション</vt:lpstr>
      <vt:lpstr>Search Result</vt:lpstr>
      <vt:lpstr>個別計算</vt:lpstr>
      <vt:lpstr>日経サヤ計算</vt:lpstr>
      <vt:lpstr>グラフ</vt:lpstr>
      <vt:lpstr>code</vt:lpstr>
      <vt:lpstr>元データ</vt:lpstr>
      <vt:lpstr>改訂欄</vt:lpstr>
      <vt:lpstr>Fee_Refer</vt:lpstr>
      <vt:lpstr>Faiue</vt:lpstr>
      <vt:lpstr>Fiscal_date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2008-09-11T17:22:52Z</dcterms:created>
  <dcterms:modified xsi:type="dcterms:W3CDTF">2019-12-07T12:55:40Z</dcterms:modified>
</cp:coreProperties>
</file>